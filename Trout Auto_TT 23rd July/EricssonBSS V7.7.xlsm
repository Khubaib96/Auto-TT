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Python27\ericsson sheet tests\"/>
    </mc:Choice>
  </mc:AlternateContent>
  <bookViews>
    <workbookView xWindow="0" yWindow="120" windowWidth="19320" windowHeight="9945" tabRatio="820"/>
  </bookViews>
  <sheets>
    <sheet name="Ericsson" sheetId="88" r:id="rId1"/>
    <sheet name="Sheet7" sheetId="1048" state="hidden" r:id="rId2"/>
    <sheet name="&gt;3hrs" sheetId="1049" state="hidden" r:id="rId3"/>
    <sheet name="Escalation" sheetId="1071" r:id="rId4"/>
  </sheets>
  <functionGroups builtInGroupCount="18"/>
  <definedNames>
    <definedName name="_xlnm._FilterDatabase" localSheetId="0" hidden="1">Ericsson!$O$8:$S$31</definedName>
    <definedName name="_xlnm._FilterDatabase" localSheetId="1" hidden="1">Sheet7!$A$1:$Z$250</definedName>
    <definedName name="_xlnm.Database">#REF!</definedName>
  </definedNames>
  <calcPr calcId="162913"/>
</workbook>
</file>

<file path=xl/calcChain.xml><?xml version="1.0" encoding="utf-8"?>
<calcChain xmlns="http://schemas.openxmlformats.org/spreadsheetml/2006/main">
  <c r="E6" i="88" l="1"/>
  <c r="F6" i="88"/>
  <c r="E7" i="88"/>
  <c r="F7" i="88"/>
  <c r="E8" i="88"/>
  <c r="F8" i="88"/>
  <c r="E9" i="88"/>
  <c r="F9" i="88"/>
  <c r="E10" i="88"/>
  <c r="F10" i="88"/>
  <c r="E11" i="88"/>
  <c r="F11" i="88"/>
  <c r="E12" i="88"/>
  <c r="F12" i="88"/>
  <c r="E13" i="88"/>
  <c r="F13" i="88"/>
  <c r="E14" i="88"/>
  <c r="F14" i="88"/>
  <c r="E15" i="88"/>
  <c r="F15" i="88"/>
  <c r="E16" i="88"/>
  <c r="F16" i="88"/>
  <c r="E17" i="88"/>
  <c r="F17" i="88"/>
  <c r="E18" i="88"/>
  <c r="F18" i="88"/>
  <c r="E19" i="88"/>
  <c r="F19" i="88"/>
  <c r="E20" i="88"/>
  <c r="F20" i="88"/>
  <c r="E21" i="88"/>
  <c r="F21" i="88"/>
  <c r="E22" i="88"/>
  <c r="F22" i="88"/>
  <c r="E23" i="88"/>
  <c r="F23" i="88"/>
  <c r="E24" i="88"/>
  <c r="F24" i="88"/>
  <c r="E25" i="88"/>
  <c r="F25" i="88"/>
  <c r="E26" i="88"/>
  <c r="F26" i="88"/>
  <c r="E27" i="88"/>
  <c r="F27" i="88"/>
  <c r="E28" i="88"/>
  <c r="F28" i="88"/>
  <c r="E29" i="88"/>
  <c r="F29" i="88"/>
  <c r="E30" i="88"/>
  <c r="F30" i="88"/>
  <c r="E31" i="88"/>
  <c r="F31" i="88"/>
  <c r="E32" i="88"/>
  <c r="F32" i="88"/>
  <c r="E33" i="88"/>
  <c r="F33" i="88"/>
  <c r="E34" i="88"/>
  <c r="F34" i="88"/>
  <c r="E35" i="88"/>
  <c r="F35" i="88"/>
  <c r="E36" i="88"/>
  <c r="F36" i="88"/>
  <c r="E37" i="88"/>
  <c r="F37" i="88"/>
  <c r="E38" i="88"/>
  <c r="F38" i="88"/>
  <c r="E39" i="88"/>
  <c r="F39" i="88"/>
  <c r="E40" i="88"/>
  <c r="F40" i="88"/>
  <c r="E41" i="88"/>
  <c r="F41" i="88"/>
  <c r="E42" i="88"/>
  <c r="F42" i="88"/>
  <c r="E43" i="88"/>
  <c r="F43" i="88"/>
  <c r="E44" i="88"/>
  <c r="F44" i="88"/>
  <c r="E45" i="88"/>
  <c r="F45" i="88"/>
  <c r="E46" i="88"/>
  <c r="F46" i="88"/>
  <c r="E47" i="88"/>
  <c r="F47" i="88"/>
  <c r="E48" i="88"/>
  <c r="F48" i="88"/>
  <c r="E49" i="88"/>
  <c r="F49" i="88"/>
  <c r="E50" i="88"/>
  <c r="F50" i="88"/>
  <c r="E51" i="88"/>
  <c r="F51" i="88"/>
  <c r="E52" i="88"/>
  <c r="F52" i="88"/>
  <c r="E53" i="88"/>
  <c r="F53" i="88"/>
  <c r="E54" i="88"/>
  <c r="F54" i="88"/>
  <c r="E55" i="88"/>
  <c r="F55" i="88"/>
  <c r="E56" i="88"/>
  <c r="F56" i="88"/>
  <c r="E57" i="88"/>
  <c r="F57" i="88"/>
  <c r="E58" i="88"/>
  <c r="F58" i="88"/>
  <c r="E59" i="88"/>
  <c r="F59" i="88"/>
  <c r="E60" i="88"/>
  <c r="F60" i="88"/>
  <c r="E61" i="88"/>
  <c r="F61" i="88"/>
  <c r="E62" i="88"/>
  <c r="F62" i="88"/>
  <c r="E63" i="88"/>
  <c r="F63" i="88"/>
  <c r="E64" i="88"/>
  <c r="F64" i="88"/>
  <c r="E65" i="88"/>
  <c r="F65" i="88"/>
  <c r="E66" i="88"/>
  <c r="F66" i="88"/>
  <c r="E67" i="88"/>
  <c r="F67" i="88"/>
  <c r="E68" i="88"/>
  <c r="F68" i="88"/>
  <c r="E69" i="88"/>
  <c r="F69" i="88"/>
  <c r="E70" i="88"/>
  <c r="F70" i="88"/>
  <c r="E71" i="88"/>
  <c r="F71" i="88"/>
  <c r="E72" i="88"/>
  <c r="F72" i="88"/>
  <c r="E73" i="88"/>
  <c r="F73" i="88"/>
  <c r="E74" i="88"/>
  <c r="F74" i="88"/>
  <c r="E75" i="88"/>
  <c r="F75" i="88"/>
  <c r="E76" i="88"/>
  <c r="F76" i="88"/>
  <c r="E77" i="88"/>
  <c r="F77" i="88"/>
  <c r="E78" i="88"/>
  <c r="F78" i="88"/>
  <c r="E79" i="88"/>
  <c r="F79" i="88"/>
  <c r="E80" i="88"/>
  <c r="F80" i="88"/>
  <c r="E81" i="88"/>
  <c r="F81" i="88"/>
  <c r="E82" i="88"/>
  <c r="F82" i="88"/>
  <c r="E83" i="88"/>
  <c r="F83" i="88"/>
  <c r="E84" i="88"/>
  <c r="F84" i="88"/>
  <c r="E85" i="88"/>
  <c r="F85" i="88"/>
  <c r="E86" i="88"/>
  <c r="F86" i="88"/>
  <c r="E87" i="88"/>
  <c r="F87" i="88"/>
  <c r="E88" i="88"/>
  <c r="F88" i="88"/>
  <c r="E89" i="88"/>
  <c r="F89" i="88"/>
  <c r="E90" i="88"/>
  <c r="F90" i="88"/>
  <c r="E91" i="88"/>
  <c r="F91" i="88"/>
  <c r="E92" i="88"/>
  <c r="F92" i="88"/>
  <c r="E93" i="88"/>
  <c r="F93" i="88"/>
  <c r="E94" i="88"/>
  <c r="F94" i="88"/>
  <c r="E95" i="88"/>
  <c r="F95" i="88"/>
  <c r="E96" i="88"/>
  <c r="F96" i="88"/>
  <c r="E97" i="88"/>
  <c r="F97" i="88"/>
  <c r="E98" i="88"/>
  <c r="F98" i="88"/>
  <c r="E99" i="88"/>
  <c r="F99" i="88"/>
  <c r="E100" i="88"/>
  <c r="F100" i="88"/>
  <c r="E101" i="88"/>
  <c r="F101" i="88"/>
  <c r="E102" i="88"/>
  <c r="F102" i="88"/>
  <c r="E103" i="88"/>
  <c r="F103" i="88"/>
  <c r="E104" i="88"/>
  <c r="F104" i="88"/>
  <c r="E105" i="88"/>
  <c r="F105" i="88"/>
  <c r="E106" i="88"/>
  <c r="F106" i="88"/>
  <c r="E107" i="88"/>
  <c r="F107" i="88"/>
  <c r="E108" i="88"/>
  <c r="F108" i="88"/>
  <c r="E109" i="88"/>
  <c r="F109" i="88"/>
  <c r="E110" i="88"/>
  <c r="F110" i="88"/>
  <c r="E111" i="88"/>
  <c r="F111" i="88"/>
  <c r="E112" i="88"/>
  <c r="F112" i="88"/>
  <c r="E113" i="88"/>
  <c r="F113" i="88"/>
  <c r="E114" i="88"/>
  <c r="F114" i="88"/>
  <c r="E115" i="88"/>
  <c r="F115" i="88"/>
  <c r="E116" i="88"/>
  <c r="F116" i="88"/>
  <c r="E117" i="88"/>
  <c r="F117" i="88"/>
  <c r="E118" i="88"/>
  <c r="F118" i="88"/>
  <c r="E119" i="88"/>
  <c r="F119" i="88"/>
  <c r="E120" i="88"/>
  <c r="F120" i="88"/>
  <c r="E121" i="88"/>
  <c r="F121" i="88"/>
  <c r="E122" i="88"/>
  <c r="F122" i="88"/>
  <c r="E123" i="88"/>
  <c r="F123" i="88"/>
  <c r="E124" i="88"/>
  <c r="F124" i="88"/>
  <c r="E125" i="88"/>
  <c r="F125" i="88"/>
  <c r="E126" i="88"/>
  <c r="F126" i="88"/>
  <c r="E127" i="88"/>
  <c r="F127" i="88"/>
  <c r="E128" i="88"/>
  <c r="F128" i="88"/>
  <c r="E129" i="88"/>
  <c r="F129" i="88"/>
  <c r="E130" i="88"/>
  <c r="F130" i="88"/>
  <c r="E131" i="88"/>
  <c r="F131" i="88"/>
  <c r="E132" i="88"/>
  <c r="F132" i="88"/>
  <c r="E133" i="88"/>
  <c r="F133" i="88"/>
  <c r="E134" i="88"/>
  <c r="F134" i="88"/>
  <c r="E135" i="88"/>
  <c r="F135" i="88"/>
  <c r="E136" i="88"/>
  <c r="F136" i="88"/>
  <c r="E137" i="88"/>
  <c r="F137" i="88"/>
  <c r="E138" i="88"/>
  <c r="F138" i="88"/>
  <c r="E139" i="88"/>
  <c r="F139" i="88"/>
  <c r="E140" i="88"/>
  <c r="F140" i="88"/>
  <c r="E141" i="88"/>
  <c r="F141" i="88"/>
  <c r="E142" i="88"/>
  <c r="F142" i="88"/>
  <c r="E143" i="88"/>
  <c r="F143" i="88"/>
  <c r="E144" i="88"/>
  <c r="F144" i="88"/>
  <c r="E145" i="88"/>
  <c r="F145" i="88"/>
  <c r="E146" i="88"/>
  <c r="F146" i="88"/>
  <c r="E147" i="88"/>
  <c r="F147" i="88"/>
  <c r="E148" i="88"/>
  <c r="F148" i="88"/>
  <c r="E149" i="88"/>
  <c r="F149" i="88"/>
  <c r="E150" i="88"/>
  <c r="F150" i="88"/>
  <c r="E151" i="88"/>
  <c r="F151" i="88"/>
  <c r="E152" i="88"/>
  <c r="F152" i="88"/>
  <c r="E153" i="88"/>
  <c r="F153" i="88"/>
  <c r="E154" i="88"/>
  <c r="F154" i="88"/>
  <c r="E155" i="88"/>
  <c r="F155" i="88"/>
  <c r="E156" i="88"/>
  <c r="F156" i="88"/>
  <c r="E157" i="88"/>
  <c r="F157" i="88"/>
  <c r="E158" i="88"/>
  <c r="F158" i="88"/>
  <c r="E159" i="88"/>
  <c r="F159" i="88"/>
  <c r="E160" i="88"/>
  <c r="F160" i="88"/>
  <c r="E161" i="88"/>
  <c r="F161" i="88"/>
  <c r="E162" i="88"/>
  <c r="F162" i="88"/>
  <c r="E163" i="88"/>
  <c r="F163" i="88"/>
  <c r="E164" i="88"/>
  <c r="F164" i="88"/>
  <c r="E165" i="88"/>
  <c r="F165" i="88"/>
  <c r="E166" i="88"/>
  <c r="F166" i="88"/>
  <c r="E167" i="88"/>
  <c r="F167" i="88"/>
  <c r="E168" i="88"/>
  <c r="F168" i="88"/>
  <c r="E169" i="88"/>
  <c r="F169" i="88"/>
  <c r="E170" i="88"/>
  <c r="F170" i="88"/>
  <c r="E171" i="88"/>
  <c r="F171" i="88"/>
  <c r="E172" i="88"/>
  <c r="F172" i="88"/>
  <c r="E173" i="88"/>
  <c r="F173" i="88"/>
  <c r="E174" i="88"/>
  <c r="F174" i="88"/>
  <c r="E175" i="88"/>
  <c r="F175" i="88"/>
  <c r="E176" i="88"/>
  <c r="F176" i="88"/>
  <c r="E177" i="88"/>
  <c r="F177" i="88"/>
  <c r="E178" i="88"/>
  <c r="F178" i="88"/>
  <c r="E179" i="88"/>
  <c r="F179" i="88"/>
  <c r="E180" i="88"/>
  <c r="F180" i="88"/>
  <c r="E181" i="88"/>
  <c r="F181" i="88"/>
  <c r="E182" i="88"/>
  <c r="F182" i="88"/>
  <c r="E183" i="88"/>
  <c r="F183" i="88"/>
  <c r="E184" i="88"/>
  <c r="F184" i="88"/>
  <c r="E185" i="88"/>
  <c r="F185" i="88"/>
  <c r="E186" i="88"/>
  <c r="F186" i="88"/>
  <c r="E187" i="88"/>
  <c r="F187" i="88"/>
  <c r="E188" i="88"/>
  <c r="F188" i="88"/>
  <c r="E189" i="88"/>
  <c r="F189" i="88"/>
  <c r="E190" i="88"/>
  <c r="F190" i="88"/>
  <c r="E191" i="88"/>
  <c r="F191" i="88"/>
  <c r="E192" i="88"/>
  <c r="F192" i="88"/>
  <c r="E193" i="88"/>
  <c r="F193" i="88"/>
  <c r="E194" i="88"/>
  <c r="F194" i="88"/>
  <c r="E195" i="88"/>
  <c r="F195" i="88"/>
  <c r="E196" i="88"/>
  <c r="F196" i="88"/>
  <c r="E197" i="88"/>
  <c r="F197" i="88"/>
  <c r="E198" i="88"/>
  <c r="F198" i="88"/>
  <c r="E199" i="88"/>
  <c r="F199" i="88"/>
  <c r="E200" i="88"/>
  <c r="F200" i="88"/>
  <c r="E201" i="88"/>
  <c r="F201" i="88"/>
  <c r="E202" i="88"/>
  <c r="F202" i="88"/>
  <c r="E203" i="88"/>
  <c r="F203" i="88"/>
  <c r="E204" i="88"/>
  <c r="F204" i="88"/>
  <c r="E205" i="88"/>
  <c r="F205" i="88"/>
  <c r="E206" i="88"/>
  <c r="F206" i="88"/>
  <c r="E207" i="88"/>
  <c r="F207" i="88"/>
  <c r="E208" i="88"/>
  <c r="F208" i="88"/>
  <c r="E209" i="88"/>
  <c r="F209" i="88"/>
  <c r="E210" i="88"/>
  <c r="F210" i="88"/>
  <c r="E211" i="88"/>
  <c r="F211" i="88"/>
  <c r="E212" i="88"/>
  <c r="F212" i="88"/>
  <c r="E213" i="88"/>
  <c r="F213" i="88"/>
  <c r="E214" i="88"/>
  <c r="F214" i="88"/>
  <c r="E215" i="88"/>
  <c r="F215" i="88"/>
  <c r="E216" i="88"/>
  <c r="F216" i="88"/>
  <c r="E217" i="88"/>
  <c r="F217" i="88"/>
  <c r="E218" i="88"/>
  <c r="F218" i="88"/>
  <c r="E219" i="88"/>
  <c r="F219" i="88"/>
  <c r="E220" i="88"/>
  <c r="F220" i="88"/>
  <c r="E221" i="88"/>
  <c r="F221" i="88"/>
  <c r="E222" i="88"/>
  <c r="F222" i="88"/>
  <c r="E223" i="88"/>
  <c r="F223" i="88"/>
  <c r="E224" i="88"/>
  <c r="F224" i="88"/>
  <c r="E225" i="88"/>
  <c r="F225" i="88"/>
  <c r="E226" i="88"/>
  <c r="F226" i="88"/>
  <c r="E227" i="88"/>
  <c r="F227" i="88"/>
  <c r="E228" i="88"/>
  <c r="F228" i="88"/>
  <c r="E229" i="88"/>
  <c r="F229" i="88"/>
  <c r="E230" i="88"/>
  <c r="F230" i="88"/>
  <c r="E231" i="88"/>
  <c r="F231" i="88"/>
  <c r="E232" i="88"/>
  <c r="F232" i="88"/>
  <c r="E233" i="88"/>
  <c r="F233" i="88"/>
  <c r="E234" i="88"/>
  <c r="F234" i="88"/>
  <c r="E235" i="88"/>
  <c r="F235" i="88"/>
  <c r="E236" i="88"/>
  <c r="F236" i="88"/>
  <c r="E237" i="88"/>
  <c r="F237" i="88"/>
  <c r="E238" i="88"/>
  <c r="F238" i="88"/>
  <c r="E239" i="88"/>
  <c r="F239" i="88"/>
  <c r="E240" i="88"/>
  <c r="F240" i="88"/>
  <c r="E241" i="88"/>
  <c r="F241" i="88"/>
  <c r="E242" i="88"/>
  <c r="F242" i="88"/>
  <c r="E243" i="88"/>
  <c r="F243" i="88"/>
  <c r="E244" i="88"/>
  <c r="F244" i="88"/>
  <c r="E245" i="88"/>
  <c r="F245" i="88"/>
  <c r="E246" i="88"/>
  <c r="F246" i="88"/>
  <c r="E247" i="88"/>
  <c r="F247" i="88"/>
  <c r="E248" i="88"/>
  <c r="F248" i="88"/>
  <c r="E249" i="88"/>
  <c r="F249" i="88"/>
  <c r="E250" i="88"/>
  <c r="F250" i="88"/>
  <c r="E251" i="88"/>
  <c r="F251" i="88"/>
  <c r="E252" i="88"/>
  <c r="F252" i="88"/>
  <c r="E253" i="88"/>
  <c r="F253" i="88"/>
  <c r="E254" i="88"/>
  <c r="F254" i="88"/>
  <c r="E255" i="88"/>
  <c r="F255" i="88"/>
  <c r="E256" i="88"/>
  <c r="F256" i="88"/>
  <c r="E257" i="88"/>
  <c r="F257" i="88"/>
  <c r="E258" i="88"/>
  <c r="F258" i="88"/>
  <c r="E259" i="88"/>
  <c r="F259" i="88"/>
  <c r="E260" i="88"/>
  <c r="F260" i="88"/>
  <c r="E261" i="88"/>
  <c r="F261" i="88"/>
  <c r="E262" i="88"/>
  <c r="F262" i="88"/>
  <c r="E263" i="88"/>
  <c r="F263" i="88"/>
  <c r="E264" i="88"/>
  <c r="F264" i="88"/>
  <c r="E265" i="88"/>
  <c r="F265" i="88"/>
  <c r="E266" i="88"/>
  <c r="F266" i="88"/>
  <c r="E267" i="88"/>
  <c r="F267" i="88"/>
  <c r="E268" i="88"/>
  <c r="F268" i="88"/>
  <c r="E269" i="88"/>
  <c r="F269" i="88"/>
  <c r="E270" i="88"/>
  <c r="F270" i="88"/>
  <c r="E271" i="88"/>
  <c r="F271" i="88"/>
  <c r="E272" i="88"/>
  <c r="F272" i="88"/>
  <c r="E273" i="88"/>
  <c r="F273" i="88"/>
  <c r="E274" i="88"/>
  <c r="F274" i="88"/>
  <c r="E275" i="88"/>
  <c r="F275" i="88"/>
  <c r="E276" i="88"/>
  <c r="F276" i="88"/>
  <c r="E277" i="88"/>
  <c r="F277" i="88"/>
  <c r="E278" i="88"/>
  <c r="F278" i="88"/>
  <c r="E279" i="88"/>
  <c r="F279" i="88"/>
  <c r="E280" i="88"/>
  <c r="F280" i="88"/>
  <c r="E281" i="88"/>
  <c r="F281" i="88"/>
  <c r="E282" i="88"/>
  <c r="F282" i="88"/>
  <c r="E283" i="88"/>
  <c r="F283" i="88"/>
  <c r="E284" i="88"/>
  <c r="F284" i="88"/>
  <c r="E285" i="88"/>
  <c r="F285" i="88"/>
  <c r="E286" i="88"/>
  <c r="F286" i="88"/>
  <c r="E287" i="88"/>
  <c r="F287" i="88"/>
  <c r="E288" i="88"/>
  <c r="F288" i="88"/>
  <c r="E289" i="88"/>
  <c r="F289" i="88"/>
  <c r="E290" i="88"/>
  <c r="F290" i="88"/>
  <c r="E291" i="88"/>
  <c r="F291" i="88"/>
  <c r="E292" i="88"/>
  <c r="F292" i="88"/>
  <c r="E293" i="88"/>
  <c r="F293" i="88"/>
  <c r="E294" i="88"/>
  <c r="F294" i="88"/>
  <c r="E295" i="88"/>
  <c r="F295" i="88"/>
  <c r="E296" i="88"/>
  <c r="F296" i="88"/>
  <c r="E297" i="88"/>
  <c r="F297" i="88"/>
  <c r="E298" i="88"/>
  <c r="F298" i="88"/>
  <c r="E299" i="88"/>
  <c r="F299" i="88"/>
  <c r="E300" i="88"/>
  <c r="F300" i="88"/>
  <c r="E301" i="88"/>
  <c r="F301" i="88"/>
  <c r="E302" i="88"/>
  <c r="F302" i="88"/>
  <c r="E303" i="88"/>
  <c r="F303" i="88"/>
  <c r="E304" i="88"/>
  <c r="F304" i="88"/>
  <c r="E305" i="88"/>
  <c r="F305" i="88"/>
  <c r="E306" i="88"/>
  <c r="F306" i="88"/>
  <c r="E307" i="88"/>
  <c r="F307" i="88"/>
  <c r="E308" i="88"/>
  <c r="F308" i="88"/>
  <c r="E309" i="88"/>
  <c r="F309" i="88"/>
  <c r="E310" i="88"/>
  <c r="F310" i="88"/>
  <c r="E311" i="88"/>
  <c r="F311" i="88"/>
  <c r="E312" i="88"/>
  <c r="F312" i="88"/>
  <c r="E313" i="88"/>
  <c r="F313" i="88"/>
  <c r="E314" i="88"/>
  <c r="F314" i="88"/>
  <c r="E315" i="88"/>
  <c r="F315" i="88"/>
  <c r="E316" i="88"/>
  <c r="F316" i="88"/>
  <c r="E317" i="88"/>
  <c r="F317" i="88"/>
  <c r="E318" i="88"/>
  <c r="F318" i="88"/>
  <c r="E319" i="88"/>
  <c r="F319" i="88"/>
  <c r="E320" i="88"/>
  <c r="F320" i="88"/>
  <c r="E321" i="88"/>
  <c r="F321" i="88"/>
  <c r="E322" i="88"/>
  <c r="F322" i="88"/>
  <c r="E323" i="88"/>
  <c r="F323" i="88"/>
  <c r="E324" i="88"/>
  <c r="F324" i="88"/>
  <c r="E325" i="88"/>
  <c r="F325" i="88"/>
  <c r="E326" i="88"/>
  <c r="F326" i="88"/>
  <c r="E327" i="88"/>
  <c r="F327" i="88"/>
  <c r="E328" i="88"/>
  <c r="F328" i="88"/>
  <c r="E329" i="88"/>
  <c r="F329" i="88"/>
  <c r="E330" i="88"/>
  <c r="F330" i="88"/>
  <c r="E331" i="88"/>
  <c r="F331" i="88"/>
  <c r="E332" i="88"/>
  <c r="F332" i="88"/>
  <c r="E333" i="88"/>
  <c r="F333" i="88"/>
  <c r="E334" i="88"/>
  <c r="F334" i="88"/>
  <c r="E335" i="88"/>
  <c r="F335" i="88"/>
  <c r="E336" i="88"/>
  <c r="F336" i="88"/>
  <c r="E337" i="88"/>
  <c r="F337" i="88"/>
  <c r="E338" i="88"/>
  <c r="F338" i="88"/>
  <c r="E339" i="88"/>
  <c r="F339" i="88"/>
  <c r="E340" i="88"/>
  <c r="F340" i="88"/>
  <c r="E341" i="88"/>
  <c r="F341" i="88"/>
  <c r="E342" i="88"/>
  <c r="F342" i="88"/>
  <c r="E343" i="88"/>
  <c r="F343" i="88"/>
  <c r="E344" i="88"/>
  <c r="F344" i="88"/>
  <c r="E345" i="88"/>
  <c r="F345" i="88"/>
  <c r="E346" i="88"/>
  <c r="F346" i="88"/>
  <c r="E347" i="88"/>
  <c r="F347" i="88"/>
  <c r="E348" i="88"/>
  <c r="F348" i="88"/>
  <c r="E349" i="88"/>
  <c r="F349" i="88"/>
  <c r="E350" i="88"/>
  <c r="F350" i="88"/>
  <c r="E351" i="88"/>
  <c r="F351" i="88"/>
  <c r="E352" i="88"/>
  <c r="F352" i="88"/>
  <c r="E353" i="88"/>
  <c r="F353" i="88"/>
  <c r="E354" i="88"/>
  <c r="F354" i="88"/>
  <c r="E355" i="88"/>
  <c r="F355" i="88"/>
  <c r="E356" i="88"/>
  <c r="F356" i="88"/>
  <c r="E357" i="88"/>
  <c r="F357" i="88"/>
  <c r="E358" i="88"/>
  <c r="F358" i="88"/>
  <c r="E359" i="88"/>
  <c r="F359" i="88"/>
  <c r="E360" i="88"/>
  <c r="F360" i="88"/>
  <c r="E361" i="88"/>
  <c r="F361" i="88"/>
  <c r="E362" i="88"/>
  <c r="F362" i="88"/>
  <c r="E363" i="88"/>
  <c r="F363" i="88"/>
  <c r="E364" i="88"/>
  <c r="F364" i="88"/>
  <c r="E365" i="88"/>
  <c r="F365" i="88"/>
  <c r="E366" i="88"/>
  <c r="F366" i="88"/>
  <c r="E367" i="88"/>
  <c r="F367" i="88"/>
  <c r="E368" i="88"/>
  <c r="F368" i="88"/>
  <c r="E369" i="88"/>
  <c r="F369" i="88"/>
  <c r="E370" i="88"/>
  <c r="F370" i="88"/>
  <c r="E371" i="88"/>
  <c r="F371" i="88"/>
  <c r="E372" i="88"/>
  <c r="F372" i="88"/>
  <c r="E373" i="88"/>
  <c r="F373" i="88"/>
  <c r="E374" i="88"/>
  <c r="F374" i="88"/>
  <c r="E375" i="88"/>
  <c r="F375" i="88"/>
  <c r="E376" i="88"/>
  <c r="F376" i="88"/>
  <c r="E377" i="88"/>
  <c r="F377" i="88"/>
  <c r="E378" i="88"/>
  <c r="F378" i="88"/>
  <c r="E379" i="88"/>
  <c r="F379" i="88"/>
  <c r="E380" i="88"/>
  <c r="F380" i="88"/>
  <c r="E381" i="88"/>
  <c r="F381" i="88"/>
  <c r="E382" i="88"/>
  <c r="F382" i="88"/>
  <c r="E383" i="88"/>
  <c r="F383" i="88"/>
  <c r="E384" i="88"/>
  <c r="F384" i="88"/>
  <c r="E385" i="88"/>
  <c r="F385" i="88"/>
  <c r="E386" i="88"/>
  <c r="F386" i="88"/>
  <c r="E387" i="88"/>
  <c r="F387" i="88"/>
  <c r="E388" i="88"/>
  <c r="F388" i="88"/>
  <c r="E389" i="88"/>
  <c r="F389" i="88"/>
  <c r="E390" i="88"/>
  <c r="F390" i="88"/>
  <c r="E391" i="88"/>
  <c r="F391" i="88"/>
  <c r="E392" i="88"/>
  <c r="F392" i="88"/>
  <c r="E393" i="88"/>
  <c r="F393" i="88"/>
  <c r="E394" i="88"/>
  <c r="F394" i="88"/>
  <c r="E395" i="88"/>
  <c r="F395" i="88"/>
  <c r="E396" i="88"/>
  <c r="F396" i="88"/>
  <c r="E397" i="88"/>
  <c r="F397" i="88"/>
  <c r="E398" i="88"/>
  <c r="F398" i="88"/>
  <c r="E399" i="88"/>
  <c r="F399" i="88"/>
  <c r="E400" i="88"/>
  <c r="F400" i="88"/>
  <c r="E401" i="88"/>
  <c r="F401" i="88"/>
  <c r="E402" i="88"/>
  <c r="F402" i="88"/>
  <c r="E403" i="88"/>
  <c r="F403" i="88"/>
  <c r="E404" i="88"/>
  <c r="F404" i="88"/>
  <c r="E405" i="88"/>
  <c r="F405" i="88"/>
  <c r="E406" i="88"/>
  <c r="F406" i="88"/>
  <c r="E407" i="88"/>
  <c r="F407" i="88"/>
  <c r="E408" i="88"/>
  <c r="F408" i="88"/>
  <c r="E409" i="88"/>
  <c r="F409" i="88"/>
  <c r="E410" i="88"/>
  <c r="F410" i="88"/>
  <c r="E411" i="88"/>
  <c r="F411" i="88"/>
  <c r="E412" i="88"/>
  <c r="F412" i="88"/>
  <c r="E413" i="88"/>
  <c r="F413" i="88"/>
  <c r="E414" i="88"/>
  <c r="F414" i="88"/>
  <c r="E415" i="88"/>
  <c r="F415" i="88"/>
  <c r="E416" i="88"/>
  <c r="F416" i="88"/>
  <c r="E417" i="88"/>
  <c r="F417" i="88"/>
  <c r="E418" i="88"/>
  <c r="F418" i="88"/>
  <c r="E419" i="88"/>
  <c r="F419" i="88"/>
  <c r="E420" i="88"/>
  <c r="F420" i="88"/>
  <c r="E421" i="88"/>
  <c r="F421" i="88"/>
  <c r="E422" i="88"/>
  <c r="F422" i="88"/>
  <c r="E423" i="88"/>
  <c r="F423" i="88"/>
  <c r="E424" i="88"/>
  <c r="F424" i="88"/>
  <c r="E425" i="88"/>
  <c r="F425" i="88"/>
  <c r="E426" i="88"/>
  <c r="F426" i="88"/>
  <c r="E427" i="88"/>
  <c r="F427" i="88"/>
  <c r="E428" i="88"/>
  <c r="F428" i="88"/>
  <c r="E429" i="88"/>
  <c r="F429" i="88"/>
  <c r="E430" i="88"/>
  <c r="F430" i="88"/>
  <c r="E431" i="88"/>
  <c r="F431" i="88"/>
  <c r="E432" i="88"/>
  <c r="F432" i="88"/>
  <c r="E433" i="88"/>
  <c r="F433" i="88"/>
  <c r="E434" i="88"/>
  <c r="F434" i="88"/>
  <c r="E435" i="88"/>
  <c r="F435" i="88"/>
  <c r="E436" i="88"/>
  <c r="F436" i="88"/>
  <c r="E437" i="88"/>
  <c r="F437" i="88"/>
  <c r="E438" i="88"/>
  <c r="F438" i="88"/>
  <c r="E439" i="88"/>
  <c r="F439" i="88"/>
  <c r="E440" i="88"/>
  <c r="F440" i="88"/>
  <c r="E441" i="88"/>
  <c r="F441" i="88"/>
  <c r="E442" i="88"/>
  <c r="F442" i="88"/>
  <c r="E443" i="88"/>
  <c r="F443" i="88"/>
  <c r="E444" i="88"/>
  <c r="F444" i="88"/>
  <c r="E445" i="88"/>
  <c r="F445" i="88"/>
  <c r="E446" i="88"/>
  <c r="F446" i="88"/>
  <c r="E447" i="88"/>
  <c r="F447" i="88"/>
  <c r="E448" i="88"/>
  <c r="F448" i="88"/>
  <c r="E449" i="88"/>
  <c r="F449" i="88"/>
  <c r="E450" i="88"/>
  <c r="F450" i="88"/>
  <c r="E451" i="88"/>
  <c r="F451" i="88"/>
  <c r="E452" i="88"/>
  <c r="F452" i="88"/>
  <c r="E453" i="88"/>
  <c r="F453" i="88"/>
  <c r="E454" i="88"/>
  <c r="F454" i="88"/>
  <c r="E455" i="88"/>
  <c r="F455" i="88"/>
  <c r="E456" i="88"/>
  <c r="F456" i="88"/>
  <c r="E457" i="88"/>
  <c r="F457" i="88"/>
  <c r="E458" i="88"/>
  <c r="F458" i="88"/>
  <c r="E459" i="88"/>
  <c r="F459" i="88"/>
  <c r="E460" i="88"/>
  <c r="F460" i="88"/>
  <c r="E461" i="88"/>
  <c r="F461" i="88"/>
  <c r="E462" i="88"/>
  <c r="F462" i="88"/>
  <c r="E463" i="88"/>
  <c r="F463" i="88"/>
  <c r="E464" i="88"/>
  <c r="F464" i="88"/>
  <c r="E465" i="88"/>
  <c r="F465" i="88"/>
  <c r="E466" i="88"/>
  <c r="F466" i="88"/>
  <c r="E467" i="88"/>
  <c r="F467" i="88"/>
  <c r="E468" i="88"/>
  <c r="F468" i="88"/>
  <c r="E469" i="88"/>
  <c r="F469" i="88"/>
  <c r="E470" i="88"/>
  <c r="F470" i="88"/>
  <c r="E471" i="88"/>
  <c r="F471" i="88"/>
  <c r="E472" i="88"/>
  <c r="F472" i="88"/>
  <c r="E473" i="88"/>
  <c r="F473" i="88"/>
  <c r="E474" i="88"/>
  <c r="F474" i="88"/>
  <c r="E475" i="88"/>
  <c r="F475" i="88"/>
  <c r="E476" i="88"/>
  <c r="F476" i="88"/>
  <c r="E477" i="88"/>
  <c r="F477" i="88"/>
  <c r="E478" i="88"/>
  <c r="F478" i="88"/>
  <c r="E479" i="88"/>
  <c r="F479" i="88"/>
  <c r="E480" i="88"/>
  <c r="F480" i="88"/>
  <c r="E481" i="88"/>
  <c r="F481" i="88"/>
  <c r="E482" i="88"/>
  <c r="F482" i="88"/>
  <c r="E483" i="88"/>
  <c r="F483" i="88"/>
  <c r="E484" i="88"/>
  <c r="F484" i="88"/>
  <c r="E485" i="88"/>
  <c r="F485" i="88"/>
  <c r="E486" i="88"/>
  <c r="F486" i="88"/>
  <c r="E487" i="88"/>
  <c r="F487" i="88"/>
  <c r="E488" i="88"/>
  <c r="F488" i="88"/>
  <c r="E489" i="88"/>
  <c r="F489" i="88"/>
  <c r="E490" i="88"/>
  <c r="F490" i="88"/>
  <c r="E491" i="88"/>
  <c r="F491" i="88"/>
  <c r="E492" i="88"/>
  <c r="F492" i="88"/>
  <c r="E493" i="88"/>
  <c r="F493" i="88"/>
  <c r="E494" i="88"/>
  <c r="F494" i="88"/>
  <c r="E495" i="88"/>
  <c r="F495" i="88"/>
  <c r="E496" i="88"/>
  <c r="F496" i="88"/>
  <c r="E497" i="88"/>
  <c r="F497" i="88"/>
  <c r="E498" i="88"/>
  <c r="F498" i="88"/>
  <c r="E499" i="88"/>
  <c r="F499" i="88"/>
  <c r="E500" i="88"/>
  <c r="F500" i="88"/>
  <c r="E501" i="88"/>
  <c r="F501" i="88"/>
  <c r="E502" i="88"/>
  <c r="F502" i="88"/>
  <c r="E503" i="88"/>
  <c r="F503" i="88"/>
  <c r="E504" i="88"/>
  <c r="F504" i="88"/>
  <c r="E505" i="88"/>
  <c r="F505" i="88"/>
  <c r="E506" i="88"/>
  <c r="F506" i="88"/>
  <c r="E507" i="88"/>
  <c r="F507" i="88"/>
  <c r="E508" i="88"/>
  <c r="F508" i="88"/>
  <c r="E509" i="88"/>
  <c r="F509" i="88"/>
  <c r="E510" i="88"/>
  <c r="F510" i="88"/>
  <c r="E511" i="88"/>
  <c r="F511" i="88"/>
  <c r="E512" i="88"/>
  <c r="F512" i="88"/>
  <c r="E513" i="88"/>
  <c r="F513" i="88"/>
  <c r="E514" i="88"/>
  <c r="F514" i="88"/>
  <c r="E515" i="88"/>
  <c r="F515" i="88"/>
  <c r="E516" i="88"/>
  <c r="F516" i="88"/>
  <c r="E517" i="88"/>
  <c r="F517" i="88"/>
  <c r="E518" i="88"/>
  <c r="F518" i="88"/>
  <c r="E519" i="88"/>
  <c r="F519" i="88"/>
  <c r="E520" i="88"/>
  <c r="F520" i="88"/>
  <c r="E521" i="88"/>
  <c r="F521" i="88"/>
  <c r="E522" i="88"/>
  <c r="F522" i="88"/>
  <c r="E523" i="88"/>
  <c r="F523" i="88"/>
  <c r="E524" i="88"/>
  <c r="F524" i="88"/>
  <c r="E525" i="88"/>
  <c r="F525" i="88"/>
  <c r="E526" i="88"/>
  <c r="F526" i="88"/>
  <c r="E527" i="88"/>
  <c r="F527" i="88"/>
  <c r="E528" i="88"/>
  <c r="F528" i="88"/>
  <c r="E529" i="88"/>
  <c r="F529" i="88"/>
  <c r="E530" i="88"/>
  <c r="F530" i="88"/>
  <c r="E531" i="88"/>
  <c r="F531" i="88"/>
  <c r="E532" i="88"/>
  <c r="F532" i="88"/>
  <c r="E533" i="88"/>
  <c r="F533" i="88"/>
  <c r="E534" i="88"/>
  <c r="F534" i="88"/>
  <c r="E535" i="88"/>
  <c r="F535" i="88"/>
  <c r="E536" i="88"/>
  <c r="F536" i="88"/>
  <c r="E537" i="88"/>
  <c r="F537" i="88"/>
  <c r="E538" i="88"/>
  <c r="F538" i="88"/>
  <c r="E539" i="88"/>
  <c r="F539" i="88"/>
  <c r="E540" i="88"/>
  <c r="F540" i="88"/>
  <c r="E541" i="88"/>
  <c r="F541" i="88"/>
  <c r="E542" i="88"/>
  <c r="F542" i="88"/>
  <c r="E543" i="88"/>
  <c r="F543" i="88"/>
  <c r="E544" i="88"/>
  <c r="F544" i="88"/>
  <c r="E545" i="88"/>
  <c r="F545" i="88"/>
  <c r="E546" i="88"/>
  <c r="F546" i="88"/>
  <c r="E547" i="88"/>
  <c r="F547" i="88"/>
  <c r="E548" i="88"/>
  <c r="F548" i="88"/>
  <c r="E549" i="88"/>
  <c r="F549" i="88"/>
  <c r="E550" i="88"/>
  <c r="F550" i="88"/>
  <c r="E551" i="88"/>
  <c r="F551" i="88"/>
  <c r="E552" i="88"/>
  <c r="F552" i="88"/>
  <c r="E553" i="88"/>
  <c r="F553" i="88"/>
  <c r="E554" i="88"/>
  <c r="F554" i="88"/>
  <c r="E555" i="88"/>
  <c r="F555" i="88"/>
  <c r="E556" i="88"/>
  <c r="F556" i="88"/>
  <c r="E557" i="88"/>
  <c r="F557" i="88"/>
  <c r="E558" i="88"/>
  <c r="F558" i="88"/>
  <c r="E559" i="88"/>
  <c r="F559" i="88"/>
  <c r="E560" i="88"/>
  <c r="F560" i="88"/>
  <c r="E561" i="88"/>
  <c r="F561" i="88"/>
  <c r="E562" i="88"/>
  <c r="F562" i="88"/>
  <c r="E563" i="88"/>
  <c r="F563" i="88"/>
  <c r="E564" i="88"/>
  <c r="F564" i="88"/>
  <c r="E565" i="88"/>
  <c r="F565" i="88"/>
  <c r="E566" i="88"/>
  <c r="F566" i="88"/>
  <c r="E567" i="88"/>
  <c r="F567" i="88"/>
  <c r="E568" i="88"/>
  <c r="F568" i="88"/>
  <c r="E569" i="88"/>
  <c r="F569" i="88"/>
  <c r="E570" i="88"/>
  <c r="F570" i="88"/>
  <c r="E571" i="88"/>
  <c r="F571" i="88"/>
  <c r="E572" i="88"/>
  <c r="F572" i="88"/>
  <c r="E573" i="88"/>
  <c r="F573" i="88"/>
  <c r="E574" i="88"/>
  <c r="F574" i="88"/>
  <c r="E575" i="88"/>
  <c r="F575" i="88"/>
  <c r="E576" i="88"/>
  <c r="F576" i="88"/>
  <c r="E577" i="88"/>
  <c r="F577" i="88"/>
  <c r="E578" i="88"/>
  <c r="F578" i="88"/>
  <c r="E579" i="88"/>
  <c r="F579" i="88"/>
  <c r="E580" i="88"/>
  <c r="F580" i="88"/>
  <c r="E581" i="88"/>
  <c r="F581" i="88"/>
  <c r="E582" i="88"/>
  <c r="F582" i="88"/>
  <c r="E583" i="88"/>
  <c r="F583" i="88"/>
  <c r="E584" i="88"/>
  <c r="F584" i="88"/>
  <c r="E585" i="88"/>
  <c r="F585" i="88"/>
  <c r="E586" i="88"/>
  <c r="F586" i="88"/>
  <c r="E587" i="88"/>
  <c r="F587" i="88"/>
  <c r="E588" i="88"/>
  <c r="F588" i="88"/>
  <c r="E589" i="88"/>
  <c r="F589" i="88"/>
  <c r="E590" i="88"/>
  <c r="F590" i="88"/>
  <c r="E591" i="88"/>
  <c r="F591" i="88"/>
  <c r="E592" i="88"/>
  <c r="F592" i="88"/>
  <c r="E593" i="88"/>
  <c r="F593" i="88"/>
  <c r="E594" i="88"/>
  <c r="F594" i="88"/>
  <c r="E595" i="88"/>
  <c r="F595" i="88"/>
  <c r="E596" i="88"/>
  <c r="F596" i="88"/>
  <c r="E597" i="88"/>
  <c r="F597" i="88"/>
  <c r="E598" i="88"/>
  <c r="F598" i="88"/>
  <c r="E599" i="88"/>
  <c r="F599" i="88"/>
  <c r="E600" i="88"/>
  <c r="F600" i="88"/>
  <c r="E601" i="88"/>
  <c r="F601" i="88"/>
  <c r="E602" i="88"/>
  <c r="F602" i="88"/>
  <c r="E603" i="88"/>
  <c r="F603" i="88"/>
  <c r="E604" i="88"/>
  <c r="F604" i="88"/>
  <c r="E605" i="88"/>
  <c r="F605" i="88"/>
  <c r="E606" i="88"/>
  <c r="F606" i="88"/>
  <c r="E607" i="88"/>
  <c r="F607" i="88"/>
  <c r="E608" i="88"/>
  <c r="F608" i="88"/>
  <c r="E609" i="88"/>
  <c r="F609" i="88"/>
  <c r="E610" i="88"/>
  <c r="F610" i="88"/>
  <c r="E611" i="88"/>
  <c r="F611" i="88"/>
  <c r="E612" i="88"/>
  <c r="F612" i="88"/>
  <c r="E613" i="88"/>
  <c r="F613" i="88"/>
  <c r="E614" i="88"/>
  <c r="F614" i="88"/>
  <c r="E615" i="88"/>
  <c r="F615" i="88"/>
  <c r="E616" i="88"/>
  <c r="F616" i="88"/>
  <c r="E617" i="88"/>
  <c r="F617" i="88"/>
  <c r="E618" i="88"/>
  <c r="F618" i="88"/>
  <c r="E619" i="88"/>
  <c r="F619" i="88"/>
  <c r="E620" i="88"/>
  <c r="F620" i="88"/>
  <c r="E621" i="88"/>
  <c r="F621" i="88"/>
  <c r="E622" i="88"/>
  <c r="F622" i="88"/>
  <c r="E623" i="88"/>
  <c r="F623" i="88"/>
  <c r="E624" i="88"/>
  <c r="F624" i="88"/>
  <c r="E625" i="88"/>
  <c r="F625" i="88"/>
  <c r="E626" i="88"/>
  <c r="F626" i="88"/>
  <c r="E627" i="88"/>
  <c r="F627" i="88"/>
  <c r="E628" i="88"/>
  <c r="F628" i="88"/>
  <c r="E629" i="88"/>
  <c r="F629" i="88"/>
  <c r="E630" i="88"/>
  <c r="F630" i="88"/>
  <c r="E631" i="88"/>
  <c r="F631" i="88"/>
  <c r="E632" i="88"/>
  <c r="F632" i="88"/>
  <c r="E633" i="88"/>
  <c r="F633" i="88"/>
  <c r="E634" i="88"/>
  <c r="F634" i="88"/>
  <c r="E635" i="88"/>
  <c r="F635" i="88"/>
  <c r="E636" i="88"/>
  <c r="F636" i="88"/>
  <c r="E637" i="88"/>
  <c r="F637" i="88"/>
  <c r="E638" i="88"/>
  <c r="F638" i="88"/>
  <c r="E639" i="88"/>
  <c r="F639" i="88"/>
  <c r="E640" i="88"/>
  <c r="F640" i="88"/>
  <c r="E641" i="88"/>
  <c r="F641" i="88"/>
  <c r="E642" i="88"/>
  <c r="F642" i="88"/>
  <c r="E643" i="88"/>
  <c r="F643" i="88"/>
  <c r="E644" i="88"/>
  <c r="F644" i="88"/>
  <c r="E645" i="88"/>
  <c r="F645" i="88"/>
  <c r="E646" i="88"/>
  <c r="F646" i="88"/>
  <c r="E647" i="88"/>
  <c r="F647" i="88"/>
  <c r="E648" i="88"/>
  <c r="F648" i="88"/>
  <c r="E649" i="88"/>
  <c r="F649" i="88"/>
  <c r="E650" i="88"/>
  <c r="F650" i="88"/>
  <c r="E651" i="88"/>
  <c r="F651" i="88"/>
  <c r="E652" i="88"/>
  <c r="F652" i="88"/>
  <c r="E653" i="88"/>
  <c r="F653" i="88"/>
  <c r="E654" i="88"/>
  <c r="F654" i="88"/>
  <c r="E655" i="88"/>
  <c r="F655" i="88"/>
  <c r="E656" i="88"/>
  <c r="F656" i="88"/>
  <c r="E657" i="88"/>
  <c r="F657" i="88"/>
  <c r="E658" i="88"/>
  <c r="F658" i="88"/>
  <c r="E659" i="88"/>
  <c r="F659" i="88"/>
  <c r="E660" i="88"/>
  <c r="F660" i="88"/>
  <c r="E661" i="88"/>
  <c r="F661" i="88"/>
  <c r="E662" i="88"/>
  <c r="F662" i="88"/>
  <c r="E663" i="88"/>
  <c r="F663" i="88"/>
  <c r="E664" i="88"/>
  <c r="F664" i="88"/>
  <c r="E665" i="88"/>
  <c r="F665" i="88"/>
  <c r="E666" i="88"/>
  <c r="F666" i="88"/>
  <c r="E667" i="88"/>
  <c r="F667" i="88"/>
  <c r="E668" i="88"/>
  <c r="F668" i="88"/>
  <c r="E669" i="88"/>
  <c r="F669" i="88"/>
  <c r="E670" i="88"/>
  <c r="F670" i="88"/>
  <c r="E671" i="88"/>
  <c r="F671" i="88"/>
  <c r="E672" i="88"/>
  <c r="F672" i="88"/>
  <c r="E673" i="88"/>
  <c r="F673" i="88"/>
  <c r="E674" i="88"/>
  <c r="F674" i="88"/>
  <c r="E675" i="88"/>
  <c r="F675" i="88"/>
  <c r="E676" i="88"/>
  <c r="F676" i="88"/>
  <c r="E677" i="88"/>
  <c r="F677" i="88"/>
  <c r="E678" i="88"/>
  <c r="F678" i="88"/>
  <c r="E679" i="88"/>
  <c r="F679" i="88"/>
  <c r="E680" i="88"/>
  <c r="F680" i="88"/>
  <c r="E681" i="88"/>
  <c r="F681" i="88"/>
  <c r="E682" i="88"/>
  <c r="F682" i="88"/>
  <c r="E683" i="88"/>
  <c r="F683" i="88"/>
  <c r="E684" i="88"/>
  <c r="F684" i="88"/>
  <c r="E685" i="88"/>
  <c r="F685" i="88"/>
  <c r="E686" i="88"/>
  <c r="F686" i="88"/>
  <c r="E687" i="88"/>
  <c r="F687" i="88"/>
  <c r="E688" i="88"/>
  <c r="F688" i="88"/>
  <c r="E689" i="88"/>
  <c r="F689" i="88"/>
  <c r="E690" i="88"/>
  <c r="F690" i="88"/>
  <c r="E691" i="88"/>
  <c r="F691" i="88"/>
  <c r="E692" i="88"/>
  <c r="F692" i="88"/>
  <c r="E693" i="88"/>
  <c r="F693" i="88"/>
  <c r="E694" i="88"/>
  <c r="F694" i="88"/>
  <c r="E695" i="88"/>
  <c r="F695" i="88"/>
  <c r="E696" i="88"/>
  <c r="F696" i="88"/>
  <c r="E697" i="88"/>
  <c r="F697" i="88"/>
  <c r="E698" i="88"/>
  <c r="F698" i="88"/>
  <c r="E699" i="88"/>
  <c r="F699" i="88"/>
  <c r="E700" i="88"/>
  <c r="F700" i="88"/>
  <c r="E701" i="88"/>
  <c r="F701" i="88"/>
  <c r="E702" i="88"/>
  <c r="F702" i="88"/>
  <c r="E703" i="88"/>
  <c r="F703" i="88"/>
  <c r="E704" i="88"/>
  <c r="F704" i="88"/>
  <c r="E705" i="88"/>
  <c r="F705" i="88"/>
  <c r="E706" i="88"/>
  <c r="F706" i="88"/>
  <c r="E707" i="88"/>
  <c r="F707" i="88"/>
  <c r="E708" i="88"/>
  <c r="F708" i="88"/>
  <c r="E709" i="88"/>
  <c r="F709" i="88"/>
  <c r="E710" i="88"/>
  <c r="F710" i="88"/>
  <c r="E711" i="88"/>
  <c r="F711" i="88"/>
  <c r="E712" i="88"/>
  <c r="F712" i="88"/>
  <c r="E713" i="88"/>
  <c r="F713" i="88"/>
  <c r="E714" i="88"/>
  <c r="F714" i="88"/>
  <c r="E715" i="88"/>
  <c r="F715" i="88"/>
  <c r="E716" i="88"/>
  <c r="F716" i="88"/>
  <c r="E717" i="88"/>
  <c r="F717" i="88"/>
  <c r="E718" i="88"/>
  <c r="F718" i="88"/>
  <c r="E719" i="88"/>
  <c r="F719" i="88"/>
  <c r="E720" i="88"/>
  <c r="F720" i="88"/>
  <c r="E721" i="88"/>
  <c r="F721" i="88"/>
  <c r="E722" i="88"/>
  <c r="F722" i="88"/>
  <c r="E723" i="88"/>
  <c r="F723" i="88"/>
  <c r="E724" i="88"/>
  <c r="F724" i="88"/>
  <c r="E725" i="88"/>
  <c r="F725" i="88"/>
  <c r="E726" i="88"/>
  <c r="F726" i="88"/>
  <c r="E727" i="88"/>
  <c r="F727" i="88"/>
  <c r="E728" i="88"/>
  <c r="F728" i="88"/>
  <c r="E729" i="88"/>
  <c r="F729" i="88"/>
  <c r="E730" i="88"/>
  <c r="F730" i="88"/>
  <c r="E731" i="88"/>
  <c r="F731" i="88"/>
  <c r="E732" i="88"/>
  <c r="F732" i="88"/>
  <c r="E733" i="88"/>
  <c r="F733" i="88"/>
  <c r="E734" i="88"/>
  <c r="F734" i="88"/>
  <c r="E735" i="88"/>
  <c r="F735" i="88"/>
  <c r="E736" i="88"/>
  <c r="F736" i="88"/>
  <c r="E737" i="88"/>
  <c r="F737" i="88"/>
  <c r="E738" i="88"/>
  <c r="F738" i="88"/>
  <c r="E739" i="88"/>
  <c r="F739" i="88"/>
  <c r="E740" i="88"/>
  <c r="F740" i="88"/>
  <c r="E741" i="88"/>
  <c r="F741" i="88"/>
  <c r="E742" i="88"/>
  <c r="F742" i="88"/>
  <c r="E743" i="88"/>
  <c r="F743" i="88"/>
  <c r="E744" i="88"/>
  <c r="F744" i="88"/>
  <c r="E745" i="88"/>
  <c r="F745" i="88"/>
  <c r="E746" i="88"/>
  <c r="F746" i="88"/>
  <c r="E747" i="88"/>
  <c r="F747" i="88"/>
  <c r="E748" i="88"/>
  <c r="F748" i="88"/>
  <c r="E749" i="88"/>
  <c r="F749" i="88"/>
  <c r="E750" i="88"/>
  <c r="F750" i="88"/>
  <c r="E751" i="88"/>
  <c r="F751" i="88"/>
  <c r="E752" i="88"/>
  <c r="F752" i="88"/>
  <c r="E753" i="88"/>
  <c r="F753" i="88"/>
  <c r="E754" i="88"/>
  <c r="F754" i="88"/>
  <c r="E755" i="88"/>
  <c r="F755" i="88"/>
  <c r="E756" i="88"/>
  <c r="F756" i="88"/>
  <c r="E757" i="88"/>
  <c r="F757" i="88"/>
  <c r="E758" i="88"/>
  <c r="F758" i="88"/>
  <c r="E759" i="88"/>
  <c r="F759" i="88"/>
  <c r="E760" i="88"/>
  <c r="F760" i="88"/>
  <c r="E761" i="88"/>
  <c r="F761" i="88"/>
  <c r="E762" i="88"/>
  <c r="F762" i="88"/>
  <c r="E763" i="88"/>
  <c r="F763" i="88"/>
  <c r="E764" i="88"/>
  <c r="F764" i="88"/>
  <c r="E765" i="88"/>
  <c r="F765" i="88"/>
  <c r="E766" i="88"/>
  <c r="F766" i="88"/>
  <c r="E767" i="88"/>
  <c r="F767" i="88"/>
  <c r="E768" i="88"/>
  <c r="F768" i="88"/>
  <c r="E769" i="88"/>
  <c r="F769" i="88"/>
  <c r="E770" i="88"/>
  <c r="F770" i="88"/>
  <c r="E771" i="88"/>
  <c r="F771" i="88"/>
  <c r="E772" i="88"/>
  <c r="F772" i="88"/>
  <c r="E773" i="88"/>
  <c r="F773" i="88"/>
  <c r="E774" i="88"/>
  <c r="F774" i="88"/>
  <c r="E775" i="88"/>
  <c r="F775" i="88"/>
  <c r="E776" i="88"/>
  <c r="F776" i="88"/>
  <c r="E777" i="88"/>
  <c r="F777" i="88"/>
  <c r="E778" i="88"/>
  <c r="F778" i="88"/>
  <c r="E779" i="88"/>
  <c r="F779" i="88"/>
  <c r="E780" i="88"/>
  <c r="F780" i="88"/>
  <c r="E781" i="88"/>
  <c r="F781" i="88"/>
  <c r="E782" i="88"/>
  <c r="F782" i="88"/>
  <c r="E783" i="88"/>
  <c r="F783" i="88"/>
  <c r="E784" i="88"/>
  <c r="F784" i="88"/>
  <c r="E785" i="88"/>
  <c r="F785" i="88"/>
  <c r="E786" i="88"/>
  <c r="F786" i="88"/>
  <c r="E787" i="88"/>
  <c r="F787" i="88"/>
  <c r="E788" i="88"/>
  <c r="F788" i="88"/>
  <c r="E789" i="88"/>
  <c r="F789" i="88"/>
  <c r="E790" i="88"/>
  <c r="F790" i="88"/>
  <c r="E791" i="88"/>
  <c r="F791" i="88"/>
  <c r="E792" i="88"/>
  <c r="F792" i="88"/>
  <c r="E793" i="88"/>
  <c r="F793" i="88"/>
  <c r="E794" i="88"/>
  <c r="F794" i="88"/>
  <c r="E795" i="88"/>
  <c r="F795" i="88"/>
  <c r="E796" i="88"/>
  <c r="F796" i="88"/>
  <c r="E797" i="88"/>
  <c r="F797" i="88"/>
  <c r="E798" i="88"/>
  <c r="F798" i="88"/>
  <c r="E799" i="88"/>
  <c r="F799" i="88"/>
  <c r="E800" i="88"/>
  <c r="F800" i="88"/>
  <c r="E801" i="88"/>
  <c r="F801" i="88"/>
  <c r="E802" i="88"/>
  <c r="F802" i="88"/>
  <c r="E803" i="88"/>
  <c r="F803" i="88"/>
  <c r="E804" i="88"/>
  <c r="F804" i="88"/>
  <c r="E805" i="88"/>
  <c r="F805" i="88"/>
  <c r="E806" i="88"/>
  <c r="F806" i="88"/>
  <c r="E807" i="88"/>
  <c r="F807" i="88"/>
  <c r="E808" i="88"/>
  <c r="F808" i="88"/>
  <c r="E809" i="88"/>
  <c r="F809" i="88"/>
  <c r="E810" i="88"/>
  <c r="F810" i="88"/>
  <c r="E811" i="88"/>
  <c r="F811" i="88"/>
  <c r="E812" i="88"/>
  <c r="F812" i="88"/>
  <c r="E813" i="88"/>
  <c r="F813" i="88"/>
  <c r="E814" i="88"/>
  <c r="F814" i="88"/>
  <c r="E815" i="88"/>
  <c r="F815" i="88"/>
  <c r="E816" i="88"/>
  <c r="F816" i="88"/>
  <c r="E817" i="88"/>
  <c r="F817" i="88"/>
  <c r="E818" i="88"/>
  <c r="F818" i="88"/>
  <c r="E819" i="88"/>
  <c r="F819" i="88"/>
  <c r="E820" i="88"/>
  <c r="F820" i="88"/>
  <c r="E821" i="88"/>
  <c r="F821" i="88"/>
  <c r="E822" i="88"/>
  <c r="F822" i="88"/>
  <c r="E823" i="88"/>
  <c r="F823" i="88"/>
  <c r="E824" i="88"/>
  <c r="F824" i="88"/>
  <c r="E825" i="88"/>
  <c r="F825" i="88"/>
  <c r="E826" i="88"/>
  <c r="F826" i="88"/>
  <c r="E827" i="88"/>
  <c r="F827" i="88"/>
  <c r="E828" i="88"/>
  <c r="F828" i="88"/>
  <c r="E829" i="88"/>
  <c r="F829" i="88"/>
  <c r="E830" i="88"/>
  <c r="F830" i="88"/>
  <c r="E831" i="88"/>
  <c r="F831" i="88"/>
  <c r="E832" i="88"/>
  <c r="F832" i="88"/>
  <c r="E833" i="88"/>
  <c r="F833" i="88"/>
  <c r="E834" i="88"/>
  <c r="F834" i="88"/>
  <c r="E835" i="88"/>
  <c r="F835" i="88"/>
  <c r="E836" i="88"/>
  <c r="F836" i="88"/>
  <c r="E837" i="88"/>
  <c r="F837" i="88"/>
  <c r="E838" i="88"/>
  <c r="F838" i="88"/>
  <c r="E839" i="88"/>
  <c r="F839" i="88"/>
  <c r="E840" i="88"/>
  <c r="F840" i="88"/>
  <c r="E841" i="88"/>
  <c r="F841" i="88"/>
  <c r="E842" i="88"/>
  <c r="F842" i="88"/>
  <c r="E843" i="88"/>
  <c r="F843" i="88"/>
  <c r="E844" i="88"/>
  <c r="F844" i="88"/>
  <c r="E845" i="88"/>
  <c r="F845" i="88"/>
  <c r="E846" i="88"/>
  <c r="F846" i="88"/>
  <c r="E847" i="88"/>
  <c r="F847" i="88"/>
  <c r="E848" i="88"/>
  <c r="F848" i="88"/>
  <c r="E849" i="88"/>
  <c r="F849" i="88"/>
  <c r="E850" i="88"/>
  <c r="F850" i="88"/>
  <c r="E851" i="88"/>
  <c r="F851" i="88"/>
  <c r="E852" i="88"/>
  <c r="F852" i="88"/>
  <c r="E853" i="88"/>
  <c r="F853" i="88"/>
  <c r="E854" i="88"/>
  <c r="F854" i="88"/>
  <c r="E855" i="88"/>
  <c r="F855" i="88"/>
  <c r="E856" i="88"/>
  <c r="F856" i="88"/>
  <c r="E857" i="88"/>
  <c r="F857" i="88"/>
  <c r="E858" i="88"/>
  <c r="F858" i="88"/>
  <c r="E859" i="88"/>
  <c r="F859" i="88"/>
  <c r="E860" i="88"/>
  <c r="F860" i="88"/>
  <c r="E861" i="88"/>
  <c r="F861" i="88"/>
  <c r="E862" i="88"/>
  <c r="F862" i="88"/>
  <c r="E863" i="88"/>
  <c r="F863" i="88"/>
  <c r="E864" i="88"/>
  <c r="F864" i="88"/>
  <c r="E865" i="88"/>
  <c r="F865" i="88"/>
  <c r="E866" i="88"/>
  <c r="F866" i="88"/>
  <c r="E867" i="88"/>
  <c r="F867" i="88"/>
  <c r="E868" i="88"/>
  <c r="F868" i="88"/>
  <c r="E869" i="88"/>
  <c r="F869" i="88"/>
  <c r="E870" i="88"/>
  <c r="F870" i="88"/>
  <c r="E871" i="88"/>
  <c r="F871" i="88"/>
  <c r="E872" i="88"/>
  <c r="F872" i="88"/>
  <c r="E873" i="88"/>
  <c r="F873" i="88"/>
  <c r="E874" i="88"/>
  <c r="F874" i="88"/>
  <c r="E875" i="88"/>
  <c r="F875" i="88"/>
  <c r="E876" i="88"/>
  <c r="F876" i="88"/>
  <c r="E877" i="88"/>
  <c r="F877" i="88"/>
  <c r="E878" i="88"/>
  <c r="F878" i="88"/>
  <c r="E879" i="88"/>
  <c r="F879" i="88"/>
  <c r="E880" i="88"/>
  <c r="F880" i="88"/>
  <c r="E881" i="88"/>
  <c r="F881" i="88"/>
  <c r="E882" i="88"/>
  <c r="F882" i="88"/>
  <c r="E883" i="88"/>
  <c r="F883" i="88"/>
  <c r="E884" i="88"/>
  <c r="F884" i="88"/>
  <c r="E885" i="88"/>
  <c r="F885" i="88"/>
  <c r="E886" i="88"/>
  <c r="F886" i="88"/>
  <c r="E887" i="88"/>
  <c r="F887" i="88"/>
  <c r="E888" i="88"/>
  <c r="F888" i="88"/>
  <c r="E889" i="88"/>
  <c r="F889" i="88"/>
  <c r="E890" i="88"/>
  <c r="F890" i="88"/>
  <c r="E891" i="88"/>
  <c r="F891" i="88"/>
  <c r="E892" i="88"/>
  <c r="F892" i="88"/>
  <c r="E893" i="88"/>
  <c r="F893" i="88"/>
  <c r="E894" i="88"/>
  <c r="F894" i="88"/>
  <c r="E895" i="88"/>
  <c r="F895" i="88"/>
  <c r="E896" i="88"/>
  <c r="F896" i="88"/>
  <c r="E897" i="88"/>
  <c r="F897" i="88"/>
  <c r="E898" i="88"/>
  <c r="F898" i="88"/>
  <c r="E899" i="88"/>
  <c r="F899" i="88"/>
  <c r="E900" i="88"/>
  <c r="F900" i="88"/>
  <c r="E5" i="88"/>
  <c r="F5" i="88"/>
  <c r="T900" i="88"/>
  <c r="T899" i="88"/>
  <c r="T898" i="88"/>
  <c r="T897" i="88"/>
  <c r="T896" i="88"/>
  <c r="T895" i="88"/>
  <c r="T894" i="88"/>
  <c r="T893" i="88"/>
  <c r="T892" i="88"/>
  <c r="T891" i="88"/>
  <c r="T890" i="88"/>
  <c r="T889" i="88"/>
  <c r="T888" i="88"/>
  <c r="T887" i="88"/>
  <c r="T886" i="88"/>
  <c r="T885" i="88"/>
  <c r="T884" i="88"/>
  <c r="T883" i="88"/>
  <c r="T882" i="88"/>
  <c r="T881" i="88"/>
  <c r="T880" i="88"/>
  <c r="T879" i="88"/>
  <c r="T878" i="88"/>
  <c r="T877" i="88"/>
  <c r="T876" i="88"/>
  <c r="T875" i="88"/>
  <c r="T874" i="88"/>
  <c r="T873" i="88"/>
  <c r="T872" i="88"/>
  <c r="T871" i="88"/>
  <c r="T870" i="88"/>
  <c r="T869" i="88"/>
  <c r="T868" i="88"/>
  <c r="T867" i="88"/>
  <c r="T866" i="88"/>
  <c r="T865" i="88"/>
  <c r="T864" i="88"/>
  <c r="T863" i="88"/>
  <c r="T862" i="88"/>
  <c r="T861" i="88"/>
  <c r="T860" i="88"/>
  <c r="T859" i="88"/>
  <c r="T858" i="88"/>
  <c r="T857" i="88"/>
  <c r="T856" i="88"/>
  <c r="T855" i="88"/>
  <c r="T854" i="88"/>
  <c r="T853" i="88"/>
  <c r="T852" i="88"/>
  <c r="T851" i="88"/>
  <c r="T850" i="88"/>
  <c r="T849" i="88"/>
  <c r="T848" i="88"/>
  <c r="T847" i="88"/>
  <c r="T846" i="88"/>
  <c r="T845" i="88"/>
  <c r="T844" i="88"/>
  <c r="T843" i="88"/>
  <c r="T842" i="88"/>
  <c r="T841" i="88"/>
  <c r="T840" i="88"/>
  <c r="T839" i="88"/>
  <c r="T838" i="88"/>
  <c r="T837" i="88"/>
  <c r="T836" i="88"/>
  <c r="T835" i="88"/>
  <c r="T834" i="88"/>
  <c r="T833" i="88"/>
  <c r="T832" i="88"/>
  <c r="T831" i="88"/>
  <c r="T830" i="88"/>
  <c r="T829" i="88"/>
  <c r="T828" i="88"/>
  <c r="T827" i="88"/>
  <c r="T826" i="88"/>
  <c r="T825" i="88"/>
  <c r="T824" i="88"/>
  <c r="T823" i="88"/>
  <c r="T822" i="88"/>
  <c r="T821" i="88"/>
  <c r="T820" i="88"/>
  <c r="T819" i="88"/>
  <c r="T818" i="88"/>
  <c r="T817" i="88"/>
  <c r="T816" i="88"/>
  <c r="T815" i="88"/>
  <c r="T814" i="88"/>
  <c r="T813" i="88"/>
  <c r="T812" i="88"/>
  <c r="T811" i="88"/>
  <c r="T810" i="88"/>
  <c r="T809" i="88"/>
  <c r="T808" i="88"/>
  <c r="T807" i="88"/>
  <c r="T806" i="88"/>
  <c r="T805" i="88"/>
  <c r="T804" i="88"/>
  <c r="T803" i="88"/>
  <c r="T802" i="88"/>
  <c r="T801" i="88"/>
  <c r="T800" i="88"/>
  <c r="T799" i="88"/>
  <c r="T798" i="88"/>
  <c r="T797" i="88"/>
  <c r="T796" i="88"/>
  <c r="T795" i="88"/>
  <c r="T794" i="88"/>
  <c r="T793" i="88"/>
  <c r="T792" i="88"/>
  <c r="T791" i="88"/>
  <c r="T790" i="88"/>
  <c r="T789" i="88"/>
  <c r="T788" i="88"/>
  <c r="T787" i="88"/>
  <c r="T786" i="88"/>
  <c r="T785" i="88"/>
  <c r="T784" i="88"/>
  <c r="T783" i="88"/>
  <c r="T782" i="88"/>
  <c r="T781" i="88"/>
  <c r="T780" i="88"/>
  <c r="T779" i="88"/>
  <c r="T778" i="88"/>
  <c r="T777" i="88"/>
  <c r="T776" i="88"/>
  <c r="T775" i="88"/>
  <c r="T774" i="88"/>
  <c r="T773" i="88"/>
  <c r="T772" i="88"/>
  <c r="T771" i="88"/>
  <c r="T770" i="88"/>
  <c r="T769" i="88"/>
  <c r="T768" i="88"/>
  <c r="T767" i="88"/>
  <c r="T766" i="88"/>
  <c r="T765" i="88"/>
  <c r="T764" i="88"/>
  <c r="T763" i="88"/>
  <c r="T762" i="88"/>
  <c r="T761" i="88"/>
  <c r="T760" i="88"/>
  <c r="T759" i="88"/>
  <c r="T758" i="88"/>
  <c r="T757" i="88"/>
  <c r="T756" i="88"/>
  <c r="T755" i="88"/>
  <c r="T754" i="88"/>
  <c r="T753" i="88"/>
  <c r="T752" i="88"/>
  <c r="T751" i="88"/>
  <c r="T750" i="88"/>
  <c r="T749" i="88"/>
  <c r="T748" i="88"/>
  <c r="T747" i="88"/>
  <c r="T746" i="88"/>
  <c r="T745" i="88"/>
  <c r="T744" i="88"/>
  <c r="T743" i="88"/>
  <c r="T742" i="88"/>
  <c r="T741" i="88"/>
  <c r="T740" i="88"/>
  <c r="T739" i="88"/>
  <c r="T738" i="88"/>
  <c r="T737" i="88"/>
  <c r="T736" i="88"/>
  <c r="T735" i="88"/>
  <c r="T734" i="88"/>
  <c r="T733" i="88"/>
  <c r="T732" i="88"/>
  <c r="T731" i="88"/>
  <c r="T730" i="88"/>
  <c r="T729" i="88"/>
  <c r="T728" i="88"/>
  <c r="T727" i="88"/>
  <c r="T726" i="88"/>
  <c r="T725" i="88"/>
  <c r="T724" i="88"/>
  <c r="T723" i="88"/>
  <c r="T722" i="88"/>
  <c r="T721" i="88"/>
  <c r="T720" i="88"/>
  <c r="T719" i="88"/>
  <c r="T718" i="88"/>
  <c r="T717" i="88"/>
  <c r="T716" i="88"/>
  <c r="T715" i="88"/>
  <c r="T714" i="88"/>
  <c r="T713" i="88"/>
  <c r="T712" i="88"/>
  <c r="T711" i="88"/>
  <c r="T710" i="88"/>
  <c r="T709" i="88"/>
  <c r="T708" i="88"/>
  <c r="T707" i="88"/>
  <c r="T706" i="88"/>
  <c r="T705" i="88"/>
  <c r="T704" i="88"/>
  <c r="T703" i="88"/>
  <c r="T702" i="88"/>
  <c r="T701" i="88"/>
  <c r="T700" i="88"/>
  <c r="T699" i="88"/>
  <c r="T698" i="88"/>
  <c r="T697" i="88"/>
  <c r="T696" i="88"/>
  <c r="T695" i="88"/>
  <c r="T694" i="88"/>
  <c r="T693" i="88"/>
  <c r="T692" i="88"/>
  <c r="T691" i="88"/>
  <c r="T690" i="88"/>
  <c r="T689" i="88"/>
  <c r="T688" i="88"/>
  <c r="T687" i="88"/>
  <c r="T686" i="88"/>
  <c r="T685" i="88"/>
  <c r="T684" i="88"/>
  <c r="T683" i="88"/>
  <c r="T682" i="88"/>
  <c r="T681" i="88"/>
  <c r="T680" i="88"/>
  <c r="T679" i="88"/>
  <c r="T678" i="88"/>
  <c r="T677" i="88"/>
  <c r="T676" i="88"/>
  <c r="T675" i="88"/>
  <c r="T674" i="88"/>
  <c r="T673" i="88"/>
  <c r="T672" i="88"/>
  <c r="T671" i="88"/>
  <c r="T670" i="88"/>
  <c r="T669" i="88"/>
  <c r="T668" i="88"/>
  <c r="T667" i="88"/>
  <c r="T666" i="88"/>
  <c r="T665" i="88"/>
  <c r="T664" i="88"/>
  <c r="T663" i="88"/>
  <c r="T662" i="88"/>
  <c r="T661" i="88"/>
  <c r="T660" i="88"/>
  <c r="T659" i="88"/>
  <c r="T658" i="88"/>
  <c r="T657" i="88"/>
  <c r="T656" i="88"/>
  <c r="T655" i="88"/>
  <c r="T654" i="88"/>
  <c r="T653" i="88"/>
  <c r="T652" i="88"/>
  <c r="T651" i="88"/>
  <c r="T650" i="88"/>
  <c r="T649" i="88"/>
  <c r="T648" i="88"/>
  <c r="T647" i="88"/>
  <c r="T646" i="88"/>
  <c r="T645" i="88"/>
  <c r="T644" i="88"/>
  <c r="T643" i="88"/>
  <c r="T642" i="88"/>
  <c r="T641" i="88"/>
  <c r="T640" i="88"/>
  <c r="T639" i="88"/>
  <c r="T638" i="88"/>
  <c r="T637" i="88"/>
  <c r="T636" i="88"/>
  <c r="T635" i="88"/>
  <c r="T634" i="88"/>
  <c r="T633" i="88"/>
  <c r="T632" i="88"/>
  <c r="T631" i="88"/>
  <c r="T630" i="88"/>
  <c r="T629" i="88"/>
  <c r="T628" i="88"/>
  <c r="T627" i="88"/>
  <c r="T626" i="88"/>
  <c r="T625" i="88"/>
  <c r="T624" i="88"/>
  <c r="T623" i="88"/>
  <c r="T622" i="88"/>
  <c r="T621" i="88"/>
  <c r="T620" i="88"/>
  <c r="T619" i="88"/>
  <c r="T618" i="88"/>
  <c r="T617" i="88"/>
  <c r="T616" i="88"/>
  <c r="T615" i="88"/>
  <c r="T614" i="88"/>
  <c r="T613" i="88"/>
  <c r="T612" i="88"/>
  <c r="T611" i="88"/>
  <c r="T610" i="88"/>
  <c r="T609" i="88"/>
  <c r="T608" i="88"/>
  <c r="T607" i="88"/>
  <c r="T606" i="88"/>
  <c r="T605" i="88"/>
  <c r="T604" i="88"/>
  <c r="T603" i="88"/>
  <c r="T602" i="88"/>
  <c r="T601" i="88"/>
  <c r="T600" i="88"/>
  <c r="T599" i="88"/>
  <c r="T598" i="88"/>
  <c r="T597" i="88"/>
  <c r="T596" i="88"/>
  <c r="T595" i="88"/>
  <c r="T594" i="88"/>
  <c r="T593" i="88"/>
  <c r="T592" i="88"/>
  <c r="T591" i="88"/>
  <c r="T590" i="88"/>
  <c r="T589" i="88"/>
  <c r="T588" i="88"/>
  <c r="T587" i="88"/>
  <c r="T586" i="88"/>
  <c r="T585" i="88"/>
  <c r="T584" i="88"/>
  <c r="T583" i="88"/>
  <c r="T582" i="88"/>
  <c r="T581" i="88"/>
  <c r="T580" i="88"/>
  <c r="T579" i="88"/>
  <c r="T578" i="88"/>
  <c r="T577" i="88"/>
  <c r="T576" i="88"/>
  <c r="T575" i="88"/>
  <c r="T574" i="88"/>
  <c r="T573" i="88"/>
  <c r="T572" i="88"/>
  <c r="T571" i="88"/>
  <c r="T570" i="88"/>
  <c r="T569" i="88"/>
  <c r="T568" i="88"/>
  <c r="T567" i="88"/>
  <c r="T566" i="88"/>
  <c r="T565" i="88"/>
  <c r="T564" i="88"/>
  <c r="T563" i="88"/>
  <c r="T562" i="88"/>
  <c r="T561" i="88"/>
  <c r="T560" i="88"/>
  <c r="T559" i="88"/>
  <c r="T558" i="88"/>
  <c r="T557" i="88"/>
  <c r="T556" i="88"/>
  <c r="T555" i="88"/>
  <c r="T554" i="88"/>
  <c r="T553" i="88"/>
  <c r="T552" i="88"/>
  <c r="T551" i="88"/>
  <c r="T550" i="88"/>
  <c r="T549" i="88"/>
  <c r="T548" i="88"/>
  <c r="T547" i="88"/>
  <c r="T546" i="88"/>
  <c r="T545" i="88"/>
  <c r="T544" i="88"/>
  <c r="T543" i="88"/>
  <c r="T542" i="88"/>
  <c r="T541" i="88"/>
  <c r="T540" i="88"/>
  <c r="T539" i="88"/>
  <c r="T538" i="88"/>
  <c r="T537" i="88"/>
  <c r="T536" i="88"/>
  <c r="T535" i="88"/>
  <c r="T534" i="88"/>
  <c r="T533" i="88"/>
  <c r="T532" i="88"/>
  <c r="T531" i="88"/>
  <c r="T530" i="88"/>
  <c r="T529" i="88"/>
  <c r="T528" i="88"/>
  <c r="T527" i="88"/>
  <c r="T526" i="88"/>
  <c r="T525" i="88"/>
  <c r="T524" i="88"/>
  <c r="T523" i="88"/>
  <c r="T522" i="88"/>
  <c r="T521" i="88"/>
  <c r="T520" i="88"/>
  <c r="T519" i="88"/>
  <c r="T518" i="88"/>
  <c r="T517" i="88"/>
  <c r="T516" i="88"/>
  <c r="T515" i="88"/>
  <c r="T514" i="88"/>
  <c r="T513" i="88"/>
  <c r="T512" i="88"/>
  <c r="T511" i="88"/>
  <c r="T510" i="88"/>
  <c r="T509" i="88"/>
  <c r="T508" i="88"/>
  <c r="T507" i="88"/>
  <c r="T506" i="88"/>
  <c r="T505" i="88"/>
  <c r="T504" i="88"/>
  <c r="T503" i="88"/>
  <c r="T502" i="88"/>
  <c r="T501" i="88"/>
  <c r="T500" i="88"/>
  <c r="T499" i="88"/>
  <c r="T498" i="88"/>
  <c r="T497" i="88"/>
  <c r="T496" i="88"/>
  <c r="T495" i="88"/>
  <c r="T494" i="88"/>
  <c r="T493" i="88"/>
  <c r="T492" i="88"/>
  <c r="T491" i="88"/>
  <c r="T490" i="88"/>
  <c r="T489" i="88"/>
  <c r="T488" i="88"/>
  <c r="T487" i="88"/>
  <c r="T486" i="88"/>
  <c r="T485" i="88"/>
  <c r="T484" i="88"/>
  <c r="T483" i="88"/>
  <c r="T482" i="88"/>
  <c r="T481" i="88"/>
  <c r="T480" i="88"/>
  <c r="T479" i="88"/>
  <c r="T478" i="88"/>
  <c r="T477" i="88"/>
  <c r="T476" i="88"/>
  <c r="T475" i="88"/>
  <c r="T474" i="88"/>
  <c r="T473" i="88"/>
  <c r="T472" i="88"/>
  <c r="T471" i="88"/>
  <c r="T470" i="88"/>
  <c r="T469" i="88"/>
  <c r="T468" i="88"/>
  <c r="T467" i="88"/>
  <c r="T466" i="88"/>
  <c r="T465" i="88"/>
  <c r="T464" i="88"/>
  <c r="T463" i="88"/>
  <c r="T462" i="88"/>
  <c r="T461" i="88"/>
  <c r="T460" i="88"/>
  <c r="T459" i="88"/>
  <c r="T458" i="88"/>
  <c r="T457" i="88"/>
  <c r="T456" i="88"/>
  <c r="T455" i="88"/>
  <c r="T454" i="88"/>
  <c r="T453" i="88"/>
  <c r="T452" i="88"/>
  <c r="T451" i="88"/>
  <c r="T450" i="88"/>
  <c r="T449" i="88"/>
  <c r="T448" i="88"/>
  <c r="T447" i="88"/>
  <c r="T446" i="88"/>
  <c r="T445" i="88"/>
  <c r="T444" i="88"/>
  <c r="T443" i="88"/>
  <c r="T442" i="88"/>
  <c r="T441" i="88"/>
  <c r="T440" i="88"/>
  <c r="T439" i="88"/>
  <c r="T438" i="88"/>
  <c r="T437" i="88"/>
  <c r="T436" i="88"/>
  <c r="T435" i="88"/>
  <c r="T434" i="88"/>
  <c r="T433" i="88"/>
  <c r="T432" i="88"/>
  <c r="T431" i="88"/>
  <c r="T430" i="88"/>
  <c r="T429" i="88"/>
  <c r="T428" i="88"/>
  <c r="T427" i="88"/>
  <c r="T426" i="88"/>
  <c r="T425" i="88"/>
  <c r="T424" i="88"/>
  <c r="T423" i="88"/>
  <c r="T422" i="88"/>
  <c r="T421" i="88"/>
  <c r="T420" i="88"/>
  <c r="T419" i="88"/>
  <c r="T418" i="88"/>
  <c r="T417" i="88"/>
  <c r="T416" i="88"/>
  <c r="T415" i="88"/>
  <c r="T414" i="88"/>
  <c r="T413" i="88"/>
  <c r="T412" i="88"/>
  <c r="T411" i="88"/>
  <c r="T410" i="88"/>
  <c r="T409" i="88"/>
  <c r="T408" i="88"/>
  <c r="T407" i="88"/>
  <c r="T406" i="88"/>
  <c r="T405" i="88"/>
  <c r="T404" i="88"/>
  <c r="T403" i="88"/>
  <c r="T402" i="88"/>
  <c r="T401" i="88"/>
  <c r="T400" i="88"/>
  <c r="T399" i="88"/>
  <c r="T398" i="88"/>
  <c r="T397" i="88"/>
  <c r="T396" i="88"/>
  <c r="T395" i="88"/>
  <c r="T394" i="88"/>
  <c r="T393" i="88"/>
  <c r="T392" i="88"/>
  <c r="T391" i="88"/>
  <c r="T390" i="88"/>
  <c r="T389" i="88"/>
  <c r="T388" i="88"/>
  <c r="T387" i="88"/>
  <c r="T386" i="88"/>
  <c r="T385" i="88"/>
  <c r="T384" i="88"/>
  <c r="T383" i="88"/>
  <c r="T382" i="88"/>
  <c r="T381" i="88"/>
  <c r="T380" i="88"/>
  <c r="T379" i="88"/>
  <c r="T378" i="88"/>
  <c r="T377" i="88"/>
  <c r="T376" i="88"/>
  <c r="T375" i="88"/>
  <c r="T374" i="88"/>
  <c r="T373" i="88"/>
  <c r="T372" i="88"/>
  <c r="T371" i="88"/>
  <c r="T370" i="88"/>
  <c r="T369" i="88"/>
  <c r="T368" i="88"/>
  <c r="T367" i="88"/>
  <c r="T366" i="88"/>
  <c r="T365" i="88"/>
  <c r="T364" i="88"/>
  <c r="T363" i="88"/>
  <c r="T362" i="88"/>
  <c r="T361" i="88"/>
  <c r="T360" i="88"/>
  <c r="T359" i="88"/>
  <c r="T358" i="88"/>
  <c r="T357" i="88"/>
  <c r="T356" i="88"/>
  <c r="T355" i="88"/>
  <c r="T354" i="88"/>
  <c r="T353" i="88"/>
  <c r="T352" i="88"/>
  <c r="T351" i="88"/>
  <c r="T350" i="88"/>
  <c r="T349" i="88"/>
  <c r="T348" i="88"/>
  <c r="T347" i="88"/>
  <c r="T346" i="88"/>
  <c r="T345" i="88"/>
  <c r="T344" i="88"/>
  <c r="T343" i="88"/>
  <c r="T342" i="88"/>
  <c r="T341" i="88"/>
  <c r="T340" i="88"/>
  <c r="T339" i="88"/>
  <c r="T338" i="88"/>
  <c r="T337" i="88"/>
  <c r="T336" i="88"/>
  <c r="T335" i="88"/>
  <c r="T334" i="88"/>
  <c r="T333" i="88"/>
  <c r="T332" i="88"/>
  <c r="T331" i="88"/>
  <c r="T330" i="88"/>
  <c r="T329" i="88"/>
  <c r="T328" i="88"/>
  <c r="T327" i="88"/>
  <c r="T326" i="88"/>
  <c r="T325" i="88"/>
  <c r="T324" i="88"/>
  <c r="T323" i="88"/>
  <c r="T322" i="88"/>
  <c r="T321" i="88"/>
  <c r="T320" i="88"/>
  <c r="T319" i="88"/>
  <c r="T318" i="88"/>
  <c r="T317" i="88"/>
  <c r="T316" i="88"/>
  <c r="T315" i="88"/>
  <c r="T314" i="88"/>
  <c r="T313" i="88"/>
  <c r="T312" i="88"/>
  <c r="T311" i="88"/>
  <c r="T310" i="88"/>
  <c r="T309" i="88"/>
  <c r="T308" i="88"/>
  <c r="T307" i="88"/>
  <c r="T306" i="88"/>
  <c r="T305" i="88"/>
  <c r="T304" i="88"/>
  <c r="T303" i="88"/>
  <c r="T302" i="88"/>
  <c r="T301" i="88"/>
  <c r="T300" i="88"/>
  <c r="T299" i="88"/>
  <c r="T298" i="88"/>
  <c r="T297" i="88"/>
  <c r="T296" i="88"/>
  <c r="T295" i="88"/>
  <c r="T294" i="88"/>
  <c r="T293" i="88"/>
  <c r="T292" i="88"/>
  <c r="T291" i="88"/>
  <c r="T290" i="88"/>
  <c r="T289" i="88"/>
  <c r="T288" i="88"/>
  <c r="T287" i="88"/>
  <c r="T286" i="88"/>
  <c r="T285" i="88"/>
  <c r="T284" i="88"/>
  <c r="T283" i="88"/>
  <c r="T282" i="88"/>
  <c r="T281" i="88"/>
  <c r="T280" i="88"/>
  <c r="T279" i="88"/>
  <c r="T278" i="88"/>
  <c r="T277" i="88"/>
  <c r="T276" i="88"/>
  <c r="T275" i="88"/>
  <c r="T274" i="88"/>
  <c r="T273" i="88"/>
  <c r="T272" i="88"/>
  <c r="T271" i="88"/>
  <c r="T270" i="88"/>
  <c r="T269" i="88"/>
  <c r="T268" i="88"/>
  <c r="T267" i="88"/>
  <c r="T266" i="88"/>
  <c r="T265" i="88"/>
  <c r="T264" i="88"/>
  <c r="T263" i="88"/>
  <c r="T262" i="88"/>
  <c r="T261" i="88"/>
  <c r="T260" i="88"/>
  <c r="T259" i="88"/>
  <c r="T258" i="88"/>
  <c r="T257" i="88"/>
  <c r="T256" i="88"/>
  <c r="T255" i="88"/>
  <c r="T254" i="88"/>
  <c r="T253" i="88"/>
  <c r="T252" i="88"/>
  <c r="T251" i="88"/>
  <c r="T250" i="88"/>
  <c r="T249" i="88"/>
  <c r="T248" i="88"/>
  <c r="T247" i="88"/>
  <c r="T246" i="88"/>
  <c r="T245" i="88"/>
  <c r="T244" i="88"/>
  <c r="T243" i="88"/>
  <c r="T242" i="88"/>
  <c r="T241" i="88"/>
  <c r="T240" i="88"/>
  <c r="T239" i="88"/>
  <c r="T238" i="88"/>
  <c r="T237" i="88"/>
  <c r="T236" i="88"/>
  <c r="T235" i="88"/>
  <c r="T234" i="88"/>
  <c r="T233" i="88"/>
  <c r="T232" i="88"/>
  <c r="T231" i="88"/>
  <c r="T230" i="88"/>
  <c r="T229" i="88"/>
  <c r="T228" i="88"/>
  <c r="T227" i="88"/>
  <c r="T226" i="88"/>
  <c r="T225" i="88"/>
  <c r="T224" i="88"/>
  <c r="T223" i="88"/>
  <c r="T222" i="88"/>
  <c r="T221" i="88"/>
  <c r="T220" i="88"/>
  <c r="T219" i="88"/>
  <c r="T218" i="88"/>
  <c r="T217" i="88"/>
  <c r="T216" i="88"/>
  <c r="T215" i="88"/>
  <c r="T214" i="88"/>
  <c r="T213" i="88"/>
  <c r="T212" i="88"/>
  <c r="T211" i="88"/>
  <c r="T210" i="88"/>
  <c r="T209" i="88"/>
  <c r="T208" i="88"/>
  <c r="T207" i="88"/>
  <c r="T206" i="88"/>
  <c r="T205" i="88"/>
  <c r="T204" i="88"/>
  <c r="T203" i="88"/>
  <c r="T202" i="88"/>
  <c r="T201" i="88"/>
  <c r="T200" i="88"/>
  <c r="T199" i="88"/>
  <c r="T198" i="88"/>
  <c r="T197" i="88"/>
  <c r="T196" i="88"/>
  <c r="T195" i="88"/>
  <c r="T194" i="88"/>
  <c r="T193" i="88"/>
  <c r="T192" i="88"/>
  <c r="T191" i="88"/>
  <c r="T190" i="88"/>
  <c r="T189" i="88"/>
  <c r="T188" i="88"/>
  <c r="T187" i="88"/>
  <c r="T186" i="88"/>
  <c r="T185" i="88"/>
  <c r="T184" i="88"/>
  <c r="T183" i="88"/>
  <c r="T182" i="88"/>
  <c r="T181" i="88"/>
  <c r="T180" i="88"/>
  <c r="T179" i="88"/>
  <c r="T178" i="88"/>
  <c r="T177" i="88"/>
  <c r="T176" i="88"/>
  <c r="T175" i="88"/>
  <c r="T174" i="88"/>
  <c r="T173" i="88"/>
  <c r="T172" i="88"/>
  <c r="T171" i="88"/>
  <c r="T170" i="88"/>
  <c r="T169" i="88"/>
  <c r="T168" i="88"/>
  <c r="T167" i="88"/>
  <c r="T166" i="88"/>
  <c r="T165" i="88"/>
  <c r="T164" i="88"/>
  <c r="T163" i="88"/>
  <c r="T162" i="88"/>
  <c r="T161" i="88"/>
  <c r="T160" i="88"/>
  <c r="T159" i="88"/>
  <c r="T158" i="88"/>
  <c r="T157" i="88"/>
  <c r="T156" i="88"/>
  <c r="T155" i="88"/>
  <c r="T154" i="88"/>
  <c r="T153" i="88"/>
  <c r="T152" i="88"/>
  <c r="T151" i="88"/>
  <c r="T150" i="88"/>
  <c r="T149" i="88"/>
  <c r="T148" i="88"/>
  <c r="T147" i="88"/>
  <c r="T146" i="88"/>
  <c r="T145" i="88"/>
  <c r="T144" i="88"/>
  <c r="T143" i="88"/>
  <c r="T142" i="88"/>
  <c r="T141" i="88"/>
  <c r="T140" i="88"/>
  <c r="T139" i="88"/>
  <c r="T138" i="88"/>
  <c r="T137" i="88"/>
  <c r="T136" i="88"/>
  <c r="T135" i="88"/>
  <c r="T134" i="88"/>
  <c r="T133" i="88"/>
  <c r="T132" i="88"/>
  <c r="T131" i="88"/>
  <c r="T130" i="88"/>
  <c r="T129" i="88"/>
  <c r="T128" i="88"/>
  <c r="T127" i="88"/>
  <c r="T126" i="88"/>
  <c r="T125" i="88"/>
  <c r="T124" i="88"/>
  <c r="T123" i="88"/>
  <c r="T122" i="88"/>
  <c r="T121" i="88"/>
  <c r="T120" i="88"/>
  <c r="T119" i="88"/>
  <c r="T118" i="88"/>
  <c r="T117" i="88"/>
  <c r="T116" i="88"/>
  <c r="T115" i="88"/>
  <c r="T114" i="88"/>
  <c r="T113" i="88"/>
  <c r="T112" i="88"/>
  <c r="T111" i="88"/>
  <c r="T110" i="88"/>
  <c r="T109" i="88"/>
  <c r="T108" i="88"/>
  <c r="T107" i="88"/>
  <c r="T106" i="88"/>
  <c r="T105" i="88"/>
  <c r="T104" i="88"/>
  <c r="T103" i="88"/>
  <c r="T102" i="88"/>
  <c r="T101" i="88"/>
  <c r="T100" i="88"/>
  <c r="T99" i="88"/>
  <c r="T98" i="88"/>
  <c r="T97" i="88"/>
  <c r="T96" i="88"/>
  <c r="T95" i="88"/>
  <c r="T94" i="88"/>
  <c r="T93" i="88"/>
  <c r="T92" i="88"/>
  <c r="T91" i="88"/>
  <c r="T90" i="88"/>
  <c r="T89" i="88"/>
  <c r="T88" i="88"/>
  <c r="T87" i="88"/>
  <c r="T86" i="88"/>
  <c r="T85" i="88"/>
  <c r="T84" i="88"/>
  <c r="T83" i="88"/>
  <c r="T82" i="88"/>
  <c r="T81" i="88"/>
  <c r="T80" i="88"/>
  <c r="T79" i="88"/>
  <c r="T78" i="88"/>
  <c r="T77" i="88"/>
  <c r="T76" i="88"/>
  <c r="T75" i="88"/>
  <c r="T74" i="88"/>
  <c r="T73" i="88"/>
  <c r="T72" i="88"/>
  <c r="T71" i="88"/>
  <c r="T70" i="88"/>
  <c r="T69" i="88"/>
  <c r="T68" i="88"/>
  <c r="T67" i="88"/>
  <c r="T66" i="88"/>
  <c r="T65" i="88"/>
  <c r="T64" i="88"/>
  <c r="T63" i="88"/>
  <c r="T62" i="88"/>
  <c r="T61" i="88"/>
  <c r="T60" i="88"/>
  <c r="T59" i="88"/>
  <c r="T58" i="88"/>
  <c r="T57" i="88"/>
  <c r="T56" i="88"/>
  <c r="T55" i="88"/>
  <c r="T54" i="88"/>
  <c r="T53" i="88"/>
  <c r="T52" i="88"/>
  <c r="T51" i="88"/>
  <c r="T50" i="88"/>
  <c r="T49" i="88"/>
  <c r="T48" i="88"/>
  <c r="T47" i="88"/>
  <c r="T46" i="88"/>
  <c r="T45" i="88"/>
  <c r="T44" i="88"/>
  <c r="T43" i="88"/>
  <c r="T42" i="88"/>
  <c r="T41" i="88"/>
  <c r="T40" i="88"/>
  <c r="T39" i="88"/>
  <c r="T38" i="88"/>
  <c r="T37" i="88"/>
  <c r="T36" i="88"/>
  <c r="T35" i="88"/>
  <c r="T34" i="88"/>
  <c r="T33" i="88"/>
  <c r="T32" i="88"/>
  <c r="T31" i="88"/>
  <c r="T30" i="88"/>
  <c r="T29" i="88"/>
  <c r="T28" i="88"/>
  <c r="T27" i="88"/>
  <c r="T26" i="88"/>
  <c r="T25" i="88"/>
  <c r="T24" i="88"/>
  <c r="T23" i="88"/>
  <c r="T22" i="88"/>
  <c r="T21" i="88"/>
  <c r="T20" i="88"/>
  <c r="T19" i="88"/>
  <c r="T18" i="88"/>
  <c r="T17" i="88"/>
  <c r="T16" i="88"/>
  <c r="T15" i="88"/>
  <c r="T14" i="88"/>
  <c r="T13" i="88"/>
  <c r="T12" i="88"/>
  <c r="T11" i="88"/>
  <c r="T10" i="88"/>
  <c r="T9" i="88"/>
  <c r="T8" i="88"/>
  <c r="T7" i="88"/>
  <c r="T6" i="88"/>
  <c r="D900" i="88" l="1"/>
  <c r="C900" i="88"/>
  <c r="B900" i="88"/>
  <c r="A900" i="88"/>
  <c r="D899" i="88"/>
  <c r="C899" i="88"/>
  <c r="B899" i="88"/>
  <c r="A899" i="88"/>
  <c r="D898" i="88"/>
  <c r="C898" i="88"/>
  <c r="B898" i="88"/>
  <c r="A898" i="88"/>
  <c r="D897" i="88"/>
  <c r="C897" i="88"/>
  <c r="B897" i="88"/>
  <c r="A897" i="88"/>
  <c r="D896" i="88"/>
  <c r="C896" i="88"/>
  <c r="B896" i="88"/>
  <c r="A896" i="88"/>
  <c r="D895" i="88"/>
  <c r="C895" i="88"/>
  <c r="B895" i="88"/>
  <c r="A895" i="88"/>
  <c r="D894" i="88"/>
  <c r="C894" i="88"/>
  <c r="B894" i="88"/>
  <c r="A894" i="88"/>
  <c r="D893" i="88"/>
  <c r="C893" i="88"/>
  <c r="B893" i="88"/>
  <c r="A893" i="88"/>
  <c r="D892" i="88"/>
  <c r="C892" i="88"/>
  <c r="B892" i="88"/>
  <c r="A892" i="88"/>
  <c r="D891" i="88"/>
  <c r="C891" i="88"/>
  <c r="B891" i="88"/>
  <c r="A891" i="88"/>
  <c r="D890" i="88"/>
  <c r="C890" i="88"/>
  <c r="B890" i="88"/>
  <c r="A890" i="88"/>
  <c r="D889" i="88"/>
  <c r="C889" i="88"/>
  <c r="B889" i="88"/>
  <c r="A889" i="88"/>
  <c r="D888" i="88"/>
  <c r="C888" i="88"/>
  <c r="B888" i="88"/>
  <c r="A888" i="88"/>
  <c r="D887" i="88"/>
  <c r="C887" i="88"/>
  <c r="B887" i="88"/>
  <c r="A887" i="88"/>
  <c r="D886" i="88"/>
  <c r="C886" i="88"/>
  <c r="B886" i="88"/>
  <c r="A886" i="88"/>
  <c r="D885" i="88"/>
  <c r="C885" i="88"/>
  <c r="B885" i="88"/>
  <c r="A885" i="88"/>
  <c r="D884" i="88"/>
  <c r="C884" i="88"/>
  <c r="B884" i="88"/>
  <c r="A884" i="88"/>
  <c r="D883" i="88"/>
  <c r="C883" i="88"/>
  <c r="B883" i="88"/>
  <c r="A883" i="88"/>
  <c r="D882" i="88"/>
  <c r="C882" i="88"/>
  <c r="B882" i="88"/>
  <c r="A882" i="88"/>
  <c r="D881" i="88"/>
  <c r="C881" i="88"/>
  <c r="B881" i="88"/>
  <c r="A881" i="88"/>
  <c r="D880" i="88"/>
  <c r="C880" i="88"/>
  <c r="B880" i="88"/>
  <c r="A880" i="88"/>
  <c r="D879" i="88"/>
  <c r="C879" i="88"/>
  <c r="B879" i="88"/>
  <c r="A879" i="88"/>
  <c r="D878" i="88"/>
  <c r="C878" i="88"/>
  <c r="B878" i="88"/>
  <c r="A878" i="88"/>
  <c r="D877" i="88"/>
  <c r="C877" i="88"/>
  <c r="B877" i="88"/>
  <c r="A877" i="88"/>
  <c r="D876" i="88"/>
  <c r="C876" i="88"/>
  <c r="B876" i="88"/>
  <c r="A876" i="88"/>
  <c r="D875" i="88"/>
  <c r="C875" i="88"/>
  <c r="B875" i="88"/>
  <c r="A875" i="88"/>
  <c r="D874" i="88"/>
  <c r="C874" i="88"/>
  <c r="B874" i="88"/>
  <c r="A874" i="88"/>
  <c r="D873" i="88"/>
  <c r="C873" i="88"/>
  <c r="B873" i="88"/>
  <c r="A873" i="88"/>
  <c r="D872" i="88"/>
  <c r="C872" i="88"/>
  <c r="B872" i="88"/>
  <c r="A872" i="88"/>
  <c r="D871" i="88"/>
  <c r="C871" i="88"/>
  <c r="B871" i="88"/>
  <c r="A871" i="88"/>
  <c r="D870" i="88"/>
  <c r="C870" i="88"/>
  <c r="B870" i="88"/>
  <c r="A870" i="88"/>
  <c r="D869" i="88"/>
  <c r="C869" i="88"/>
  <c r="B869" i="88"/>
  <c r="A869" i="88"/>
  <c r="D868" i="88"/>
  <c r="C868" i="88"/>
  <c r="B868" i="88"/>
  <c r="A868" i="88"/>
  <c r="D867" i="88"/>
  <c r="C867" i="88"/>
  <c r="B867" i="88"/>
  <c r="A867" i="88"/>
  <c r="D866" i="88"/>
  <c r="C866" i="88"/>
  <c r="B866" i="88"/>
  <c r="A866" i="88"/>
  <c r="D865" i="88"/>
  <c r="C865" i="88"/>
  <c r="B865" i="88"/>
  <c r="A865" i="88"/>
  <c r="D864" i="88"/>
  <c r="C864" i="88"/>
  <c r="B864" i="88"/>
  <c r="A864" i="88"/>
  <c r="D863" i="88"/>
  <c r="C863" i="88"/>
  <c r="B863" i="88"/>
  <c r="A863" i="88"/>
  <c r="D862" i="88"/>
  <c r="C862" i="88"/>
  <c r="B862" i="88"/>
  <c r="A862" i="88"/>
  <c r="D861" i="88"/>
  <c r="C861" i="88"/>
  <c r="B861" i="88"/>
  <c r="A861" i="88"/>
  <c r="D860" i="88"/>
  <c r="C860" i="88"/>
  <c r="B860" i="88"/>
  <c r="A860" i="88"/>
  <c r="D859" i="88"/>
  <c r="C859" i="88"/>
  <c r="B859" i="88"/>
  <c r="A859" i="88"/>
  <c r="D858" i="88"/>
  <c r="C858" i="88"/>
  <c r="B858" i="88"/>
  <c r="A858" i="88"/>
  <c r="D857" i="88"/>
  <c r="C857" i="88"/>
  <c r="B857" i="88"/>
  <c r="A857" i="88"/>
  <c r="D856" i="88"/>
  <c r="C856" i="88"/>
  <c r="B856" i="88"/>
  <c r="A856" i="88"/>
  <c r="D855" i="88"/>
  <c r="C855" i="88"/>
  <c r="B855" i="88"/>
  <c r="A855" i="88"/>
  <c r="D854" i="88"/>
  <c r="C854" i="88"/>
  <c r="B854" i="88"/>
  <c r="A854" i="88"/>
  <c r="D853" i="88"/>
  <c r="C853" i="88"/>
  <c r="B853" i="88"/>
  <c r="A853" i="88"/>
  <c r="D852" i="88"/>
  <c r="C852" i="88"/>
  <c r="B852" i="88"/>
  <c r="A852" i="88"/>
  <c r="D851" i="88"/>
  <c r="C851" i="88"/>
  <c r="B851" i="88"/>
  <c r="A851" i="88"/>
  <c r="D850" i="88"/>
  <c r="C850" i="88"/>
  <c r="B850" i="88"/>
  <c r="A850" i="88"/>
  <c r="D849" i="88"/>
  <c r="C849" i="88"/>
  <c r="B849" i="88"/>
  <c r="A849" i="88"/>
  <c r="D848" i="88"/>
  <c r="C848" i="88"/>
  <c r="B848" i="88"/>
  <c r="A848" i="88"/>
  <c r="D847" i="88"/>
  <c r="C847" i="88"/>
  <c r="B847" i="88"/>
  <c r="A847" i="88"/>
  <c r="D846" i="88"/>
  <c r="C846" i="88"/>
  <c r="B846" i="88"/>
  <c r="A846" i="88"/>
  <c r="D845" i="88"/>
  <c r="C845" i="88"/>
  <c r="B845" i="88"/>
  <c r="A845" i="88"/>
  <c r="D844" i="88"/>
  <c r="C844" i="88"/>
  <c r="B844" i="88"/>
  <c r="A844" i="88"/>
  <c r="D843" i="88"/>
  <c r="C843" i="88"/>
  <c r="B843" i="88"/>
  <c r="A843" i="88"/>
  <c r="D842" i="88"/>
  <c r="C842" i="88"/>
  <c r="B842" i="88"/>
  <c r="A842" i="88"/>
  <c r="D841" i="88"/>
  <c r="C841" i="88"/>
  <c r="B841" i="88"/>
  <c r="A841" i="88"/>
  <c r="D840" i="88"/>
  <c r="C840" i="88"/>
  <c r="B840" i="88"/>
  <c r="A840" i="88"/>
  <c r="D839" i="88"/>
  <c r="C839" i="88"/>
  <c r="B839" i="88"/>
  <c r="A839" i="88"/>
  <c r="D838" i="88"/>
  <c r="C838" i="88"/>
  <c r="B838" i="88"/>
  <c r="A838" i="88"/>
  <c r="D837" i="88"/>
  <c r="C837" i="88"/>
  <c r="B837" i="88"/>
  <c r="A837" i="88"/>
  <c r="D836" i="88"/>
  <c r="C836" i="88"/>
  <c r="B836" i="88"/>
  <c r="A836" i="88"/>
  <c r="D835" i="88"/>
  <c r="C835" i="88"/>
  <c r="B835" i="88"/>
  <c r="A835" i="88"/>
  <c r="D834" i="88"/>
  <c r="C834" i="88"/>
  <c r="B834" i="88"/>
  <c r="A834" i="88"/>
  <c r="D833" i="88"/>
  <c r="C833" i="88"/>
  <c r="B833" i="88"/>
  <c r="A833" i="88"/>
  <c r="D832" i="88"/>
  <c r="C832" i="88"/>
  <c r="B832" i="88"/>
  <c r="A832" i="88"/>
  <c r="D831" i="88"/>
  <c r="C831" i="88"/>
  <c r="B831" i="88"/>
  <c r="A831" i="88"/>
  <c r="D830" i="88"/>
  <c r="C830" i="88"/>
  <c r="B830" i="88"/>
  <c r="A830" i="88"/>
  <c r="D829" i="88"/>
  <c r="C829" i="88"/>
  <c r="B829" i="88"/>
  <c r="A829" i="88"/>
  <c r="D828" i="88"/>
  <c r="C828" i="88"/>
  <c r="B828" i="88"/>
  <c r="A828" i="88"/>
  <c r="D827" i="88"/>
  <c r="C827" i="88"/>
  <c r="B827" i="88"/>
  <c r="A827" i="88"/>
  <c r="D826" i="88"/>
  <c r="C826" i="88"/>
  <c r="B826" i="88"/>
  <c r="A826" i="88"/>
  <c r="D825" i="88"/>
  <c r="C825" i="88"/>
  <c r="B825" i="88"/>
  <c r="A825" i="88"/>
  <c r="D824" i="88"/>
  <c r="C824" i="88"/>
  <c r="B824" i="88"/>
  <c r="A824" i="88"/>
  <c r="D823" i="88"/>
  <c r="C823" i="88"/>
  <c r="B823" i="88"/>
  <c r="A823" i="88"/>
  <c r="D822" i="88"/>
  <c r="C822" i="88"/>
  <c r="B822" i="88"/>
  <c r="A822" i="88"/>
  <c r="D821" i="88"/>
  <c r="C821" i="88"/>
  <c r="B821" i="88"/>
  <c r="A821" i="88"/>
  <c r="D820" i="88"/>
  <c r="C820" i="88"/>
  <c r="B820" i="88"/>
  <c r="A820" i="88"/>
  <c r="D819" i="88"/>
  <c r="C819" i="88"/>
  <c r="B819" i="88"/>
  <c r="A819" i="88"/>
  <c r="D818" i="88"/>
  <c r="C818" i="88"/>
  <c r="B818" i="88"/>
  <c r="A818" i="88"/>
  <c r="D817" i="88"/>
  <c r="C817" i="88"/>
  <c r="B817" i="88"/>
  <c r="A817" i="88"/>
  <c r="D816" i="88"/>
  <c r="C816" i="88"/>
  <c r="B816" i="88"/>
  <c r="A816" i="88"/>
  <c r="D815" i="88"/>
  <c r="C815" i="88"/>
  <c r="B815" i="88"/>
  <c r="A815" i="88"/>
  <c r="D814" i="88"/>
  <c r="C814" i="88"/>
  <c r="B814" i="88"/>
  <c r="A814" i="88"/>
  <c r="D813" i="88"/>
  <c r="C813" i="88"/>
  <c r="B813" i="88"/>
  <c r="A813" i="88"/>
  <c r="D812" i="88"/>
  <c r="C812" i="88"/>
  <c r="B812" i="88"/>
  <c r="A812" i="88"/>
  <c r="D811" i="88"/>
  <c r="C811" i="88"/>
  <c r="B811" i="88"/>
  <c r="A811" i="88"/>
  <c r="D810" i="88"/>
  <c r="C810" i="88"/>
  <c r="B810" i="88"/>
  <c r="A810" i="88"/>
  <c r="D809" i="88"/>
  <c r="C809" i="88"/>
  <c r="B809" i="88"/>
  <c r="A809" i="88"/>
  <c r="D808" i="88"/>
  <c r="C808" i="88"/>
  <c r="B808" i="88"/>
  <c r="A808" i="88"/>
  <c r="D807" i="88"/>
  <c r="C807" i="88"/>
  <c r="B807" i="88"/>
  <c r="A807" i="88"/>
  <c r="D806" i="88"/>
  <c r="C806" i="88"/>
  <c r="B806" i="88"/>
  <c r="A806" i="88"/>
  <c r="D805" i="88"/>
  <c r="C805" i="88"/>
  <c r="B805" i="88"/>
  <c r="A805" i="88"/>
  <c r="D804" i="88"/>
  <c r="C804" i="88"/>
  <c r="B804" i="88"/>
  <c r="A804" i="88"/>
  <c r="D803" i="88"/>
  <c r="C803" i="88"/>
  <c r="B803" i="88"/>
  <c r="A803" i="88"/>
  <c r="D802" i="88"/>
  <c r="C802" i="88"/>
  <c r="B802" i="88"/>
  <c r="A802" i="88"/>
  <c r="D801" i="88"/>
  <c r="C801" i="88"/>
  <c r="B801" i="88"/>
  <c r="A801" i="88"/>
  <c r="D800" i="88"/>
  <c r="C800" i="88"/>
  <c r="B800" i="88"/>
  <c r="A800" i="88"/>
  <c r="D799" i="88"/>
  <c r="C799" i="88"/>
  <c r="B799" i="88"/>
  <c r="A799" i="88"/>
  <c r="D798" i="88"/>
  <c r="C798" i="88"/>
  <c r="B798" i="88"/>
  <c r="A798" i="88"/>
  <c r="D797" i="88"/>
  <c r="C797" i="88"/>
  <c r="B797" i="88"/>
  <c r="A797" i="88"/>
  <c r="D796" i="88"/>
  <c r="C796" i="88"/>
  <c r="B796" i="88"/>
  <c r="A796" i="88"/>
  <c r="D795" i="88"/>
  <c r="C795" i="88"/>
  <c r="B795" i="88"/>
  <c r="A795" i="88"/>
  <c r="D794" i="88"/>
  <c r="C794" i="88"/>
  <c r="B794" i="88"/>
  <c r="A794" i="88"/>
  <c r="D793" i="88"/>
  <c r="C793" i="88"/>
  <c r="B793" i="88"/>
  <c r="A793" i="88"/>
  <c r="D792" i="88"/>
  <c r="C792" i="88"/>
  <c r="B792" i="88"/>
  <c r="A792" i="88"/>
  <c r="D791" i="88"/>
  <c r="C791" i="88"/>
  <c r="B791" i="88"/>
  <c r="A791" i="88"/>
  <c r="D790" i="88"/>
  <c r="C790" i="88"/>
  <c r="B790" i="88"/>
  <c r="A790" i="88"/>
  <c r="D789" i="88"/>
  <c r="C789" i="88"/>
  <c r="B789" i="88"/>
  <c r="A789" i="88"/>
  <c r="D788" i="88"/>
  <c r="C788" i="88"/>
  <c r="B788" i="88"/>
  <c r="A788" i="88"/>
  <c r="D787" i="88"/>
  <c r="C787" i="88"/>
  <c r="B787" i="88"/>
  <c r="A787" i="88"/>
  <c r="D786" i="88"/>
  <c r="C786" i="88"/>
  <c r="B786" i="88"/>
  <c r="A786" i="88"/>
  <c r="D785" i="88"/>
  <c r="C785" i="88"/>
  <c r="B785" i="88"/>
  <c r="A785" i="88"/>
  <c r="D784" i="88"/>
  <c r="C784" i="88"/>
  <c r="B784" i="88"/>
  <c r="A784" i="88"/>
  <c r="D783" i="88"/>
  <c r="C783" i="88"/>
  <c r="B783" i="88"/>
  <c r="A783" i="88"/>
  <c r="D782" i="88"/>
  <c r="C782" i="88"/>
  <c r="B782" i="88"/>
  <c r="A782" i="88"/>
  <c r="D781" i="88"/>
  <c r="C781" i="88"/>
  <c r="B781" i="88"/>
  <c r="A781" i="88"/>
  <c r="D780" i="88"/>
  <c r="C780" i="88"/>
  <c r="B780" i="88"/>
  <c r="A780" i="88"/>
  <c r="D779" i="88"/>
  <c r="C779" i="88"/>
  <c r="B779" i="88"/>
  <c r="A779" i="88"/>
  <c r="D778" i="88"/>
  <c r="C778" i="88"/>
  <c r="B778" i="88"/>
  <c r="A778" i="88"/>
  <c r="D777" i="88"/>
  <c r="C777" i="88"/>
  <c r="B777" i="88"/>
  <c r="A777" i="88"/>
  <c r="D776" i="88"/>
  <c r="C776" i="88"/>
  <c r="B776" i="88"/>
  <c r="A776" i="88"/>
  <c r="D775" i="88"/>
  <c r="C775" i="88"/>
  <c r="B775" i="88"/>
  <c r="A775" i="88"/>
  <c r="D774" i="88"/>
  <c r="C774" i="88"/>
  <c r="B774" i="88"/>
  <c r="A774" i="88"/>
  <c r="D773" i="88"/>
  <c r="C773" i="88"/>
  <c r="B773" i="88"/>
  <c r="A773" i="88"/>
  <c r="D772" i="88"/>
  <c r="C772" i="88"/>
  <c r="B772" i="88"/>
  <c r="A772" i="88"/>
  <c r="D771" i="88"/>
  <c r="C771" i="88"/>
  <c r="B771" i="88"/>
  <c r="A771" i="88"/>
  <c r="D770" i="88"/>
  <c r="C770" i="88"/>
  <c r="B770" i="88"/>
  <c r="A770" i="88"/>
  <c r="D769" i="88"/>
  <c r="C769" i="88"/>
  <c r="B769" i="88"/>
  <c r="A769" i="88"/>
  <c r="D768" i="88"/>
  <c r="C768" i="88"/>
  <c r="B768" i="88"/>
  <c r="A768" i="88"/>
  <c r="D767" i="88"/>
  <c r="C767" i="88"/>
  <c r="B767" i="88"/>
  <c r="A767" i="88"/>
  <c r="D766" i="88"/>
  <c r="C766" i="88"/>
  <c r="B766" i="88"/>
  <c r="A766" i="88"/>
  <c r="D765" i="88"/>
  <c r="C765" i="88"/>
  <c r="B765" i="88"/>
  <c r="A765" i="88"/>
  <c r="D764" i="88"/>
  <c r="C764" i="88"/>
  <c r="B764" i="88"/>
  <c r="A764" i="88"/>
  <c r="D763" i="88"/>
  <c r="C763" i="88"/>
  <c r="B763" i="88"/>
  <c r="A763" i="88"/>
  <c r="D762" i="88"/>
  <c r="C762" i="88"/>
  <c r="B762" i="88"/>
  <c r="A762" i="88"/>
  <c r="D761" i="88"/>
  <c r="C761" i="88"/>
  <c r="B761" i="88"/>
  <c r="A761" i="88"/>
  <c r="D760" i="88"/>
  <c r="C760" i="88"/>
  <c r="B760" i="88"/>
  <c r="A760" i="88"/>
  <c r="D759" i="88"/>
  <c r="C759" i="88"/>
  <c r="B759" i="88"/>
  <c r="A759" i="88"/>
  <c r="D758" i="88"/>
  <c r="C758" i="88"/>
  <c r="B758" i="88"/>
  <c r="A758" i="88"/>
  <c r="D757" i="88"/>
  <c r="C757" i="88"/>
  <c r="B757" i="88"/>
  <c r="A757" i="88"/>
  <c r="D756" i="88"/>
  <c r="C756" i="88"/>
  <c r="B756" i="88"/>
  <c r="A756" i="88"/>
  <c r="D755" i="88"/>
  <c r="C755" i="88"/>
  <c r="B755" i="88"/>
  <c r="A755" i="88"/>
  <c r="D754" i="88"/>
  <c r="C754" i="88"/>
  <c r="B754" i="88"/>
  <c r="A754" i="88"/>
  <c r="D753" i="88"/>
  <c r="C753" i="88"/>
  <c r="B753" i="88"/>
  <c r="A753" i="88"/>
  <c r="D752" i="88"/>
  <c r="C752" i="88"/>
  <c r="B752" i="88"/>
  <c r="A752" i="88"/>
  <c r="D751" i="88"/>
  <c r="C751" i="88"/>
  <c r="B751" i="88"/>
  <c r="A751" i="88"/>
  <c r="D750" i="88"/>
  <c r="C750" i="88"/>
  <c r="B750" i="88"/>
  <c r="A750" i="88"/>
  <c r="D749" i="88"/>
  <c r="C749" i="88"/>
  <c r="B749" i="88"/>
  <c r="A749" i="88"/>
  <c r="D748" i="88"/>
  <c r="C748" i="88"/>
  <c r="B748" i="88"/>
  <c r="A748" i="88"/>
  <c r="D747" i="88"/>
  <c r="C747" i="88"/>
  <c r="B747" i="88"/>
  <c r="A747" i="88"/>
  <c r="D746" i="88"/>
  <c r="C746" i="88"/>
  <c r="B746" i="88"/>
  <c r="A746" i="88"/>
  <c r="D745" i="88"/>
  <c r="C745" i="88"/>
  <c r="B745" i="88"/>
  <c r="A745" i="88"/>
  <c r="D744" i="88"/>
  <c r="C744" i="88"/>
  <c r="B744" i="88"/>
  <c r="A744" i="88"/>
  <c r="D743" i="88"/>
  <c r="C743" i="88"/>
  <c r="B743" i="88"/>
  <c r="A743" i="88"/>
  <c r="D742" i="88"/>
  <c r="C742" i="88"/>
  <c r="B742" i="88"/>
  <c r="A742" i="88"/>
  <c r="D741" i="88"/>
  <c r="C741" i="88"/>
  <c r="B741" i="88"/>
  <c r="A741" i="88"/>
  <c r="D740" i="88"/>
  <c r="C740" i="88"/>
  <c r="B740" i="88"/>
  <c r="A740" i="88"/>
  <c r="D739" i="88"/>
  <c r="C739" i="88"/>
  <c r="B739" i="88"/>
  <c r="A739" i="88"/>
  <c r="D738" i="88"/>
  <c r="C738" i="88"/>
  <c r="B738" i="88"/>
  <c r="A738" i="88"/>
  <c r="D737" i="88"/>
  <c r="C737" i="88"/>
  <c r="B737" i="88"/>
  <c r="A737" i="88"/>
  <c r="D736" i="88"/>
  <c r="C736" i="88"/>
  <c r="B736" i="88"/>
  <c r="A736" i="88"/>
  <c r="D735" i="88"/>
  <c r="C735" i="88"/>
  <c r="B735" i="88"/>
  <c r="A735" i="88"/>
  <c r="D734" i="88"/>
  <c r="C734" i="88"/>
  <c r="B734" i="88"/>
  <c r="A734" i="88"/>
  <c r="D733" i="88"/>
  <c r="C733" i="88"/>
  <c r="B733" i="88"/>
  <c r="A733" i="88"/>
  <c r="D732" i="88"/>
  <c r="C732" i="88"/>
  <c r="B732" i="88"/>
  <c r="A732" i="88"/>
  <c r="D731" i="88"/>
  <c r="C731" i="88"/>
  <c r="B731" i="88"/>
  <c r="A731" i="88"/>
  <c r="D730" i="88"/>
  <c r="C730" i="88"/>
  <c r="B730" i="88"/>
  <c r="A730" i="88"/>
  <c r="D729" i="88"/>
  <c r="C729" i="88"/>
  <c r="B729" i="88"/>
  <c r="A729" i="88"/>
  <c r="D728" i="88"/>
  <c r="C728" i="88"/>
  <c r="B728" i="88"/>
  <c r="A728" i="88"/>
  <c r="D727" i="88"/>
  <c r="C727" i="88"/>
  <c r="B727" i="88"/>
  <c r="A727" i="88"/>
  <c r="D726" i="88"/>
  <c r="C726" i="88"/>
  <c r="B726" i="88"/>
  <c r="A726" i="88"/>
  <c r="D725" i="88"/>
  <c r="C725" i="88"/>
  <c r="B725" i="88"/>
  <c r="A725" i="88"/>
  <c r="D724" i="88"/>
  <c r="C724" i="88"/>
  <c r="B724" i="88"/>
  <c r="A724" i="88"/>
  <c r="D723" i="88"/>
  <c r="C723" i="88"/>
  <c r="B723" i="88"/>
  <c r="A723" i="88"/>
  <c r="D722" i="88"/>
  <c r="C722" i="88"/>
  <c r="B722" i="88"/>
  <c r="A722" i="88"/>
  <c r="D721" i="88"/>
  <c r="C721" i="88"/>
  <c r="B721" i="88"/>
  <c r="A721" i="88"/>
  <c r="D720" i="88"/>
  <c r="C720" i="88"/>
  <c r="B720" i="88"/>
  <c r="A720" i="88"/>
  <c r="D719" i="88"/>
  <c r="C719" i="88"/>
  <c r="B719" i="88"/>
  <c r="A719" i="88"/>
  <c r="D718" i="88"/>
  <c r="C718" i="88"/>
  <c r="B718" i="88"/>
  <c r="A718" i="88"/>
  <c r="D717" i="88"/>
  <c r="C717" i="88"/>
  <c r="B717" i="88"/>
  <c r="A717" i="88"/>
  <c r="D716" i="88"/>
  <c r="C716" i="88"/>
  <c r="B716" i="88"/>
  <c r="A716" i="88"/>
  <c r="D715" i="88"/>
  <c r="C715" i="88"/>
  <c r="B715" i="88"/>
  <c r="A715" i="88"/>
  <c r="D714" i="88"/>
  <c r="C714" i="88"/>
  <c r="B714" i="88"/>
  <c r="A714" i="88"/>
  <c r="D713" i="88"/>
  <c r="C713" i="88"/>
  <c r="B713" i="88"/>
  <c r="A713" i="88"/>
  <c r="D712" i="88"/>
  <c r="C712" i="88"/>
  <c r="B712" i="88"/>
  <c r="A712" i="88"/>
  <c r="D711" i="88"/>
  <c r="C711" i="88"/>
  <c r="B711" i="88"/>
  <c r="A711" i="88"/>
  <c r="D710" i="88"/>
  <c r="C710" i="88"/>
  <c r="B710" i="88"/>
  <c r="A710" i="88"/>
  <c r="D709" i="88"/>
  <c r="C709" i="88"/>
  <c r="B709" i="88"/>
  <c r="A709" i="88"/>
  <c r="D708" i="88"/>
  <c r="C708" i="88"/>
  <c r="B708" i="88"/>
  <c r="A708" i="88"/>
  <c r="D707" i="88"/>
  <c r="C707" i="88"/>
  <c r="B707" i="88"/>
  <c r="A707" i="88"/>
  <c r="D706" i="88"/>
  <c r="C706" i="88"/>
  <c r="B706" i="88"/>
  <c r="A706" i="88"/>
  <c r="D705" i="88"/>
  <c r="C705" i="88"/>
  <c r="B705" i="88"/>
  <c r="A705" i="88"/>
  <c r="D704" i="88"/>
  <c r="C704" i="88"/>
  <c r="B704" i="88"/>
  <c r="A704" i="88"/>
  <c r="D703" i="88"/>
  <c r="C703" i="88"/>
  <c r="B703" i="88"/>
  <c r="A703" i="88"/>
  <c r="D702" i="88"/>
  <c r="C702" i="88"/>
  <c r="B702" i="88"/>
  <c r="A702" i="88"/>
  <c r="D701" i="88"/>
  <c r="C701" i="88"/>
  <c r="B701" i="88"/>
  <c r="A701" i="88"/>
  <c r="D700" i="88"/>
  <c r="C700" i="88"/>
  <c r="B700" i="88"/>
  <c r="A700" i="88"/>
  <c r="D699" i="88"/>
  <c r="C699" i="88"/>
  <c r="B699" i="88"/>
  <c r="A699" i="88"/>
  <c r="D698" i="88"/>
  <c r="C698" i="88"/>
  <c r="B698" i="88"/>
  <c r="A698" i="88"/>
  <c r="D697" i="88"/>
  <c r="C697" i="88"/>
  <c r="B697" i="88"/>
  <c r="A697" i="88"/>
  <c r="D696" i="88"/>
  <c r="C696" i="88"/>
  <c r="B696" i="88"/>
  <c r="A696" i="88"/>
  <c r="D695" i="88"/>
  <c r="C695" i="88"/>
  <c r="B695" i="88"/>
  <c r="A695" i="88"/>
  <c r="D694" i="88"/>
  <c r="C694" i="88"/>
  <c r="B694" i="88"/>
  <c r="A694" i="88"/>
  <c r="D693" i="88"/>
  <c r="C693" i="88"/>
  <c r="B693" i="88"/>
  <c r="A693" i="88"/>
  <c r="D692" i="88"/>
  <c r="C692" i="88"/>
  <c r="B692" i="88"/>
  <c r="A692" i="88"/>
  <c r="D691" i="88"/>
  <c r="C691" i="88"/>
  <c r="B691" i="88"/>
  <c r="A691" i="88"/>
  <c r="D690" i="88"/>
  <c r="C690" i="88"/>
  <c r="B690" i="88"/>
  <c r="A690" i="88"/>
  <c r="D689" i="88"/>
  <c r="C689" i="88"/>
  <c r="B689" i="88"/>
  <c r="A689" i="88"/>
  <c r="D688" i="88"/>
  <c r="C688" i="88"/>
  <c r="B688" i="88"/>
  <c r="A688" i="88"/>
  <c r="D687" i="88"/>
  <c r="C687" i="88"/>
  <c r="B687" i="88"/>
  <c r="A687" i="88"/>
  <c r="D686" i="88"/>
  <c r="C686" i="88"/>
  <c r="B686" i="88"/>
  <c r="A686" i="88"/>
  <c r="D685" i="88"/>
  <c r="C685" i="88"/>
  <c r="B685" i="88"/>
  <c r="A685" i="88"/>
  <c r="D684" i="88"/>
  <c r="C684" i="88"/>
  <c r="B684" i="88"/>
  <c r="A684" i="88"/>
  <c r="D683" i="88"/>
  <c r="C683" i="88"/>
  <c r="B683" i="88"/>
  <c r="A683" i="88"/>
  <c r="D682" i="88"/>
  <c r="C682" i="88"/>
  <c r="B682" i="88"/>
  <c r="A682" i="88"/>
  <c r="D681" i="88"/>
  <c r="C681" i="88"/>
  <c r="B681" i="88"/>
  <c r="A681" i="88"/>
  <c r="D680" i="88"/>
  <c r="C680" i="88"/>
  <c r="B680" i="88"/>
  <c r="A680" i="88"/>
  <c r="D679" i="88"/>
  <c r="C679" i="88"/>
  <c r="B679" i="88"/>
  <c r="A679" i="88"/>
  <c r="D678" i="88"/>
  <c r="C678" i="88"/>
  <c r="B678" i="88"/>
  <c r="A678" i="88"/>
  <c r="D677" i="88"/>
  <c r="C677" i="88"/>
  <c r="B677" i="88"/>
  <c r="A677" i="88"/>
  <c r="D676" i="88"/>
  <c r="C676" i="88"/>
  <c r="B676" i="88"/>
  <c r="A676" i="88"/>
  <c r="D675" i="88"/>
  <c r="C675" i="88"/>
  <c r="B675" i="88"/>
  <c r="A675" i="88"/>
  <c r="D674" i="88"/>
  <c r="C674" i="88"/>
  <c r="B674" i="88"/>
  <c r="A674" i="88"/>
  <c r="D673" i="88"/>
  <c r="C673" i="88"/>
  <c r="B673" i="88"/>
  <c r="A673" i="88"/>
  <c r="D672" i="88"/>
  <c r="C672" i="88"/>
  <c r="B672" i="88"/>
  <c r="A672" i="88"/>
  <c r="D671" i="88"/>
  <c r="C671" i="88"/>
  <c r="B671" i="88"/>
  <c r="A671" i="88"/>
  <c r="D670" i="88"/>
  <c r="C670" i="88"/>
  <c r="B670" i="88"/>
  <c r="A670" i="88"/>
  <c r="D669" i="88"/>
  <c r="C669" i="88"/>
  <c r="B669" i="88"/>
  <c r="A669" i="88"/>
  <c r="D668" i="88"/>
  <c r="C668" i="88"/>
  <c r="B668" i="88"/>
  <c r="A668" i="88"/>
  <c r="D667" i="88"/>
  <c r="C667" i="88"/>
  <c r="B667" i="88"/>
  <c r="A667" i="88"/>
  <c r="D666" i="88"/>
  <c r="C666" i="88"/>
  <c r="B666" i="88"/>
  <c r="A666" i="88"/>
  <c r="D665" i="88"/>
  <c r="C665" i="88"/>
  <c r="B665" i="88"/>
  <c r="A665" i="88"/>
  <c r="D664" i="88"/>
  <c r="C664" i="88"/>
  <c r="B664" i="88"/>
  <c r="A664" i="88"/>
  <c r="D663" i="88"/>
  <c r="C663" i="88"/>
  <c r="B663" i="88"/>
  <c r="A663" i="88"/>
  <c r="D662" i="88"/>
  <c r="C662" i="88"/>
  <c r="B662" i="88"/>
  <c r="A662" i="88"/>
  <c r="D661" i="88"/>
  <c r="C661" i="88"/>
  <c r="B661" i="88"/>
  <c r="A661" i="88"/>
  <c r="D660" i="88"/>
  <c r="C660" i="88"/>
  <c r="B660" i="88"/>
  <c r="A660" i="88"/>
  <c r="D659" i="88"/>
  <c r="C659" i="88"/>
  <c r="B659" i="88"/>
  <c r="A659" i="88"/>
  <c r="D658" i="88"/>
  <c r="C658" i="88"/>
  <c r="B658" i="88"/>
  <c r="A658" i="88"/>
  <c r="D657" i="88"/>
  <c r="C657" i="88"/>
  <c r="B657" i="88"/>
  <c r="A657" i="88"/>
  <c r="D656" i="88"/>
  <c r="C656" i="88"/>
  <c r="B656" i="88"/>
  <c r="A656" i="88"/>
  <c r="D655" i="88"/>
  <c r="C655" i="88"/>
  <c r="B655" i="88"/>
  <c r="A655" i="88"/>
  <c r="D654" i="88"/>
  <c r="C654" i="88"/>
  <c r="B654" i="88"/>
  <c r="A654" i="88"/>
  <c r="D653" i="88"/>
  <c r="C653" i="88"/>
  <c r="B653" i="88"/>
  <c r="A653" i="88"/>
  <c r="D652" i="88"/>
  <c r="C652" i="88"/>
  <c r="B652" i="88"/>
  <c r="A652" i="88"/>
  <c r="D651" i="88"/>
  <c r="C651" i="88"/>
  <c r="B651" i="88"/>
  <c r="A651" i="88"/>
  <c r="D650" i="88"/>
  <c r="C650" i="88"/>
  <c r="B650" i="88"/>
  <c r="A650" i="88"/>
  <c r="D649" i="88"/>
  <c r="C649" i="88"/>
  <c r="B649" i="88"/>
  <c r="A649" i="88"/>
  <c r="D648" i="88"/>
  <c r="C648" i="88"/>
  <c r="B648" i="88"/>
  <c r="A648" i="88"/>
  <c r="D647" i="88"/>
  <c r="C647" i="88"/>
  <c r="B647" i="88"/>
  <c r="A647" i="88"/>
  <c r="D646" i="88"/>
  <c r="C646" i="88"/>
  <c r="B646" i="88"/>
  <c r="A646" i="88"/>
  <c r="D645" i="88"/>
  <c r="C645" i="88"/>
  <c r="B645" i="88"/>
  <c r="A645" i="88"/>
  <c r="D644" i="88"/>
  <c r="C644" i="88"/>
  <c r="B644" i="88"/>
  <c r="A644" i="88"/>
  <c r="D643" i="88"/>
  <c r="C643" i="88"/>
  <c r="B643" i="88"/>
  <c r="A643" i="88"/>
  <c r="D642" i="88"/>
  <c r="C642" i="88"/>
  <c r="B642" i="88"/>
  <c r="A642" i="88"/>
  <c r="D641" i="88"/>
  <c r="C641" i="88"/>
  <c r="B641" i="88"/>
  <c r="A641" i="88"/>
  <c r="D640" i="88"/>
  <c r="C640" i="88"/>
  <c r="B640" i="88"/>
  <c r="A640" i="88"/>
  <c r="D639" i="88"/>
  <c r="C639" i="88"/>
  <c r="B639" i="88"/>
  <c r="A639" i="88"/>
  <c r="D638" i="88"/>
  <c r="C638" i="88"/>
  <c r="B638" i="88"/>
  <c r="A638" i="88"/>
  <c r="D637" i="88"/>
  <c r="C637" i="88"/>
  <c r="B637" i="88"/>
  <c r="A637" i="88"/>
  <c r="D636" i="88"/>
  <c r="C636" i="88"/>
  <c r="B636" i="88"/>
  <c r="A636" i="88"/>
  <c r="D635" i="88"/>
  <c r="C635" i="88"/>
  <c r="B635" i="88"/>
  <c r="A635" i="88"/>
  <c r="D634" i="88"/>
  <c r="C634" i="88"/>
  <c r="B634" i="88"/>
  <c r="A634" i="88"/>
  <c r="D633" i="88"/>
  <c r="C633" i="88"/>
  <c r="B633" i="88"/>
  <c r="A633" i="88"/>
  <c r="D632" i="88"/>
  <c r="C632" i="88"/>
  <c r="B632" i="88"/>
  <c r="A632" i="88"/>
  <c r="D631" i="88"/>
  <c r="C631" i="88"/>
  <c r="B631" i="88"/>
  <c r="A631" i="88"/>
  <c r="D630" i="88"/>
  <c r="C630" i="88"/>
  <c r="B630" i="88"/>
  <c r="A630" i="88"/>
  <c r="D629" i="88"/>
  <c r="C629" i="88"/>
  <c r="B629" i="88"/>
  <c r="A629" i="88"/>
  <c r="D628" i="88"/>
  <c r="C628" i="88"/>
  <c r="B628" i="88"/>
  <c r="A628" i="88"/>
  <c r="D627" i="88"/>
  <c r="C627" i="88"/>
  <c r="B627" i="88"/>
  <c r="A627" i="88"/>
  <c r="D626" i="88"/>
  <c r="C626" i="88"/>
  <c r="B626" i="88"/>
  <c r="A626" i="88"/>
  <c r="D625" i="88"/>
  <c r="C625" i="88"/>
  <c r="B625" i="88"/>
  <c r="A625" i="88"/>
  <c r="D624" i="88"/>
  <c r="C624" i="88"/>
  <c r="B624" i="88"/>
  <c r="A624" i="88"/>
  <c r="D623" i="88"/>
  <c r="C623" i="88"/>
  <c r="B623" i="88"/>
  <c r="A623" i="88"/>
  <c r="D622" i="88"/>
  <c r="C622" i="88"/>
  <c r="B622" i="88"/>
  <c r="A622" i="88"/>
  <c r="D621" i="88"/>
  <c r="C621" i="88"/>
  <c r="B621" i="88"/>
  <c r="A621" i="88"/>
  <c r="D620" i="88"/>
  <c r="C620" i="88"/>
  <c r="B620" i="88"/>
  <c r="A620" i="88"/>
  <c r="D619" i="88"/>
  <c r="C619" i="88"/>
  <c r="B619" i="88"/>
  <c r="A619" i="88"/>
  <c r="D618" i="88"/>
  <c r="C618" i="88"/>
  <c r="B618" i="88"/>
  <c r="A618" i="88"/>
  <c r="D617" i="88"/>
  <c r="C617" i="88"/>
  <c r="B617" i="88"/>
  <c r="A617" i="88"/>
  <c r="D616" i="88"/>
  <c r="C616" i="88"/>
  <c r="B616" i="88"/>
  <c r="A616" i="88"/>
  <c r="D615" i="88"/>
  <c r="C615" i="88"/>
  <c r="B615" i="88"/>
  <c r="A615" i="88"/>
  <c r="D614" i="88"/>
  <c r="C614" i="88"/>
  <c r="B614" i="88"/>
  <c r="A614" i="88"/>
  <c r="D613" i="88"/>
  <c r="C613" i="88"/>
  <c r="B613" i="88"/>
  <c r="A613" i="88"/>
  <c r="D612" i="88"/>
  <c r="C612" i="88"/>
  <c r="B612" i="88"/>
  <c r="A612" i="88"/>
  <c r="D611" i="88"/>
  <c r="C611" i="88"/>
  <c r="B611" i="88"/>
  <c r="A611" i="88"/>
  <c r="D610" i="88"/>
  <c r="C610" i="88"/>
  <c r="B610" i="88"/>
  <c r="A610" i="88"/>
  <c r="D609" i="88"/>
  <c r="C609" i="88"/>
  <c r="B609" i="88"/>
  <c r="A609" i="88"/>
  <c r="D608" i="88"/>
  <c r="C608" i="88"/>
  <c r="B608" i="88"/>
  <c r="A608" i="88"/>
  <c r="D607" i="88"/>
  <c r="C607" i="88"/>
  <c r="B607" i="88"/>
  <c r="A607" i="88"/>
  <c r="D606" i="88"/>
  <c r="C606" i="88"/>
  <c r="B606" i="88"/>
  <c r="A606" i="88"/>
  <c r="D605" i="88"/>
  <c r="C605" i="88"/>
  <c r="B605" i="88"/>
  <c r="A605" i="88"/>
  <c r="D604" i="88"/>
  <c r="C604" i="88"/>
  <c r="B604" i="88"/>
  <c r="A604" i="88"/>
  <c r="D603" i="88"/>
  <c r="C603" i="88"/>
  <c r="B603" i="88"/>
  <c r="A603" i="88"/>
  <c r="D602" i="88"/>
  <c r="C602" i="88"/>
  <c r="B602" i="88"/>
  <c r="A602" i="88"/>
  <c r="D601" i="88"/>
  <c r="C601" i="88"/>
  <c r="B601" i="88"/>
  <c r="A601" i="88"/>
  <c r="D600" i="88"/>
  <c r="C600" i="88"/>
  <c r="B600" i="88"/>
  <c r="A600" i="88"/>
  <c r="D599" i="88"/>
  <c r="C599" i="88"/>
  <c r="B599" i="88"/>
  <c r="A599" i="88"/>
  <c r="D598" i="88"/>
  <c r="C598" i="88"/>
  <c r="B598" i="88"/>
  <c r="A598" i="88"/>
  <c r="D597" i="88"/>
  <c r="C597" i="88"/>
  <c r="B597" i="88"/>
  <c r="A597" i="88"/>
  <c r="D596" i="88"/>
  <c r="C596" i="88"/>
  <c r="B596" i="88"/>
  <c r="A596" i="88"/>
  <c r="D595" i="88"/>
  <c r="C595" i="88"/>
  <c r="B595" i="88"/>
  <c r="A595" i="88"/>
  <c r="D594" i="88"/>
  <c r="C594" i="88"/>
  <c r="B594" i="88"/>
  <c r="A594" i="88"/>
  <c r="D593" i="88"/>
  <c r="C593" i="88"/>
  <c r="B593" i="88"/>
  <c r="A593" i="88"/>
  <c r="D592" i="88"/>
  <c r="C592" i="88"/>
  <c r="B592" i="88"/>
  <c r="A592" i="88"/>
  <c r="D591" i="88"/>
  <c r="C591" i="88"/>
  <c r="B591" i="88"/>
  <c r="A591" i="88"/>
  <c r="D590" i="88"/>
  <c r="C590" i="88"/>
  <c r="B590" i="88"/>
  <c r="A590" i="88"/>
  <c r="D589" i="88"/>
  <c r="C589" i="88"/>
  <c r="B589" i="88"/>
  <c r="A589" i="88"/>
  <c r="D588" i="88"/>
  <c r="C588" i="88"/>
  <c r="B588" i="88"/>
  <c r="A588" i="88"/>
  <c r="D587" i="88"/>
  <c r="C587" i="88"/>
  <c r="B587" i="88"/>
  <c r="A587" i="88"/>
  <c r="D586" i="88"/>
  <c r="C586" i="88"/>
  <c r="B586" i="88"/>
  <c r="A586" i="88"/>
  <c r="D585" i="88"/>
  <c r="C585" i="88"/>
  <c r="B585" i="88"/>
  <c r="A585" i="88"/>
  <c r="D584" i="88"/>
  <c r="C584" i="88"/>
  <c r="B584" i="88"/>
  <c r="A584" i="88"/>
  <c r="D583" i="88"/>
  <c r="C583" i="88"/>
  <c r="B583" i="88"/>
  <c r="A583" i="88"/>
  <c r="D582" i="88"/>
  <c r="C582" i="88"/>
  <c r="B582" i="88"/>
  <c r="A582" i="88"/>
  <c r="D581" i="88"/>
  <c r="C581" i="88"/>
  <c r="B581" i="88"/>
  <c r="A581" i="88"/>
  <c r="D580" i="88"/>
  <c r="C580" i="88"/>
  <c r="B580" i="88"/>
  <c r="A580" i="88"/>
  <c r="D579" i="88"/>
  <c r="C579" i="88"/>
  <c r="B579" i="88"/>
  <c r="A579" i="88"/>
  <c r="D578" i="88"/>
  <c r="C578" i="88"/>
  <c r="B578" i="88"/>
  <c r="A578" i="88"/>
  <c r="D577" i="88"/>
  <c r="C577" i="88"/>
  <c r="B577" i="88"/>
  <c r="A577" i="88"/>
  <c r="D576" i="88"/>
  <c r="C576" i="88"/>
  <c r="B576" i="88"/>
  <c r="A576" i="88"/>
  <c r="D575" i="88"/>
  <c r="C575" i="88"/>
  <c r="B575" i="88"/>
  <c r="A575" i="88"/>
  <c r="D574" i="88"/>
  <c r="C574" i="88"/>
  <c r="B574" i="88"/>
  <c r="A574" i="88"/>
  <c r="D573" i="88"/>
  <c r="C573" i="88"/>
  <c r="B573" i="88"/>
  <c r="A573" i="88"/>
  <c r="D572" i="88"/>
  <c r="C572" i="88"/>
  <c r="B572" i="88"/>
  <c r="A572" i="88"/>
  <c r="D571" i="88"/>
  <c r="C571" i="88"/>
  <c r="B571" i="88"/>
  <c r="A571" i="88"/>
  <c r="D570" i="88"/>
  <c r="C570" i="88"/>
  <c r="B570" i="88"/>
  <c r="A570" i="88"/>
  <c r="D569" i="88"/>
  <c r="C569" i="88"/>
  <c r="B569" i="88"/>
  <c r="A569" i="88"/>
  <c r="D568" i="88"/>
  <c r="C568" i="88"/>
  <c r="B568" i="88"/>
  <c r="A568" i="88"/>
  <c r="D567" i="88"/>
  <c r="C567" i="88"/>
  <c r="B567" i="88"/>
  <c r="A567" i="88"/>
  <c r="D566" i="88"/>
  <c r="C566" i="88"/>
  <c r="B566" i="88"/>
  <c r="A566" i="88"/>
  <c r="D565" i="88"/>
  <c r="C565" i="88"/>
  <c r="B565" i="88"/>
  <c r="A565" i="88"/>
  <c r="D564" i="88"/>
  <c r="C564" i="88"/>
  <c r="B564" i="88"/>
  <c r="A564" i="88"/>
  <c r="D563" i="88"/>
  <c r="C563" i="88"/>
  <c r="B563" i="88"/>
  <c r="A563" i="88"/>
  <c r="D562" i="88"/>
  <c r="C562" i="88"/>
  <c r="B562" i="88"/>
  <c r="A562" i="88"/>
  <c r="D561" i="88"/>
  <c r="C561" i="88"/>
  <c r="B561" i="88"/>
  <c r="A561" i="88"/>
  <c r="D560" i="88"/>
  <c r="C560" i="88"/>
  <c r="B560" i="88"/>
  <c r="A560" i="88"/>
  <c r="D559" i="88"/>
  <c r="C559" i="88"/>
  <c r="B559" i="88"/>
  <c r="A559" i="88"/>
  <c r="D558" i="88"/>
  <c r="C558" i="88"/>
  <c r="B558" i="88"/>
  <c r="A558" i="88"/>
  <c r="D557" i="88"/>
  <c r="C557" i="88"/>
  <c r="B557" i="88"/>
  <c r="A557" i="88"/>
  <c r="D556" i="88"/>
  <c r="C556" i="88"/>
  <c r="B556" i="88"/>
  <c r="A556" i="88"/>
  <c r="D555" i="88"/>
  <c r="C555" i="88"/>
  <c r="B555" i="88"/>
  <c r="A555" i="88"/>
  <c r="D554" i="88"/>
  <c r="C554" i="88"/>
  <c r="B554" i="88"/>
  <c r="A554" i="88"/>
  <c r="D553" i="88"/>
  <c r="C553" i="88"/>
  <c r="B553" i="88"/>
  <c r="A553" i="88"/>
  <c r="D552" i="88"/>
  <c r="C552" i="88"/>
  <c r="B552" i="88"/>
  <c r="A552" i="88"/>
  <c r="D551" i="88"/>
  <c r="C551" i="88"/>
  <c r="B551" i="88"/>
  <c r="A551" i="88"/>
  <c r="D550" i="88"/>
  <c r="C550" i="88"/>
  <c r="B550" i="88"/>
  <c r="A550" i="88"/>
  <c r="D549" i="88"/>
  <c r="C549" i="88"/>
  <c r="B549" i="88"/>
  <c r="A549" i="88"/>
  <c r="D548" i="88"/>
  <c r="C548" i="88"/>
  <c r="B548" i="88"/>
  <c r="A548" i="88"/>
  <c r="D547" i="88"/>
  <c r="C547" i="88"/>
  <c r="B547" i="88"/>
  <c r="A547" i="88"/>
  <c r="D546" i="88"/>
  <c r="C546" i="88"/>
  <c r="B546" i="88"/>
  <c r="A546" i="88"/>
  <c r="D545" i="88"/>
  <c r="C545" i="88"/>
  <c r="B545" i="88"/>
  <c r="A545" i="88"/>
  <c r="D544" i="88"/>
  <c r="C544" i="88"/>
  <c r="B544" i="88"/>
  <c r="A544" i="88"/>
  <c r="D543" i="88"/>
  <c r="C543" i="88"/>
  <c r="B543" i="88"/>
  <c r="A543" i="88"/>
  <c r="D542" i="88"/>
  <c r="C542" i="88"/>
  <c r="B542" i="88"/>
  <c r="A542" i="88"/>
  <c r="D541" i="88"/>
  <c r="C541" i="88"/>
  <c r="B541" i="88"/>
  <c r="A541" i="88"/>
  <c r="D540" i="88"/>
  <c r="C540" i="88"/>
  <c r="B540" i="88"/>
  <c r="A540" i="88"/>
  <c r="D539" i="88"/>
  <c r="C539" i="88"/>
  <c r="B539" i="88"/>
  <c r="A539" i="88"/>
  <c r="D538" i="88"/>
  <c r="C538" i="88"/>
  <c r="B538" i="88"/>
  <c r="A538" i="88"/>
  <c r="D537" i="88"/>
  <c r="C537" i="88"/>
  <c r="B537" i="88"/>
  <c r="A537" i="88"/>
  <c r="D536" i="88"/>
  <c r="C536" i="88"/>
  <c r="B536" i="88"/>
  <c r="A536" i="88"/>
  <c r="D535" i="88"/>
  <c r="C535" i="88"/>
  <c r="B535" i="88"/>
  <c r="A535" i="88"/>
  <c r="D534" i="88"/>
  <c r="C534" i="88"/>
  <c r="B534" i="88"/>
  <c r="A534" i="88"/>
  <c r="D533" i="88"/>
  <c r="C533" i="88"/>
  <c r="B533" i="88"/>
  <c r="A533" i="88"/>
  <c r="D532" i="88"/>
  <c r="C532" i="88"/>
  <c r="B532" i="88"/>
  <c r="A532" i="88"/>
  <c r="D531" i="88"/>
  <c r="C531" i="88"/>
  <c r="B531" i="88"/>
  <c r="A531" i="88"/>
  <c r="D530" i="88"/>
  <c r="C530" i="88"/>
  <c r="B530" i="88"/>
  <c r="A530" i="88"/>
  <c r="D529" i="88"/>
  <c r="C529" i="88"/>
  <c r="B529" i="88"/>
  <c r="A529" i="88"/>
  <c r="D528" i="88"/>
  <c r="C528" i="88"/>
  <c r="B528" i="88"/>
  <c r="A528" i="88"/>
  <c r="D527" i="88"/>
  <c r="C527" i="88"/>
  <c r="B527" i="88"/>
  <c r="A527" i="88"/>
  <c r="D526" i="88"/>
  <c r="C526" i="88"/>
  <c r="B526" i="88"/>
  <c r="A526" i="88"/>
  <c r="D525" i="88"/>
  <c r="C525" i="88"/>
  <c r="B525" i="88"/>
  <c r="A525" i="88"/>
  <c r="D524" i="88"/>
  <c r="C524" i="88"/>
  <c r="B524" i="88"/>
  <c r="A524" i="88"/>
  <c r="D523" i="88"/>
  <c r="C523" i="88"/>
  <c r="B523" i="88"/>
  <c r="A523" i="88"/>
  <c r="D522" i="88"/>
  <c r="C522" i="88"/>
  <c r="B522" i="88"/>
  <c r="A522" i="88"/>
  <c r="D521" i="88"/>
  <c r="C521" i="88"/>
  <c r="B521" i="88"/>
  <c r="A521" i="88"/>
  <c r="D520" i="88"/>
  <c r="C520" i="88"/>
  <c r="B520" i="88"/>
  <c r="A520" i="88"/>
  <c r="D519" i="88"/>
  <c r="C519" i="88"/>
  <c r="B519" i="88"/>
  <c r="A519" i="88"/>
  <c r="D518" i="88"/>
  <c r="C518" i="88"/>
  <c r="B518" i="88"/>
  <c r="A518" i="88"/>
  <c r="D517" i="88"/>
  <c r="C517" i="88"/>
  <c r="B517" i="88"/>
  <c r="A517" i="88"/>
  <c r="D516" i="88"/>
  <c r="C516" i="88"/>
  <c r="B516" i="88"/>
  <c r="A516" i="88"/>
  <c r="D515" i="88"/>
  <c r="C515" i="88"/>
  <c r="B515" i="88"/>
  <c r="A515" i="88"/>
  <c r="D514" i="88"/>
  <c r="C514" i="88"/>
  <c r="B514" i="88"/>
  <c r="A514" i="88"/>
  <c r="D513" i="88"/>
  <c r="C513" i="88"/>
  <c r="B513" i="88"/>
  <c r="A513" i="88"/>
  <c r="D512" i="88"/>
  <c r="C512" i="88"/>
  <c r="B512" i="88"/>
  <c r="A512" i="88"/>
  <c r="D511" i="88"/>
  <c r="C511" i="88"/>
  <c r="B511" i="88"/>
  <c r="A511" i="88"/>
  <c r="D510" i="88"/>
  <c r="C510" i="88"/>
  <c r="B510" i="88"/>
  <c r="A510" i="88"/>
  <c r="D509" i="88"/>
  <c r="C509" i="88"/>
  <c r="B509" i="88"/>
  <c r="A509" i="88"/>
  <c r="D508" i="88"/>
  <c r="C508" i="88"/>
  <c r="B508" i="88"/>
  <c r="A508" i="88"/>
  <c r="D507" i="88"/>
  <c r="C507" i="88"/>
  <c r="B507" i="88"/>
  <c r="A507" i="88"/>
  <c r="D506" i="88"/>
  <c r="C506" i="88"/>
  <c r="B506" i="88"/>
  <c r="A506" i="88"/>
  <c r="D505" i="88"/>
  <c r="C505" i="88"/>
  <c r="B505" i="88"/>
  <c r="A505" i="88"/>
  <c r="D504" i="88"/>
  <c r="C504" i="88"/>
  <c r="B504" i="88"/>
  <c r="A504" i="88"/>
  <c r="D503" i="88"/>
  <c r="C503" i="88"/>
  <c r="B503" i="88"/>
  <c r="A503" i="88"/>
  <c r="D502" i="88"/>
  <c r="C502" i="88"/>
  <c r="B502" i="88"/>
  <c r="A502" i="88"/>
  <c r="D501" i="88"/>
  <c r="C501" i="88"/>
  <c r="B501" i="88"/>
  <c r="A501" i="88"/>
  <c r="D500" i="88"/>
  <c r="C500" i="88"/>
  <c r="B500" i="88"/>
  <c r="A500" i="88"/>
  <c r="D499" i="88"/>
  <c r="C499" i="88"/>
  <c r="B499" i="88"/>
  <c r="A499" i="88"/>
  <c r="D498" i="88"/>
  <c r="C498" i="88"/>
  <c r="B498" i="88"/>
  <c r="A498" i="88"/>
  <c r="D497" i="88"/>
  <c r="C497" i="88"/>
  <c r="B497" i="88"/>
  <c r="A497" i="88"/>
  <c r="D496" i="88"/>
  <c r="C496" i="88"/>
  <c r="B496" i="88"/>
  <c r="A496" i="88"/>
  <c r="D495" i="88"/>
  <c r="C495" i="88"/>
  <c r="B495" i="88"/>
  <c r="A495" i="88"/>
  <c r="D494" i="88"/>
  <c r="C494" i="88"/>
  <c r="B494" i="88"/>
  <c r="A494" i="88"/>
  <c r="D493" i="88"/>
  <c r="C493" i="88"/>
  <c r="B493" i="88"/>
  <c r="A493" i="88"/>
  <c r="D492" i="88"/>
  <c r="C492" i="88"/>
  <c r="B492" i="88"/>
  <c r="A492" i="88"/>
  <c r="D491" i="88"/>
  <c r="C491" i="88"/>
  <c r="B491" i="88"/>
  <c r="A491" i="88"/>
  <c r="D490" i="88"/>
  <c r="C490" i="88"/>
  <c r="B490" i="88"/>
  <c r="A490" i="88"/>
  <c r="D489" i="88"/>
  <c r="C489" i="88"/>
  <c r="B489" i="88"/>
  <c r="A489" i="88"/>
  <c r="D488" i="88"/>
  <c r="C488" i="88"/>
  <c r="B488" i="88"/>
  <c r="A488" i="88"/>
  <c r="D487" i="88"/>
  <c r="C487" i="88"/>
  <c r="B487" i="88"/>
  <c r="A487" i="88"/>
  <c r="D486" i="88"/>
  <c r="C486" i="88"/>
  <c r="B486" i="88"/>
  <c r="A486" i="88"/>
  <c r="D485" i="88"/>
  <c r="C485" i="88"/>
  <c r="B485" i="88"/>
  <c r="A485" i="88"/>
  <c r="D484" i="88"/>
  <c r="C484" i="88"/>
  <c r="B484" i="88"/>
  <c r="A484" i="88"/>
  <c r="D483" i="88"/>
  <c r="C483" i="88"/>
  <c r="B483" i="88"/>
  <c r="A483" i="88"/>
  <c r="D482" i="88"/>
  <c r="C482" i="88"/>
  <c r="B482" i="88"/>
  <c r="A482" i="88"/>
  <c r="D481" i="88"/>
  <c r="C481" i="88"/>
  <c r="B481" i="88"/>
  <c r="A481" i="88"/>
  <c r="D480" i="88"/>
  <c r="C480" i="88"/>
  <c r="B480" i="88"/>
  <c r="A480" i="88"/>
  <c r="D479" i="88"/>
  <c r="C479" i="88"/>
  <c r="B479" i="88"/>
  <c r="A479" i="88"/>
  <c r="D478" i="88"/>
  <c r="C478" i="88"/>
  <c r="B478" i="88"/>
  <c r="A478" i="88"/>
  <c r="D477" i="88"/>
  <c r="C477" i="88"/>
  <c r="B477" i="88"/>
  <c r="A477" i="88"/>
  <c r="D476" i="88"/>
  <c r="C476" i="88"/>
  <c r="B476" i="88"/>
  <c r="A476" i="88"/>
  <c r="D475" i="88"/>
  <c r="C475" i="88"/>
  <c r="B475" i="88"/>
  <c r="A475" i="88"/>
  <c r="D474" i="88"/>
  <c r="C474" i="88"/>
  <c r="B474" i="88"/>
  <c r="A474" i="88"/>
  <c r="D473" i="88"/>
  <c r="C473" i="88"/>
  <c r="B473" i="88"/>
  <c r="A473" i="88"/>
  <c r="D472" i="88"/>
  <c r="C472" i="88"/>
  <c r="B472" i="88"/>
  <c r="A472" i="88"/>
  <c r="D471" i="88"/>
  <c r="C471" i="88"/>
  <c r="B471" i="88"/>
  <c r="A471" i="88"/>
  <c r="D470" i="88"/>
  <c r="C470" i="88"/>
  <c r="B470" i="88"/>
  <c r="A470" i="88"/>
  <c r="D469" i="88"/>
  <c r="C469" i="88"/>
  <c r="B469" i="88"/>
  <c r="A469" i="88"/>
  <c r="D468" i="88"/>
  <c r="C468" i="88"/>
  <c r="B468" i="88"/>
  <c r="A468" i="88"/>
  <c r="D467" i="88"/>
  <c r="C467" i="88"/>
  <c r="B467" i="88"/>
  <c r="A467" i="88"/>
  <c r="D466" i="88"/>
  <c r="C466" i="88"/>
  <c r="B466" i="88"/>
  <c r="A466" i="88"/>
  <c r="D465" i="88"/>
  <c r="C465" i="88"/>
  <c r="B465" i="88"/>
  <c r="A465" i="88"/>
  <c r="D464" i="88"/>
  <c r="C464" i="88"/>
  <c r="B464" i="88"/>
  <c r="A464" i="88"/>
  <c r="D463" i="88"/>
  <c r="C463" i="88"/>
  <c r="B463" i="88"/>
  <c r="A463" i="88"/>
  <c r="D462" i="88"/>
  <c r="C462" i="88"/>
  <c r="B462" i="88"/>
  <c r="A462" i="88"/>
  <c r="D461" i="88"/>
  <c r="C461" i="88"/>
  <c r="B461" i="88"/>
  <c r="A461" i="88"/>
  <c r="D460" i="88"/>
  <c r="C460" i="88"/>
  <c r="B460" i="88"/>
  <c r="A460" i="88"/>
  <c r="D459" i="88"/>
  <c r="C459" i="88"/>
  <c r="B459" i="88"/>
  <c r="A459" i="88"/>
  <c r="D458" i="88"/>
  <c r="C458" i="88"/>
  <c r="B458" i="88"/>
  <c r="A458" i="88"/>
  <c r="D457" i="88"/>
  <c r="C457" i="88"/>
  <c r="B457" i="88"/>
  <c r="A457" i="88"/>
  <c r="D456" i="88"/>
  <c r="C456" i="88"/>
  <c r="B456" i="88"/>
  <c r="A456" i="88"/>
  <c r="D455" i="88"/>
  <c r="C455" i="88"/>
  <c r="B455" i="88"/>
  <c r="A455" i="88"/>
  <c r="D454" i="88"/>
  <c r="C454" i="88"/>
  <c r="B454" i="88"/>
  <c r="A454" i="88"/>
  <c r="D453" i="88"/>
  <c r="C453" i="88"/>
  <c r="B453" i="88"/>
  <c r="A453" i="88"/>
  <c r="D452" i="88"/>
  <c r="C452" i="88"/>
  <c r="B452" i="88"/>
  <c r="A452" i="88"/>
  <c r="D451" i="88"/>
  <c r="C451" i="88"/>
  <c r="B451" i="88"/>
  <c r="A451" i="88"/>
  <c r="D450" i="88"/>
  <c r="C450" i="88"/>
  <c r="B450" i="88"/>
  <c r="A450" i="88"/>
  <c r="D449" i="88"/>
  <c r="C449" i="88"/>
  <c r="B449" i="88"/>
  <c r="A449" i="88"/>
  <c r="D448" i="88"/>
  <c r="C448" i="88"/>
  <c r="B448" i="88"/>
  <c r="A448" i="88"/>
  <c r="D447" i="88"/>
  <c r="C447" i="88"/>
  <c r="B447" i="88"/>
  <c r="A447" i="88"/>
  <c r="D446" i="88"/>
  <c r="C446" i="88"/>
  <c r="B446" i="88"/>
  <c r="A446" i="88"/>
  <c r="D445" i="88"/>
  <c r="C445" i="88"/>
  <c r="B445" i="88"/>
  <c r="A445" i="88"/>
  <c r="D444" i="88"/>
  <c r="C444" i="88"/>
  <c r="B444" i="88"/>
  <c r="A444" i="88"/>
  <c r="D443" i="88"/>
  <c r="C443" i="88"/>
  <c r="B443" i="88"/>
  <c r="A443" i="88"/>
  <c r="D442" i="88"/>
  <c r="C442" i="88"/>
  <c r="B442" i="88"/>
  <c r="A442" i="88"/>
  <c r="D441" i="88"/>
  <c r="C441" i="88"/>
  <c r="B441" i="88"/>
  <c r="A441" i="88"/>
  <c r="D440" i="88"/>
  <c r="C440" i="88"/>
  <c r="B440" i="88"/>
  <c r="A440" i="88"/>
  <c r="D439" i="88"/>
  <c r="C439" i="88"/>
  <c r="B439" i="88"/>
  <c r="A439" i="88"/>
  <c r="D438" i="88"/>
  <c r="C438" i="88"/>
  <c r="B438" i="88"/>
  <c r="A438" i="88"/>
  <c r="D437" i="88"/>
  <c r="C437" i="88"/>
  <c r="B437" i="88"/>
  <c r="A437" i="88"/>
  <c r="D436" i="88"/>
  <c r="C436" i="88"/>
  <c r="B436" i="88"/>
  <c r="A436" i="88"/>
  <c r="D435" i="88"/>
  <c r="C435" i="88"/>
  <c r="B435" i="88"/>
  <c r="A435" i="88"/>
  <c r="D434" i="88"/>
  <c r="C434" i="88"/>
  <c r="B434" i="88"/>
  <c r="A434" i="88"/>
  <c r="D433" i="88"/>
  <c r="C433" i="88"/>
  <c r="B433" i="88"/>
  <c r="A433" i="88"/>
  <c r="D432" i="88"/>
  <c r="C432" i="88"/>
  <c r="B432" i="88"/>
  <c r="A432" i="88"/>
  <c r="D431" i="88"/>
  <c r="C431" i="88"/>
  <c r="B431" i="88"/>
  <c r="A431" i="88"/>
  <c r="D430" i="88"/>
  <c r="C430" i="88"/>
  <c r="B430" i="88"/>
  <c r="A430" i="88"/>
  <c r="D429" i="88"/>
  <c r="C429" i="88"/>
  <c r="B429" i="88"/>
  <c r="A429" i="88"/>
  <c r="D428" i="88"/>
  <c r="C428" i="88"/>
  <c r="B428" i="88"/>
  <c r="A428" i="88"/>
  <c r="D427" i="88"/>
  <c r="C427" i="88"/>
  <c r="B427" i="88"/>
  <c r="A427" i="88"/>
  <c r="D426" i="88"/>
  <c r="C426" i="88"/>
  <c r="B426" i="88"/>
  <c r="A426" i="88"/>
  <c r="D425" i="88"/>
  <c r="C425" i="88"/>
  <c r="B425" i="88"/>
  <c r="A425" i="88"/>
  <c r="D424" i="88"/>
  <c r="C424" i="88"/>
  <c r="B424" i="88"/>
  <c r="A424" i="88"/>
  <c r="D423" i="88"/>
  <c r="C423" i="88"/>
  <c r="B423" i="88"/>
  <c r="A423" i="88"/>
  <c r="D422" i="88"/>
  <c r="C422" i="88"/>
  <c r="B422" i="88"/>
  <c r="A422" i="88"/>
  <c r="D421" i="88"/>
  <c r="C421" i="88"/>
  <c r="B421" i="88"/>
  <c r="A421" i="88"/>
  <c r="D420" i="88"/>
  <c r="C420" i="88"/>
  <c r="B420" i="88"/>
  <c r="A420" i="88"/>
  <c r="D419" i="88"/>
  <c r="C419" i="88"/>
  <c r="B419" i="88"/>
  <c r="A419" i="88"/>
  <c r="D418" i="88"/>
  <c r="C418" i="88"/>
  <c r="B418" i="88"/>
  <c r="A418" i="88"/>
  <c r="D417" i="88"/>
  <c r="C417" i="88"/>
  <c r="B417" i="88"/>
  <c r="A417" i="88"/>
  <c r="D416" i="88"/>
  <c r="C416" i="88"/>
  <c r="B416" i="88"/>
  <c r="A416" i="88"/>
  <c r="D415" i="88"/>
  <c r="C415" i="88"/>
  <c r="B415" i="88"/>
  <c r="A415" i="88"/>
  <c r="D414" i="88"/>
  <c r="C414" i="88"/>
  <c r="B414" i="88"/>
  <c r="A414" i="88"/>
  <c r="D413" i="88"/>
  <c r="C413" i="88"/>
  <c r="B413" i="88"/>
  <c r="A413" i="88"/>
  <c r="D412" i="88"/>
  <c r="C412" i="88"/>
  <c r="B412" i="88"/>
  <c r="A412" i="88"/>
  <c r="D411" i="88"/>
  <c r="C411" i="88"/>
  <c r="B411" i="88"/>
  <c r="A411" i="88"/>
  <c r="D410" i="88"/>
  <c r="C410" i="88"/>
  <c r="B410" i="88"/>
  <c r="A410" i="88"/>
  <c r="D409" i="88"/>
  <c r="C409" i="88"/>
  <c r="B409" i="88"/>
  <c r="A409" i="88"/>
  <c r="D408" i="88"/>
  <c r="C408" i="88"/>
  <c r="B408" i="88"/>
  <c r="A408" i="88"/>
  <c r="D407" i="88"/>
  <c r="C407" i="88"/>
  <c r="B407" i="88"/>
  <c r="A407" i="88"/>
  <c r="D406" i="88"/>
  <c r="C406" i="88"/>
  <c r="B406" i="88"/>
  <c r="A406" i="88"/>
  <c r="D405" i="88"/>
  <c r="C405" i="88"/>
  <c r="B405" i="88"/>
  <c r="A405" i="88"/>
  <c r="D404" i="88"/>
  <c r="C404" i="88"/>
  <c r="B404" i="88"/>
  <c r="A404" i="88"/>
  <c r="D403" i="88"/>
  <c r="C403" i="88"/>
  <c r="B403" i="88"/>
  <c r="A403" i="88"/>
  <c r="D402" i="88"/>
  <c r="C402" i="88"/>
  <c r="B402" i="88"/>
  <c r="A402" i="88"/>
  <c r="D401" i="88"/>
  <c r="C401" i="88"/>
  <c r="B401" i="88"/>
  <c r="A401" i="88"/>
  <c r="D400" i="88"/>
  <c r="C400" i="88"/>
  <c r="B400" i="88"/>
  <c r="A400" i="88"/>
  <c r="D399" i="88"/>
  <c r="C399" i="88"/>
  <c r="B399" i="88"/>
  <c r="A399" i="88"/>
  <c r="D398" i="88"/>
  <c r="C398" i="88"/>
  <c r="B398" i="88"/>
  <c r="A398" i="88"/>
  <c r="D397" i="88"/>
  <c r="C397" i="88"/>
  <c r="B397" i="88"/>
  <c r="A397" i="88"/>
  <c r="D396" i="88"/>
  <c r="C396" i="88"/>
  <c r="B396" i="88"/>
  <c r="A396" i="88"/>
  <c r="D395" i="88"/>
  <c r="C395" i="88"/>
  <c r="B395" i="88"/>
  <c r="A395" i="88"/>
  <c r="D394" i="88"/>
  <c r="C394" i="88"/>
  <c r="B394" i="88"/>
  <c r="A394" i="88"/>
  <c r="D393" i="88"/>
  <c r="C393" i="88"/>
  <c r="B393" i="88"/>
  <c r="A393" i="88"/>
  <c r="D392" i="88"/>
  <c r="C392" i="88"/>
  <c r="B392" i="88"/>
  <c r="A392" i="88"/>
  <c r="D391" i="88"/>
  <c r="C391" i="88"/>
  <c r="B391" i="88"/>
  <c r="A391" i="88"/>
  <c r="D390" i="88"/>
  <c r="C390" i="88"/>
  <c r="B390" i="88"/>
  <c r="A390" i="88"/>
  <c r="D389" i="88"/>
  <c r="C389" i="88"/>
  <c r="B389" i="88"/>
  <c r="A389" i="88"/>
  <c r="D388" i="88"/>
  <c r="C388" i="88"/>
  <c r="B388" i="88"/>
  <c r="A388" i="88"/>
  <c r="D387" i="88"/>
  <c r="C387" i="88"/>
  <c r="B387" i="88"/>
  <c r="A387" i="88"/>
  <c r="D386" i="88"/>
  <c r="C386" i="88"/>
  <c r="B386" i="88"/>
  <c r="A386" i="88"/>
  <c r="D385" i="88"/>
  <c r="C385" i="88"/>
  <c r="B385" i="88"/>
  <c r="A385" i="88"/>
  <c r="D384" i="88"/>
  <c r="C384" i="88"/>
  <c r="B384" i="88"/>
  <c r="A384" i="88"/>
  <c r="D383" i="88"/>
  <c r="C383" i="88"/>
  <c r="B383" i="88"/>
  <c r="A383" i="88"/>
  <c r="D382" i="88"/>
  <c r="C382" i="88"/>
  <c r="B382" i="88"/>
  <c r="A382" i="88"/>
  <c r="D381" i="88"/>
  <c r="C381" i="88"/>
  <c r="B381" i="88"/>
  <c r="A381" i="88"/>
  <c r="D380" i="88"/>
  <c r="C380" i="88"/>
  <c r="B380" i="88"/>
  <c r="A380" i="88"/>
  <c r="D379" i="88"/>
  <c r="C379" i="88"/>
  <c r="B379" i="88"/>
  <c r="A379" i="88"/>
  <c r="D378" i="88"/>
  <c r="C378" i="88"/>
  <c r="B378" i="88"/>
  <c r="A378" i="88"/>
  <c r="D377" i="88"/>
  <c r="C377" i="88"/>
  <c r="B377" i="88"/>
  <c r="A377" i="88"/>
  <c r="D376" i="88"/>
  <c r="C376" i="88"/>
  <c r="B376" i="88"/>
  <c r="A376" i="88"/>
  <c r="D375" i="88"/>
  <c r="C375" i="88"/>
  <c r="B375" i="88"/>
  <c r="A375" i="88"/>
  <c r="D374" i="88"/>
  <c r="C374" i="88"/>
  <c r="B374" i="88"/>
  <c r="A374" i="88"/>
  <c r="D373" i="88"/>
  <c r="C373" i="88"/>
  <c r="B373" i="88"/>
  <c r="A373" i="88"/>
  <c r="D372" i="88"/>
  <c r="C372" i="88"/>
  <c r="B372" i="88"/>
  <c r="A372" i="88"/>
  <c r="D371" i="88"/>
  <c r="C371" i="88"/>
  <c r="B371" i="88"/>
  <c r="A371" i="88"/>
  <c r="D370" i="88"/>
  <c r="C370" i="88"/>
  <c r="B370" i="88"/>
  <c r="A370" i="88"/>
  <c r="D369" i="88"/>
  <c r="C369" i="88"/>
  <c r="B369" i="88"/>
  <c r="A369" i="88"/>
  <c r="D368" i="88"/>
  <c r="C368" i="88"/>
  <c r="B368" i="88"/>
  <c r="A368" i="88"/>
  <c r="D367" i="88"/>
  <c r="C367" i="88"/>
  <c r="B367" i="88"/>
  <c r="A367" i="88"/>
  <c r="D366" i="88"/>
  <c r="C366" i="88"/>
  <c r="B366" i="88"/>
  <c r="A366" i="88"/>
  <c r="D365" i="88"/>
  <c r="C365" i="88"/>
  <c r="B365" i="88"/>
  <c r="A365" i="88"/>
  <c r="D364" i="88"/>
  <c r="C364" i="88"/>
  <c r="B364" i="88"/>
  <c r="A364" i="88"/>
  <c r="D363" i="88"/>
  <c r="C363" i="88"/>
  <c r="B363" i="88"/>
  <c r="A363" i="88"/>
  <c r="D362" i="88"/>
  <c r="C362" i="88"/>
  <c r="B362" i="88"/>
  <c r="A362" i="88"/>
  <c r="D361" i="88"/>
  <c r="C361" i="88"/>
  <c r="B361" i="88"/>
  <c r="A361" i="88"/>
  <c r="D360" i="88"/>
  <c r="C360" i="88"/>
  <c r="B360" i="88"/>
  <c r="A360" i="88"/>
  <c r="D359" i="88"/>
  <c r="C359" i="88"/>
  <c r="B359" i="88"/>
  <c r="A359" i="88"/>
  <c r="D358" i="88"/>
  <c r="C358" i="88"/>
  <c r="B358" i="88"/>
  <c r="A358" i="88"/>
  <c r="D357" i="88"/>
  <c r="C357" i="88"/>
  <c r="B357" i="88"/>
  <c r="A357" i="88"/>
  <c r="D356" i="88"/>
  <c r="C356" i="88"/>
  <c r="B356" i="88"/>
  <c r="A356" i="88"/>
  <c r="D355" i="88"/>
  <c r="C355" i="88"/>
  <c r="B355" i="88"/>
  <c r="A355" i="88"/>
  <c r="D354" i="88"/>
  <c r="C354" i="88"/>
  <c r="B354" i="88"/>
  <c r="A354" i="88"/>
  <c r="D353" i="88"/>
  <c r="C353" i="88"/>
  <c r="B353" i="88"/>
  <c r="A353" i="88"/>
  <c r="D352" i="88"/>
  <c r="C352" i="88"/>
  <c r="B352" i="88"/>
  <c r="A352" i="88"/>
  <c r="D351" i="88"/>
  <c r="C351" i="88"/>
  <c r="B351" i="88"/>
  <c r="A351" i="88"/>
  <c r="D350" i="88"/>
  <c r="C350" i="88"/>
  <c r="B350" i="88"/>
  <c r="A350" i="88"/>
  <c r="D349" i="88"/>
  <c r="C349" i="88"/>
  <c r="B349" i="88"/>
  <c r="A349" i="88"/>
  <c r="D348" i="88"/>
  <c r="C348" i="88"/>
  <c r="B348" i="88"/>
  <c r="A348" i="88"/>
  <c r="D347" i="88"/>
  <c r="C347" i="88"/>
  <c r="B347" i="88"/>
  <c r="A347" i="88"/>
  <c r="D346" i="88"/>
  <c r="C346" i="88"/>
  <c r="B346" i="88"/>
  <c r="A346" i="88"/>
  <c r="D345" i="88"/>
  <c r="C345" i="88"/>
  <c r="B345" i="88"/>
  <c r="A345" i="88"/>
  <c r="D344" i="88"/>
  <c r="C344" i="88"/>
  <c r="B344" i="88"/>
  <c r="A344" i="88"/>
  <c r="D343" i="88"/>
  <c r="C343" i="88"/>
  <c r="B343" i="88"/>
  <c r="A343" i="88"/>
  <c r="D342" i="88"/>
  <c r="C342" i="88"/>
  <c r="B342" i="88"/>
  <c r="A342" i="88"/>
  <c r="D341" i="88"/>
  <c r="C341" i="88"/>
  <c r="B341" i="88"/>
  <c r="A341" i="88"/>
  <c r="D340" i="88"/>
  <c r="C340" i="88"/>
  <c r="B340" i="88"/>
  <c r="A340" i="88"/>
  <c r="D339" i="88"/>
  <c r="C339" i="88"/>
  <c r="B339" i="88"/>
  <c r="A339" i="88"/>
  <c r="D338" i="88"/>
  <c r="C338" i="88"/>
  <c r="B338" i="88"/>
  <c r="A338" i="88"/>
  <c r="D337" i="88"/>
  <c r="C337" i="88"/>
  <c r="B337" i="88"/>
  <c r="A337" i="88"/>
  <c r="D336" i="88"/>
  <c r="C336" i="88"/>
  <c r="B336" i="88"/>
  <c r="A336" i="88"/>
  <c r="D335" i="88"/>
  <c r="C335" i="88"/>
  <c r="B335" i="88"/>
  <c r="A335" i="88"/>
  <c r="D334" i="88"/>
  <c r="C334" i="88"/>
  <c r="B334" i="88"/>
  <c r="A334" i="88"/>
  <c r="D333" i="88"/>
  <c r="C333" i="88"/>
  <c r="B333" i="88"/>
  <c r="A333" i="88"/>
  <c r="D332" i="88"/>
  <c r="C332" i="88"/>
  <c r="B332" i="88"/>
  <c r="A332" i="88"/>
  <c r="D331" i="88"/>
  <c r="C331" i="88"/>
  <c r="B331" i="88"/>
  <c r="A331" i="88"/>
  <c r="D330" i="88"/>
  <c r="C330" i="88"/>
  <c r="B330" i="88"/>
  <c r="A330" i="88"/>
  <c r="D329" i="88"/>
  <c r="C329" i="88"/>
  <c r="B329" i="88"/>
  <c r="A329" i="88"/>
  <c r="D328" i="88"/>
  <c r="C328" i="88"/>
  <c r="B328" i="88"/>
  <c r="A328" i="88"/>
  <c r="D327" i="88"/>
  <c r="C327" i="88"/>
  <c r="B327" i="88"/>
  <c r="A327" i="88"/>
  <c r="D326" i="88"/>
  <c r="C326" i="88"/>
  <c r="B326" i="88"/>
  <c r="A326" i="88"/>
  <c r="D325" i="88"/>
  <c r="C325" i="88"/>
  <c r="B325" i="88"/>
  <c r="A325" i="88"/>
  <c r="D324" i="88"/>
  <c r="C324" i="88"/>
  <c r="B324" i="88"/>
  <c r="A324" i="88"/>
  <c r="D323" i="88"/>
  <c r="C323" i="88"/>
  <c r="B323" i="88"/>
  <c r="A323" i="88"/>
  <c r="D322" i="88"/>
  <c r="C322" i="88"/>
  <c r="B322" i="88"/>
  <c r="A322" i="88"/>
  <c r="D321" i="88"/>
  <c r="C321" i="88"/>
  <c r="B321" i="88"/>
  <c r="A321" i="88"/>
  <c r="D320" i="88"/>
  <c r="C320" i="88"/>
  <c r="B320" i="88"/>
  <c r="A320" i="88"/>
  <c r="D319" i="88"/>
  <c r="C319" i="88"/>
  <c r="B319" i="88"/>
  <c r="A319" i="88"/>
  <c r="D318" i="88"/>
  <c r="C318" i="88"/>
  <c r="B318" i="88"/>
  <c r="A318" i="88"/>
  <c r="D317" i="88"/>
  <c r="C317" i="88"/>
  <c r="B317" i="88"/>
  <c r="A317" i="88"/>
  <c r="D316" i="88"/>
  <c r="C316" i="88"/>
  <c r="B316" i="88"/>
  <c r="A316" i="88"/>
  <c r="D315" i="88"/>
  <c r="C315" i="88"/>
  <c r="B315" i="88"/>
  <c r="A315" i="88"/>
  <c r="D314" i="88"/>
  <c r="C314" i="88"/>
  <c r="B314" i="88"/>
  <c r="A314" i="88"/>
  <c r="D313" i="88"/>
  <c r="C313" i="88"/>
  <c r="B313" i="88"/>
  <c r="A313" i="88"/>
  <c r="D312" i="88"/>
  <c r="C312" i="88"/>
  <c r="B312" i="88"/>
  <c r="A312" i="88"/>
  <c r="D311" i="88"/>
  <c r="C311" i="88"/>
  <c r="B311" i="88"/>
  <c r="A311" i="88"/>
  <c r="D310" i="88"/>
  <c r="C310" i="88"/>
  <c r="B310" i="88"/>
  <c r="A310" i="88"/>
  <c r="D309" i="88"/>
  <c r="C309" i="88"/>
  <c r="B309" i="88"/>
  <c r="A309" i="88"/>
  <c r="D308" i="88"/>
  <c r="C308" i="88"/>
  <c r="B308" i="88"/>
  <c r="A308" i="88"/>
  <c r="D307" i="88"/>
  <c r="C307" i="88"/>
  <c r="B307" i="88"/>
  <c r="A307" i="88"/>
  <c r="D306" i="88"/>
  <c r="C306" i="88"/>
  <c r="B306" i="88"/>
  <c r="A306" i="88"/>
  <c r="D305" i="88"/>
  <c r="C305" i="88"/>
  <c r="B305" i="88"/>
  <c r="A305" i="88"/>
  <c r="D304" i="88"/>
  <c r="C304" i="88"/>
  <c r="B304" i="88"/>
  <c r="A304" i="88"/>
  <c r="D303" i="88"/>
  <c r="C303" i="88"/>
  <c r="B303" i="88"/>
  <c r="A303" i="88"/>
  <c r="D302" i="88"/>
  <c r="C302" i="88"/>
  <c r="B302" i="88"/>
  <c r="A302" i="88"/>
  <c r="D301" i="88"/>
  <c r="C301" i="88"/>
  <c r="B301" i="88"/>
  <c r="A301" i="88"/>
  <c r="D300" i="88"/>
  <c r="C300" i="88"/>
  <c r="B300" i="88"/>
  <c r="A300" i="88"/>
  <c r="D299" i="88"/>
  <c r="C299" i="88"/>
  <c r="B299" i="88"/>
  <c r="A299" i="88"/>
  <c r="D298" i="88"/>
  <c r="C298" i="88"/>
  <c r="B298" i="88"/>
  <c r="A298" i="88"/>
  <c r="D297" i="88"/>
  <c r="C297" i="88"/>
  <c r="B297" i="88"/>
  <c r="A297" i="88"/>
  <c r="D296" i="88"/>
  <c r="C296" i="88"/>
  <c r="B296" i="88"/>
  <c r="A296" i="88"/>
  <c r="D295" i="88"/>
  <c r="C295" i="88"/>
  <c r="B295" i="88"/>
  <c r="A295" i="88"/>
  <c r="D294" i="88"/>
  <c r="C294" i="88"/>
  <c r="B294" i="88"/>
  <c r="A294" i="88"/>
  <c r="D293" i="88"/>
  <c r="C293" i="88"/>
  <c r="B293" i="88"/>
  <c r="A293" i="88"/>
  <c r="D292" i="88"/>
  <c r="C292" i="88"/>
  <c r="B292" i="88"/>
  <c r="A292" i="88"/>
  <c r="D291" i="88"/>
  <c r="C291" i="88"/>
  <c r="B291" i="88"/>
  <c r="A291" i="88"/>
  <c r="D290" i="88"/>
  <c r="C290" i="88"/>
  <c r="B290" i="88"/>
  <c r="A290" i="88"/>
  <c r="D289" i="88"/>
  <c r="C289" i="88"/>
  <c r="B289" i="88"/>
  <c r="A289" i="88"/>
  <c r="D288" i="88"/>
  <c r="C288" i="88"/>
  <c r="B288" i="88"/>
  <c r="A288" i="88"/>
  <c r="D287" i="88"/>
  <c r="C287" i="88"/>
  <c r="B287" i="88"/>
  <c r="A287" i="88"/>
  <c r="D286" i="88"/>
  <c r="C286" i="88"/>
  <c r="B286" i="88"/>
  <c r="A286" i="88"/>
  <c r="D285" i="88"/>
  <c r="C285" i="88"/>
  <c r="B285" i="88"/>
  <c r="A285" i="88"/>
  <c r="D284" i="88"/>
  <c r="C284" i="88"/>
  <c r="B284" i="88"/>
  <c r="A284" i="88"/>
  <c r="D283" i="88"/>
  <c r="C283" i="88"/>
  <c r="B283" i="88"/>
  <c r="A283" i="88"/>
  <c r="D282" i="88"/>
  <c r="C282" i="88"/>
  <c r="B282" i="88"/>
  <c r="A282" i="88"/>
  <c r="D281" i="88"/>
  <c r="C281" i="88"/>
  <c r="B281" i="88"/>
  <c r="A281" i="88"/>
  <c r="D280" i="88"/>
  <c r="C280" i="88"/>
  <c r="B280" i="88"/>
  <c r="A280" i="88"/>
  <c r="D279" i="88"/>
  <c r="C279" i="88"/>
  <c r="B279" i="88"/>
  <c r="A279" i="88"/>
  <c r="D278" i="88"/>
  <c r="C278" i="88"/>
  <c r="B278" i="88"/>
  <c r="A278" i="88"/>
  <c r="D277" i="88"/>
  <c r="C277" i="88"/>
  <c r="B277" i="88"/>
  <c r="A277" i="88"/>
  <c r="D276" i="88"/>
  <c r="C276" i="88"/>
  <c r="B276" i="88"/>
  <c r="A276" i="88"/>
  <c r="D275" i="88"/>
  <c r="C275" i="88"/>
  <c r="B275" i="88"/>
  <c r="A275" i="88"/>
  <c r="D274" i="88"/>
  <c r="C274" i="88"/>
  <c r="B274" i="88"/>
  <c r="A274" i="88"/>
  <c r="D273" i="88"/>
  <c r="C273" i="88"/>
  <c r="B273" i="88"/>
  <c r="A273" i="88"/>
  <c r="D272" i="88"/>
  <c r="C272" i="88"/>
  <c r="B272" i="88"/>
  <c r="A272" i="88"/>
  <c r="D271" i="88"/>
  <c r="C271" i="88"/>
  <c r="B271" i="88"/>
  <c r="A271" i="88"/>
  <c r="D270" i="88"/>
  <c r="C270" i="88"/>
  <c r="B270" i="88"/>
  <c r="A270" i="88"/>
  <c r="D269" i="88"/>
  <c r="C269" i="88"/>
  <c r="B269" i="88"/>
  <c r="A269" i="88"/>
  <c r="D268" i="88"/>
  <c r="C268" i="88"/>
  <c r="B268" i="88"/>
  <c r="A268" i="88"/>
  <c r="D267" i="88"/>
  <c r="C267" i="88"/>
  <c r="B267" i="88"/>
  <c r="A267" i="88"/>
  <c r="D266" i="88"/>
  <c r="C266" i="88"/>
  <c r="B266" i="88"/>
  <c r="A266" i="88"/>
  <c r="D265" i="88"/>
  <c r="C265" i="88"/>
  <c r="B265" i="88"/>
  <c r="A265" i="88"/>
  <c r="D264" i="88"/>
  <c r="C264" i="88"/>
  <c r="B264" i="88"/>
  <c r="A264" i="88"/>
  <c r="D263" i="88"/>
  <c r="C263" i="88"/>
  <c r="B263" i="88"/>
  <c r="A263" i="88"/>
  <c r="D262" i="88"/>
  <c r="C262" i="88"/>
  <c r="B262" i="88"/>
  <c r="A262" i="88"/>
  <c r="D261" i="88"/>
  <c r="C261" i="88"/>
  <c r="B261" i="88"/>
  <c r="A261" i="88"/>
  <c r="D260" i="88"/>
  <c r="C260" i="88"/>
  <c r="B260" i="88"/>
  <c r="A260" i="88"/>
  <c r="D259" i="88"/>
  <c r="C259" i="88"/>
  <c r="B259" i="88"/>
  <c r="A259" i="88"/>
  <c r="D258" i="88"/>
  <c r="C258" i="88"/>
  <c r="B258" i="88"/>
  <c r="A258" i="88"/>
  <c r="D257" i="88"/>
  <c r="C257" i="88"/>
  <c r="B257" i="88"/>
  <c r="A257" i="88"/>
  <c r="D256" i="88"/>
  <c r="C256" i="88"/>
  <c r="B256" i="88"/>
  <c r="A256" i="88"/>
  <c r="D255" i="88"/>
  <c r="C255" i="88"/>
  <c r="B255" i="88"/>
  <c r="A255" i="88"/>
  <c r="D254" i="88"/>
  <c r="C254" i="88"/>
  <c r="B254" i="88"/>
  <c r="A254" i="88"/>
  <c r="D253" i="88"/>
  <c r="C253" i="88"/>
  <c r="B253" i="88"/>
  <c r="A253" i="88"/>
  <c r="D252" i="88"/>
  <c r="C252" i="88"/>
  <c r="B252" i="88"/>
  <c r="A252" i="88"/>
  <c r="D251" i="88"/>
  <c r="C251" i="88"/>
  <c r="B251" i="88"/>
  <c r="A251" i="88"/>
  <c r="D250" i="88"/>
  <c r="C250" i="88"/>
  <c r="B250" i="88"/>
  <c r="A250" i="88"/>
  <c r="D249" i="88"/>
  <c r="C249" i="88"/>
  <c r="B249" i="88"/>
  <c r="A249" i="88"/>
  <c r="D248" i="88"/>
  <c r="C248" i="88"/>
  <c r="B248" i="88"/>
  <c r="A248" i="88"/>
  <c r="D247" i="88"/>
  <c r="C247" i="88"/>
  <c r="B247" i="88"/>
  <c r="A247" i="88"/>
  <c r="D246" i="88"/>
  <c r="C246" i="88"/>
  <c r="B246" i="88"/>
  <c r="A246" i="88"/>
  <c r="D245" i="88"/>
  <c r="C245" i="88"/>
  <c r="B245" i="88"/>
  <c r="A245" i="88"/>
  <c r="D244" i="88"/>
  <c r="C244" i="88"/>
  <c r="B244" i="88"/>
  <c r="A244" i="88"/>
  <c r="D243" i="88"/>
  <c r="C243" i="88"/>
  <c r="B243" i="88"/>
  <c r="A243" i="88"/>
  <c r="D242" i="88"/>
  <c r="C242" i="88"/>
  <c r="B242" i="88"/>
  <c r="A242" i="88"/>
  <c r="D241" i="88"/>
  <c r="C241" i="88"/>
  <c r="B241" i="88"/>
  <c r="A241" i="88"/>
  <c r="D240" i="88"/>
  <c r="C240" i="88"/>
  <c r="B240" i="88"/>
  <c r="A240" i="88"/>
  <c r="D239" i="88"/>
  <c r="C239" i="88"/>
  <c r="B239" i="88"/>
  <c r="A239" i="88"/>
  <c r="D238" i="88"/>
  <c r="C238" i="88"/>
  <c r="B238" i="88"/>
  <c r="A238" i="88"/>
  <c r="D237" i="88"/>
  <c r="C237" i="88"/>
  <c r="B237" i="88"/>
  <c r="A237" i="88"/>
  <c r="D236" i="88"/>
  <c r="C236" i="88"/>
  <c r="B236" i="88"/>
  <c r="A236" i="88"/>
  <c r="D235" i="88"/>
  <c r="C235" i="88"/>
  <c r="B235" i="88"/>
  <c r="A235" i="88"/>
  <c r="D234" i="88"/>
  <c r="C234" i="88"/>
  <c r="B234" i="88"/>
  <c r="A234" i="88"/>
  <c r="D233" i="88"/>
  <c r="C233" i="88"/>
  <c r="B233" i="88"/>
  <c r="A233" i="88"/>
  <c r="D232" i="88"/>
  <c r="C232" i="88"/>
  <c r="B232" i="88"/>
  <c r="A232" i="88"/>
  <c r="D231" i="88"/>
  <c r="C231" i="88"/>
  <c r="B231" i="88"/>
  <c r="A231" i="88"/>
  <c r="D230" i="88"/>
  <c r="C230" i="88"/>
  <c r="B230" i="88"/>
  <c r="A230" i="88"/>
  <c r="D229" i="88"/>
  <c r="C229" i="88"/>
  <c r="B229" i="88"/>
  <c r="A229" i="88"/>
  <c r="D228" i="88"/>
  <c r="C228" i="88"/>
  <c r="B228" i="88"/>
  <c r="A228" i="88"/>
  <c r="D227" i="88"/>
  <c r="C227" i="88"/>
  <c r="B227" i="88"/>
  <c r="A227" i="88"/>
  <c r="D226" i="88"/>
  <c r="C226" i="88"/>
  <c r="B226" i="88"/>
  <c r="A226" i="88"/>
  <c r="D225" i="88"/>
  <c r="C225" i="88"/>
  <c r="B225" i="88"/>
  <c r="A225" i="88"/>
  <c r="D224" i="88"/>
  <c r="C224" i="88"/>
  <c r="B224" i="88"/>
  <c r="A224" i="88"/>
  <c r="D223" i="88"/>
  <c r="C223" i="88"/>
  <c r="B223" i="88"/>
  <c r="A223" i="88"/>
  <c r="D222" i="88"/>
  <c r="C222" i="88"/>
  <c r="B222" i="88"/>
  <c r="A222" i="88"/>
  <c r="D221" i="88"/>
  <c r="C221" i="88"/>
  <c r="B221" i="88"/>
  <c r="A221" i="88"/>
  <c r="D220" i="88"/>
  <c r="C220" i="88"/>
  <c r="B220" i="88"/>
  <c r="A220" i="88"/>
  <c r="D219" i="88"/>
  <c r="C219" i="88"/>
  <c r="B219" i="88"/>
  <c r="A219" i="88"/>
  <c r="D218" i="88"/>
  <c r="C218" i="88"/>
  <c r="B218" i="88"/>
  <c r="A218" i="88"/>
  <c r="D217" i="88"/>
  <c r="C217" i="88"/>
  <c r="B217" i="88"/>
  <c r="A217" i="88"/>
  <c r="D216" i="88"/>
  <c r="C216" i="88"/>
  <c r="B216" i="88"/>
  <c r="A216" i="88"/>
  <c r="D215" i="88"/>
  <c r="C215" i="88"/>
  <c r="B215" i="88"/>
  <c r="A215" i="88"/>
  <c r="D214" i="88"/>
  <c r="C214" i="88"/>
  <c r="B214" i="88"/>
  <c r="A214" i="88"/>
  <c r="D213" i="88"/>
  <c r="C213" i="88"/>
  <c r="B213" i="88"/>
  <c r="A213" i="88"/>
  <c r="D212" i="88"/>
  <c r="C212" i="88"/>
  <c r="B212" i="88"/>
  <c r="A212" i="88"/>
  <c r="D211" i="88"/>
  <c r="C211" i="88"/>
  <c r="B211" i="88"/>
  <c r="A211" i="88"/>
  <c r="D210" i="88"/>
  <c r="C210" i="88"/>
  <c r="B210" i="88"/>
  <c r="A210" i="88"/>
  <c r="D209" i="88"/>
  <c r="C209" i="88"/>
  <c r="B209" i="88"/>
  <c r="A209" i="88"/>
  <c r="D208" i="88"/>
  <c r="C208" i="88"/>
  <c r="B208" i="88"/>
  <c r="A208" i="88"/>
  <c r="D207" i="88"/>
  <c r="C207" i="88"/>
  <c r="B207" i="88"/>
  <c r="A207" i="88"/>
  <c r="D206" i="88"/>
  <c r="C206" i="88"/>
  <c r="B206" i="88"/>
  <c r="A206" i="88"/>
  <c r="D205" i="88"/>
  <c r="C205" i="88"/>
  <c r="B205" i="88"/>
  <c r="A205" i="88"/>
  <c r="D204" i="88"/>
  <c r="C204" i="88"/>
  <c r="B204" i="88"/>
  <c r="A204" i="88"/>
  <c r="D203" i="88"/>
  <c r="C203" i="88"/>
  <c r="B203" i="88"/>
  <c r="A203" i="88"/>
  <c r="D202" i="88"/>
  <c r="C202" i="88"/>
  <c r="B202" i="88"/>
  <c r="A202" i="88"/>
  <c r="D201" i="88"/>
  <c r="C201" i="88"/>
  <c r="B201" i="88"/>
  <c r="A201" i="88"/>
  <c r="D200" i="88"/>
  <c r="C200" i="88"/>
  <c r="B200" i="88"/>
  <c r="A200" i="88"/>
  <c r="D199" i="88"/>
  <c r="C199" i="88"/>
  <c r="B199" i="88"/>
  <c r="A199" i="88"/>
  <c r="D198" i="88"/>
  <c r="C198" i="88"/>
  <c r="B198" i="88"/>
  <c r="A198" i="88"/>
  <c r="D197" i="88"/>
  <c r="C197" i="88"/>
  <c r="B197" i="88"/>
  <c r="A197" i="88"/>
  <c r="D196" i="88"/>
  <c r="C196" i="88"/>
  <c r="B196" i="88"/>
  <c r="A196" i="88"/>
  <c r="D195" i="88"/>
  <c r="C195" i="88"/>
  <c r="B195" i="88"/>
  <c r="A195" i="88"/>
  <c r="D194" i="88"/>
  <c r="C194" i="88"/>
  <c r="B194" i="88"/>
  <c r="A194" i="88"/>
  <c r="D193" i="88"/>
  <c r="C193" i="88"/>
  <c r="B193" i="88"/>
  <c r="A193" i="88"/>
  <c r="D192" i="88"/>
  <c r="C192" i="88"/>
  <c r="B192" i="88"/>
  <c r="A192" i="88"/>
  <c r="D191" i="88"/>
  <c r="C191" i="88"/>
  <c r="B191" i="88"/>
  <c r="A191" i="88"/>
  <c r="D190" i="88"/>
  <c r="C190" i="88"/>
  <c r="B190" i="88"/>
  <c r="A190" i="88"/>
  <c r="D189" i="88"/>
  <c r="C189" i="88"/>
  <c r="B189" i="88"/>
  <c r="A189" i="88"/>
  <c r="D188" i="88"/>
  <c r="C188" i="88"/>
  <c r="B188" i="88"/>
  <c r="A188" i="88"/>
  <c r="D187" i="88"/>
  <c r="C187" i="88"/>
  <c r="B187" i="88"/>
  <c r="A187" i="88"/>
  <c r="D186" i="88"/>
  <c r="C186" i="88"/>
  <c r="B186" i="88"/>
  <c r="A186" i="88"/>
  <c r="D185" i="88"/>
  <c r="C185" i="88"/>
  <c r="B185" i="88"/>
  <c r="A185" i="88"/>
  <c r="D184" i="88"/>
  <c r="C184" i="88"/>
  <c r="B184" i="88"/>
  <c r="A184" i="88"/>
  <c r="D183" i="88"/>
  <c r="C183" i="88"/>
  <c r="B183" i="88"/>
  <c r="A183" i="88"/>
  <c r="D182" i="88"/>
  <c r="C182" i="88"/>
  <c r="B182" i="88"/>
  <c r="A182" i="88"/>
  <c r="D181" i="88"/>
  <c r="C181" i="88"/>
  <c r="B181" i="88"/>
  <c r="A181" i="88"/>
  <c r="D180" i="88"/>
  <c r="C180" i="88"/>
  <c r="B180" i="88"/>
  <c r="A180" i="88"/>
  <c r="D179" i="88"/>
  <c r="C179" i="88"/>
  <c r="B179" i="88"/>
  <c r="A179" i="88"/>
  <c r="D178" i="88"/>
  <c r="C178" i="88"/>
  <c r="B178" i="88"/>
  <c r="A178" i="88"/>
  <c r="D177" i="88"/>
  <c r="C177" i="88"/>
  <c r="B177" i="88"/>
  <c r="A177" i="88"/>
  <c r="D176" i="88"/>
  <c r="C176" i="88"/>
  <c r="B176" i="88"/>
  <c r="A176" i="88"/>
  <c r="D175" i="88"/>
  <c r="C175" i="88"/>
  <c r="B175" i="88"/>
  <c r="A175" i="88"/>
  <c r="D174" i="88"/>
  <c r="C174" i="88"/>
  <c r="B174" i="88"/>
  <c r="A174" i="88"/>
  <c r="D173" i="88"/>
  <c r="C173" i="88"/>
  <c r="B173" i="88"/>
  <c r="A173" i="88"/>
  <c r="D172" i="88"/>
  <c r="C172" i="88"/>
  <c r="B172" i="88"/>
  <c r="A172" i="88"/>
  <c r="D171" i="88"/>
  <c r="C171" i="88"/>
  <c r="B171" i="88"/>
  <c r="A171" i="88"/>
  <c r="D170" i="88"/>
  <c r="C170" i="88"/>
  <c r="B170" i="88"/>
  <c r="A170" i="88"/>
  <c r="D169" i="88"/>
  <c r="C169" i="88"/>
  <c r="B169" i="88"/>
  <c r="A169" i="88"/>
  <c r="D168" i="88"/>
  <c r="C168" i="88"/>
  <c r="B168" i="88"/>
  <c r="A168" i="88"/>
  <c r="D167" i="88"/>
  <c r="C167" i="88"/>
  <c r="B167" i="88"/>
  <c r="A167" i="88"/>
  <c r="D166" i="88"/>
  <c r="C166" i="88"/>
  <c r="B166" i="88"/>
  <c r="A166" i="88"/>
  <c r="D165" i="88"/>
  <c r="C165" i="88"/>
  <c r="B165" i="88"/>
  <c r="A165" i="88"/>
  <c r="D164" i="88"/>
  <c r="C164" i="88"/>
  <c r="B164" i="88"/>
  <c r="A164" i="88"/>
  <c r="D163" i="88"/>
  <c r="C163" i="88"/>
  <c r="B163" i="88"/>
  <c r="A163" i="88"/>
  <c r="D162" i="88"/>
  <c r="C162" i="88"/>
  <c r="B162" i="88"/>
  <c r="A162" i="88"/>
  <c r="D161" i="88"/>
  <c r="C161" i="88"/>
  <c r="B161" i="88"/>
  <c r="A161" i="88"/>
  <c r="D160" i="88"/>
  <c r="C160" i="88"/>
  <c r="B160" i="88"/>
  <c r="A160" i="88"/>
  <c r="D159" i="88"/>
  <c r="C159" i="88"/>
  <c r="B159" i="88"/>
  <c r="A159" i="88"/>
  <c r="D158" i="88"/>
  <c r="C158" i="88"/>
  <c r="B158" i="88"/>
  <c r="A158" i="88"/>
  <c r="D157" i="88"/>
  <c r="C157" i="88"/>
  <c r="B157" i="88"/>
  <c r="A157" i="88"/>
  <c r="D156" i="88"/>
  <c r="C156" i="88"/>
  <c r="B156" i="88"/>
  <c r="A156" i="88"/>
  <c r="D155" i="88"/>
  <c r="C155" i="88"/>
  <c r="B155" i="88"/>
  <c r="A155" i="88"/>
  <c r="D154" i="88"/>
  <c r="C154" i="88"/>
  <c r="B154" i="88"/>
  <c r="A154" i="88"/>
  <c r="D153" i="88"/>
  <c r="C153" i="88"/>
  <c r="B153" i="88"/>
  <c r="A153" i="88"/>
  <c r="D152" i="88"/>
  <c r="C152" i="88"/>
  <c r="B152" i="88"/>
  <c r="A152" i="88"/>
  <c r="D151" i="88"/>
  <c r="C151" i="88"/>
  <c r="B151" i="88"/>
  <c r="A151" i="88"/>
  <c r="D150" i="88"/>
  <c r="C150" i="88"/>
  <c r="B150" i="88"/>
  <c r="A150" i="88"/>
  <c r="D149" i="88"/>
  <c r="C149" i="88"/>
  <c r="B149" i="88"/>
  <c r="A149" i="88"/>
  <c r="D148" i="88"/>
  <c r="C148" i="88"/>
  <c r="B148" i="88"/>
  <c r="A148" i="88"/>
  <c r="D147" i="88"/>
  <c r="C147" i="88"/>
  <c r="B147" i="88"/>
  <c r="A147" i="88"/>
  <c r="D146" i="88"/>
  <c r="C146" i="88"/>
  <c r="B146" i="88"/>
  <c r="A146" i="88"/>
  <c r="D145" i="88"/>
  <c r="C145" i="88"/>
  <c r="B145" i="88"/>
  <c r="A145" i="88"/>
  <c r="D144" i="88"/>
  <c r="C144" i="88"/>
  <c r="B144" i="88"/>
  <c r="A144" i="88"/>
  <c r="D143" i="88"/>
  <c r="C143" i="88"/>
  <c r="B143" i="88"/>
  <c r="A143" i="88"/>
  <c r="D142" i="88"/>
  <c r="C142" i="88"/>
  <c r="B142" i="88"/>
  <c r="A142" i="88"/>
  <c r="D141" i="88"/>
  <c r="C141" i="88"/>
  <c r="B141" i="88"/>
  <c r="A141" i="88"/>
  <c r="D140" i="88"/>
  <c r="C140" i="88"/>
  <c r="B140" i="88"/>
  <c r="A140" i="88"/>
  <c r="D139" i="88"/>
  <c r="C139" i="88"/>
  <c r="B139" i="88"/>
  <c r="A139" i="88"/>
  <c r="D138" i="88"/>
  <c r="C138" i="88"/>
  <c r="B138" i="88"/>
  <c r="A138" i="88"/>
  <c r="D137" i="88"/>
  <c r="C137" i="88"/>
  <c r="B137" i="88"/>
  <c r="A137" i="88"/>
  <c r="D136" i="88"/>
  <c r="C136" i="88"/>
  <c r="B136" i="88"/>
  <c r="A136" i="88"/>
  <c r="D135" i="88"/>
  <c r="C135" i="88"/>
  <c r="B135" i="88"/>
  <c r="A135" i="88"/>
  <c r="D134" i="88"/>
  <c r="C134" i="88"/>
  <c r="B134" i="88"/>
  <c r="A134" i="88"/>
  <c r="D133" i="88"/>
  <c r="C133" i="88"/>
  <c r="B133" i="88"/>
  <c r="A133" i="88"/>
  <c r="D132" i="88"/>
  <c r="C132" i="88"/>
  <c r="B132" i="88"/>
  <c r="A132" i="88"/>
  <c r="D131" i="88"/>
  <c r="C131" i="88"/>
  <c r="B131" i="88"/>
  <c r="A131" i="88"/>
  <c r="D130" i="88"/>
  <c r="C130" i="88"/>
  <c r="B130" i="88"/>
  <c r="A130" i="88"/>
  <c r="D129" i="88"/>
  <c r="C129" i="88"/>
  <c r="B129" i="88"/>
  <c r="A129" i="88"/>
  <c r="D128" i="88"/>
  <c r="C128" i="88"/>
  <c r="B128" i="88"/>
  <c r="A128" i="88"/>
  <c r="D127" i="88"/>
  <c r="C127" i="88"/>
  <c r="B127" i="88"/>
  <c r="A127" i="88"/>
  <c r="D126" i="88"/>
  <c r="C126" i="88"/>
  <c r="B126" i="88"/>
  <c r="A126" i="88"/>
  <c r="D125" i="88"/>
  <c r="C125" i="88"/>
  <c r="B125" i="88"/>
  <c r="A125" i="88"/>
  <c r="D124" i="88"/>
  <c r="C124" i="88"/>
  <c r="B124" i="88"/>
  <c r="A124" i="88"/>
  <c r="D123" i="88"/>
  <c r="C123" i="88"/>
  <c r="B123" i="88"/>
  <c r="A123" i="88"/>
  <c r="D122" i="88"/>
  <c r="C122" i="88"/>
  <c r="B122" i="88"/>
  <c r="A122" i="88"/>
  <c r="D121" i="88"/>
  <c r="C121" i="88"/>
  <c r="B121" i="88"/>
  <c r="A121" i="88"/>
  <c r="D120" i="88"/>
  <c r="C120" i="88"/>
  <c r="B120" i="88"/>
  <c r="A120" i="88"/>
  <c r="D119" i="88"/>
  <c r="C119" i="88"/>
  <c r="B119" i="88"/>
  <c r="A119" i="88"/>
  <c r="D118" i="88"/>
  <c r="C118" i="88"/>
  <c r="B118" i="88"/>
  <c r="A118" i="88"/>
  <c r="D117" i="88"/>
  <c r="C117" i="88"/>
  <c r="B117" i="88"/>
  <c r="A117" i="88"/>
  <c r="D116" i="88"/>
  <c r="C116" i="88"/>
  <c r="B116" i="88"/>
  <c r="A116" i="88"/>
  <c r="D115" i="88"/>
  <c r="C115" i="88"/>
  <c r="B115" i="88"/>
  <c r="A115" i="88"/>
  <c r="D114" i="88"/>
  <c r="C114" i="88"/>
  <c r="B114" i="88"/>
  <c r="A114" i="88"/>
  <c r="D113" i="88"/>
  <c r="C113" i="88"/>
  <c r="B113" i="88"/>
  <c r="A113" i="88"/>
  <c r="D112" i="88"/>
  <c r="C112" i="88"/>
  <c r="B112" i="88"/>
  <c r="A112" i="88"/>
  <c r="D111" i="88"/>
  <c r="C111" i="88"/>
  <c r="B111" i="88"/>
  <c r="A111" i="88"/>
  <c r="D110" i="88"/>
  <c r="C110" i="88"/>
  <c r="B110" i="88"/>
  <c r="A110" i="88"/>
  <c r="D109" i="88"/>
  <c r="C109" i="88"/>
  <c r="B109" i="88"/>
  <c r="A109" i="88"/>
  <c r="D108" i="88"/>
  <c r="C108" i="88"/>
  <c r="B108" i="88"/>
  <c r="A108" i="88"/>
  <c r="D107" i="88"/>
  <c r="C107" i="88"/>
  <c r="B107" i="88"/>
  <c r="A107" i="88"/>
  <c r="D106" i="88"/>
  <c r="C106" i="88"/>
  <c r="B106" i="88"/>
  <c r="A106" i="88"/>
  <c r="D105" i="88"/>
  <c r="C105" i="88"/>
  <c r="B105" i="88"/>
  <c r="A105" i="88"/>
  <c r="D104" i="88"/>
  <c r="C104" i="88"/>
  <c r="B104" i="88"/>
  <c r="A104" i="88"/>
  <c r="D103" i="88"/>
  <c r="C103" i="88"/>
  <c r="B103" i="88"/>
  <c r="A103" i="88"/>
  <c r="D102" i="88"/>
  <c r="C102" i="88"/>
  <c r="B102" i="88"/>
  <c r="A102" i="88"/>
  <c r="D101" i="88"/>
  <c r="C101" i="88"/>
  <c r="B101" i="88"/>
  <c r="A101" i="88"/>
  <c r="D100" i="88"/>
  <c r="C100" i="88"/>
  <c r="B100" i="88"/>
  <c r="A100" i="88"/>
  <c r="D99" i="88"/>
  <c r="C99" i="88"/>
  <c r="B99" i="88"/>
  <c r="A99" i="88"/>
  <c r="D98" i="88"/>
  <c r="C98" i="88"/>
  <c r="B98" i="88"/>
  <c r="A98" i="88"/>
  <c r="D97" i="88"/>
  <c r="C97" i="88"/>
  <c r="B97" i="88"/>
  <c r="A97" i="88"/>
  <c r="D96" i="88"/>
  <c r="C96" i="88"/>
  <c r="B96" i="88"/>
  <c r="A96" i="88"/>
  <c r="D95" i="88"/>
  <c r="C95" i="88"/>
  <c r="B95" i="88"/>
  <c r="A95" i="88"/>
  <c r="D94" i="88"/>
  <c r="C94" i="88"/>
  <c r="B94" i="88"/>
  <c r="A94" i="88"/>
  <c r="D93" i="88"/>
  <c r="C93" i="88"/>
  <c r="B93" i="88"/>
  <c r="A93" i="88"/>
  <c r="D92" i="88"/>
  <c r="C92" i="88"/>
  <c r="B92" i="88"/>
  <c r="A92" i="88"/>
  <c r="D91" i="88"/>
  <c r="C91" i="88"/>
  <c r="B91" i="88"/>
  <c r="A91" i="88"/>
  <c r="D90" i="88"/>
  <c r="C90" i="88"/>
  <c r="B90" i="88"/>
  <c r="A90" i="88"/>
  <c r="D89" i="88"/>
  <c r="C89" i="88"/>
  <c r="B89" i="88"/>
  <c r="A89" i="88"/>
  <c r="D88" i="88"/>
  <c r="C88" i="88"/>
  <c r="B88" i="88"/>
  <c r="A88" i="88"/>
  <c r="D87" i="88"/>
  <c r="C87" i="88"/>
  <c r="B87" i="88"/>
  <c r="A87" i="88"/>
  <c r="D86" i="88"/>
  <c r="C86" i="88"/>
  <c r="B86" i="88"/>
  <c r="A86" i="88"/>
  <c r="D85" i="88"/>
  <c r="C85" i="88"/>
  <c r="B85" i="88"/>
  <c r="A85" i="88"/>
  <c r="D84" i="88"/>
  <c r="C84" i="88"/>
  <c r="B84" i="88"/>
  <c r="A84" i="88"/>
  <c r="D83" i="88"/>
  <c r="C83" i="88"/>
  <c r="B83" i="88"/>
  <c r="A83" i="88"/>
  <c r="D82" i="88"/>
  <c r="C82" i="88"/>
  <c r="B82" i="88"/>
  <c r="A82" i="88"/>
  <c r="D81" i="88"/>
  <c r="C81" i="88"/>
  <c r="B81" i="88"/>
  <c r="A81" i="88"/>
  <c r="D80" i="88"/>
  <c r="C80" i="88"/>
  <c r="B80" i="88"/>
  <c r="A80" i="88"/>
  <c r="D79" i="88"/>
  <c r="C79" i="88"/>
  <c r="B79" i="88"/>
  <c r="A79" i="88"/>
  <c r="D78" i="88"/>
  <c r="C78" i="88"/>
  <c r="B78" i="88"/>
  <c r="A78" i="88"/>
  <c r="D77" i="88"/>
  <c r="C77" i="88"/>
  <c r="B77" i="88"/>
  <c r="A77" i="88"/>
  <c r="D76" i="88"/>
  <c r="C76" i="88"/>
  <c r="B76" i="88"/>
  <c r="A76" i="88"/>
  <c r="D75" i="88"/>
  <c r="C75" i="88"/>
  <c r="B75" i="88"/>
  <c r="A75" i="88"/>
  <c r="D74" i="88"/>
  <c r="C74" i="88"/>
  <c r="B74" i="88"/>
  <c r="A74" i="88"/>
  <c r="D73" i="88"/>
  <c r="C73" i="88"/>
  <c r="B73" i="88"/>
  <c r="A73" i="88"/>
  <c r="D72" i="88"/>
  <c r="C72" i="88"/>
  <c r="B72" i="88"/>
  <c r="A72" i="88"/>
  <c r="D71" i="88"/>
  <c r="C71" i="88"/>
  <c r="B71" i="88"/>
  <c r="A71" i="88"/>
  <c r="D70" i="88"/>
  <c r="C70" i="88"/>
  <c r="B70" i="88"/>
  <c r="A70" i="88"/>
  <c r="D69" i="88"/>
  <c r="C69" i="88"/>
  <c r="B69" i="88"/>
  <c r="A69" i="88"/>
  <c r="D68" i="88"/>
  <c r="C68" i="88"/>
  <c r="B68" i="88"/>
  <c r="A68" i="88"/>
  <c r="D67" i="88"/>
  <c r="C67" i="88"/>
  <c r="B67" i="88"/>
  <c r="A67" i="88"/>
  <c r="D66" i="88"/>
  <c r="C66" i="88"/>
  <c r="B66" i="88"/>
  <c r="A66" i="88"/>
  <c r="D65" i="88"/>
  <c r="C65" i="88"/>
  <c r="B65" i="88"/>
  <c r="A65" i="88"/>
  <c r="D64" i="88"/>
  <c r="C64" i="88"/>
  <c r="B64" i="88"/>
  <c r="A64" i="88"/>
  <c r="D63" i="88"/>
  <c r="C63" i="88"/>
  <c r="B63" i="88"/>
  <c r="A63" i="88"/>
  <c r="D62" i="88"/>
  <c r="C62" i="88"/>
  <c r="B62" i="88"/>
  <c r="A62" i="88"/>
  <c r="D61" i="88"/>
  <c r="C61" i="88"/>
  <c r="B61" i="88"/>
  <c r="A61" i="88"/>
  <c r="D60" i="88"/>
  <c r="C60" i="88"/>
  <c r="B60" i="88"/>
  <c r="A60" i="88"/>
  <c r="D59" i="88"/>
  <c r="C59" i="88"/>
  <c r="B59" i="88"/>
  <c r="A59" i="88"/>
  <c r="D58" i="88"/>
  <c r="C58" i="88"/>
  <c r="B58" i="88"/>
  <c r="A58" i="88"/>
  <c r="D57" i="88"/>
  <c r="C57" i="88"/>
  <c r="B57" i="88"/>
  <c r="A57" i="88"/>
  <c r="D56" i="88"/>
  <c r="C56" i="88"/>
  <c r="B56" i="88"/>
  <c r="A56" i="88"/>
  <c r="D55" i="88"/>
  <c r="C55" i="88"/>
  <c r="B55" i="88"/>
  <c r="A55" i="88"/>
  <c r="D54" i="88"/>
  <c r="C54" i="88"/>
  <c r="B54" i="88"/>
  <c r="A54" i="88"/>
  <c r="D53" i="88"/>
  <c r="C53" i="88"/>
  <c r="B53" i="88"/>
  <c r="A53" i="88"/>
  <c r="D52" i="88"/>
  <c r="C52" i="88"/>
  <c r="B52" i="88"/>
  <c r="A52" i="88"/>
  <c r="D51" i="88"/>
  <c r="C51" i="88"/>
  <c r="B51" i="88"/>
  <c r="A51" i="88"/>
  <c r="D50" i="88"/>
  <c r="C50" i="88"/>
  <c r="B50" i="88"/>
  <c r="A50" i="88"/>
  <c r="D49" i="88"/>
  <c r="C49" i="88"/>
  <c r="B49" i="88"/>
  <c r="A49" i="88"/>
  <c r="D48" i="88"/>
  <c r="C48" i="88"/>
  <c r="B48" i="88"/>
  <c r="A48" i="88"/>
  <c r="D47" i="88"/>
  <c r="C47" i="88"/>
  <c r="B47" i="88"/>
  <c r="A47" i="88"/>
  <c r="D46" i="88"/>
  <c r="C46" i="88"/>
  <c r="B46" i="88"/>
  <c r="A46" i="88"/>
  <c r="D45" i="88"/>
  <c r="C45" i="88"/>
  <c r="B45" i="88"/>
  <c r="A45" i="88"/>
  <c r="D44" i="88"/>
  <c r="C44" i="88"/>
  <c r="B44" i="88"/>
  <c r="A44" i="88"/>
  <c r="D43" i="88"/>
  <c r="C43" i="88"/>
  <c r="B43" i="88"/>
  <c r="A43" i="88"/>
  <c r="D42" i="88"/>
  <c r="C42" i="88"/>
  <c r="B42" i="88"/>
  <c r="A42" i="88"/>
  <c r="D41" i="88"/>
  <c r="C41" i="88"/>
  <c r="B41" i="88"/>
  <c r="A41" i="88"/>
  <c r="D40" i="88"/>
  <c r="C40" i="88"/>
  <c r="B40" i="88"/>
  <c r="A40" i="88"/>
  <c r="A6" i="88"/>
  <c r="B6" i="88"/>
  <c r="C6" i="88"/>
  <c r="D6" i="88"/>
  <c r="A7" i="88"/>
  <c r="B7" i="88"/>
  <c r="C7" i="88"/>
  <c r="D7" i="88"/>
  <c r="A8" i="88"/>
  <c r="B8" i="88"/>
  <c r="C8" i="88"/>
  <c r="D8" i="88"/>
  <c r="A9" i="88"/>
  <c r="B9" i="88"/>
  <c r="C9" i="88"/>
  <c r="D9" i="88"/>
  <c r="A10" i="88"/>
  <c r="B10" i="88"/>
  <c r="C10" i="88"/>
  <c r="D10" i="88"/>
  <c r="A11" i="88"/>
  <c r="B11" i="88"/>
  <c r="C11" i="88"/>
  <c r="D11" i="88"/>
  <c r="A12" i="88"/>
  <c r="B12" i="88"/>
  <c r="C12" i="88"/>
  <c r="D12" i="88"/>
  <c r="A13" i="88"/>
  <c r="B13" i="88"/>
  <c r="C13" i="88"/>
  <c r="D13" i="88"/>
  <c r="A14" i="88"/>
  <c r="B14" i="88"/>
  <c r="C14" i="88"/>
  <c r="D14" i="88"/>
  <c r="A15" i="88"/>
  <c r="B15" i="88"/>
  <c r="C15" i="88"/>
  <c r="D15" i="88"/>
  <c r="A16" i="88"/>
  <c r="B16" i="88"/>
  <c r="C16" i="88"/>
  <c r="D16" i="88"/>
  <c r="A17" i="88"/>
  <c r="B17" i="88"/>
  <c r="C17" i="88"/>
  <c r="D17" i="88"/>
  <c r="A18" i="88"/>
  <c r="B18" i="88"/>
  <c r="C18" i="88"/>
  <c r="D18" i="88"/>
  <c r="A19" i="88"/>
  <c r="B19" i="88"/>
  <c r="C19" i="88"/>
  <c r="D19" i="88"/>
  <c r="A20" i="88"/>
  <c r="B20" i="88"/>
  <c r="C20" i="88"/>
  <c r="D20" i="88"/>
  <c r="A21" i="88"/>
  <c r="B21" i="88"/>
  <c r="C21" i="88"/>
  <c r="D21" i="88"/>
  <c r="A22" i="88"/>
  <c r="B22" i="88"/>
  <c r="C22" i="88"/>
  <c r="D22" i="88"/>
  <c r="A23" i="88"/>
  <c r="B23" i="88"/>
  <c r="C23" i="88"/>
  <c r="D23" i="88"/>
  <c r="A24" i="88"/>
  <c r="B24" i="88"/>
  <c r="C24" i="88"/>
  <c r="D24" i="88"/>
  <c r="A25" i="88"/>
  <c r="B25" i="88"/>
  <c r="C25" i="88"/>
  <c r="D25" i="88"/>
  <c r="A26" i="88"/>
  <c r="B26" i="88"/>
  <c r="C26" i="88"/>
  <c r="D26" i="88"/>
  <c r="A27" i="88"/>
  <c r="B27" i="88"/>
  <c r="C27" i="88"/>
  <c r="D27" i="88"/>
  <c r="A28" i="88"/>
  <c r="B28" i="88"/>
  <c r="C28" i="88"/>
  <c r="D28" i="88"/>
  <c r="A29" i="88"/>
  <c r="B29" i="88"/>
  <c r="C29" i="88"/>
  <c r="D29" i="88"/>
  <c r="A30" i="88"/>
  <c r="B30" i="88"/>
  <c r="C30" i="88"/>
  <c r="D30" i="88"/>
  <c r="A31" i="88"/>
  <c r="B31" i="88"/>
  <c r="C31" i="88"/>
  <c r="D31" i="88"/>
  <c r="A32" i="88"/>
  <c r="B32" i="88"/>
  <c r="C32" i="88"/>
  <c r="D32" i="88"/>
  <c r="A33" i="88"/>
  <c r="B33" i="88"/>
  <c r="C33" i="88"/>
  <c r="D33" i="88"/>
  <c r="A34" i="88"/>
  <c r="B34" i="88"/>
  <c r="C34" i="88"/>
  <c r="D34" i="88"/>
  <c r="A35" i="88"/>
  <c r="B35" i="88"/>
  <c r="C35" i="88"/>
  <c r="D35" i="88"/>
  <c r="A36" i="88"/>
  <c r="B36" i="88"/>
  <c r="C36" i="88"/>
  <c r="D36" i="88"/>
  <c r="A37" i="88"/>
  <c r="B37" i="88"/>
  <c r="C37" i="88"/>
  <c r="D37" i="88"/>
  <c r="A38" i="88"/>
  <c r="B38" i="88"/>
  <c r="C38" i="88"/>
  <c r="D38" i="88"/>
  <c r="A39" i="88"/>
  <c r="B39" i="88"/>
  <c r="C39" i="88"/>
  <c r="D39" i="88"/>
  <c r="U6" i="88"/>
  <c r="U7" i="88"/>
  <c r="U8" i="88"/>
  <c r="U9" i="88"/>
  <c r="U10" i="88"/>
  <c r="U11" i="88"/>
  <c r="U12" i="88"/>
  <c r="U13" i="88"/>
  <c r="U14" i="88"/>
  <c r="U15" i="88"/>
  <c r="U16" i="88"/>
  <c r="U17" i="88"/>
  <c r="U18" i="88"/>
  <c r="U19" i="88"/>
  <c r="U20" i="88"/>
  <c r="U21" i="88"/>
  <c r="U22" i="88"/>
  <c r="U23" i="88"/>
  <c r="U24" i="88"/>
  <c r="U25" i="88"/>
  <c r="U26" i="88"/>
  <c r="U27" i="88"/>
  <c r="U28" i="88"/>
  <c r="U29" i="88"/>
  <c r="U30" i="88"/>
  <c r="U31" i="88"/>
  <c r="U32" i="88"/>
  <c r="U33" i="88"/>
  <c r="Y33" i="88"/>
  <c r="U34" i="88"/>
  <c r="Y34" i="88"/>
  <c r="U35" i="88"/>
  <c r="U36" i="88"/>
  <c r="U37" i="88"/>
  <c r="U38" i="88"/>
  <c r="U39" i="88"/>
  <c r="U40" i="88"/>
  <c r="U41" i="88"/>
  <c r="Y41" i="88"/>
  <c r="U42" i="88"/>
  <c r="Y42" i="88"/>
  <c r="U43" i="88"/>
  <c r="Y43" i="88"/>
  <c r="U44" i="88"/>
  <c r="Y44" i="88"/>
  <c r="U45" i="88"/>
  <c r="Y45" i="88"/>
  <c r="U46" i="88"/>
  <c r="Y46" i="88"/>
  <c r="U47" i="88"/>
  <c r="Y47" i="88"/>
  <c r="U48" i="88"/>
  <c r="Y48" i="88"/>
  <c r="U49" i="88"/>
  <c r="Y49" i="88"/>
  <c r="U50" i="88"/>
  <c r="Y50" i="88"/>
  <c r="U51" i="88"/>
  <c r="Y51" i="88"/>
  <c r="U52" i="88"/>
  <c r="Y52" i="88"/>
  <c r="U53" i="88"/>
  <c r="Y53" i="88"/>
  <c r="U54" i="88"/>
  <c r="Y54" i="88"/>
  <c r="U55" i="88"/>
  <c r="Y55" i="88"/>
  <c r="U56" i="88"/>
  <c r="Y56" i="88"/>
  <c r="U57" i="88"/>
  <c r="Y57" i="88"/>
  <c r="U58" i="88"/>
  <c r="Y58" i="88"/>
  <c r="U59" i="88"/>
  <c r="Y59" i="88"/>
  <c r="U60" i="88"/>
  <c r="Y60" i="88"/>
  <c r="U61" i="88"/>
  <c r="Y61" i="88"/>
  <c r="U62" i="88"/>
  <c r="Y62" i="88"/>
  <c r="U63" i="88"/>
  <c r="Y63" i="88"/>
  <c r="U64" i="88"/>
  <c r="Y64" i="88"/>
  <c r="U65" i="88"/>
  <c r="Y65" i="88"/>
  <c r="U66" i="88"/>
  <c r="Y66" i="88"/>
  <c r="U67" i="88"/>
  <c r="Y67" i="88"/>
  <c r="U68" i="88"/>
  <c r="Y68" i="88"/>
  <c r="U69" i="88"/>
  <c r="Y69" i="88"/>
  <c r="U70" i="88"/>
  <c r="Y70" i="88"/>
  <c r="U71" i="88"/>
  <c r="Y71" i="88"/>
  <c r="U72" i="88"/>
  <c r="Y72" i="88"/>
  <c r="U73" i="88"/>
  <c r="Y73" i="88"/>
  <c r="U74" i="88"/>
  <c r="Y74" i="88"/>
  <c r="U75" i="88"/>
  <c r="Y75" i="88"/>
  <c r="U76" i="88"/>
  <c r="Y76" i="88"/>
  <c r="U77" i="88"/>
  <c r="Y77" i="88"/>
  <c r="U78" i="88"/>
  <c r="Y78" i="88"/>
  <c r="U79" i="88"/>
  <c r="Y79" i="88"/>
  <c r="U80" i="88"/>
  <c r="Y80" i="88"/>
  <c r="U81" i="88"/>
  <c r="Y81" i="88"/>
  <c r="U82" i="88"/>
  <c r="Y82" i="88"/>
  <c r="U83" i="88"/>
  <c r="Y83" i="88"/>
  <c r="U84" i="88"/>
  <c r="Y84" i="88"/>
  <c r="U85" i="88"/>
  <c r="Y85" i="88"/>
  <c r="U86" i="88"/>
  <c r="Y86" i="88"/>
  <c r="U87" i="88"/>
  <c r="Y87" i="88"/>
  <c r="U88" i="88"/>
  <c r="Y88" i="88"/>
  <c r="U89" i="88"/>
  <c r="Y89" i="88"/>
  <c r="U90" i="88"/>
  <c r="Y90" i="88"/>
  <c r="U91" i="88"/>
  <c r="Y91" i="88"/>
  <c r="U92" i="88"/>
  <c r="Y92" i="88"/>
  <c r="U93" i="88"/>
  <c r="Y93" i="88"/>
  <c r="U94" i="88"/>
  <c r="Y94" i="88"/>
  <c r="U95" i="88"/>
  <c r="Y95" i="88"/>
  <c r="U96" i="88"/>
  <c r="Y96" i="88"/>
  <c r="U97" i="88"/>
  <c r="Y97" i="88"/>
  <c r="U98" i="88"/>
  <c r="Y98" i="88"/>
  <c r="U99" i="88"/>
  <c r="Y99" i="88"/>
  <c r="U100" i="88"/>
  <c r="Y100" i="88"/>
  <c r="U101" i="88"/>
  <c r="Y101" i="88"/>
  <c r="U102" i="88"/>
  <c r="Y102" i="88"/>
  <c r="U103" i="88"/>
  <c r="Y103" i="88"/>
  <c r="U104" i="88"/>
  <c r="Y104" i="88"/>
  <c r="U105" i="88"/>
  <c r="Y105" i="88"/>
  <c r="U106" i="88"/>
  <c r="Y106" i="88"/>
  <c r="U107" i="88"/>
  <c r="Y107" i="88"/>
  <c r="U108" i="88"/>
  <c r="Y108" i="88"/>
  <c r="U109" i="88"/>
  <c r="Y109" i="88"/>
  <c r="U110" i="88"/>
  <c r="Y110" i="88"/>
  <c r="U111" i="88"/>
  <c r="Y111" i="88"/>
  <c r="U112" i="88"/>
  <c r="Y112" i="88"/>
  <c r="U113" i="88"/>
  <c r="Y113" i="88"/>
  <c r="U114" i="88"/>
  <c r="Y114" i="88"/>
  <c r="U115" i="88"/>
  <c r="Y115" i="88"/>
  <c r="U116" i="88"/>
  <c r="Y116" i="88"/>
  <c r="U117" i="88"/>
  <c r="Y117" i="88"/>
  <c r="U118" i="88"/>
  <c r="Y118" i="88"/>
  <c r="U119" i="88"/>
  <c r="Y119" i="88"/>
  <c r="U120" i="88"/>
  <c r="Y120" i="88"/>
  <c r="U121" i="88"/>
  <c r="Y121" i="88"/>
  <c r="U122" i="88"/>
  <c r="Y122" i="88"/>
  <c r="U123" i="88"/>
  <c r="Y123" i="88"/>
  <c r="U124" i="88"/>
  <c r="Y124" i="88"/>
  <c r="U125" i="88"/>
  <c r="Y125" i="88"/>
  <c r="U126" i="88"/>
  <c r="Y126" i="88"/>
  <c r="U127" i="88"/>
  <c r="Y127" i="88"/>
  <c r="U128" i="88"/>
  <c r="Y128" i="88"/>
  <c r="U129" i="88"/>
  <c r="Y129" i="88"/>
  <c r="U130" i="88"/>
  <c r="Y130" i="88"/>
  <c r="U131" i="88"/>
  <c r="Y131" i="88"/>
  <c r="U132" i="88"/>
  <c r="Y132" i="88"/>
  <c r="U133" i="88"/>
  <c r="Y133" i="88"/>
  <c r="U134" i="88"/>
  <c r="Y134" i="88"/>
  <c r="U135" i="88"/>
  <c r="Y135" i="88"/>
  <c r="U136" i="88"/>
  <c r="Y136" i="88"/>
  <c r="U137" i="88"/>
  <c r="Y137" i="88"/>
  <c r="U138" i="88"/>
  <c r="Y138" i="88"/>
  <c r="U139" i="88"/>
  <c r="Y139" i="88"/>
  <c r="U140" i="88"/>
  <c r="Y140" i="88"/>
  <c r="U141" i="88"/>
  <c r="Y141" i="88"/>
  <c r="U142" i="88"/>
  <c r="Y142" i="88"/>
  <c r="U143" i="88"/>
  <c r="Y143" i="88"/>
  <c r="U144" i="88"/>
  <c r="Y144" i="88"/>
  <c r="U145" i="88"/>
  <c r="Y145" i="88"/>
  <c r="U146" i="88"/>
  <c r="Y146" i="88"/>
  <c r="U147" i="88"/>
  <c r="Y147" i="88"/>
  <c r="U148" i="88"/>
  <c r="Y148" i="88"/>
  <c r="U149" i="88"/>
  <c r="Y149" i="88"/>
  <c r="U150" i="88"/>
  <c r="Y150" i="88"/>
  <c r="U151" i="88"/>
  <c r="Y151" i="88"/>
  <c r="U152" i="88"/>
  <c r="Y152" i="88"/>
  <c r="U153" i="88"/>
  <c r="Y153" i="88"/>
  <c r="U154" i="88"/>
  <c r="Y154" i="88"/>
  <c r="U155" i="88"/>
  <c r="Y155" i="88"/>
  <c r="U156" i="88"/>
  <c r="Y156" i="88"/>
  <c r="U157" i="88"/>
  <c r="Y157" i="88"/>
  <c r="U158" i="88"/>
  <c r="Y158" i="88"/>
  <c r="U159" i="88"/>
  <c r="Y159" i="88"/>
  <c r="U160" i="88"/>
  <c r="Y160" i="88"/>
  <c r="U161" i="88"/>
  <c r="Y161" i="88"/>
  <c r="U162" i="88"/>
  <c r="Y162" i="88"/>
  <c r="U163" i="88"/>
  <c r="Y163" i="88"/>
  <c r="U164" i="88"/>
  <c r="Y164" i="88"/>
  <c r="U165" i="88"/>
  <c r="Y165" i="88"/>
  <c r="U166" i="88"/>
  <c r="Y166" i="88"/>
  <c r="U167" i="88"/>
  <c r="Y167" i="88"/>
  <c r="U168" i="88"/>
  <c r="Y168" i="88"/>
  <c r="U169" i="88"/>
  <c r="Y169" i="88"/>
  <c r="U170" i="88"/>
  <c r="Y170" i="88"/>
  <c r="U171" i="88"/>
  <c r="Y171" i="88"/>
  <c r="U172" i="88"/>
  <c r="Y172" i="88"/>
  <c r="U173" i="88"/>
  <c r="Y173" i="88"/>
  <c r="U174" i="88"/>
  <c r="Y174" i="88"/>
  <c r="U175" i="88"/>
  <c r="Y175" i="88"/>
  <c r="U176" i="88"/>
  <c r="Y176" i="88"/>
  <c r="U177" i="88"/>
  <c r="Y177" i="88"/>
  <c r="U178" i="88"/>
  <c r="Y178" i="88"/>
  <c r="U179" i="88"/>
  <c r="Y179" i="88"/>
  <c r="U180" i="88"/>
  <c r="Y180" i="88"/>
  <c r="U181" i="88"/>
  <c r="Y181" i="88"/>
  <c r="U182" i="88"/>
  <c r="Y182" i="88"/>
  <c r="U183" i="88"/>
  <c r="Y183" i="88"/>
  <c r="U184" i="88"/>
  <c r="Y184" i="88"/>
  <c r="U185" i="88"/>
  <c r="Y185" i="88"/>
  <c r="U186" i="88"/>
  <c r="Y186" i="88"/>
  <c r="U187" i="88"/>
  <c r="Y187" i="88"/>
  <c r="U188" i="88"/>
  <c r="Y188" i="88"/>
  <c r="U189" i="88"/>
  <c r="Y189" i="88"/>
  <c r="U190" i="88"/>
  <c r="Y190" i="88"/>
  <c r="U191" i="88"/>
  <c r="Y191" i="88"/>
  <c r="U192" i="88"/>
  <c r="Y192" i="88"/>
  <c r="U193" i="88"/>
  <c r="Y193" i="88"/>
  <c r="U194" i="88"/>
  <c r="Y194" i="88"/>
  <c r="U195" i="88"/>
  <c r="Y195" i="88"/>
  <c r="U196" i="88"/>
  <c r="Y196" i="88"/>
  <c r="U197" i="88"/>
  <c r="Y197" i="88"/>
  <c r="U198" i="88"/>
  <c r="Y198" i="88"/>
  <c r="U199" i="88"/>
  <c r="Y199" i="88"/>
  <c r="U200" i="88"/>
  <c r="Y200" i="88"/>
  <c r="U201" i="88"/>
  <c r="Y201" i="88"/>
  <c r="U202" i="88"/>
  <c r="Y202" i="88"/>
  <c r="U203" i="88"/>
  <c r="Y203" i="88"/>
  <c r="U204" i="88"/>
  <c r="Y204" i="88"/>
  <c r="U205" i="88"/>
  <c r="Y205" i="88"/>
  <c r="U206" i="88"/>
  <c r="Y206" i="88"/>
  <c r="U207" i="88"/>
  <c r="Y207" i="88"/>
  <c r="U208" i="88"/>
  <c r="Y208" i="88"/>
  <c r="U209" i="88"/>
  <c r="Y209" i="88"/>
  <c r="U210" i="88"/>
  <c r="Y210" i="88"/>
  <c r="U211" i="88"/>
  <c r="Y211" i="88"/>
  <c r="U212" i="88"/>
  <c r="Y212" i="88"/>
  <c r="U213" i="88"/>
  <c r="Y213" i="88"/>
  <c r="U214" i="88"/>
  <c r="Y214" i="88"/>
  <c r="U215" i="88"/>
  <c r="Y215" i="88"/>
  <c r="U216" i="88"/>
  <c r="Y216" i="88"/>
  <c r="U217" i="88"/>
  <c r="Y217" i="88"/>
  <c r="U218" i="88"/>
  <c r="Y218" i="88"/>
  <c r="U219" i="88"/>
  <c r="Y219" i="88"/>
  <c r="U220" i="88"/>
  <c r="Y220" i="88"/>
  <c r="U221" i="88"/>
  <c r="Y221" i="88"/>
  <c r="U222" i="88"/>
  <c r="Y222" i="88"/>
  <c r="U223" i="88"/>
  <c r="Y223" i="88"/>
  <c r="U224" i="88"/>
  <c r="Y224" i="88"/>
  <c r="U225" i="88"/>
  <c r="Y225" i="88"/>
  <c r="U226" i="88"/>
  <c r="Y226" i="88"/>
  <c r="U227" i="88"/>
  <c r="Y227" i="88"/>
  <c r="U228" i="88"/>
  <c r="Y228" i="88"/>
  <c r="U229" i="88"/>
  <c r="Y229" i="88"/>
  <c r="U230" i="88"/>
  <c r="Y230" i="88"/>
  <c r="U231" i="88"/>
  <c r="Y231" i="88"/>
  <c r="U232" i="88"/>
  <c r="Y232" i="88"/>
  <c r="U233" i="88"/>
  <c r="Y233" i="88"/>
  <c r="U234" i="88"/>
  <c r="Y234" i="88"/>
  <c r="U235" i="88"/>
  <c r="Y235" i="88"/>
  <c r="U236" i="88"/>
  <c r="Y236" i="88"/>
  <c r="U237" i="88"/>
  <c r="Y237" i="88"/>
  <c r="U238" i="88"/>
  <c r="Y238" i="88"/>
  <c r="U239" i="88"/>
  <c r="Y239" i="88"/>
  <c r="U240" i="88"/>
  <c r="Y240" i="88"/>
  <c r="U241" i="88"/>
  <c r="Y241" i="88"/>
  <c r="U242" i="88"/>
  <c r="Y242" i="88"/>
  <c r="U243" i="88"/>
  <c r="Y243" i="88"/>
  <c r="U244" i="88"/>
  <c r="Y244" i="88"/>
  <c r="U245" i="88"/>
  <c r="Y245" i="88"/>
  <c r="U246" i="88"/>
  <c r="Y246" i="88"/>
  <c r="U247" i="88"/>
  <c r="Y247" i="88"/>
  <c r="U248" i="88"/>
  <c r="Y248" i="88"/>
  <c r="U249" i="88"/>
  <c r="Y249" i="88"/>
  <c r="U250" i="88"/>
  <c r="Y250" i="88"/>
  <c r="U251" i="88"/>
  <c r="Y251" i="88"/>
  <c r="U252" i="88"/>
  <c r="Y252" i="88"/>
  <c r="U253" i="88"/>
  <c r="Y253" i="88"/>
  <c r="U254" i="88"/>
  <c r="Y254" i="88"/>
  <c r="U255" i="88"/>
  <c r="Y255" i="88"/>
  <c r="U256" i="88"/>
  <c r="Y256" i="88"/>
  <c r="U257" i="88"/>
  <c r="Y257" i="88"/>
  <c r="U258" i="88"/>
  <c r="Y258" i="88"/>
  <c r="U259" i="88"/>
  <c r="Y259" i="88"/>
  <c r="U260" i="88"/>
  <c r="Y260" i="88"/>
  <c r="U261" i="88"/>
  <c r="Y261" i="88"/>
  <c r="U262" i="88"/>
  <c r="Y262" i="88"/>
  <c r="U263" i="88"/>
  <c r="Y263" i="88"/>
  <c r="U264" i="88"/>
  <c r="Y264" i="88"/>
  <c r="U265" i="88"/>
  <c r="Y265" i="88"/>
  <c r="U266" i="88"/>
  <c r="Y266" i="88"/>
  <c r="U267" i="88"/>
  <c r="Y267" i="88"/>
  <c r="U268" i="88"/>
  <c r="Y268" i="88"/>
  <c r="U269" i="88"/>
  <c r="Y269" i="88"/>
  <c r="U270" i="88"/>
  <c r="Y270" i="88"/>
  <c r="U271" i="88"/>
  <c r="Y271" i="88"/>
  <c r="U272" i="88"/>
  <c r="Y272" i="88"/>
  <c r="U273" i="88"/>
  <c r="Y273" i="88"/>
  <c r="U274" i="88"/>
  <c r="Y274" i="88"/>
  <c r="U275" i="88"/>
  <c r="Y275" i="88"/>
  <c r="U276" i="88"/>
  <c r="Y276" i="88"/>
  <c r="U277" i="88"/>
  <c r="Y277" i="88"/>
  <c r="U278" i="88"/>
  <c r="Y278" i="88"/>
  <c r="U279" i="88"/>
  <c r="Y279" i="88"/>
  <c r="U280" i="88"/>
  <c r="Y280" i="88"/>
  <c r="U281" i="88"/>
  <c r="Y281" i="88"/>
  <c r="U282" i="88"/>
  <c r="Y282" i="88"/>
  <c r="U283" i="88"/>
  <c r="Y283" i="88"/>
  <c r="U284" i="88"/>
  <c r="Y284" i="88"/>
  <c r="U285" i="88"/>
  <c r="Y285" i="88"/>
  <c r="U286" i="88"/>
  <c r="Y286" i="88"/>
  <c r="U287" i="88"/>
  <c r="Y287" i="88"/>
  <c r="U288" i="88"/>
  <c r="Y288" i="88"/>
  <c r="U289" i="88"/>
  <c r="Y289" i="88"/>
  <c r="U290" i="88"/>
  <c r="Y290" i="88"/>
  <c r="U291" i="88"/>
  <c r="Y291" i="88"/>
  <c r="U292" i="88"/>
  <c r="Y292" i="88"/>
  <c r="U293" i="88"/>
  <c r="Y293" i="88"/>
  <c r="U294" i="88"/>
  <c r="Y294" i="88"/>
  <c r="U295" i="88"/>
  <c r="Y295" i="88"/>
  <c r="U296" i="88"/>
  <c r="Y296" i="88"/>
  <c r="U297" i="88"/>
  <c r="Y297" i="88"/>
  <c r="U298" i="88"/>
  <c r="Y298" i="88"/>
  <c r="U299" i="88"/>
  <c r="Y299" i="88"/>
  <c r="U300" i="88"/>
  <c r="Y300" i="88"/>
  <c r="U301" i="88"/>
  <c r="Y301" i="88"/>
  <c r="U302" i="88"/>
  <c r="Y302" i="88"/>
  <c r="U303" i="88"/>
  <c r="Y303" i="88"/>
  <c r="U304" i="88"/>
  <c r="Y304" i="88"/>
  <c r="U305" i="88"/>
  <c r="Y305" i="88"/>
  <c r="U306" i="88"/>
  <c r="Y306" i="88"/>
  <c r="U307" i="88"/>
  <c r="Y307" i="88"/>
  <c r="U308" i="88"/>
  <c r="Y308" i="88"/>
  <c r="U309" i="88"/>
  <c r="Y309" i="88"/>
  <c r="U310" i="88"/>
  <c r="Y310" i="88"/>
  <c r="U311" i="88"/>
  <c r="Y311" i="88"/>
  <c r="U312" i="88"/>
  <c r="Y312" i="88"/>
  <c r="U313" i="88"/>
  <c r="Y313" i="88"/>
  <c r="U314" i="88"/>
  <c r="Y314" i="88"/>
  <c r="U315" i="88"/>
  <c r="Y315" i="88"/>
  <c r="U316" i="88"/>
  <c r="Y316" i="88"/>
  <c r="U317" i="88"/>
  <c r="Y317" i="88"/>
  <c r="U318" i="88"/>
  <c r="Y318" i="88"/>
  <c r="U319" i="88"/>
  <c r="Y319" i="88"/>
  <c r="U320" i="88"/>
  <c r="Y320" i="88"/>
  <c r="U321" i="88"/>
  <c r="Y321" i="88"/>
  <c r="U322" i="88"/>
  <c r="Y322" i="88"/>
  <c r="U323" i="88"/>
  <c r="Y323" i="88"/>
  <c r="U324" i="88"/>
  <c r="Y324" i="88"/>
  <c r="U325" i="88"/>
  <c r="Y325" i="88"/>
  <c r="U326" i="88"/>
  <c r="Y326" i="88"/>
  <c r="U327" i="88"/>
  <c r="Y327" i="88"/>
  <c r="U328" i="88"/>
  <c r="Y328" i="88"/>
  <c r="U329" i="88"/>
  <c r="Y329" i="88"/>
  <c r="U330" i="88"/>
  <c r="Y330" i="88"/>
  <c r="U331" i="88"/>
  <c r="Y331" i="88"/>
  <c r="U332" i="88"/>
  <c r="Y332" i="88"/>
  <c r="U333" i="88"/>
  <c r="Y333" i="88"/>
  <c r="U334" i="88"/>
  <c r="Y334" i="88"/>
  <c r="U335" i="88"/>
  <c r="Y335" i="88"/>
  <c r="U336" i="88"/>
  <c r="Y336" i="88"/>
  <c r="U337" i="88"/>
  <c r="Y337" i="88"/>
  <c r="U338" i="88"/>
  <c r="Y338" i="88"/>
  <c r="U339" i="88"/>
  <c r="Y339" i="88"/>
  <c r="U340" i="88"/>
  <c r="Y340" i="88"/>
  <c r="U341" i="88"/>
  <c r="Y341" i="88"/>
  <c r="U342" i="88"/>
  <c r="Y342" i="88"/>
  <c r="U343" i="88"/>
  <c r="Y343" i="88"/>
  <c r="U344" i="88"/>
  <c r="Y344" i="88"/>
  <c r="U345" i="88"/>
  <c r="Y345" i="88"/>
  <c r="U346" i="88"/>
  <c r="Y346" i="88"/>
  <c r="U347" i="88"/>
  <c r="Y347" i="88"/>
  <c r="U348" i="88"/>
  <c r="Y348" i="88"/>
  <c r="U349" i="88"/>
  <c r="Y349" i="88"/>
  <c r="U350" i="88"/>
  <c r="Y350" i="88"/>
  <c r="U351" i="88"/>
  <c r="Y351" i="88"/>
  <c r="U352" i="88"/>
  <c r="Y352" i="88"/>
  <c r="U353" i="88"/>
  <c r="Y353" i="88"/>
  <c r="U354" i="88"/>
  <c r="Y354" i="88"/>
  <c r="U355" i="88"/>
  <c r="Y355" i="88"/>
  <c r="U356" i="88"/>
  <c r="Y356" i="88"/>
  <c r="U357" i="88"/>
  <c r="Y357" i="88"/>
  <c r="U358" i="88"/>
  <c r="Y358" i="88"/>
  <c r="U359" i="88"/>
  <c r="Y359" i="88"/>
  <c r="U360" i="88"/>
  <c r="Y360" i="88"/>
  <c r="U361" i="88"/>
  <c r="Y361" i="88"/>
  <c r="U362" i="88"/>
  <c r="Y362" i="88"/>
  <c r="U363" i="88"/>
  <c r="Y363" i="88"/>
  <c r="U364" i="88"/>
  <c r="Y364" i="88"/>
  <c r="U365" i="88"/>
  <c r="Y365" i="88"/>
  <c r="U366" i="88"/>
  <c r="Y366" i="88"/>
  <c r="U367" i="88"/>
  <c r="Y367" i="88"/>
  <c r="U368" i="88"/>
  <c r="Y368" i="88"/>
  <c r="U369" i="88"/>
  <c r="Y369" i="88"/>
  <c r="U370" i="88"/>
  <c r="Y370" i="88"/>
  <c r="U371" i="88"/>
  <c r="Y371" i="88"/>
  <c r="U372" i="88"/>
  <c r="Y372" i="88"/>
  <c r="U373" i="88"/>
  <c r="Y373" i="88"/>
  <c r="U374" i="88"/>
  <c r="Y374" i="88"/>
  <c r="U375" i="88"/>
  <c r="Y375" i="88"/>
  <c r="U376" i="88"/>
  <c r="Y376" i="88"/>
  <c r="U377" i="88"/>
  <c r="Y377" i="88"/>
  <c r="U378" i="88"/>
  <c r="Y378" i="88"/>
  <c r="U379" i="88"/>
  <c r="Y379" i="88"/>
  <c r="U380" i="88"/>
  <c r="Y380" i="88"/>
  <c r="U381" i="88"/>
  <c r="Y381" i="88"/>
  <c r="U382" i="88"/>
  <c r="Y382" i="88"/>
  <c r="U383" i="88"/>
  <c r="Y383" i="88"/>
  <c r="U384" i="88"/>
  <c r="Y384" i="88"/>
  <c r="U385" i="88"/>
  <c r="Y385" i="88"/>
  <c r="U386" i="88"/>
  <c r="Y386" i="88"/>
  <c r="U387" i="88"/>
  <c r="Y387" i="88"/>
  <c r="U388" i="88"/>
  <c r="Y388" i="88"/>
  <c r="U389" i="88"/>
  <c r="Y389" i="88"/>
  <c r="U390" i="88"/>
  <c r="Y390" i="88"/>
  <c r="U391" i="88"/>
  <c r="Y391" i="88"/>
  <c r="U392" i="88"/>
  <c r="Y392" i="88"/>
  <c r="U393" i="88"/>
  <c r="Y393" i="88"/>
  <c r="U394" i="88"/>
  <c r="Y394" i="88"/>
  <c r="U395" i="88"/>
  <c r="Y395" i="88"/>
  <c r="U396" i="88"/>
  <c r="Y396" i="88"/>
  <c r="U397" i="88"/>
  <c r="Y397" i="88"/>
  <c r="U398" i="88"/>
  <c r="Y398" i="88"/>
  <c r="U399" i="88"/>
  <c r="Y399" i="88"/>
  <c r="U400" i="88"/>
  <c r="Y400" i="88"/>
  <c r="U401" i="88"/>
  <c r="Y401" i="88"/>
  <c r="U402" i="88"/>
  <c r="Y402" i="88"/>
  <c r="U403" i="88"/>
  <c r="Y403" i="88"/>
  <c r="U404" i="88"/>
  <c r="Y404" i="88"/>
  <c r="U405" i="88"/>
  <c r="Y405" i="88"/>
  <c r="U406" i="88"/>
  <c r="Y406" i="88"/>
  <c r="U407" i="88"/>
  <c r="Y407" i="88"/>
  <c r="U408" i="88"/>
  <c r="Y408" i="88"/>
  <c r="U409" i="88"/>
  <c r="Y409" i="88"/>
  <c r="U410" i="88"/>
  <c r="Y410" i="88"/>
  <c r="U411" i="88"/>
  <c r="Y411" i="88"/>
  <c r="U412" i="88"/>
  <c r="Y412" i="88"/>
  <c r="U413" i="88"/>
  <c r="Y413" i="88"/>
  <c r="U414" i="88"/>
  <c r="Y414" i="88"/>
  <c r="U415" i="88"/>
  <c r="Y415" i="88"/>
  <c r="U416" i="88"/>
  <c r="Y416" i="88"/>
  <c r="U417" i="88"/>
  <c r="Y417" i="88"/>
  <c r="U418" i="88"/>
  <c r="Y418" i="88"/>
  <c r="U419" i="88"/>
  <c r="Y419" i="88"/>
  <c r="U420" i="88"/>
  <c r="Y420" i="88"/>
  <c r="U421" i="88"/>
  <c r="Y421" i="88"/>
  <c r="U422" i="88"/>
  <c r="Y422" i="88"/>
  <c r="U423" i="88"/>
  <c r="Y423" i="88"/>
  <c r="U424" i="88"/>
  <c r="Y424" i="88"/>
  <c r="U425" i="88"/>
  <c r="Y425" i="88"/>
  <c r="U426" i="88"/>
  <c r="Y426" i="88"/>
  <c r="U427" i="88"/>
  <c r="Y427" i="88"/>
  <c r="U428" i="88"/>
  <c r="Y428" i="88"/>
  <c r="U429" i="88"/>
  <c r="Y429" i="88"/>
  <c r="U430" i="88"/>
  <c r="Y430" i="88"/>
  <c r="U431" i="88"/>
  <c r="Y431" i="88"/>
  <c r="U432" i="88"/>
  <c r="Y432" i="88"/>
  <c r="U433" i="88"/>
  <c r="Y433" i="88"/>
  <c r="U434" i="88"/>
  <c r="Y434" i="88"/>
  <c r="U435" i="88"/>
  <c r="Y435" i="88"/>
  <c r="U436" i="88"/>
  <c r="Y436" i="88"/>
  <c r="U437" i="88"/>
  <c r="Y437" i="88"/>
  <c r="U438" i="88"/>
  <c r="Y438" i="88"/>
  <c r="U439" i="88"/>
  <c r="Y439" i="88"/>
  <c r="U440" i="88"/>
  <c r="Y440" i="88"/>
  <c r="U441" i="88"/>
  <c r="Y441" i="88"/>
  <c r="U442" i="88"/>
  <c r="Y442" i="88"/>
  <c r="U443" i="88"/>
  <c r="Y443" i="88"/>
  <c r="U444" i="88"/>
  <c r="Y444" i="88"/>
  <c r="U445" i="88"/>
  <c r="Y445" i="88"/>
  <c r="U446" i="88"/>
  <c r="Y446" i="88"/>
  <c r="U447" i="88"/>
  <c r="Y447" i="88"/>
  <c r="U448" i="88"/>
  <c r="Y448" i="88"/>
  <c r="U449" i="88"/>
  <c r="Y449" i="88"/>
  <c r="U450" i="88"/>
  <c r="Y450" i="88"/>
  <c r="U451" i="88"/>
  <c r="Y451" i="88"/>
  <c r="U452" i="88"/>
  <c r="Y452" i="88"/>
  <c r="U453" i="88"/>
  <c r="Y453" i="88"/>
  <c r="U454" i="88"/>
  <c r="Y454" i="88"/>
  <c r="U455" i="88"/>
  <c r="Y455" i="88"/>
  <c r="U456" i="88"/>
  <c r="Y456" i="88"/>
  <c r="U457" i="88"/>
  <c r="Y457" i="88"/>
  <c r="U458" i="88"/>
  <c r="Y458" i="88"/>
  <c r="U459" i="88"/>
  <c r="Y459" i="88"/>
  <c r="U460" i="88"/>
  <c r="Y460" i="88"/>
  <c r="U461" i="88"/>
  <c r="Y461" i="88"/>
  <c r="U462" i="88"/>
  <c r="Y462" i="88"/>
  <c r="U463" i="88"/>
  <c r="Y463" i="88"/>
  <c r="U464" i="88"/>
  <c r="Y464" i="88"/>
  <c r="U465" i="88"/>
  <c r="Y465" i="88"/>
  <c r="U466" i="88"/>
  <c r="Y466" i="88"/>
  <c r="U467" i="88"/>
  <c r="Y467" i="88"/>
  <c r="U468" i="88"/>
  <c r="Y468" i="88"/>
  <c r="U469" i="88"/>
  <c r="Y469" i="88"/>
  <c r="U470" i="88"/>
  <c r="Y470" i="88"/>
  <c r="U471" i="88"/>
  <c r="Y471" i="88"/>
  <c r="U472" i="88"/>
  <c r="Y472" i="88"/>
  <c r="U473" i="88"/>
  <c r="Y473" i="88"/>
  <c r="U474" i="88"/>
  <c r="Y474" i="88"/>
  <c r="U475" i="88"/>
  <c r="Y475" i="88"/>
  <c r="U476" i="88"/>
  <c r="Y476" i="88"/>
  <c r="U477" i="88"/>
  <c r="Y477" i="88"/>
  <c r="U478" i="88"/>
  <c r="Y478" i="88"/>
  <c r="U479" i="88"/>
  <c r="Y479" i="88"/>
  <c r="U480" i="88"/>
  <c r="Y480" i="88"/>
  <c r="U481" i="88"/>
  <c r="Y481" i="88"/>
  <c r="U482" i="88"/>
  <c r="Y482" i="88"/>
  <c r="U483" i="88"/>
  <c r="Y483" i="88"/>
  <c r="U484" i="88"/>
  <c r="Y484" i="88"/>
  <c r="U485" i="88"/>
  <c r="Y485" i="88"/>
  <c r="U486" i="88"/>
  <c r="Y486" i="88"/>
  <c r="U487" i="88"/>
  <c r="Y487" i="88"/>
  <c r="U488" i="88"/>
  <c r="Y488" i="88"/>
  <c r="U489" i="88"/>
  <c r="Y489" i="88"/>
  <c r="U490" i="88"/>
  <c r="Y490" i="88"/>
  <c r="U491" i="88"/>
  <c r="Y491" i="88"/>
  <c r="U492" i="88"/>
  <c r="Y492" i="88"/>
  <c r="U493" i="88"/>
  <c r="Y493" i="88"/>
  <c r="U494" i="88"/>
  <c r="Y494" i="88"/>
  <c r="U495" i="88"/>
  <c r="Y495" i="88"/>
  <c r="U496" i="88"/>
  <c r="Y496" i="88"/>
  <c r="U497" i="88"/>
  <c r="Y497" i="88"/>
  <c r="U498" i="88"/>
  <c r="Y498" i="88"/>
  <c r="U499" i="88"/>
  <c r="Y499" i="88"/>
  <c r="U500" i="88"/>
  <c r="Y500" i="88"/>
  <c r="U501" i="88"/>
  <c r="Y501" i="88"/>
  <c r="U502" i="88"/>
  <c r="Y502" i="88"/>
  <c r="U503" i="88"/>
  <c r="Y503" i="88"/>
  <c r="U504" i="88"/>
  <c r="Y504" i="88"/>
  <c r="U505" i="88"/>
  <c r="Y505" i="88"/>
  <c r="U506" i="88"/>
  <c r="Y506" i="88"/>
  <c r="U507" i="88"/>
  <c r="Y507" i="88"/>
  <c r="U508" i="88"/>
  <c r="Y508" i="88"/>
  <c r="U509" i="88"/>
  <c r="Y509" i="88"/>
  <c r="U510" i="88"/>
  <c r="Y510" i="88"/>
  <c r="U511" i="88"/>
  <c r="Y511" i="88"/>
  <c r="U512" i="88"/>
  <c r="Y512" i="88"/>
  <c r="U513" i="88"/>
  <c r="Y513" i="88"/>
  <c r="U514" i="88"/>
  <c r="Y514" i="88"/>
  <c r="U515" i="88"/>
  <c r="Y515" i="88"/>
  <c r="U516" i="88"/>
  <c r="Y516" i="88"/>
  <c r="U517" i="88"/>
  <c r="Y517" i="88"/>
  <c r="U518" i="88"/>
  <c r="Y518" i="88"/>
  <c r="U519" i="88"/>
  <c r="Y519" i="88"/>
  <c r="U520" i="88"/>
  <c r="Y520" i="88"/>
  <c r="U521" i="88"/>
  <c r="Y521" i="88"/>
  <c r="U522" i="88"/>
  <c r="Y522" i="88"/>
  <c r="U523" i="88"/>
  <c r="Y523" i="88"/>
  <c r="U524" i="88"/>
  <c r="Y524" i="88"/>
  <c r="U525" i="88"/>
  <c r="Y525" i="88"/>
  <c r="U526" i="88"/>
  <c r="Y526" i="88"/>
  <c r="U527" i="88"/>
  <c r="Y527" i="88"/>
  <c r="U528" i="88"/>
  <c r="Y528" i="88"/>
  <c r="U529" i="88"/>
  <c r="Y529" i="88"/>
  <c r="U530" i="88"/>
  <c r="Y530" i="88"/>
  <c r="U531" i="88"/>
  <c r="Y531" i="88"/>
  <c r="U532" i="88"/>
  <c r="Y532" i="88"/>
  <c r="U533" i="88"/>
  <c r="Y533" i="88"/>
  <c r="U534" i="88"/>
  <c r="Y534" i="88"/>
  <c r="U535" i="88"/>
  <c r="Y535" i="88"/>
  <c r="U536" i="88"/>
  <c r="Y536" i="88"/>
  <c r="U537" i="88"/>
  <c r="Y537" i="88"/>
  <c r="U538" i="88"/>
  <c r="Y538" i="88"/>
  <c r="U539" i="88"/>
  <c r="Y539" i="88"/>
  <c r="U540" i="88"/>
  <c r="Y540" i="88"/>
  <c r="U541" i="88"/>
  <c r="Y541" i="88"/>
  <c r="U542" i="88"/>
  <c r="Y542" i="88"/>
  <c r="U543" i="88"/>
  <c r="Y543" i="88"/>
  <c r="U544" i="88"/>
  <c r="Y544" i="88"/>
  <c r="U545" i="88"/>
  <c r="Y545" i="88"/>
  <c r="U546" i="88"/>
  <c r="Y546" i="88"/>
  <c r="U547" i="88"/>
  <c r="Y547" i="88"/>
  <c r="U548" i="88"/>
  <c r="Y548" i="88"/>
  <c r="U549" i="88"/>
  <c r="Y549" i="88"/>
  <c r="U550" i="88"/>
  <c r="Y550" i="88"/>
  <c r="U551" i="88"/>
  <c r="Y551" i="88"/>
  <c r="U552" i="88"/>
  <c r="Y552" i="88"/>
  <c r="U553" i="88"/>
  <c r="Y553" i="88"/>
  <c r="U554" i="88"/>
  <c r="Y554" i="88"/>
  <c r="U555" i="88"/>
  <c r="Y555" i="88"/>
  <c r="U556" i="88"/>
  <c r="Y556" i="88"/>
  <c r="U557" i="88"/>
  <c r="Y557" i="88"/>
  <c r="U558" i="88"/>
  <c r="Y558" i="88"/>
  <c r="U559" i="88"/>
  <c r="Y559" i="88"/>
  <c r="U560" i="88"/>
  <c r="Y560" i="88"/>
  <c r="U561" i="88"/>
  <c r="Y561" i="88"/>
  <c r="U562" i="88"/>
  <c r="Y562" i="88"/>
  <c r="U563" i="88"/>
  <c r="Y563" i="88"/>
  <c r="U564" i="88"/>
  <c r="Y564" i="88"/>
  <c r="U565" i="88"/>
  <c r="Y565" i="88"/>
  <c r="U566" i="88"/>
  <c r="Y566" i="88"/>
  <c r="U567" i="88"/>
  <c r="Y567" i="88"/>
  <c r="U568" i="88"/>
  <c r="Y568" i="88"/>
  <c r="U569" i="88"/>
  <c r="Y569" i="88"/>
  <c r="U570" i="88"/>
  <c r="Y570" i="88"/>
  <c r="U571" i="88"/>
  <c r="Y571" i="88"/>
  <c r="U572" i="88"/>
  <c r="Y572" i="88"/>
  <c r="U573" i="88"/>
  <c r="Y573" i="88"/>
  <c r="U574" i="88"/>
  <c r="Y574" i="88"/>
  <c r="U575" i="88"/>
  <c r="Y575" i="88"/>
  <c r="U576" i="88"/>
  <c r="Y576" i="88"/>
  <c r="U577" i="88"/>
  <c r="Y577" i="88"/>
  <c r="U578" i="88"/>
  <c r="Y578" i="88"/>
  <c r="U579" i="88"/>
  <c r="Y579" i="88"/>
  <c r="U580" i="88"/>
  <c r="Y580" i="88"/>
  <c r="U581" i="88"/>
  <c r="Y581" i="88"/>
  <c r="U582" i="88"/>
  <c r="Y582" i="88"/>
  <c r="U583" i="88"/>
  <c r="Y583" i="88"/>
  <c r="U584" i="88"/>
  <c r="Y584" i="88"/>
  <c r="U585" i="88"/>
  <c r="Y585" i="88"/>
  <c r="U586" i="88"/>
  <c r="Y586" i="88"/>
  <c r="U587" i="88"/>
  <c r="Y587" i="88"/>
  <c r="U588" i="88"/>
  <c r="Y588" i="88"/>
  <c r="U589" i="88"/>
  <c r="Y589" i="88"/>
  <c r="U590" i="88"/>
  <c r="Y590" i="88"/>
  <c r="U591" i="88"/>
  <c r="Y591" i="88"/>
  <c r="U592" i="88"/>
  <c r="Y592" i="88"/>
  <c r="U593" i="88"/>
  <c r="Y593" i="88"/>
  <c r="U594" i="88"/>
  <c r="Y594" i="88"/>
  <c r="U595" i="88"/>
  <c r="Y595" i="88"/>
  <c r="U596" i="88"/>
  <c r="Y596" i="88"/>
  <c r="U597" i="88"/>
  <c r="Y597" i="88"/>
  <c r="U598" i="88"/>
  <c r="Y598" i="88"/>
  <c r="U599" i="88"/>
  <c r="Y599" i="88"/>
  <c r="U600" i="88"/>
  <c r="Y600" i="88"/>
  <c r="U601" i="88"/>
  <c r="Y601" i="88"/>
  <c r="U602" i="88"/>
  <c r="Y602" i="88"/>
  <c r="U603" i="88"/>
  <c r="Y603" i="88"/>
  <c r="U604" i="88"/>
  <c r="Y604" i="88"/>
  <c r="U605" i="88"/>
  <c r="Y605" i="88"/>
  <c r="U606" i="88"/>
  <c r="Y606" i="88"/>
  <c r="U607" i="88"/>
  <c r="Y607" i="88"/>
  <c r="U608" i="88"/>
  <c r="Y608" i="88"/>
  <c r="U609" i="88"/>
  <c r="Y609" i="88"/>
  <c r="U610" i="88"/>
  <c r="Y610" i="88"/>
  <c r="U611" i="88"/>
  <c r="Y611" i="88"/>
  <c r="U612" i="88"/>
  <c r="Y612" i="88"/>
  <c r="U613" i="88"/>
  <c r="Y613" i="88"/>
  <c r="U614" i="88"/>
  <c r="Y614" i="88"/>
  <c r="U615" i="88"/>
  <c r="Y615" i="88"/>
  <c r="U616" i="88"/>
  <c r="Y616" i="88"/>
  <c r="U617" i="88"/>
  <c r="Y617" i="88"/>
  <c r="U618" i="88"/>
  <c r="Y618" i="88"/>
  <c r="U619" i="88"/>
  <c r="Y619" i="88"/>
  <c r="U620" i="88"/>
  <c r="Y620" i="88"/>
  <c r="U621" i="88"/>
  <c r="Y621" i="88"/>
  <c r="U622" i="88"/>
  <c r="Y622" i="88"/>
  <c r="U623" i="88"/>
  <c r="Y623" i="88"/>
  <c r="U624" i="88"/>
  <c r="Y624" i="88"/>
  <c r="U625" i="88"/>
  <c r="Y625" i="88"/>
  <c r="U626" i="88"/>
  <c r="Y626" i="88"/>
  <c r="U627" i="88"/>
  <c r="Y627" i="88"/>
  <c r="U628" i="88"/>
  <c r="Y628" i="88"/>
  <c r="U629" i="88"/>
  <c r="Y629" i="88"/>
  <c r="U630" i="88"/>
  <c r="Y630" i="88"/>
  <c r="U631" i="88"/>
  <c r="Y631" i="88"/>
  <c r="U632" i="88"/>
  <c r="Y632" i="88"/>
  <c r="U633" i="88"/>
  <c r="Y633" i="88"/>
  <c r="U634" i="88"/>
  <c r="Y634" i="88"/>
  <c r="U635" i="88"/>
  <c r="Y635" i="88"/>
  <c r="U636" i="88"/>
  <c r="Y636" i="88"/>
  <c r="U637" i="88"/>
  <c r="Y637" i="88"/>
  <c r="U638" i="88"/>
  <c r="Y638" i="88"/>
  <c r="U639" i="88"/>
  <c r="Y639" i="88"/>
  <c r="U640" i="88"/>
  <c r="Y640" i="88"/>
  <c r="U641" i="88"/>
  <c r="Y641" i="88"/>
  <c r="U642" i="88"/>
  <c r="Y642" i="88"/>
  <c r="U643" i="88"/>
  <c r="Y643" i="88"/>
  <c r="U644" i="88"/>
  <c r="Y644" i="88"/>
  <c r="U645" i="88"/>
  <c r="Y645" i="88"/>
  <c r="U646" i="88"/>
  <c r="Y646" i="88"/>
  <c r="U647" i="88"/>
  <c r="Y647" i="88"/>
  <c r="U648" i="88"/>
  <c r="Y648" i="88"/>
  <c r="U649" i="88"/>
  <c r="Y649" i="88"/>
  <c r="U650" i="88"/>
  <c r="Y650" i="88"/>
  <c r="U651" i="88"/>
  <c r="Y651" i="88"/>
  <c r="U652" i="88"/>
  <c r="Y652" i="88"/>
  <c r="U653" i="88"/>
  <c r="Y653" i="88"/>
  <c r="U654" i="88"/>
  <c r="Y654" i="88"/>
  <c r="U655" i="88"/>
  <c r="Y655" i="88"/>
  <c r="U656" i="88"/>
  <c r="Y656" i="88"/>
  <c r="U657" i="88"/>
  <c r="Y657" i="88"/>
  <c r="U658" i="88"/>
  <c r="Y658" i="88"/>
  <c r="U659" i="88"/>
  <c r="Y659" i="88"/>
  <c r="U660" i="88"/>
  <c r="Y660" i="88"/>
  <c r="U661" i="88"/>
  <c r="Y661" i="88"/>
  <c r="U662" i="88"/>
  <c r="Y662" i="88"/>
  <c r="U663" i="88"/>
  <c r="Y663" i="88"/>
  <c r="U664" i="88"/>
  <c r="Y664" i="88"/>
  <c r="U665" i="88"/>
  <c r="Y665" i="88"/>
  <c r="U666" i="88"/>
  <c r="Y666" i="88"/>
  <c r="U667" i="88"/>
  <c r="Y667" i="88"/>
  <c r="U668" i="88"/>
  <c r="Y668" i="88"/>
  <c r="U669" i="88"/>
  <c r="Y669" i="88"/>
  <c r="U670" i="88"/>
  <c r="Y670" i="88"/>
  <c r="U671" i="88"/>
  <c r="Y671" i="88"/>
  <c r="U672" i="88"/>
  <c r="Y672" i="88"/>
  <c r="U673" i="88"/>
  <c r="Y673" i="88"/>
  <c r="U674" i="88"/>
  <c r="Y674" i="88"/>
  <c r="U675" i="88"/>
  <c r="Y675" i="88"/>
  <c r="U676" i="88"/>
  <c r="Y676" i="88"/>
  <c r="U677" i="88"/>
  <c r="Y677" i="88"/>
  <c r="U678" i="88"/>
  <c r="Y678" i="88"/>
  <c r="U679" i="88"/>
  <c r="Y679" i="88"/>
  <c r="U680" i="88"/>
  <c r="Y680" i="88"/>
  <c r="U681" i="88"/>
  <c r="Y681" i="88"/>
  <c r="U682" i="88"/>
  <c r="Y682" i="88"/>
  <c r="U683" i="88"/>
  <c r="Y683" i="88"/>
  <c r="U684" i="88"/>
  <c r="Y684" i="88"/>
  <c r="U685" i="88"/>
  <c r="Y685" i="88"/>
  <c r="U686" i="88"/>
  <c r="Y686" i="88"/>
  <c r="U687" i="88"/>
  <c r="Y687" i="88"/>
  <c r="U688" i="88"/>
  <c r="Y688" i="88"/>
  <c r="U689" i="88"/>
  <c r="Y689" i="88"/>
  <c r="U690" i="88"/>
  <c r="Y690" i="88"/>
  <c r="U691" i="88"/>
  <c r="Y691" i="88"/>
  <c r="U692" i="88"/>
  <c r="Y692" i="88"/>
  <c r="U693" i="88"/>
  <c r="Y693" i="88"/>
  <c r="U694" i="88"/>
  <c r="Y694" i="88"/>
  <c r="U695" i="88"/>
  <c r="Y695" i="88"/>
  <c r="U696" i="88"/>
  <c r="Y696" i="88"/>
  <c r="U697" i="88"/>
  <c r="Y697" i="88"/>
  <c r="U698" i="88"/>
  <c r="Y698" i="88"/>
  <c r="U699" i="88"/>
  <c r="Y699" i="88"/>
  <c r="U700" i="88"/>
  <c r="Y700" i="88"/>
  <c r="U701" i="88"/>
  <c r="Y701" i="88"/>
  <c r="U702" i="88"/>
  <c r="Y702" i="88"/>
  <c r="U703" i="88"/>
  <c r="Y703" i="88"/>
  <c r="U704" i="88"/>
  <c r="Y704" i="88"/>
  <c r="U705" i="88"/>
  <c r="Y705" i="88"/>
  <c r="U706" i="88"/>
  <c r="Y706" i="88"/>
  <c r="U707" i="88"/>
  <c r="Y707" i="88"/>
  <c r="U708" i="88"/>
  <c r="Y708" i="88"/>
  <c r="U709" i="88"/>
  <c r="Y709" i="88"/>
  <c r="U710" i="88"/>
  <c r="Y710" i="88"/>
  <c r="U711" i="88"/>
  <c r="Y711" i="88"/>
  <c r="U712" i="88"/>
  <c r="Y712" i="88"/>
  <c r="U713" i="88"/>
  <c r="Y713" i="88"/>
  <c r="U714" i="88"/>
  <c r="Y714" i="88"/>
  <c r="U715" i="88"/>
  <c r="Y715" i="88"/>
  <c r="U716" i="88"/>
  <c r="Y716" i="88"/>
  <c r="U717" i="88"/>
  <c r="Y717" i="88"/>
  <c r="U718" i="88"/>
  <c r="Y718" i="88"/>
  <c r="U719" i="88"/>
  <c r="Y719" i="88"/>
  <c r="U720" i="88"/>
  <c r="Y720" i="88"/>
  <c r="U721" i="88"/>
  <c r="Y721" i="88"/>
  <c r="U722" i="88"/>
  <c r="Y722" i="88"/>
  <c r="U723" i="88"/>
  <c r="Y723" i="88"/>
  <c r="U724" i="88"/>
  <c r="Y724" i="88"/>
  <c r="U725" i="88"/>
  <c r="Y725" i="88"/>
  <c r="U726" i="88"/>
  <c r="Y726" i="88"/>
  <c r="U727" i="88"/>
  <c r="Y727" i="88"/>
  <c r="U728" i="88"/>
  <c r="Y728" i="88"/>
  <c r="U729" i="88"/>
  <c r="Y729" i="88"/>
  <c r="U730" i="88"/>
  <c r="Y730" i="88"/>
  <c r="U731" i="88"/>
  <c r="Y731" i="88"/>
  <c r="U732" i="88"/>
  <c r="Y732" i="88"/>
  <c r="U733" i="88"/>
  <c r="Y733" i="88"/>
  <c r="U734" i="88"/>
  <c r="Y734" i="88"/>
  <c r="U735" i="88"/>
  <c r="Y735" i="88"/>
  <c r="U736" i="88"/>
  <c r="Y736" i="88"/>
  <c r="U737" i="88"/>
  <c r="Y737" i="88"/>
  <c r="U738" i="88"/>
  <c r="Y738" i="88"/>
  <c r="U739" i="88"/>
  <c r="Y739" i="88"/>
  <c r="U740" i="88"/>
  <c r="Y740" i="88"/>
  <c r="U741" i="88"/>
  <c r="Y741" i="88"/>
  <c r="U742" i="88"/>
  <c r="Y742" i="88"/>
  <c r="U743" i="88"/>
  <c r="Y743" i="88"/>
  <c r="U744" i="88"/>
  <c r="Y744" i="88"/>
  <c r="U745" i="88"/>
  <c r="Y745" i="88"/>
  <c r="U746" i="88"/>
  <c r="Y746" i="88"/>
  <c r="U747" i="88"/>
  <c r="Y747" i="88"/>
  <c r="U748" i="88"/>
  <c r="Y748" i="88"/>
  <c r="U749" i="88"/>
  <c r="Y749" i="88"/>
  <c r="U750" i="88"/>
  <c r="Y750" i="88"/>
  <c r="U751" i="88"/>
  <c r="Y751" i="88"/>
  <c r="U752" i="88"/>
  <c r="Y752" i="88"/>
  <c r="U753" i="88"/>
  <c r="Y753" i="88"/>
  <c r="U754" i="88"/>
  <c r="Y754" i="88"/>
  <c r="U755" i="88"/>
  <c r="Y755" i="88"/>
  <c r="U756" i="88"/>
  <c r="Y756" i="88"/>
  <c r="U757" i="88"/>
  <c r="Y757" i="88"/>
  <c r="U758" i="88"/>
  <c r="Y758" i="88"/>
  <c r="U759" i="88"/>
  <c r="Y759" i="88"/>
  <c r="U760" i="88"/>
  <c r="Y760" i="88"/>
  <c r="U761" i="88"/>
  <c r="Y761" i="88"/>
  <c r="U762" i="88"/>
  <c r="Y762" i="88"/>
  <c r="U763" i="88"/>
  <c r="Y763" i="88"/>
  <c r="U764" i="88"/>
  <c r="Y764" i="88"/>
  <c r="U765" i="88"/>
  <c r="Y765" i="88"/>
  <c r="U766" i="88"/>
  <c r="Y766" i="88"/>
  <c r="U767" i="88"/>
  <c r="Y767" i="88"/>
  <c r="U768" i="88"/>
  <c r="Y768" i="88"/>
  <c r="U769" i="88"/>
  <c r="Y769" i="88"/>
  <c r="U770" i="88"/>
  <c r="Y770" i="88"/>
  <c r="U771" i="88"/>
  <c r="Y771" i="88"/>
  <c r="U772" i="88"/>
  <c r="Y772" i="88"/>
  <c r="U773" i="88"/>
  <c r="Y773" i="88"/>
  <c r="U774" i="88"/>
  <c r="Y774" i="88"/>
  <c r="U775" i="88"/>
  <c r="Y775" i="88"/>
  <c r="U776" i="88"/>
  <c r="Y776" i="88"/>
  <c r="U777" i="88"/>
  <c r="Y777" i="88"/>
  <c r="U778" i="88"/>
  <c r="Y778" i="88"/>
  <c r="U779" i="88"/>
  <c r="Y779" i="88"/>
  <c r="U780" i="88"/>
  <c r="Y780" i="88"/>
  <c r="U781" i="88"/>
  <c r="Y781" i="88"/>
  <c r="U782" i="88"/>
  <c r="Y782" i="88"/>
  <c r="U783" i="88"/>
  <c r="Y783" i="88"/>
  <c r="U784" i="88"/>
  <c r="Y784" i="88"/>
  <c r="U785" i="88"/>
  <c r="Y785" i="88"/>
  <c r="U786" i="88"/>
  <c r="Y786" i="88"/>
  <c r="U787" i="88"/>
  <c r="Y787" i="88"/>
  <c r="U788" i="88"/>
  <c r="Y788" i="88"/>
  <c r="U789" i="88"/>
  <c r="Y789" i="88"/>
  <c r="U790" i="88"/>
  <c r="Y790" i="88"/>
  <c r="U791" i="88"/>
  <c r="Y791" i="88"/>
  <c r="U792" i="88"/>
  <c r="Y792" i="88"/>
  <c r="U793" i="88"/>
  <c r="Y793" i="88"/>
  <c r="U794" i="88"/>
  <c r="Y794" i="88"/>
  <c r="U795" i="88"/>
  <c r="Y795" i="88"/>
  <c r="U796" i="88"/>
  <c r="Y796" i="88"/>
  <c r="U797" i="88"/>
  <c r="Y797" i="88"/>
  <c r="U798" i="88"/>
  <c r="Y798" i="88"/>
  <c r="U799" i="88"/>
  <c r="Y799" i="88"/>
  <c r="U800" i="88"/>
  <c r="Y800" i="88"/>
  <c r="U801" i="88"/>
  <c r="Y801" i="88"/>
  <c r="U802" i="88"/>
  <c r="Y802" i="88"/>
  <c r="U803" i="88"/>
  <c r="Y803" i="88"/>
  <c r="U804" i="88"/>
  <c r="Y804" i="88"/>
  <c r="U805" i="88"/>
  <c r="Y805" i="88"/>
  <c r="U806" i="88"/>
  <c r="Y806" i="88"/>
  <c r="U807" i="88"/>
  <c r="Y807" i="88"/>
  <c r="U808" i="88"/>
  <c r="Y808" i="88"/>
  <c r="U809" i="88"/>
  <c r="Y809" i="88"/>
  <c r="U810" i="88"/>
  <c r="Y810" i="88"/>
  <c r="U811" i="88"/>
  <c r="Y811" i="88"/>
  <c r="U812" i="88"/>
  <c r="Y812" i="88"/>
  <c r="U813" i="88"/>
  <c r="Y813" i="88"/>
  <c r="U814" i="88"/>
  <c r="Y814" i="88"/>
  <c r="U815" i="88"/>
  <c r="Y815" i="88"/>
  <c r="U816" i="88"/>
  <c r="Y816" i="88"/>
  <c r="U817" i="88"/>
  <c r="Y817" i="88"/>
  <c r="U818" i="88"/>
  <c r="Y818" i="88"/>
  <c r="U819" i="88"/>
  <c r="Y819" i="88"/>
  <c r="U820" i="88"/>
  <c r="Y820" i="88"/>
  <c r="U821" i="88"/>
  <c r="Y821" i="88"/>
  <c r="U822" i="88"/>
  <c r="Y822" i="88"/>
  <c r="U823" i="88"/>
  <c r="Y823" i="88"/>
  <c r="U824" i="88"/>
  <c r="Y824" i="88"/>
  <c r="U825" i="88"/>
  <c r="Y825" i="88"/>
  <c r="U826" i="88"/>
  <c r="Y826" i="88"/>
  <c r="U827" i="88"/>
  <c r="Y827" i="88"/>
  <c r="U828" i="88"/>
  <c r="Y828" i="88"/>
  <c r="U829" i="88"/>
  <c r="Y829" i="88"/>
  <c r="U830" i="88"/>
  <c r="Y830" i="88"/>
  <c r="U831" i="88"/>
  <c r="Y831" i="88"/>
  <c r="U832" i="88"/>
  <c r="Y832" i="88"/>
  <c r="U833" i="88"/>
  <c r="Y833" i="88"/>
  <c r="U834" i="88"/>
  <c r="Y834" i="88"/>
  <c r="U835" i="88"/>
  <c r="Y835" i="88"/>
  <c r="U836" i="88"/>
  <c r="Y836" i="88"/>
  <c r="U837" i="88"/>
  <c r="Y837" i="88"/>
  <c r="U838" i="88"/>
  <c r="Y838" i="88"/>
  <c r="U839" i="88"/>
  <c r="Y839" i="88"/>
  <c r="U840" i="88"/>
  <c r="Y840" i="88"/>
  <c r="U841" i="88"/>
  <c r="Y841" i="88"/>
  <c r="U842" i="88"/>
  <c r="Y842" i="88"/>
  <c r="U843" i="88"/>
  <c r="Y843" i="88"/>
  <c r="U844" i="88"/>
  <c r="Y844" i="88"/>
  <c r="U845" i="88"/>
  <c r="Y845" i="88"/>
  <c r="U846" i="88"/>
  <c r="Y846" i="88"/>
  <c r="U847" i="88"/>
  <c r="Y847" i="88"/>
  <c r="U848" i="88"/>
  <c r="Y848" i="88"/>
  <c r="U849" i="88"/>
  <c r="Y849" i="88"/>
  <c r="U850" i="88"/>
  <c r="Y850" i="88"/>
  <c r="U851" i="88"/>
  <c r="Y851" i="88"/>
  <c r="U852" i="88"/>
  <c r="Y852" i="88"/>
  <c r="U853" i="88"/>
  <c r="Y853" i="88"/>
  <c r="U854" i="88"/>
  <c r="Y854" i="88"/>
  <c r="U855" i="88"/>
  <c r="Y855" i="88"/>
  <c r="U856" i="88"/>
  <c r="Y856" i="88"/>
  <c r="U857" i="88"/>
  <c r="Y857" i="88"/>
  <c r="U858" i="88"/>
  <c r="Y858" i="88"/>
  <c r="U859" i="88"/>
  <c r="Y859" i="88"/>
  <c r="U860" i="88"/>
  <c r="Y860" i="88"/>
  <c r="U861" i="88"/>
  <c r="Y861" i="88"/>
  <c r="U862" i="88"/>
  <c r="Y862" i="88"/>
  <c r="U863" i="88"/>
  <c r="Y863" i="88"/>
  <c r="U864" i="88"/>
  <c r="Y864" i="88"/>
  <c r="U865" i="88"/>
  <c r="Y865" i="88"/>
  <c r="U866" i="88"/>
  <c r="Y866" i="88"/>
  <c r="U867" i="88"/>
  <c r="Y867" i="88"/>
  <c r="U868" i="88"/>
  <c r="Y868" i="88"/>
  <c r="U869" i="88"/>
  <c r="Y869" i="88"/>
  <c r="U870" i="88"/>
  <c r="Y870" i="88"/>
  <c r="U871" i="88"/>
  <c r="Y871" i="88"/>
  <c r="U872" i="88"/>
  <c r="Y872" i="88"/>
  <c r="U873" i="88"/>
  <c r="Y873" i="88"/>
  <c r="U874" i="88"/>
  <c r="Y874" i="88"/>
  <c r="U875" i="88"/>
  <c r="Y875" i="88"/>
  <c r="U876" i="88"/>
  <c r="Y876" i="88"/>
  <c r="U877" i="88"/>
  <c r="Y877" i="88"/>
  <c r="U878" i="88"/>
  <c r="Y878" i="88"/>
  <c r="U879" i="88"/>
  <c r="Y879" i="88"/>
  <c r="U880" i="88"/>
  <c r="Y880" i="88"/>
  <c r="U881" i="88"/>
  <c r="Y881" i="88"/>
  <c r="U882" i="88"/>
  <c r="Y882" i="88"/>
  <c r="U883" i="88"/>
  <c r="Y883" i="88"/>
  <c r="U884" i="88"/>
  <c r="Y884" i="88"/>
  <c r="U885" i="88"/>
  <c r="Y885" i="88"/>
  <c r="U886" i="88"/>
  <c r="Y886" i="88"/>
  <c r="U887" i="88"/>
  <c r="Y887" i="88"/>
  <c r="U888" i="88"/>
  <c r="Y888" i="88"/>
  <c r="U889" i="88"/>
  <c r="Y889" i="88"/>
  <c r="U890" i="88"/>
  <c r="Y890" i="88"/>
  <c r="U891" i="88"/>
  <c r="Y891" i="88"/>
  <c r="U892" i="88"/>
  <c r="Y892" i="88"/>
  <c r="U893" i="88"/>
  <c r="Y893" i="88"/>
  <c r="U894" i="88"/>
  <c r="Y894" i="88"/>
  <c r="U895" i="88"/>
  <c r="Y895" i="88"/>
  <c r="U896" i="88"/>
  <c r="Y896" i="88"/>
  <c r="U897" i="88"/>
  <c r="Y897" i="88"/>
  <c r="U898" i="88"/>
  <c r="Y898" i="88"/>
  <c r="U899" i="88"/>
  <c r="Y899" i="88"/>
  <c r="U900" i="88"/>
  <c r="Y900" i="88"/>
  <c r="K1" i="1048"/>
  <c r="J19" i="88" l="1"/>
  <c r="J18" i="88"/>
  <c r="J16" i="88"/>
  <c r="J15" i="88"/>
  <c r="J14" i="88"/>
  <c r="J13" i="88"/>
  <c r="J12" i="88"/>
  <c r="J11" i="88"/>
  <c r="J10" i="88"/>
  <c r="J9" i="88"/>
  <c r="J8" i="88"/>
  <c r="J7" i="88"/>
  <c r="J5" i="88"/>
  <c r="J26" i="88" l="1"/>
  <c r="J25" i="88"/>
  <c r="J24" i="88"/>
  <c r="J23" i="88"/>
  <c r="J21" i="88"/>
  <c r="J20" i="88"/>
  <c r="AL6" i="88"/>
  <c r="AL7" i="88"/>
  <c r="AL8" i="88"/>
  <c r="AL9" i="88"/>
  <c r="AL10" i="88"/>
  <c r="AL11" i="88"/>
  <c r="AL12" i="88"/>
  <c r="AL13" i="88"/>
  <c r="AL14" i="88"/>
  <c r="AL15" i="88"/>
  <c r="AL16" i="88"/>
  <c r="AL17" i="88"/>
  <c r="AL18" i="88"/>
  <c r="AL19" i="88"/>
  <c r="AL20" i="88"/>
  <c r="AL21" i="88"/>
  <c r="AL22" i="88"/>
  <c r="AL23" i="88"/>
  <c r="AL24" i="88"/>
  <c r="AL25" i="88"/>
  <c r="AL26" i="88"/>
  <c r="AL27" i="88"/>
  <c r="AL28" i="88"/>
  <c r="AL29" i="88"/>
  <c r="AL30" i="88"/>
  <c r="AL31" i="88"/>
  <c r="AL32" i="88"/>
  <c r="AL33" i="88"/>
  <c r="AL34" i="88"/>
  <c r="AL35" i="88"/>
  <c r="AL36" i="88"/>
  <c r="AL37" i="88"/>
  <c r="AL38" i="88"/>
  <c r="AL39" i="88"/>
  <c r="AL40" i="88"/>
  <c r="AL41" i="88"/>
  <c r="AL42" i="88"/>
  <c r="AL43" i="88"/>
  <c r="AL44" i="88"/>
  <c r="AL45" i="88"/>
  <c r="AL46" i="88"/>
  <c r="AL47" i="88"/>
  <c r="AL48" i="88"/>
  <c r="AL49" i="88"/>
  <c r="AL50" i="88"/>
  <c r="AL51" i="88"/>
  <c r="AL52" i="88"/>
  <c r="AL53" i="88"/>
  <c r="AL54" i="88"/>
  <c r="AL55" i="88"/>
  <c r="AL56" i="88"/>
  <c r="AL57" i="88"/>
  <c r="AL58" i="88"/>
  <c r="AL59" i="88"/>
  <c r="AL60" i="88"/>
  <c r="AL61" i="88"/>
  <c r="AL62" i="88"/>
  <c r="AL63" i="88"/>
  <c r="AL64" i="88"/>
  <c r="AL65" i="88"/>
  <c r="AL66" i="88"/>
  <c r="AL67" i="88"/>
  <c r="AL68" i="88"/>
  <c r="AL69" i="88"/>
  <c r="AL70" i="88"/>
  <c r="AL71" i="88"/>
  <c r="AL72" i="88"/>
  <c r="AL73" i="88"/>
  <c r="AL74" i="88"/>
  <c r="AL75" i="88"/>
  <c r="AL76" i="88"/>
  <c r="AL77" i="88"/>
  <c r="AL78" i="88"/>
  <c r="AL79" i="88"/>
  <c r="AL80" i="88"/>
  <c r="AL81" i="88"/>
  <c r="AL82" i="88"/>
  <c r="AL83" i="88"/>
  <c r="AL84" i="88"/>
  <c r="AL85" i="88"/>
  <c r="AL86" i="88"/>
  <c r="AL87" i="88"/>
  <c r="AL88" i="88"/>
  <c r="AL89" i="88"/>
  <c r="AL90" i="88"/>
  <c r="AL91" i="88"/>
  <c r="AL92" i="88"/>
  <c r="AL93" i="88"/>
  <c r="AL94" i="88"/>
  <c r="AL95" i="88"/>
  <c r="AL96" i="88"/>
  <c r="AL97" i="88"/>
  <c r="AL98" i="88"/>
  <c r="AL99" i="88"/>
  <c r="AL100" i="88"/>
  <c r="AL101" i="88"/>
  <c r="AL102" i="88"/>
  <c r="AL103" i="88"/>
  <c r="AL104" i="88"/>
  <c r="AL105" i="88"/>
  <c r="AL106" i="88"/>
  <c r="AL107" i="88"/>
  <c r="AL108" i="88"/>
  <c r="AL109" i="88"/>
  <c r="AL110" i="88"/>
  <c r="AL111" i="88"/>
  <c r="AL112" i="88"/>
  <c r="AL113" i="88"/>
  <c r="AL114" i="88"/>
  <c r="AL115" i="88"/>
  <c r="AL116" i="88"/>
  <c r="AL117" i="88"/>
  <c r="AL118" i="88"/>
  <c r="AL119" i="88"/>
  <c r="AL120" i="88"/>
  <c r="AL121" i="88"/>
  <c r="AL122" i="88"/>
  <c r="AL123" i="88"/>
  <c r="AL124" i="88"/>
  <c r="AL125" i="88"/>
  <c r="AL126" i="88"/>
  <c r="AL127" i="88"/>
  <c r="AL128" i="88"/>
  <c r="AL129" i="88"/>
  <c r="AL130" i="88"/>
  <c r="AL131" i="88"/>
  <c r="AL132" i="88"/>
  <c r="AL133" i="88"/>
  <c r="AL134" i="88"/>
  <c r="AL135" i="88"/>
  <c r="AL136" i="88"/>
  <c r="AL137" i="88"/>
  <c r="AL138" i="88"/>
  <c r="AL139" i="88"/>
  <c r="AL140" i="88"/>
  <c r="AL141" i="88"/>
  <c r="AL142" i="88"/>
  <c r="AL143" i="88"/>
  <c r="AL144" i="88"/>
  <c r="AL145" i="88"/>
  <c r="AL146" i="88"/>
  <c r="AL147" i="88"/>
  <c r="AL148" i="88"/>
  <c r="AL149" i="88"/>
  <c r="AL150" i="88"/>
  <c r="AL151" i="88"/>
  <c r="AL152" i="88"/>
  <c r="AL153" i="88"/>
  <c r="AL154" i="88"/>
  <c r="AL155" i="88"/>
  <c r="AL156" i="88"/>
  <c r="AL157" i="88"/>
  <c r="AL158" i="88"/>
  <c r="AL159" i="88"/>
  <c r="AL160" i="88"/>
  <c r="AL161" i="88"/>
  <c r="AL162" i="88"/>
  <c r="AL163" i="88"/>
  <c r="AL164" i="88"/>
  <c r="AL165" i="88"/>
  <c r="AL166" i="88"/>
  <c r="AL167" i="88"/>
  <c r="AL168" i="88"/>
  <c r="AL169" i="88"/>
  <c r="AL170" i="88"/>
  <c r="AL171" i="88"/>
  <c r="AL172" i="88"/>
  <c r="AL173" i="88"/>
  <c r="AL174" i="88"/>
  <c r="AL175" i="88"/>
  <c r="AL176" i="88"/>
  <c r="AL177" i="88"/>
  <c r="AL178" i="88"/>
  <c r="AL179" i="88"/>
  <c r="AL180" i="88"/>
  <c r="AL181" i="88"/>
  <c r="AL182" i="88"/>
  <c r="AL183" i="88"/>
  <c r="AL184" i="88"/>
  <c r="AL185" i="88"/>
  <c r="AL186" i="88"/>
  <c r="AL187" i="88"/>
  <c r="AL188" i="88"/>
  <c r="AL189" i="88"/>
  <c r="AL190" i="88"/>
  <c r="AL191" i="88"/>
  <c r="AL192" i="88"/>
  <c r="AL193" i="88"/>
  <c r="AL194" i="88"/>
  <c r="AL195" i="88"/>
  <c r="AL196" i="88"/>
  <c r="AL197" i="88"/>
  <c r="AL198" i="88"/>
  <c r="AL199" i="88"/>
  <c r="AL200" i="88"/>
  <c r="AL201" i="88"/>
  <c r="AL202" i="88"/>
  <c r="AL203" i="88"/>
  <c r="AL204" i="88"/>
  <c r="AL205" i="88"/>
  <c r="AL206" i="88"/>
  <c r="AL207" i="88"/>
  <c r="AL208" i="88"/>
  <c r="AL209" i="88"/>
  <c r="AL210" i="88"/>
  <c r="AL211" i="88"/>
  <c r="AL212" i="88"/>
  <c r="AL213" i="88"/>
  <c r="AL214" i="88"/>
  <c r="AL215" i="88"/>
  <c r="AL216" i="88"/>
  <c r="AL217" i="88"/>
  <c r="AL218" i="88"/>
  <c r="AL219" i="88"/>
  <c r="AL220" i="88"/>
  <c r="AL221" i="88"/>
  <c r="AL222" i="88"/>
  <c r="AL223" i="88"/>
  <c r="AL224" i="88"/>
  <c r="AL225" i="88"/>
  <c r="AL226" i="88"/>
  <c r="AL227" i="88"/>
  <c r="AL228" i="88"/>
  <c r="AL229" i="88"/>
  <c r="AL230" i="88"/>
  <c r="AL231" i="88"/>
  <c r="AL232" i="88"/>
  <c r="AL233" i="88"/>
  <c r="AL234" i="88"/>
  <c r="AL235" i="88"/>
  <c r="AL236" i="88"/>
  <c r="AL237" i="88"/>
  <c r="AL238" i="88"/>
  <c r="AL239" i="88"/>
  <c r="AL240" i="88"/>
  <c r="AL241" i="88"/>
  <c r="AL242" i="88"/>
  <c r="AL243" i="88"/>
  <c r="AL244" i="88"/>
  <c r="AL245" i="88"/>
  <c r="AL246" i="88"/>
  <c r="AL247" i="88"/>
  <c r="AL248" i="88"/>
  <c r="AL249" i="88"/>
  <c r="AL250" i="88"/>
  <c r="AL251" i="88"/>
  <c r="AL252" i="88"/>
  <c r="AL253" i="88"/>
  <c r="AL254" i="88"/>
  <c r="AL255" i="88"/>
  <c r="AL256" i="88"/>
  <c r="AL257" i="88"/>
  <c r="AL258" i="88"/>
  <c r="AL259" i="88"/>
  <c r="AL260" i="88"/>
  <c r="AL261" i="88"/>
  <c r="AL262" i="88"/>
  <c r="AL263" i="88"/>
  <c r="AL264" i="88"/>
  <c r="AL265" i="88"/>
  <c r="AL266" i="88"/>
  <c r="AL267" i="88"/>
  <c r="AL268" i="88"/>
  <c r="AL269" i="88"/>
  <c r="AL270" i="88"/>
  <c r="AL271" i="88"/>
  <c r="AL272" i="88"/>
  <c r="AL273" i="88"/>
  <c r="AL274" i="88"/>
  <c r="AL275" i="88"/>
  <c r="AL276" i="88"/>
  <c r="AL277" i="88"/>
  <c r="AL278" i="88"/>
  <c r="AL279" i="88"/>
  <c r="AL280" i="88"/>
  <c r="AL281" i="88"/>
  <c r="AL282" i="88"/>
  <c r="AL283" i="88"/>
  <c r="AL284" i="88"/>
  <c r="AL285" i="88"/>
  <c r="AL286" i="88"/>
  <c r="AL287" i="88"/>
  <c r="AL288" i="88"/>
  <c r="AL289" i="88"/>
  <c r="AL290" i="88"/>
  <c r="AL291" i="88"/>
  <c r="AL292" i="88"/>
  <c r="AL293" i="88"/>
  <c r="AL294" i="88"/>
  <c r="AL295" i="88"/>
  <c r="AL296" i="88"/>
  <c r="AL297" i="88"/>
  <c r="AL298" i="88"/>
  <c r="AL299" i="88"/>
  <c r="AL300" i="88"/>
  <c r="AL301" i="88"/>
  <c r="AL302" i="88"/>
  <c r="AL303" i="88"/>
  <c r="AL304" i="88"/>
  <c r="AL305" i="88"/>
  <c r="AL306" i="88"/>
  <c r="AL307" i="88"/>
  <c r="AL308" i="88"/>
  <c r="AL309" i="88"/>
  <c r="AL310" i="88"/>
  <c r="AL311" i="88"/>
  <c r="AL312" i="88"/>
  <c r="AL313" i="88"/>
  <c r="AL314" i="88"/>
  <c r="AL315" i="88"/>
  <c r="AL316" i="88"/>
  <c r="AL317" i="88"/>
  <c r="AL318" i="88"/>
  <c r="AL319" i="88"/>
  <c r="AL320" i="88"/>
  <c r="AL321" i="88"/>
  <c r="AL322" i="88"/>
  <c r="AL323" i="88"/>
  <c r="AL324" i="88"/>
  <c r="AL325" i="88"/>
  <c r="AL326" i="88"/>
  <c r="AL327" i="88"/>
  <c r="AL328" i="88"/>
  <c r="AL329" i="88"/>
  <c r="AL330" i="88"/>
  <c r="AL331" i="88"/>
  <c r="AL332" i="88"/>
  <c r="AL333" i="88"/>
  <c r="AL334" i="88"/>
  <c r="AL335" i="88"/>
  <c r="AL336" i="88"/>
  <c r="AL337" i="88"/>
  <c r="AL338" i="88"/>
  <c r="AL339" i="88"/>
  <c r="AL340" i="88"/>
  <c r="AL341" i="88"/>
  <c r="AL342" i="88"/>
  <c r="AL343" i="88"/>
  <c r="AL344" i="88"/>
  <c r="AL345" i="88"/>
  <c r="AL346" i="88"/>
  <c r="AL347" i="88"/>
  <c r="AL348" i="88"/>
  <c r="AL349" i="88"/>
  <c r="AL350" i="88"/>
  <c r="AL351" i="88"/>
  <c r="AL352" i="88"/>
  <c r="AL353" i="88"/>
  <c r="AL354" i="88"/>
  <c r="AL355" i="88"/>
  <c r="AL356" i="88"/>
  <c r="AL357" i="88"/>
  <c r="AL358" i="88"/>
  <c r="AL359" i="88"/>
  <c r="AL360" i="88"/>
  <c r="AL361" i="88"/>
  <c r="AL362" i="88"/>
  <c r="AL363" i="88"/>
  <c r="AL364" i="88"/>
  <c r="AL365" i="88"/>
  <c r="AL366" i="88"/>
  <c r="AL367" i="88"/>
  <c r="AL368" i="88"/>
  <c r="AL369" i="88"/>
  <c r="AL370" i="88"/>
  <c r="AL371" i="88"/>
  <c r="AL372" i="88"/>
  <c r="AL373" i="88"/>
  <c r="AL374" i="88"/>
  <c r="AL375" i="88"/>
  <c r="AL376" i="88"/>
  <c r="AL377" i="88"/>
  <c r="AL378" i="88"/>
  <c r="AL379" i="88"/>
  <c r="AL380" i="88"/>
  <c r="AL381" i="88"/>
  <c r="AL382" i="88"/>
  <c r="AL383" i="88"/>
  <c r="AL384" i="88"/>
  <c r="AL385" i="88"/>
  <c r="AL386" i="88"/>
  <c r="AL387" i="88"/>
  <c r="AL388" i="88"/>
  <c r="AL389" i="88"/>
  <c r="AL390" i="88"/>
  <c r="AL391" i="88"/>
  <c r="AL392" i="88"/>
  <c r="AL393" i="88"/>
  <c r="AL394" i="88"/>
  <c r="AL395" i="88"/>
  <c r="AL396" i="88"/>
  <c r="AL397" i="88"/>
  <c r="AL398" i="88"/>
  <c r="AL399" i="88"/>
  <c r="AL400" i="88"/>
  <c r="AL401" i="88"/>
  <c r="AL402" i="88"/>
  <c r="AL403" i="88"/>
  <c r="AL404" i="88"/>
  <c r="AL405" i="88"/>
  <c r="AL406" i="88"/>
  <c r="AL407" i="88"/>
  <c r="AL408" i="88"/>
  <c r="AL409" i="88"/>
  <c r="AL410" i="88"/>
  <c r="AL411" i="88"/>
  <c r="AL412" i="88"/>
  <c r="AL413" i="88"/>
  <c r="AL414" i="88"/>
  <c r="AL415" i="88"/>
  <c r="AL416" i="88"/>
  <c r="AL417" i="88"/>
  <c r="AL418" i="88"/>
  <c r="AL419" i="88"/>
  <c r="AL420" i="88"/>
  <c r="AL421" i="88"/>
  <c r="AL422" i="88"/>
  <c r="AL423" i="88"/>
  <c r="AL424" i="88"/>
  <c r="AL425" i="88"/>
  <c r="AL426" i="88"/>
  <c r="AL427" i="88"/>
  <c r="AL428" i="88"/>
  <c r="AL429" i="88"/>
  <c r="AL430" i="88"/>
  <c r="AL431" i="88"/>
  <c r="AL432" i="88"/>
  <c r="AL433" i="88"/>
  <c r="AL434" i="88"/>
  <c r="AL435" i="88"/>
  <c r="AL436" i="88"/>
  <c r="AL437" i="88"/>
  <c r="AL438" i="88"/>
  <c r="AL439" i="88"/>
  <c r="AL440" i="88"/>
  <c r="AL441" i="88"/>
  <c r="AL442" i="88"/>
  <c r="AL443" i="88"/>
  <c r="AL444" i="88"/>
  <c r="AL445" i="88"/>
  <c r="AL446" i="88"/>
  <c r="AL447" i="88"/>
  <c r="AL448" i="88"/>
  <c r="AL449" i="88"/>
  <c r="AL450" i="88"/>
  <c r="AL451" i="88"/>
  <c r="AL452" i="88"/>
  <c r="AL453" i="88"/>
  <c r="AL454" i="88"/>
  <c r="AL455" i="88"/>
  <c r="AL456" i="88"/>
  <c r="AL457" i="88"/>
  <c r="AL458" i="88"/>
  <c r="AL459" i="88"/>
  <c r="AL460" i="88"/>
  <c r="AL461" i="88"/>
  <c r="AL462" i="88"/>
  <c r="AL463" i="88"/>
  <c r="AL464" i="88"/>
  <c r="AL465" i="88"/>
  <c r="AL466" i="88"/>
  <c r="AL467" i="88"/>
  <c r="AL468" i="88"/>
  <c r="AL469" i="88"/>
  <c r="AL470" i="88"/>
  <c r="AL471" i="88"/>
  <c r="AL472" i="88"/>
  <c r="AL473" i="88"/>
  <c r="AL474" i="88"/>
  <c r="AL475" i="88"/>
  <c r="AL476" i="88"/>
  <c r="AL477" i="88"/>
  <c r="AL478" i="88"/>
  <c r="AL479" i="88"/>
  <c r="AL480" i="88"/>
  <c r="AL481" i="88"/>
  <c r="AL482" i="88"/>
  <c r="AL483" i="88"/>
  <c r="AL484" i="88"/>
  <c r="AL485" i="88"/>
  <c r="AL486" i="88"/>
  <c r="AL487" i="88"/>
  <c r="AL488" i="88"/>
  <c r="AL489" i="88"/>
  <c r="AL490" i="88"/>
  <c r="AL491" i="88"/>
  <c r="AL492" i="88"/>
  <c r="AL493" i="88"/>
  <c r="AL494" i="88"/>
  <c r="AL495" i="88"/>
  <c r="AL496" i="88"/>
  <c r="AL497" i="88"/>
  <c r="AL498" i="88"/>
  <c r="AL499" i="88"/>
  <c r="AL500" i="88"/>
  <c r="AL5" i="88"/>
  <c r="L7" i="88"/>
  <c r="K7" i="88" s="1"/>
  <c r="L8" i="88"/>
  <c r="K8" i="88" s="1"/>
  <c r="L9" i="88"/>
  <c r="K9" i="88" s="1"/>
  <c r="L10" i="88"/>
  <c r="K10" i="88" s="1"/>
  <c r="L11" i="88"/>
  <c r="K11" i="88" s="1"/>
  <c r="L12" i="88"/>
  <c r="K12" i="88" s="1"/>
  <c r="L13" i="88"/>
  <c r="L14" i="88"/>
  <c r="L15" i="88"/>
  <c r="L16" i="88"/>
  <c r="L18" i="88"/>
  <c r="L19" i="88"/>
  <c r="L20" i="88"/>
  <c r="L21" i="88"/>
  <c r="L23" i="88"/>
  <c r="L24" i="88"/>
  <c r="L25" i="88"/>
  <c r="L26" i="88"/>
  <c r="L27" i="88"/>
  <c r="L28" i="88"/>
  <c r="L29" i="88"/>
  <c r="L30" i="88"/>
  <c r="L31" i="88"/>
  <c r="L32" i="88"/>
  <c r="L33" i="88"/>
  <c r="L34" i="88"/>
  <c r="L35" i="88"/>
  <c r="L36" i="88"/>
  <c r="L37" i="88"/>
  <c r="L38" i="88"/>
  <c r="L39" i="88"/>
  <c r="L40" i="88"/>
  <c r="L41" i="88"/>
  <c r="L42" i="88"/>
  <c r="L43" i="88"/>
  <c r="L44" i="88"/>
  <c r="L45" i="88"/>
  <c r="L46" i="88"/>
  <c r="L47" i="88"/>
  <c r="L48" i="88"/>
  <c r="L49" i="88"/>
  <c r="L50" i="88"/>
  <c r="L51" i="88"/>
  <c r="L52" i="88"/>
  <c r="L53" i="88"/>
  <c r="L54" i="88"/>
  <c r="L55" i="88"/>
  <c r="L56" i="88"/>
  <c r="L57" i="88"/>
  <c r="L58" i="88"/>
  <c r="L59" i="88"/>
  <c r="L60" i="88"/>
  <c r="L61" i="88"/>
  <c r="L62" i="88"/>
  <c r="L63" i="88"/>
  <c r="L64" i="88"/>
  <c r="L65" i="88"/>
  <c r="L66" i="88"/>
  <c r="L67" i="88"/>
  <c r="L68" i="88"/>
  <c r="L69" i="88"/>
  <c r="L70" i="88"/>
  <c r="L71" i="88"/>
  <c r="L72" i="88"/>
  <c r="L73" i="88"/>
  <c r="L74" i="88"/>
  <c r="L75" i="88"/>
  <c r="L76" i="88"/>
  <c r="L77" i="88"/>
  <c r="L78" i="88"/>
  <c r="L79" i="88"/>
  <c r="L80" i="88"/>
  <c r="L81" i="88"/>
  <c r="L82" i="88"/>
  <c r="L83" i="88"/>
  <c r="L84" i="88"/>
  <c r="L85" i="88"/>
  <c r="L86" i="88"/>
  <c r="L87" i="88"/>
  <c r="L88" i="88"/>
  <c r="L89" i="88"/>
  <c r="L90" i="88"/>
  <c r="L91" i="88"/>
  <c r="L92" i="88"/>
  <c r="L93" i="88"/>
  <c r="L94" i="88"/>
  <c r="L95" i="88"/>
  <c r="L96" i="88"/>
  <c r="L97" i="88"/>
  <c r="L98" i="88"/>
  <c r="L99" i="88"/>
  <c r="L100" i="88"/>
  <c r="L101" i="88"/>
  <c r="L102" i="88"/>
  <c r="L103" i="88"/>
  <c r="L104" i="88"/>
  <c r="L105" i="88"/>
  <c r="L106" i="88"/>
  <c r="L107" i="88"/>
  <c r="L108" i="88"/>
  <c r="L109" i="88"/>
  <c r="L110" i="88"/>
  <c r="L111" i="88"/>
  <c r="L112" i="88"/>
  <c r="L113" i="88"/>
  <c r="L114" i="88"/>
  <c r="L115" i="88"/>
  <c r="L116" i="88"/>
  <c r="L117" i="88"/>
  <c r="L118" i="88"/>
  <c r="L119" i="88"/>
  <c r="L120" i="88"/>
  <c r="L121" i="88"/>
  <c r="L122" i="88"/>
  <c r="L123" i="88"/>
  <c r="L124" i="88"/>
  <c r="L125" i="88"/>
  <c r="L126" i="88"/>
  <c r="L127" i="88"/>
  <c r="L128" i="88"/>
  <c r="L129" i="88"/>
  <c r="L130" i="88"/>
  <c r="L131" i="88"/>
  <c r="L132" i="88"/>
  <c r="L133" i="88"/>
  <c r="L134" i="88"/>
  <c r="K134" i="88" s="1"/>
  <c r="L135" i="88"/>
  <c r="K135" i="88" s="1"/>
  <c r="L136" i="88"/>
  <c r="K136" i="88" s="1"/>
  <c r="L137" i="88"/>
  <c r="K137" i="88" s="1"/>
  <c r="L138" i="88"/>
  <c r="K138" i="88" s="1"/>
  <c r="L139" i="88"/>
  <c r="K139" i="88" s="1"/>
  <c r="L140" i="88"/>
  <c r="K140" i="88" s="1"/>
  <c r="L141" i="88"/>
  <c r="K141" i="88" s="1"/>
  <c r="L142" i="88"/>
  <c r="K142" i="88" s="1"/>
  <c r="L143" i="88"/>
  <c r="K143" i="88" s="1"/>
  <c r="L144" i="88"/>
  <c r="K144" i="88" s="1"/>
  <c r="L145" i="88"/>
  <c r="K145" i="88" s="1"/>
  <c r="L146" i="88"/>
  <c r="K146" i="88" s="1"/>
  <c r="L147" i="88"/>
  <c r="K147" i="88" s="1"/>
  <c r="L148" i="88"/>
  <c r="K148" i="88" s="1"/>
  <c r="L149" i="88"/>
  <c r="K149" i="88" s="1"/>
  <c r="L150" i="88"/>
  <c r="K150" i="88" s="1"/>
  <c r="L151" i="88"/>
  <c r="K151" i="88" s="1"/>
  <c r="L152" i="88"/>
  <c r="K152" i="88" s="1"/>
  <c r="L153" i="88"/>
  <c r="K153" i="88" s="1"/>
  <c r="L154" i="88"/>
  <c r="K154" i="88" s="1"/>
  <c r="L155" i="88"/>
  <c r="K155" i="88" s="1"/>
  <c r="L156" i="88"/>
  <c r="K156" i="88" s="1"/>
  <c r="L157" i="88"/>
  <c r="K157" i="88" s="1"/>
  <c r="L158" i="88"/>
  <c r="K158" i="88" s="1"/>
  <c r="L159" i="88"/>
  <c r="K159" i="88" s="1"/>
  <c r="L160" i="88"/>
  <c r="K160" i="88" s="1"/>
  <c r="L161" i="88"/>
  <c r="K161" i="88" s="1"/>
  <c r="L162" i="88"/>
  <c r="K162" i="88" s="1"/>
  <c r="L163" i="88"/>
  <c r="K163" i="88" s="1"/>
  <c r="L164" i="88"/>
  <c r="K164" i="88" s="1"/>
  <c r="L165" i="88"/>
  <c r="K165" i="88" s="1"/>
  <c r="L166" i="88"/>
  <c r="K166" i="88" s="1"/>
  <c r="L167" i="88"/>
  <c r="K167" i="88" s="1"/>
  <c r="L168" i="88"/>
  <c r="K168" i="88" s="1"/>
  <c r="L169" i="88"/>
  <c r="K169" i="88" s="1"/>
  <c r="L170" i="88"/>
  <c r="K170" i="88" s="1"/>
  <c r="L171" i="88"/>
  <c r="K171" i="88" s="1"/>
  <c r="L172" i="88"/>
  <c r="K172" i="88" s="1"/>
  <c r="L173" i="88"/>
  <c r="K173" i="88" s="1"/>
  <c r="L174" i="88"/>
  <c r="K174" i="88" s="1"/>
  <c r="L175" i="88"/>
  <c r="K175" i="88" s="1"/>
  <c r="L176" i="88"/>
  <c r="K176" i="88" s="1"/>
  <c r="L177" i="88"/>
  <c r="K177" i="88" s="1"/>
  <c r="L178" i="88"/>
  <c r="K178" i="88" s="1"/>
  <c r="L179" i="88"/>
  <c r="K179" i="88" s="1"/>
  <c r="L180" i="88"/>
  <c r="K180" i="88" s="1"/>
  <c r="L181" i="88"/>
  <c r="K181" i="88" s="1"/>
  <c r="L182" i="88"/>
  <c r="K182" i="88" s="1"/>
  <c r="L183" i="88"/>
  <c r="K183" i="88" s="1"/>
  <c r="L184" i="88"/>
  <c r="K184" i="88" s="1"/>
  <c r="L185" i="88"/>
  <c r="K185" i="88" s="1"/>
  <c r="L186" i="88"/>
  <c r="K186" i="88" s="1"/>
  <c r="L187" i="88"/>
  <c r="L188" i="88"/>
  <c r="L189" i="88"/>
  <c r="L190" i="88"/>
  <c r="L191" i="88"/>
  <c r="L192" i="88"/>
  <c r="L193" i="88"/>
  <c r="L194" i="88"/>
  <c r="L195" i="88"/>
  <c r="L196" i="88"/>
  <c r="L197" i="88"/>
  <c r="L198" i="88"/>
  <c r="L199" i="88"/>
  <c r="L200" i="88"/>
  <c r="L201" i="88"/>
  <c r="L202" i="88"/>
  <c r="L203" i="88"/>
  <c r="L204" i="88"/>
  <c r="L205" i="88"/>
  <c r="L206" i="88"/>
  <c r="L207" i="88"/>
  <c r="L208" i="88"/>
  <c r="L209" i="88"/>
  <c r="L210" i="88"/>
  <c r="L211" i="88"/>
  <c r="L212" i="88"/>
  <c r="L213" i="88"/>
  <c r="L214" i="88"/>
  <c r="L215" i="88"/>
  <c r="L216" i="88"/>
  <c r="L217" i="88"/>
  <c r="L218" i="88"/>
  <c r="L219" i="88"/>
  <c r="L220" i="88"/>
  <c r="L221" i="88"/>
  <c r="L222" i="88"/>
  <c r="L223" i="88"/>
  <c r="L224" i="88"/>
  <c r="L225" i="88"/>
  <c r="L226" i="88"/>
  <c r="L227" i="88"/>
  <c r="L228" i="88"/>
  <c r="L229" i="88"/>
  <c r="L230" i="88"/>
  <c r="L231" i="88"/>
  <c r="L232" i="88"/>
  <c r="L233" i="88"/>
  <c r="L234" i="88"/>
  <c r="L235" i="88"/>
  <c r="L236" i="88"/>
  <c r="L237" i="88"/>
  <c r="L238" i="88"/>
  <c r="L239" i="88"/>
  <c r="L240" i="88"/>
  <c r="L241" i="88"/>
  <c r="L242" i="88"/>
  <c r="L243" i="88"/>
  <c r="L244" i="88"/>
  <c r="L245" i="88"/>
  <c r="L246" i="88"/>
  <c r="L247" i="88"/>
  <c r="L248" i="88"/>
  <c r="L249" i="88"/>
  <c r="L250" i="88"/>
  <c r="L251" i="88"/>
  <c r="L252" i="88"/>
  <c r="L253" i="88"/>
  <c r="L254" i="88"/>
  <c r="L255" i="88"/>
  <c r="L256" i="88"/>
  <c r="L257" i="88"/>
  <c r="L258" i="88"/>
  <c r="L259" i="88"/>
  <c r="L260" i="88"/>
  <c r="L261" i="88"/>
  <c r="L262" i="88"/>
  <c r="L263" i="88"/>
  <c r="L264" i="88"/>
  <c r="L265" i="88"/>
  <c r="L266" i="88"/>
  <c r="L267" i="88"/>
  <c r="L268" i="88"/>
  <c r="L269" i="88"/>
  <c r="L270" i="88"/>
  <c r="L271" i="88"/>
  <c r="L272" i="88"/>
  <c r="L273" i="88"/>
  <c r="L274" i="88"/>
  <c r="L275" i="88"/>
  <c r="L276" i="88"/>
  <c r="L277" i="88"/>
  <c r="L278" i="88"/>
  <c r="L279" i="88"/>
  <c r="L280" i="88"/>
  <c r="L281" i="88"/>
  <c r="L282" i="88"/>
  <c r="L283" i="88"/>
  <c r="L284" i="88"/>
  <c r="L285" i="88"/>
  <c r="L286" i="88"/>
  <c r="L287" i="88"/>
  <c r="L288" i="88"/>
  <c r="L289" i="88"/>
  <c r="L290" i="88"/>
  <c r="L291" i="88"/>
  <c r="L292" i="88"/>
  <c r="L293" i="88"/>
  <c r="L294" i="88"/>
  <c r="L295" i="88"/>
  <c r="L296" i="88"/>
  <c r="L297" i="88"/>
  <c r="L298" i="88"/>
  <c r="L299" i="88"/>
  <c r="L300" i="88"/>
  <c r="L301" i="88"/>
  <c r="L302" i="88"/>
  <c r="L303" i="88"/>
  <c r="L304" i="88"/>
  <c r="L305" i="88"/>
  <c r="L306" i="88"/>
  <c r="L307" i="88"/>
  <c r="L308" i="88"/>
  <c r="L309" i="88"/>
  <c r="L310" i="88"/>
  <c r="L311" i="88"/>
  <c r="K311" i="88" s="1"/>
  <c r="L312" i="88"/>
  <c r="K312" i="88" s="1"/>
  <c r="L313" i="88"/>
  <c r="K313" i="88" s="1"/>
  <c r="L314" i="88"/>
  <c r="K314" i="88" s="1"/>
  <c r="L315" i="88"/>
  <c r="K315" i="88" s="1"/>
  <c r="L316" i="88"/>
  <c r="K316" i="88" s="1"/>
  <c r="L317" i="88"/>
  <c r="K317" i="88" s="1"/>
  <c r="L318" i="88"/>
  <c r="K318" i="88" s="1"/>
  <c r="L319" i="88"/>
  <c r="K319" i="88" s="1"/>
  <c r="L320" i="88"/>
  <c r="K320" i="88" s="1"/>
  <c r="L321" i="88"/>
  <c r="K321" i="88" s="1"/>
  <c r="L322" i="88"/>
  <c r="K322" i="88" s="1"/>
  <c r="L323" i="88"/>
  <c r="K323" i="88" s="1"/>
  <c r="L324" i="88"/>
  <c r="K324" i="88" s="1"/>
  <c r="L325" i="88"/>
  <c r="K325" i="88" s="1"/>
  <c r="L326" i="88"/>
  <c r="K326" i="88" s="1"/>
  <c r="L327" i="88"/>
  <c r="K327" i="88" s="1"/>
  <c r="L328" i="88"/>
  <c r="K328" i="88" s="1"/>
  <c r="L329" i="88"/>
  <c r="K329" i="88" s="1"/>
  <c r="L330" i="88"/>
  <c r="K330" i="88" s="1"/>
  <c r="L331" i="88"/>
  <c r="K331" i="88" s="1"/>
  <c r="L332" i="88"/>
  <c r="K332" i="88" s="1"/>
  <c r="L333" i="88"/>
  <c r="K333" i="88" s="1"/>
  <c r="L334" i="88"/>
  <c r="K334" i="88" s="1"/>
  <c r="L335" i="88"/>
  <c r="K335" i="88" s="1"/>
  <c r="L336" i="88"/>
  <c r="K336" i="88" s="1"/>
  <c r="L337" i="88"/>
  <c r="K337" i="88" s="1"/>
  <c r="L338" i="88"/>
  <c r="K338" i="88" s="1"/>
  <c r="L339" i="88"/>
  <c r="K339" i="88" s="1"/>
  <c r="L340" i="88"/>
  <c r="K340" i="88" s="1"/>
  <c r="L341" i="88"/>
  <c r="K341" i="88" s="1"/>
  <c r="L342" i="88"/>
  <c r="K342" i="88" s="1"/>
  <c r="L343" i="88"/>
  <c r="K343" i="88" s="1"/>
  <c r="L344" i="88"/>
  <c r="K344" i="88" s="1"/>
  <c r="L345" i="88"/>
  <c r="K345" i="88" s="1"/>
  <c r="L346" i="88"/>
  <c r="K346" i="88" s="1"/>
  <c r="L347" i="88"/>
  <c r="K347" i="88" s="1"/>
  <c r="L348" i="88"/>
  <c r="K348" i="88" s="1"/>
  <c r="L349" i="88"/>
  <c r="K349" i="88" s="1"/>
  <c r="L350" i="88"/>
  <c r="K350" i="88" s="1"/>
  <c r="L351" i="88"/>
  <c r="K351" i="88" s="1"/>
  <c r="L352" i="88"/>
  <c r="K352" i="88" s="1"/>
  <c r="L353" i="88"/>
  <c r="K353" i="88" s="1"/>
  <c r="L354" i="88"/>
  <c r="K354" i="88" s="1"/>
  <c r="L355" i="88"/>
  <c r="K355" i="88" s="1"/>
  <c r="L356" i="88"/>
  <c r="K356" i="88" s="1"/>
  <c r="L357" i="88"/>
  <c r="K357" i="88" s="1"/>
  <c r="L358" i="88"/>
  <c r="K358" i="88" s="1"/>
  <c r="L359" i="88"/>
  <c r="K359" i="88" s="1"/>
  <c r="L360" i="88"/>
  <c r="K360" i="88" s="1"/>
  <c r="L361" i="88"/>
  <c r="K361" i="88" s="1"/>
  <c r="L362" i="88"/>
  <c r="K362" i="88" s="1"/>
  <c r="L363" i="88"/>
  <c r="K363" i="88" s="1"/>
  <c r="L364" i="88"/>
  <c r="K364" i="88" s="1"/>
  <c r="L365" i="88"/>
  <c r="K365" i="88" s="1"/>
  <c r="L366" i="88"/>
  <c r="K366" i="88" s="1"/>
  <c r="L367" i="88"/>
  <c r="K367" i="88" s="1"/>
  <c r="L368" i="88"/>
  <c r="K368" i="88" s="1"/>
  <c r="L369" i="88"/>
  <c r="K369" i="88" s="1"/>
  <c r="L370" i="88"/>
  <c r="K370" i="88" s="1"/>
  <c r="L371" i="88"/>
  <c r="K371" i="88" s="1"/>
  <c r="L372" i="88"/>
  <c r="K372" i="88" s="1"/>
  <c r="L373" i="88"/>
  <c r="K373" i="88" s="1"/>
  <c r="L374" i="88"/>
  <c r="K374" i="88" s="1"/>
  <c r="L375" i="88"/>
  <c r="K375" i="88" s="1"/>
  <c r="L376" i="88"/>
  <c r="K376" i="88" s="1"/>
  <c r="L377" i="88"/>
  <c r="K377" i="88" s="1"/>
  <c r="L378" i="88"/>
  <c r="K378" i="88" s="1"/>
  <c r="L379" i="88"/>
  <c r="K379" i="88" s="1"/>
  <c r="L380" i="88"/>
  <c r="K380" i="88" s="1"/>
  <c r="L381" i="88"/>
  <c r="K381" i="88" s="1"/>
  <c r="L382" i="88"/>
  <c r="K382" i="88" s="1"/>
  <c r="L383" i="88"/>
  <c r="K383" i="88" s="1"/>
  <c r="L384" i="88"/>
  <c r="K384" i="88" s="1"/>
  <c r="L385" i="88"/>
  <c r="K385" i="88" s="1"/>
  <c r="L386" i="88"/>
  <c r="K386" i="88" s="1"/>
  <c r="L387" i="88"/>
  <c r="K387" i="88" s="1"/>
  <c r="L388" i="88"/>
  <c r="K388" i="88" s="1"/>
  <c r="L389" i="88"/>
  <c r="K389" i="88" s="1"/>
  <c r="L390" i="88"/>
  <c r="K390" i="88" s="1"/>
  <c r="L391" i="88"/>
  <c r="K391" i="88" s="1"/>
  <c r="L392" i="88"/>
  <c r="K392" i="88" s="1"/>
  <c r="L393" i="88"/>
  <c r="K393" i="88" s="1"/>
  <c r="L394" i="88"/>
  <c r="K394" i="88" s="1"/>
  <c r="L395" i="88"/>
  <c r="K395" i="88" s="1"/>
  <c r="L396" i="88"/>
  <c r="K396" i="88" s="1"/>
  <c r="L397" i="88"/>
  <c r="K397" i="88" s="1"/>
  <c r="L398" i="88"/>
  <c r="K398" i="88" s="1"/>
  <c r="L399" i="88"/>
  <c r="K399" i="88" s="1"/>
  <c r="L400" i="88"/>
  <c r="K400" i="88" s="1"/>
  <c r="L401" i="88"/>
  <c r="K401" i="88" s="1"/>
  <c r="L402" i="88"/>
  <c r="K402" i="88" s="1"/>
  <c r="L403" i="88"/>
  <c r="K403" i="88" s="1"/>
  <c r="L404" i="88"/>
  <c r="K404" i="88" s="1"/>
  <c r="L405" i="88"/>
  <c r="K405" i="88" s="1"/>
  <c r="L406" i="88"/>
  <c r="K406" i="88" s="1"/>
  <c r="L407" i="88"/>
  <c r="K407" i="88" s="1"/>
  <c r="L408" i="88"/>
  <c r="K408" i="88" s="1"/>
  <c r="L409" i="88"/>
  <c r="K409" i="88" s="1"/>
  <c r="L410" i="88"/>
  <c r="K410" i="88" s="1"/>
  <c r="L411" i="88"/>
  <c r="K411" i="88" s="1"/>
  <c r="L412" i="88"/>
  <c r="K412" i="88" s="1"/>
  <c r="L413" i="88"/>
  <c r="K413" i="88" s="1"/>
  <c r="L414" i="88"/>
  <c r="K414" i="88" s="1"/>
  <c r="L415" i="88"/>
  <c r="K415" i="88" s="1"/>
  <c r="L416" i="88"/>
  <c r="K416" i="88" s="1"/>
  <c r="L417" i="88"/>
  <c r="K417" i="88" s="1"/>
  <c r="L418" i="88"/>
  <c r="K418" i="88" s="1"/>
  <c r="L419" i="88"/>
  <c r="K419" i="88" s="1"/>
  <c r="L420" i="88"/>
  <c r="K420" i="88" s="1"/>
  <c r="L421" i="88"/>
  <c r="K421" i="88" s="1"/>
  <c r="L422" i="88"/>
  <c r="K422" i="88" s="1"/>
  <c r="L423" i="88"/>
  <c r="K423" i="88" s="1"/>
  <c r="L424" i="88"/>
  <c r="K424" i="88" s="1"/>
  <c r="L425" i="88"/>
  <c r="K425" i="88" s="1"/>
  <c r="L426" i="88"/>
  <c r="K426" i="88" s="1"/>
  <c r="L427" i="88"/>
  <c r="K427" i="88" s="1"/>
  <c r="L428" i="88"/>
  <c r="K428" i="88" s="1"/>
  <c r="L429" i="88"/>
  <c r="K429" i="88" s="1"/>
  <c r="L430" i="88"/>
  <c r="K430" i="88" s="1"/>
  <c r="L431" i="88"/>
  <c r="K431" i="88" s="1"/>
  <c r="L432" i="88"/>
  <c r="K432" i="88" s="1"/>
  <c r="L433" i="88"/>
  <c r="K433" i="88" s="1"/>
  <c r="L434" i="88"/>
  <c r="K434" i="88" s="1"/>
  <c r="L435" i="88"/>
  <c r="K435" i="88" s="1"/>
  <c r="L436" i="88"/>
  <c r="K436" i="88" s="1"/>
  <c r="L437" i="88"/>
  <c r="K437" i="88" s="1"/>
  <c r="L438" i="88"/>
  <c r="K438" i="88" s="1"/>
  <c r="L439" i="88"/>
  <c r="K439" i="88" s="1"/>
  <c r="L440" i="88"/>
  <c r="K440" i="88" s="1"/>
  <c r="L441" i="88"/>
  <c r="K441" i="88" s="1"/>
  <c r="L442" i="88"/>
  <c r="K442" i="88" s="1"/>
  <c r="L443" i="88"/>
  <c r="K443" i="88" s="1"/>
  <c r="L444" i="88"/>
  <c r="K444" i="88" s="1"/>
  <c r="L445" i="88"/>
  <c r="K445" i="88" s="1"/>
  <c r="L446" i="88"/>
  <c r="K446" i="88" s="1"/>
  <c r="L447" i="88"/>
  <c r="K447" i="88" s="1"/>
  <c r="L448" i="88"/>
  <c r="K448" i="88" s="1"/>
  <c r="L449" i="88"/>
  <c r="K449" i="88" s="1"/>
  <c r="L450" i="88"/>
  <c r="K450" i="88" s="1"/>
  <c r="L451" i="88"/>
  <c r="K451" i="88" s="1"/>
  <c r="L452" i="88"/>
  <c r="K452" i="88" s="1"/>
  <c r="L453" i="88"/>
  <c r="K453" i="88" s="1"/>
  <c r="L454" i="88"/>
  <c r="K454" i="88" s="1"/>
  <c r="L455" i="88"/>
  <c r="K455" i="88" s="1"/>
  <c r="L456" i="88"/>
  <c r="K456" i="88" s="1"/>
  <c r="L457" i="88"/>
  <c r="K457" i="88" s="1"/>
  <c r="L458" i="88"/>
  <c r="K458" i="88" s="1"/>
  <c r="L459" i="88"/>
  <c r="K459" i="88" s="1"/>
  <c r="L460" i="88"/>
  <c r="K460" i="88" s="1"/>
  <c r="L461" i="88"/>
  <c r="K461" i="88" s="1"/>
  <c r="L462" i="88"/>
  <c r="K462" i="88" s="1"/>
  <c r="L463" i="88"/>
  <c r="K463" i="88" s="1"/>
  <c r="L464" i="88"/>
  <c r="K464" i="88" s="1"/>
  <c r="L465" i="88"/>
  <c r="K465" i="88" s="1"/>
  <c r="L466" i="88"/>
  <c r="K466" i="88" s="1"/>
  <c r="L467" i="88"/>
  <c r="K467" i="88" s="1"/>
  <c r="L468" i="88"/>
  <c r="K468" i="88" s="1"/>
  <c r="L469" i="88"/>
  <c r="K469" i="88" s="1"/>
  <c r="L470" i="88"/>
  <c r="K470" i="88" s="1"/>
  <c r="L471" i="88"/>
  <c r="K471" i="88" s="1"/>
  <c r="L472" i="88"/>
  <c r="K472" i="88" s="1"/>
  <c r="L473" i="88"/>
  <c r="K473" i="88" s="1"/>
  <c r="L474" i="88"/>
  <c r="K474" i="88" s="1"/>
  <c r="L475" i="88"/>
  <c r="K475" i="88" s="1"/>
  <c r="L476" i="88"/>
  <c r="K476" i="88" s="1"/>
  <c r="L477" i="88"/>
  <c r="K477" i="88" s="1"/>
  <c r="L478" i="88"/>
  <c r="K478" i="88" s="1"/>
  <c r="L479" i="88"/>
  <c r="K479" i="88" s="1"/>
  <c r="L480" i="88"/>
  <c r="K480" i="88" s="1"/>
  <c r="L481" i="88"/>
  <c r="K481" i="88" s="1"/>
  <c r="L482" i="88"/>
  <c r="K482" i="88" s="1"/>
  <c r="L483" i="88"/>
  <c r="K483" i="88" s="1"/>
  <c r="L484" i="88"/>
  <c r="K484" i="88" s="1"/>
  <c r="L485" i="88"/>
  <c r="K485" i="88" s="1"/>
  <c r="L486" i="88"/>
  <c r="K486" i="88" s="1"/>
  <c r="L487" i="88"/>
  <c r="K487" i="88" s="1"/>
  <c r="L488" i="88"/>
  <c r="K488" i="88" s="1"/>
  <c r="L489" i="88"/>
  <c r="K489" i="88" s="1"/>
  <c r="L490" i="88"/>
  <c r="K490" i="88" s="1"/>
  <c r="L491" i="88"/>
  <c r="K491" i="88" s="1"/>
  <c r="L492" i="88"/>
  <c r="K492" i="88" s="1"/>
  <c r="L493" i="88"/>
  <c r="K493" i="88" s="1"/>
  <c r="L494" i="88"/>
  <c r="K494" i="88" s="1"/>
  <c r="L495" i="88"/>
  <c r="K495" i="88" s="1"/>
  <c r="L496" i="88"/>
  <c r="K496" i="88" s="1"/>
  <c r="L497" i="88"/>
  <c r="K497" i="88" s="1"/>
  <c r="L498" i="88"/>
  <c r="K498" i="88" s="1"/>
  <c r="L499" i="88"/>
  <c r="K499" i="88" s="1"/>
  <c r="L500" i="88"/>
  <c r="K500" i="88" s="1"/>
  <c r="F6" i="1049"/>
  <c r="F7" i="1049"/>
  <c r="F8" i="1049"/>
  <c r="F9" i="1049"/>
  <c r="F10" i="1049"/>
  <c r="F11" i="1049"/>
  <c r="F12" i="1049"/>
  <c r="F13" i="1049"/>
  <c r="F14" i="1049"/>
  <c r="F15" i="1049"/>
  <c r="F16" i="1049"/>
  <c r="F17" i="1049"/>
  <c r="F18" i="1049"/>
  <c r="F19" i="1049"/>
  <c r="F20" i="1049"/>
  <c r="F21" i="1049"/>
  <c r="F22" i="1049"/>
  <c r="F23" i="1049"/>
  <c r="F24" i="1049"/>
  <c r="F25" i="1049"/>
  <c r="F26" i="1049"/>
  <c r="F27" i="1049"/>
  <c r="F28" i="1049"/>
  <c r="F29" i="1049"/>
  <c r="F30" i="1049"/>
  <c r="F31" i="1049"/>
  <c r="F32" i="1049"/>
  <c r="F33" i="1049"/>
  <c r="F34" i="1049"/>
  <c r="F35" i="1049"/>
  <c r="F36" i="1049"/>
  <c r="F37" i="1049"/>
  <c r="F38" i="1049"/>
  <c r="F39" i="1049"/>
  <c r="F40" i="1049"/>
  <c r="F41" i="1049"/>
  <c r="F42" i="1049"/>
  <c r="F43" i="1049"/>
  <c r="F44" i="1049"/>
  <c r="F45" i="1049"/>
  <c r="F46" i="1049"/>
  <c r="F47" i="1049"/>
  <c r="F48" i="1049"/>
  <c r="F49" i="1049"/>
  <c r="F50" i="1049"/>
  <c r="F51" i="1049"/>
  <c r="F52" i="1049"/>
  <c r="F53" i="1049"/>
  <c r="F54" i="1049"/>
  <c r="F55" i="1049"/>
  <c r="F5" i="1049"/>
  <c r="C5" i="88"/>
  <c r="B5" i="88"/>
  <c r="M318" i="88" l="1"/>
  <c r="N318" i="88" s="1"/>
  <c r="M317" i="88"/>
  <c r="N317" i="88" s="1"/>
  <c r="M316" i="88"/>
  <c r="N316" i="88" s="1"/>
  <c r="M315" i="88"/>
  <c r="N315" i="88" s="1"/>
  <c r="M314" i="88"/>
  <c r="N314" i="88" s="1"/>
  <c r="M313" i="88"/>
  <c r="N313" i="88" s="1"/>
  <c r="M312" i="88"/>
  <c r="N312" i="88" s="1"/>
  <c r="M311" i="88"/>
  <c r="N311" i="88" s="1"/>
  <c r="M165" i="88"/>
  <c r="N165" i="88" s="1"/>
  <c r="M164" i="88"/>
  <c r="N164" i="88" s="1"/>
  <c r="M163" i="88"/>
  <c r="N163" i="88" s="1"/>
  <c r="M162" i="88"/>
  <c r="N162" i="88" s="1"/>
  <c r="M161" i="88"/>
  <c r="N161" i="88" s="1"/>
  <c r="M160" i="88"/>
  <c r="N160" i="88" s="1"/>
  <c r="M159" i="88"/>
  <c r="N159" i="88" s="1"/>
  <c r="M158" i="88"/>
  <c r="N158" i="88" s="1"/>
  <c r="M157" i="88"/>
  <c r="N157" i="88" s="1"/>
  <c r="M156" i="88"/>
  <c r="N156" i="88" s="1"/>
  <c r="M155" i="88"/>
  <c r="N155" i="88" s="1"/>
  <c r="M154" i="88"/>
  <c r="N154" i="88" s="1"/>
  <c r="M153" i="88"/>
  <c r="N153" i="88" s="1"/>
  <c r="M152" i="88"/>
  <c r="N152" i="88" s="1"/>
  <c r="M151" i="88"/>
  <c r="N151" i="88" s="1"/>
  <c r="M150" i="88"/>
  <c r="N150" i="88" s="1"/>
  <c r="M149" i="88"/>
  <c r="N149" i="88" s="1"/>
  <c r="M148" i="88"/>
  <c r="N148" i="88" s="1"/>
  <c r="M147" i="88"/>
  <c r="N147" i="88" s="1"/>
  <c r="M146" i="88"/>
  <c r="N146" i="88" s="1"/>
  <c r="M145" i="88"/>
  <c r="N145" i="88" s="1"/>
  <c r="M144" i="88"/>
  <c r="N144" i="88" s="1"/>
  <c r="M143" i="88"/>
  <c r="N143" i="88" s="1"/>
  <c r="M142" i="88"/>
  <c r="N142" i="88" s="1"/>
  <c r="M141" i="88"/>
  <c r="N141" i="88" s="1"/>
  <c r="M140" i="88"/>
  <c r="N140" i="88" s="1"/>
  <c r="M139" i="88"/>
  <c r="N139" i="88" s="1"/>
  <c r="M138" i="88"/>
  <c r="N138" i="88" s="1"/>
  <c r="M137" i="88"/>
  <c r="N137" i="88" s="1"/>
  <c r="M136" i="88"/>
  <c r="N136" i="88" s="1"/>
  <c r="M135" i="88"/>
  <c r="N135" i="88" s="1"/>
  <c r="M134" i="88"/>
  <c r="N134" i="88" s="1"/>
  <c r="AL1" i="88"/>
  <c r="M182" i="88"/>
  <c r="N182" i="88" s="1"/>
  <c r="M181" i="88"/>
  <c r="N181" i="88" s="1"/>
  <c r="M180" i="88"/>
  <c r="N180" i="88" s="1"/>
  <c r="M179" i="88"/>
  <c r="N179" i="88" s="1"/>
  <c r="M178" i="88"/>
  <c r="N178" i="88" s="1"/>
  <c r="M177" i="88"/>
  <c r="N177" i="88" s="1"/>
  <c r="M176" i="88"/>
  <c r="N176" i="88" s="1"/>
  <c r="M175" i="88"/>
  <c r="N175" i="88" s="1"/>
  <c r="M174" i="88"/>
  <c r="N174" i="88" s="1"/>
  <c r="M173" i="88"/>
  <c r="N173" i="88" s="1"/>
  <c r="M172" i="88"/>
  <c r="N172" i="88" s="1"/>
  <c r="M171" i="88"/>
  <c r="N171" i="88" s="1"/>
  <c r="M170" i="88"/>
  <c r="N170" i="88" s="1"/>
  <c r="M169" i="88"/>
  <c r="N169" i="88" s="1"/>
  <c r="M168" i="88"/>
  <c r="N168" i="88" s="1"/>
  <c r="M167" i="88"/>
  <c r="N167" i="88" s="1"/>
  <c r="M166" i="88"/>
  <c r="N166" i="88" s="1"/>
  <c r="K309" i="88"/>
  <c r="M309" i="88"/>
  <c r="N309" i="88" s="1"/>
  <c r="K307" i="88"/>
  <c r="M307" i="88"/>
  <c r="N307" i="88" s="1"/>
  <c r="K305" i="88"/>
  <c r="M305" i="88"/>
  <c r="N305" i="88" s="1"/>
  <c r="K303" i="88"/>
  <c r="M303" i="88"/>
  <c r="N303" i="88" s="1"/>
  <c r="K301" i="88"/>
  <c r="M301" i="88"/>
  <c r="N301" i="88" s="1"/>
  <c r="K299" i="88"/>
  <c r="M299" i="88"/>
  <c r="N299" i="88" s="1"/>
  <c r="K297" i="88"/>
  <c r="M297" i="88"/>
  <c r="N297" i="88" s="1"/>
  <c r="K295" i="88"/>
  <c r="M295" i="88"/>
  <c r="N295" i="88" s="1"/>
  <c r="K293" i="88"/>
  <c r="M293" i="88"/>
  <c r="N293" i="88" s="1"/>
  <c r="K291" i="88"/>
  <c r="M291" i="88"/>
  <c r="N291" i="88" s="1"/>
  <c r="K289" i="88"/>
  <c r="M289" i="88"/>
  <c r="N289" i="88" s="1"/>
  <c r="K287" i="88"/>
  <c r="M287" i="88"/>
  <c r="N287" i="88" s="1"/>
  <c r="K285" i="88"/>
  <c r="M285" i="88"/>
  <c r="N285" i="88" s="1"/>
  <c r="K283" i="88"/>
  <c r="M283" i="88"/>
  <c r="N283" i="88" s="1"/>
  <c r="K281" i="88"/>
  <c r="M281" i="88"/>
  <c r="N281" i="88" s="1"/>
  <c r="K279" i="88"/>
  <c r="M279" i="88"/>
  <c r="N279" i="88" s="1"/>
  <c r="K277" i="88"/>
  <c r="M277" i="88"/>
  <c r="N277" i="88" s="1"/>
  <c r="K275" i="88"/>
  <c r="M275" i="88"/>
  <c r="N275" i="88" s="1"/>
  <c r="K273" i="88"/>
  <c r="M273" i="88"/>
  <c r="N273" i="88" s="1"/>
  <c r="K271" i="88"/>
  <c r="M271" i="88"/>
  <c r="N271" i="88" s="1"/>
  <c r="K269" i="88"/>
  <c r="M269" i="88"/>
  <c r="N269" i="88" s="1"/>
  <c r="K267" i="88"/>
  <c r="M267" i="88"/>
  <c r="N267" i="88" s="1"/>
  <c r="K265" i="88"/>
  <c r="M265" i="88"/>
  <c r="N265" i="88" s="1"/>
  <c r="K263" i="88"/>
  <c r="M263" i="88"/>
  <c r="N263" i="88" s="1"/>
  <c r="K261" i="88"/>
  <c r="M261" i="88"/>
  <c r="N261" i="88" s="1"/>
  <c r="K259" i="88"/>
  <c r="M259" i="88"/>
  <c r="N259" i="88" s="1"/>
  <c r="K257" i="88"/>
  <c r="M257" i="88"/>
  <c r="N257" i="88" s="1"/>
  <c r="K255" i="88"/>
  <c r="M255" i="88"/>
  <c r="N255" i="88" s="1"/>
  <c r="K253" i="88"/>
  <c r="M253" i="88"/>
  <c r="N253" i="88" s="1"/>
  <c r="K251" i="88"/>
  <c r="M251" i="88"/>
  <c r="N251" i="88" s="1"/>
  <c r="K249" i="88"/>
  <c r="M249" i="88"/>
  <c r="N249" i="88" s="1"/>
  <c r="K247" i="88"/>
  <c r="M247" i="88"/>
  <c r="N247" i="88" s="1"/>
  <c r="K245" i="88"/>
  <c r="M245" i="88"/>
  <c r="N245" i="88" s="1"/>
  <c r="K243" i="88"/>
  <c r="M243" i="88"/>
  <c r="N243" i="88" s="1"/>
  <c r="K241" i="88"/>
  <c r="M241" i="88"/>
  <c r="N241" i="88" s="1"/>
  <c r="K239" i="88"/>
  <c r="M239" i="88"/>
  <c r="N239" i="88" s="1"/>
  <c r="K238" i="88"/>
  <c r="M238" i="88"/>
  <c r="N238" i="88" s="1"/>
  <c r="K237" i="88"/>
  <c r="M237" i="88"/>
  <c r="N237" i="88" s="1"/>
  <c r="K235" i="88"/>
  <c r="M235" i="88"/>
  <c r="N235" i="88" s="1"/>
  <c r="K234" i="88"/>
  <c r="M234" i="88"/>
  <c r="N234" i="88" s="1"/>
  <c r="K233" i="88"/>
  <c r="M233" i="88"/>
  <c r="N233" i="88" s="1"/>
  <c r="K232" i="88"/>
  <c r="M232" i="88"/>
  <c r="N232" i="88" s="1"/>
  <c r="K231" i="88"/>
  <c r="M231" i="88"/>
  <c r="N231" i="88" s="1"/>
  <c r="K230" i="88"/>
  <c r="M230" i="88"/>
  <c r="N230" i="88" s="1"/>
  <c r="K229" i="88"/>
  <c r="M229" i="88"/>
  <c r="N229" i="88" s="1"/>
  <c r="K228" i="88"/>
  <c r="M228" i="88"/>
  <c r="N228" i="88" s="1"/>
  <c r="K227" i="88"/>
  <c r="M227" i="88"/>
  <c r="N227" i="88" s="1"/>
  <c r="K226" i="88"/>
  <c r="M226" i="88"/>
  <c r="N226" i="88" s="1"/>
  <c r="K225" i="88"/>
  <c r="M225" i="88"/>
  <c r="N225" i="88" s="1"/>
  <c r="K224" i="88"/>
  <c r="M224" i="88"/>
  <c r="N224" i="88" s="1"/>
  <c r="K223" i="88"/>
  <c r="M223" i="88"/>
  <c r="N223" i="88" s="1"/>
  <c r="K222" i="88"/>
  <c r="M222" i="88"/>
  <c r="N222" i="88" s="1"/>
  <c r="K221" i="88"/>
  <c r="M221" i="88"/>
  <c r="N221" i="88" s="1"/>
  <c r="K220" i="88"/>
  <c r="M220" i="88"/>
  <c r="N220" i="88" s="1"/>
  <c r="K219" i="88"/>
  <c r="M219" i="88"/>
  <c r="N219" i="88" s="1"/>
  <c r="K218" i="88"/>
  <c r="M218" i="88"/>
  <c r="N218" i="88" s="1"/>
  <c r="K217" i="88"/>
  <c r="M217" i="88"/>
  <c r="N217" i="88" s="1"/>
  <c r="K216" i="88"/>
  <c r="M216" i="88"/>
  <c r="N216" i="88" s="1"/>
  <c r="K215" i="88"/>
  <c r="M215" i="88"/>
  <c r="N215" i="88" s="1"/>
  <c r="K214" i="88"/>
  <c r="M214" i="88"/>
  <c r="N214" i="88" s="1"/>
  <c r="K213" i="88"/>
  <c r="M213" i="88"/>
  <c r="N213" i="88" s="1"/>
  <c r="K212" i="88"/>
  <c r="M212" i="88"/>
  <c r="N212" i="88" s="1"/>
  <c r="K211" i="88"/>
  <c r="M211" i="88"/>
  <c r="N211" i="88" s="1"/>
  <c r="K210" i="88"/>
  <c r="M210" i="88"/>
  <c r="N210" i="88" s="1"/>
  <c r="K209" i="88"/>
  <c r="M209" i="88"/>
  <c r="N209" i="88" s="1"/>
  <c r="K208" i="88"/>
  <c r="M208" i="88"/>
  <c r="N208" i="88" s="1"/>
  <c r="K207" i="88"/>
  <c r="M207" i="88"/>
  <c r="N207" i="88" s="1"/>
  <c r="K206" i="88"/>
  <c r="M206" i="88"/>
  <c r="N206" i="88" s="1"/>
  <c r="K205" i="88"/>
  <c r="M205" i="88"/>
  <c r="N205" i="88" s="1"/>
  <c r="K204" i="88"/>
  <c r="M204" i="88"/>
  <c r="N204" i="88" s="1"/>
  <c r="K203" i="88"/>
  <c r="M203" i="88"/>
  <c r="N203" i="88" s="1"/>
  <c r="K202" i="88"/>
  <c r="M202" i="88"/>
  <c r="N202" i="88" s="1"/>
  <c r="K201" i="88"/>
  <c r="M201" i="88"/>
  <c r="N201" i="88" s="1"/>
  <c r="K200" i="88"/>
  <c r="M200" i="88"/>
  <c r="N200" i="88" s="1"/>
  <c r="K199" i="88"/>
  <c r="M199" i="88"/>
  <c r="N199" i="88" s="1"/>
  <c r="K198" i="88"/>
  <c r="M198" i="88"/>
  <c r="N198" i="88" s="1"/>
  <c r="K197" i="88"/>
  <c r="M197" i="88"/>
  <c r="N197" i="88" s="1"/>
  <c r="K196" i="88"/>
  <c r="M196" i="88"/>
  <c r="N196" i="88" s="1"/>
  <c r="K195" i="88"/>
  <c r="M195" i="88"/>
  <c r="N195" i="88" s="1"/>
  <c r="K194" i="88"/>
  <c r="M194" i="88"/>
  <c r="N194" i="88" s="1"/>
  <c r="K193" i="88"/>
  <c r="M193" i="88"/>
  <c r="N193" i="88" s="1"/>
  <c r="K192" i="88"/>
  <c r="M192" i="88"/>
  <c r="N192" i="88" s="1"/>
  <c r="K191" i="88"/>
  <c r="M191" i="88"/>
  <c r="N191" i="88" s="1"/>
  <c r="K190" i="88"/>
  <c r="M190" i="88"/>
  <c r="N190" i="88" s="1"/>
  <c r="K189" i="88"/>
  <c r="M189" i="88"/>
  <c r="N189" i="88" s="1"/>
  <c r="K188" i="88"/>
  <c r="M188" i="88"/>
  <c r="N188" i="88" s="1"/>
  <c r="K187" i="88"/>
  <c r="M187" i="88"/>
  <c r="N187" i="88" s="1"/>
  <c r="K310" i="88"/>
  <c r="M310" i="88"/>
  <c r="N310" i="88" s="1"/>
  <c r="K308" i="88"/>
  <c r="M308" i="88"/>
  <c r="N308" i="88" s="1"/>
  <c r="K306" i="88"/>
  <c r="M306" i="88"/>
  <c r="N306" i="88" s="1"/>
  <c r="K304" i="88"/>
  <c r="M304" i="88"/>
  <c r="N304" i="88" s="1"/>
  <c r="K302" i="88"/>
  <c r="M302" i="88"/>
  <c r="N302" i="88" s="1"/>
  <c r="K300" i="88"/>
  <c r="M300" i="88"/>
  <c r="N300" i="88" s="1"/>
  <c r="K298" i="88"/>
  <c r="M298" i="88"/>
  <c r="N298" i="88" s="1"/>
  <c r="K296" i="88"/>
  <c r="M296" i="88"/>
  <c r="N296" i="88" s="1"/>
  <c r="K294" i="88"/>
  <c r="M294" i="88"/>
  <c r="N294" i="88" s="1"/>
  <c r="K292" i="88"/>
  <c r="M292" i="88"/>
  <c r="N292" i="88" s="1"/>
  <c r="K290" i="88"/>
  <c r="M290" i="88"/>
  <c r="N290" i="88" s="1"/>
  <c r="K288" i="88"/>
  <c r="M288" i="88"/>
  <c r="N288" i="88" s="1"/>
  <c r="K286" i="88"/>
  <c r="M286" i="88"/>
  <c r="N286" i="88" s="1"/>
  <c r="K284" i="88"/>
  <c r="M284" i="88"/>
  <c r="N284" i="88" s="1"/>
  <c r="K282" i="88"/>
  <c r="M282" i="88"/>
  <c r="N282" i="88" s="1"/>
  <c r="K280" i="88"/>
  <c r="M280" i="88"/>
  <c r="N280" i="88" s="1"/>
  <c r="K278" i="88"/>
  <c r="M278" i="88"/>
  <c r="N278" i="88" s="1"/>
  <c r="K276" i="88"/>
  <c r="M276" i="88"/>
  <c r="N276" i="88" s="1"/>
  <c r="K274" i="88"/>
  <c r="M274" i="88"/>
  <c r="N274" i="88" s="1"/>
  <c r="K272" i="88"/>
  <c r="M272" i="88"/>
  <c r="N272" i="88" s="1"/>
  <c r="K270" i="88"/>
  <c r="M270" i="88"/>
  <c r="N270" i="88" s="1"/>
  <c r="K268" i="88"/>
  <c r="M268" i="88"/>
  <c r="N268" i="88" s="1"/>
  <c r="K266" i="88"/>
  <c r="M266" i="88"/>
  <c r="N266" i="88" s="1"/>
  <c r="K264" i="88"/>
  <c r="M264" i="88"/>
  <c r="N264" i="88" s="1"/>
  <c r="K262" i="88"/>
  <c r="M262" i="88"/>
  <c r="N262" i="88" s="1"/>
  <c r="K260" i="88"/>
  <c r="M260" i="88"/>
  <c r="N260" i="88" s="1"/>
  <c r="K258" i="88"/>
  <c r="M258" i="88"/>
  <c r="N258" i="88" s="1"/>
  <c r="K256" i="88"/>
  <c r="M256" i="88"/>
  <c r="N256" i="88" s="1"/>
  <c r="K254" i="88"/>
  <c r="M254" i="88"/>
  <c r="N254" i="88" s="1"/>
  <c r="K252" i="88"/>
  <c r="M252" i="88"/>
  <c r="N252" i="88" s="1"/>
  <c r="K250" i="88"/>
  <c r="M250" i="88"/>
  <c r="N250" i="88" s="1"/>
  <c r="K248" i="88"/>
  <c r="M248" i="88"/>
  <c r="N248" i="88" s="1"/>
  <c r="K246" i="88"/>
  <c r="M246" i="88"/>
  <c r="N246" i="88" s="1"/>
  <c r="K244" i="88"/>
  <c r="M244" i="88"/>
  <c r="N244" i="88" s="1"/>
  <c r="K242" i="88"/>
  <c r="M242" i="88"/>
  <c r="N242" i="88" s="1"/>
  <c r="K240" i="88"/>
  <c r="M240" i="88"/>
  <c r="N240" i="88" s="1"/>
  <c r="K236" i="88"/>
  <c r="M236" i="88"/>
  <c r="N236" i="88" s="1"/>
  <c r="M186" i="88"/>
  <c r="N186" i="88" s="1"/>
  <c r="M185" i="88"/>
  <c r="N185" i="88" s="1"/>
  <c r="M184" i="88"/>
  <c r="N184" i="88" s="1"/>
  <c r="M183" i="88"/>
  <c r="N183" i="88" s="1"/>
  <c r="M319" i="88"/>
  <c r="N319" i="88" s="1"/>
  <c r="M339" i="88"/>
  <c r="N339" i="88" s="1"/>
  <c r="M338" i="88"/>
  <c r="N338" i="88" s="1"/>
  <c r="M337" i="88"/>
  <c r="N337" i="88" s="1"/>
  <c r="M336" i="88"/>
  <c r="N336" i="88" s="1"/>
  <c r="M335" i="88"/>
  <c r="N335" i="88" s="1"/>
  <c r="M334" i="88"/>
  <c r="N334" i="88" s="1"/>
  <c r="M333" i="88"/>
  <c r="N333" i="88" s="1"/>
  <c r="M332" i="88"/>
  <c r="N332" i="88" s="1"/>
  <c r="M331" i="88"/>
  <c r="N331" i="88" s="1"/>
  <c r="M330" i="88"/>
  <c r="N330" i="88" s="1"/>
  <c r="M329" i="88"/>
  <c r="N329" i="88" s="1"/>
  <c r="M328" i="88"/>
  <c r="N328" i="88" s="1"/>
  <c r="M327" i="88"/>
  <c r="N327" i="88" s="1"/>
  <c r="M326" i="88"/>
  <c r="N326" i="88" s="1"/>
  <c r="M325" i="88"/>
  <c r="N325" i="88" s="1"/>
  <c r="M324" i="88"/>
  <c r="N324" i="88" s="1"/>
  <c r="M323" i="88"/>
  <c r="N323" i="88" s="1"/>
  <c r="M322" i="88"/>
  <c r="N322" i="88" s="1"/>
  <c r="M321" i="88"/>
  <c r="N321" i="88" s="1"/>
  <c r="M320" i="88"/>
  <c r="N320" i="88" s="1"/>
  <c r="K133" i="88"/>
  <c r="M133" i="88"/>
  <c r="N133" i="88" s="1"/>
  <c r="K132" i="88"/>
  <c r="M132" i="88"/>
  <c r="N132" i="88" s="1"/>
  <c r="K131" i="88"/>
  <c r="M131" i="88"/>
  <c r="N131" i="88" s="1"/>
  <c r="K130" i="88"/>
  <c r="M130" i="88"/>
  <c r="N130" i="88" s="1"/>
  <c r="K129" i="88"/>
  <c r="M129" i="88"/>
  <c r="N129" i="88" s="1"/>
  <c r="K128" i="88"/>
  <c r="M128" i="88"/>
  <c r="N128" i="88" s="1"/>
  <c r="K127" i="88"/>
  <c r="M127" i="88"/>
  <c r="N127" i="88" s="1"/>
  <c r="K126" i="88"/>
  <c r="M126" i="88"/>
  <c r="N126" i="88" s="1"/>
  <c r="K125" i="88"/>
  <c r="M125" i="88"/>
  <c r="N125" i="88" s="1"/>
  <c r="K124" i="88"/>
  <c r="M124" i="88"/>
  <c r="N124" i="88" s="1"/>
  <c r="K123" i="88"/>
  <c r="M123" i="88"/>
  <c r="N123" i="88" s="1"/>
  <c r="K122" i="88"/>
  <c r="M122" i="88"/>
  <c r="N122" i="88" s="1"/>
  <c r="K121" i="88"/>
  <c r="M121" i="88"/>
  <c r="N121" i="88" s="1"/>
  <c r="K120" i="88"/>
  <c r="M120" i="88"/>
  <c r="N120" i="88" s="1"/>
  <c r="K119" i="88"/>
  <c r="M119" i="88"/>
  <c r="N119" i="88" s="1"/>
  <c r="K118" i="88"/>
  <c r="M118" i="88"/>
  <c r="N118" i="88" s="1"/>
  <c r="K117" i="88"/>
  <c r="M117" i="88"/>
  <c r="N117" i="88" s="1"/>
  <c r="K116" i="88"/>
  <c r="M116" i="88"/>
  <c r="N116" i="88" s="1"/>
  <c r="K115" i="88"/>
  <c r="M115" i="88"/>
  <c r="N115" i="88" s="1"/>
  <c r="K114" i="88"/>
  <c r="M114" i="88"/>
  <c r="N114" i="88" s="1"/>
  <c r="K113" i="88"/>
  <c r="M113" i="88"/>
  <c r="N113" i="88" s="1"/>
  <c r="K112" i="88"/>
  <c r="M112" i="88"/>
  <c r="N112" i="88" s="1"/>
  <c r="K111" i="88"/>
  <c r="M111" i="88"/>
  <c r="N111" i="88" s="1"/>
  <c r="K110" i="88"/>
  <c r="M110" i="88"/>
  <c r="N110" i="88" s="1"/>
  <c r="K109" i="88"/>
  <c r="M109" i="88"/>
  <c r="N109" i="88" s="1"/>
  <c r="K108" i="88"/>
  <c r="M108" i="88"/>
  <c r="N108" i="88" s="1"/>
  <c r="K107" i="88"/>
  <c r="M107" i="88"/>
  <c r="N107" i="88" s="1"/>
  <c r="K106" i="88"/>
  <c r="M106" i="88"/>
  <c r="N106" i="88" s="1"/>
  <c r="K105" i="88"/>
  <c r="M105" i="88"/>
  <c r="N105" i="88" s="1"/>
  <c r="K104" i="88"/>
  <c r="M104" i="88"/>
  <c r="N104" i="88" s="1"/>
  <c r="K103" i="88"/>
  <c r="M103" i="88"/>
  <c r="N103" i="88" s="1"/>
  <c r="K102" i="88"/>
  <c r="M102" i="88"/>
  <c r="N102" i="88" s="1"/>
  <c r="K101" i="88"/>
  <c r="M101" i="88"/>
  <c r="N101" i="88" s="1"/>
  <c r="K100" i="88"/>
  <c r="M100" i="88"/>
  <c r="N100" i="88" s="1"/>
  <c r="K99" i="88"/>
  <c r="M99" i="88"/>
  <c r="N99" i="88" s="1"/>
  <c r="K98" i="88"/>
  <c r="M98" i="88"/>
  <c r="N98" i="88" s="1"/>
  <c r="K97" i="88"/>
  <c r="M97" i="88"/>
  <c r="N97" i="88" s="1"/>
  <c r="K96" i="88"/>
  <c r="M96" i="88"/>
  <c r="N96" i="88" s="1"/>
  <c r="K95" i="88"/>
  <c r="M95" i="88"/>
  <c r="N95" i="88" s="1"/>
  <c r="K94" i="88"/>
  <c r="M94" i="88"/>
  <c r="N94" i="88" s="1"/>
  <c r="K93" i="88"/>
  <c r="M93" i="88"/>
  <c r="N93" i="88" s="1"/>
  <c r="K92" i="88"/>
  <c r="M92" i="88"/>
  <c r="N92" i="88" s="1"/>
  <c r="K91" i="88"/>
  <c r="M91" i="88"/>
  <c r="N91" i="88" s="1"/>
  <c r="K90" i="88"/>
  <c r="M90" i="88"/>
  <c r="N90" i="88" s="1"/>
  <c r="K89" i="88"/>
  <c r="M89" i="88"/>
  <c r="N89" i="88" s="1"/>
  <c r="K88" i="88"/>
  <c r="M88" i="88"/>
  <c r="N88" i="88" s="1"/>
  <c r="K87" i="88"/>
  <c r="M87" i="88"/>
  <c r="N87" i="88" s="1"/>
  <c r="K86" i="88"/>
  <c r="M86" i="88"/>
  <c r="N86" i="88" s="1"/>
  <c r="K85" i="88"/>
  <c r="M85" i="88"/>
  <c r="N85" i="88" s="1"/>
  <c r="K84" i="88"/>
  <c r="M84" i="88"/>
  <c r="N84" i="88" s="1"/>
  <c r="K83" i="88"/>
  <c r="M83" i="88"/>
  <c r="N83" i="88" s="1"/>
  <c r="K82" i="88"/>
  <c r="M82" i="88"/>
  <c r="N82" i="88" s="1"/>
  <c r="K81" i="88"/>
  <c r="M81" i="88"/>
  <c r="N81" i="88" s="1"/>
  <c r="K80" i="88"/>
  <c r="M80" i="88"/>
  <c r="N80" i="88" s="1"/>
  <c r="K79" i="88"/>
  <c r="M79" i="88"/>
  <c r="N79" i="88" s="1"/>
  <c r="K78" i="88"/>
  <c r="M78" i="88"/>
  <c r="N78" i="88" s="1"/>
  <c r="K77" i="88"/>
  <c r="M77" i="88"/>
  <c r="N77" i="88" s="1"/>
  <c r="K76" i="88"/>
  <c r="M76" i="88"/>
  <c r="N76" i="88" s="1"/>
  <c r="K75" i="88"/>
  <c r="M75" i="88"/>
  <c r="N75" i="88" s="1"/>
  <c r="K74" i="88"/>
  <c r="M74" i="88"/>
  <c r="N74" i="88" s="1"/>
  <c r="K73" i="88"/>
  <c r="M73" i="88"/>
  <c r="N73" i="88" s="1"/>
  <c r="K72" i="88"/>
  <c r="M72" i="88"/>
  <c r="N72" i="88" s="1"/>
  <c r="K71" i="88"/>
  <c r="M71" i="88"/>
  <c r="N71" i="88" s="1"/>
  <c r="K70" i="88"/>
  <c r="M70" i="88"/>
  <c r="N70" i="88" s="1"/>
  <c r="K69" i="88"/>
  <c r="M69" i="88"/>
  <c r="N69" i="88" s="1"/>
  <c r="K68" i="88"/>
  <c r="M68" i="88"/>
  <c r="N68" i="88" s="1"/>
  <c r="K67" i="88"/>
  <c r="M67" i="88"/>
  <c r="N67" i="88" s="1"/>
  <c r="K66" i="88"/>
  <c r="M66" i="88"/>
  <c r="N66" i="88" s="1"/>
  <c r="K65" i="88"/>
  <c r="M65" i="88"/>
  <c r="N65" i="88" s="1"/>
  <c r="K64" i="88"/>
  <c r="M64" i="88"/>
  <c r="N64" i="88" s="1"/>
  <c r="K63" i="88"/>
  <c r="M63" i="88"/>
  <c r="N63" i="88" s="1"/>
  <c r="K62" i="88"/>
  <c r="M62" i="88"/>
  <c r="N62" i="88" s="1"/>
  <c r="K61" i="88"/>
  <c r="M61" i="88"/>
  <c r="N61" i="88" s="1"/>
  <c r="K60" i="88"/>
  <c r="M60" i="88"/>
  <c r="N60" i="88" s="1"/>
  <c r="K59" i="88"/>
  <c r="M59" i="88"/>
  <c r="N59" i="88" s="1"/>
  <c r="K58" i="88"/>
  <c r="M58" i="88"/>
  <c r="N58" i="88" s="1"/>
  <c r="K57" i="88"/>
  <c r="M57" i="88"/>
  <c r="N57" i="88" s="1"/>
  <c r="K56" i="88"/>
  <c r="M56" i="88"/>
  <c r="N56" i="88" s="1"/>
  <c r="K55" i="88"/>
  <c r="M55" i="88"/>
  <c r="N55" i="88" s="1"/>
  <c r="K54" i="88"/>
  <c r="M54" i="88"/>
  <c r="N54" i="88" s="1"/>
  <c r="K53" i="88"/>
  <c r="M53" i="88"/>
  <c r="N53" i="88" s="1"/>
  <c r="K52" i="88"/>
  <c r="M52" i="88"/>
  <c r="N52" i="88" s="1"/>
  <c r="K51" i="88"/>
  <c r="M51" i="88"/>
  <c r="N51" i="88" s="1"/>
  <c r="K50" i="88"/>
  <c r="M50" i="88"/>
  <c r="N50" i="88" s="1"/>
  <c r="K49" i="88"/>
  <c r="M49" i="88"/>
  <c r="N49" i="88" s="1"/>
  <c r="K48" i="88"/>
  <c r="M48" i="88"/>
  <c r="N48" i="88" s="1"/>
  <c r="K47" i="88"/>
  <c r="M47" i="88"/>
  <c r="N47" i="88" s="1"/>
  <c r="K46" i="88"/>
  <c r="M46" i="88"/>
  <c r="N46" i="88" s="1"/>
  <c r="K45" i="88"/>
  <c r="M45" i="88"/>
  <c r="N45" i="88" s="1"/>
  <c r="K44" i="88"/>
  <c r="M44" i="88"/>
  <c r="N44" i="88" s="1"/>
  <c r="K43" i="88"/>
  <c r="M43" i="88"/>
  <c r="N43" i="88" s="1"/>
  <c r="K42" i="88"/>
  <c r="M42" i="88"/>
  <c r="N42" i="88" s="1"/>
  <c r="K41" i="88"/>
  <c r="M41" i="88"/>
  <c r="N41" i="88" s="1"/>
  <c r="K40" i="88"/>
  <c r="M40" i="88"/>
  <c r="N40" i="88" s="1"/>
  <c r="K39" i="88"/>
  <c r="M39" i="88"/>
  <c r="N39" i="88" s="1"/>
  <c r="K38" i="88"/>
  <c r="M38" i="88"/>
  <c r="N38" i="88" s="1"/>
  <c r="K37" i="88"/>
  <c r="M37" i="88"/>
  <c r="N37" i="88" s="1"/>
  <c r="K36" i="88"/>
  <c r="M36" i="88"/>
  <c r="N36" i="88" s="1"/>
  <c r="K35" i="88"/>
  <c r="M35" i="88"/>
  <c r="N35" i="88" s="1"/>
  <c r="K34" i="88"/>
  <c r="M34" i="88"/>
  <c r="N34" i="88" s="1"/>
  <c r="K33" i="88"/>
  <c r="M33" i="88"/>
  <c r="N33" i="88" s="1"/>
  <c r="K32" i="88"/>
  <c r="M32" i="88"/>
  <c r="N32" i="88" s="1"/>
  <c r="K31" i="88"/>
  <c r="M31" i="88"/>
  <c r="N31" i="88" s="1"/>
  <c r="K30" i="88"/>
  <c r="M30" i="88"/>
  <c r="N30" i="88" s="1"/>
  <c r="K29" i="88"/>
  <c r="M29" i="88"/>
  <c r="N29" i="88" s="1"/>
  <c r="K28" i="88"/>
  <c r="M28" i="88"/>
  <c r="N28" i="88" s="1"/>
  <c r="K27" i="88"/>
  <c r="M27" i="88"/>
  <c r="N27" i="88" s="1"/>
  <c r="K26" i="88"/>
  <c r="M26" i="88"/>
  <c r="N26" i="88" s="1"/>
  <c r="K25" i="88"/>
  <c r="M25" i="88"/>
  <c r="N25" i="88" s="1"/>
  <c r="K24" i="88"/>
  <c r="M24" i="88"/>
  <c r="N24" i="88" s="1"/>
  <c r="K23" i="88"/>
  <c r="M23" i="88"/>
  <c r="N23" i="88" s="1"/>
  <c r="K21" i="88"/>
  <c r="M21" i="88"/>
  <c r="N21" i="88" s="1"/>
  <c r="K20" i="88"/>
  <c r="M20" i="88"/>
  <c r="N20" i="88" s="1"/>
  <c r="K19" i="88"/>
  <c r="M19" i="88"/>
  <c r="N19" i="88" s="1"/>
  <c r="K18" i="88"/>
  <c r="M18" i="88"/>
  <c r="N18" i="88" s="1"/>
  <c r="K16" i="88"/>
  <c r="M16" i="88"/>
  <c r="N16" i="88" s="1"/>
  <c r="K15" i="88"/>
  <c r="M15" i="88"/>
  <c r="N15" i="88" s="1"/>
  <c r="K14" i="88"/>
  <c r="M14" i="88"/>
  <c r="N14" i="88" s="1"/>
  <c r="K13" i="88"/>
  <c r="M13" i="88"/>
  <c r="N13" i="88" s="1"/>
  <c r="M500" i="88"/>
  <c r="N500" i="88" s="1"/>
  <c r="M499" i="88"/>
  <c r="N499" i="88" s="1"/>
  <c r="M498" i="88"/>
  <c r="N498" i="88" s="1"/>
  <c r="M497" i="88"/>
  <c r="N497" i="88" s="1"/>
  <c r="M496" i="88"/>
  <c r="N496" i="88" s="1"/>
  <c r="M495" i="88"/>
  <c r="N495" i="88" s="1"/>
  <c r="M494" i="88"/>
  <c r="N494" i="88" s="1"/>
  <c r="M493" i="88"/>
  <c r="N493" i="88" s="1"/>
  <c r="M492" i="88"/>
  <c r="N492" i="88" s="1"/>
  <c r="M491" i="88"/>
  <c r="N491" i="88" s="1"/>
  <c r="M490" i="88"/>
  <c r="N490" i="88" s="1"/>
  <c r="M489" i="88"/>
  <c r="N489" i="88" s="1"/>
  <c r="M488" i="88"/>
  <c r="N488" i="88" s="1"/>
  <c r="M487" i="88"/>
  <c r="N487" i="88" s="1"/>
  <c r="M486" i="88"/>
  <c r="N486" i="88" s="1"/>
  <c r="M485" i="88"/>
  <c r="N485" i="88" s="1"/>
  <c r="M484" i="88"/>
  <c r="N484" i="88" s="1"/>
  <c r="M483" i="88"/>
  <c r="N483" i="88" s="1"/>
  <c r="M482" i="88"/>
  <c r="N482" i="88" s="1"/>
  <c r="M481" i="88"/>
  <c r="N481" i="88" s="1"/>
  <c r="M480" i="88"/>
  <c r="N480" i="88" s="1"/>
  <c r="M479" i="88"/>
  <c r="N479" i="88" s="1"/>
  <c r="M478" i="88"/>
  <c r="N478" i="88" s="1"/>
  <c r="M477" i="88"/>
  <c r="N477" i="88" s="1"/>
  <c r="M476" i="88"/>
  <c r="N476" i="88" s="1"/>
  <c r="M475" i="88"/>
  <c r="N475" i="88" s="1"/>
  <c r="M474" i="88"/>
  <c r="N474" i="88" s="1"/>
  <c r="M473" i="88"/>
  <c r="N473" i="88" s="1"/>
  <c r="M472" i="88"/>
  <c r="N472" i="88" s="1"/>
  <c r="M471" i="88"/>
  <c r="N471" i="88" s="1"/>
  <c r="M470" i="88"/>
  <c r="N470" i="88" s="1"/>
  <c r="M469" i="88"/>
  <c r="N469" i="88" s="1"/>
  <c r="M468" i="88"/>
  <c r="N468" i="88" s="1"/>
  <c r="M467" i="88"/>
  <c r="N467" i="88" s="1"/>
  <c r="M466" i="88"/>
  <c r="N466" i="88" s="1"/>
  <c r="M465" i="88"/>
  <c r="N465" i="88" s="1"/>
  <c r="M464" i="88"/>
  <c r="N464" i="88" s="1"/>
  <c r="M463" i="88"/>
  <c r="N463" i="88" s="1"/>
  <c r="M462" i="88"/>
  <c r="N462" i="88" s="1"/>
  <c r="M461" i="88"/>
  <c r="N461" i="88" s="1"/>
  <c r="M460" i="88"/>
  <c r="N460" i="88" s="1"/>
  <c r="M459" i="88"/>
  <c r="N459" i="88" s="1"/>
  <c r="M458" i="88"/>
  <c r="N458" i="88" s="1"/>
  <c r="M457" i="88"/>
  <c r="N457" i="88" s="1"/>
  <c r="M456" i="88"/>
  <c r="N456" i="88" s="1"/>
  <c r="M455" i="88"/>
  <c r="N455" i="88" s="1"/>
  <c r="M454" i="88"/>
  <c r="N454" i="88" s="1"/>
  <c r="M453" i="88"/>
  <c r="N453" i="88" s="1"/>
  <c r="M452" i="88"/>
  <c r="N452" i="88" s="1"/>
  <c r="M451" i="88"/>
  <c r="N451" i="88" s="1"/>
  <c r="M450" i="88"/>
  <c r="N450" i="88" s="1"/>
  <c r="M449" i="88"/>
  <c r="N449" i="88" s="1"/>
  <c r="M448" i="88"/>
  <c r="N448" i="88" s="1"/>
  <c r="M447" i="88"/>
  <c r="N447" i="88" s="1"/>
  <c r="M446" i="88"/>
  <c r="N446" i="88" s="1"/>
  <c r="M445" i="88"/>
  <c r="N445" i="88" s="1"/>
  <c r="M444" i="88"/>
  <c r="N444" i="88" s="1"/>
  <c r="M443" i="88"/>
  <c r="N443" i="88" s="1"/>
  <c r="M442" i="88"/>
  <c r="N442" i="88" s="1"/>
  <c r="M441" i="88"/>
  <c r="N441" i="88" s="1"/>
  <c r="M440" i="88"/>
  <c r="N440" i="88" s="1"/>
  <c r="M439" i="88"/>
  <c r="N439" i="88" s="1"/>
  <c r="M438" i="88"/>
  <c r="N438" i="88" s="1"/>
  <c r="M437" i="88"/>
  <c r="N437" i="88" s="1"/>
  <c r="M436" i="88"/>
  <c r="N436" i="88" s="1"/>
  <c r="M435" i="88"/>
  <c r="N435" i="88" s="1"/>
  <c r="M434" i="88"/>
  <c r="N434" i="88" s="1"/>
  <c r="M433" i="88"/>
  <c r="N433" i="88" s="1"/>
  <c r="M432" i="88"/>
  <c r="N432" i="88" s="1"/>
  <c r="M431" i="88"/>
  <c r="N431" i="88" s="1"/>
  <c r="M430" i="88"/>
  <c r="N430" i="88" s="1"/>
  <c r="M429" i="88"/>
  <c r="N429" i="88" s="1"/>
  <c r="M428" i="88"/>
  <c r="N428" i="88" s="1"/>
  <c r="M427" i="88"/>
  <c r="N427" i="88" s="1"/>
  <c r="M426" i="88"/>
  <c r="N426" i="88" s="1"/>
  <c r="M425" i="88"/>
  <c r="N425" i="88" s="1"/>
  <c r="M424" i="88"/>
  <c r="N424" i="88" s="1"/>
  <c r="M423" i="88"/>
  <c r="N423" i="88" s="1"/>
  <c r="M422" i="88"/>
  <c r="N422" i="88" s="1"/>
  <c r="M421" i="88"/>
  <c r="N421" i="88" s="1"/>
  <c r="M420" i="88"/>
  <c r="N420" i="88" s="1"/>
  <c r="M419" i="88"/>
  <c r="N419" i="88" s="1"/>
  <c r="M418" i="88"/>
  <c r="N418" i="88" s="1"/>
  <c r="M417" i="88"/>
  <c r="N417" i="88" s="1"/>
  <c r="M416" i="88"/>
  <c r="N416" i="88" s="1"/>
  <c r="M415" i="88"/>
  <c r="N415" i="88" s="1"/>
  <c r="M414" i="88"/>
  <c r="N414" i="88" s="1"/>
  <c r="M413" i="88"/>
  <c r="N413" i="88" s="1"/>
  <c r="M412" i="88"/>
  <c r="N412" i="88" s="1"/>
  <c r="M411" i="88"/>
  <c r="N411" i="88" s="1"/>
  <c r="M410" i="88"/>
  <c r="N410" i="88" s="1"/>
  <c r="M409" i="88"/>
  <c r="N409" i="88" s="1"/>
  <c r="M408" i="88"/>
  <c r="N408" i="88" s="1"/>
  <c r="M407" i="88"/>
  <c r="N407" i="88" s="1"/>
  <c r="M406" i="88"/>
  <c r="N406" i="88" s="1"/>
  <c r="M405" i="88"/>
  <c r="N405" i="88" s="1"/>
  <c r="M404" i="88"/>
  <c r="N404" i="88" s="1"/>
  <c r="M403" i="88"/>
  <c r="N403" i="88" s="1"/>
  <c r="M402" i="88"/>
  <c r="N402" i="88" s="1"/>
  <c r="M401" i="88"/>
  <c r="N401" i="88" s="1"/>
  <c r="M400" i="88"/>
  <c r="N400" i="88" s="1"/>
  <c r="M399" i="88"/>
  <c r="N399" i="88" s="1"/>
  <c r="M398" i="88"/>
  <c r="N398" i="88" s="1"/>
  <c r="M397" i="88"/>
  <c r="N397" i="88" s="1"/>
  <c r="M396" i="88"/>
  <c r="N396" i="88" s="1"/>
  <c r="M395" i="88"/>
  <c r="N395" i="88" s="1"/>
  <c r="M394" i="88"/>
  <c r="N394" i="88" s="1"/>
  <c r="M393" i="88"/>
  <c r="N393" i="88" s="1"/>
  <c r="M392" i="88"/>
  <c r="N392" i="88" s="1"/>
  <c r="M391" i="88"/>
  <c r="N391" i="88" s="1"/>
  <c r="M390" i="88"/>
  <c r="N390" i="88" s="1"/>
  <c r="M389" i="88"/>
  <c r="N389" i="88" s="1"/>
  <c r="M388" i="88"/>
  <c r="N388" i="88" s="1"/>
  <c r="M387" i="88"/>
  <c r="N387" i="88" s="1"/>
  <c r="M386" i="88"/>
  <c r="N386" i="88" s="1"/>
  <c r="M385" i="88"/>
  <c r="N385" i="88" s="1"/>
  <c r="M384" i="88"/>
  <c r="N384" i="88" s="1"/>
  <c r="M383" i="88"/>
  <c r="N383" i="88" s="1"/>
  <c r="M382" i="88"/>
  <c r="N382" i="88" s="1"/>
  <c r="M381" i="88"/>
  <c r="N381" i="88" s="1"/>
  <c r="M380" i="88"/>
  <c r="N380" i="88" s="1"/>
  <c r="M379" i="88"/>
  <c r="N379" i="88" s="1"/>
  <c r="M378" i="88"/>
  <c r="N378" i="88" s="1"/>
  <c r="M377" i="88"/>
  <c r="N377" i="88" s="1"/>
  <c r="M376" i="88"/>
  <c r="N376" i="88" s="1"/>
  <c r="M375" i="88"/>
  <c r="N375" i="88" s="1"/>
  <c r="M374" i="88"/>
  <c r="N374" i="88" s="1"/>
  <c r="M373" i="88"/>
  <c r="N373" i="88" s="1"/>
  <c r="M372" i="88"/>
  <c r="N372" i="88" s="1"/>
  <c r="M371" i="88"/>
  <c r="N371" i="88" s="1"/>
  <c r="M370" i="88"/>
  <c r="N370" i="88" s="1"/>
  <c r="M369" i="88"/>
  <c r="N369" i="88" s="1"/>
  <c r="M368" i="88"/>
  <c r="N368" i="88" s="1"/>
  <c r="M367" i="88"/>
  <c r="N367" i="88" s="1"/>
  <c r="M366" i="88"/>
  <c r="N366" i="88" s="1"/>
  <c r="M365" i="88"/>
  <c r="N365" i="88" s="1"/>
  <c r="M364" i="88"/>
  <c r="N364" i="88" s="1"/>
  <c r="M363" i="88"/>
  <c r="N363" i="88" s="1"/>
  <c r="M362" i="88"/>
  <c r="N362" i="88" s="1"/>
  <c r="M361" i="88"/>
  <c r="N361" i="88" s="1"/>
  <c r="M360" i="88"/>
  <c r="N360" i="88" s="1"/>
  <c r="M359" i="88"/>
  <c r="N359" i="88" s="1"/>
  <c r="M358" i="88"/>
  <c r="N358" i="88" s="1"/>
  <c r="M357" i="88"/>
  <c r="N357" i="88" s="1"/>
  <c r="M356" i="88"/>
  <c r="N356" i="88" s="1"/>
  <c r="M355" i="88"/>
  <c r="N355" i="88" s="1"/>
  <c r="M354" i="88"/>
  <c r="N354" i="88" s="1"/>
  <c r="M353" i="88"/>
  <c r="N353" i="88" s="1"/>
  <c r="M352" i="88"/>
  <c r="N352" i="88" s="1"/>
  <c r="M351" i="88"/>
  <c r="N351" i="88" s="1"/>
  <c r="M350" i="88"/>
  <c r="N350" i="88" s="1"/>
  <c r="M349" i="88"/>
  <c r="N349" i="88" s="1"/>
  <c r="M348" i="88"/>
  <c r="N348" i="88" s="1"/>
  <c r="M347" i="88"/>
  <c r="N347" i="88" s="1"/>
  <c r="M346" i="88"/>
  <c r="N346" i="88" s="1"/>
  <c r="M345" i="88"/>
  <c r="N345" i="88" s="1"/>
  <c r="M344" i="88"/>
  <c r="N344" i="88" s="1"/>
  <c r="M343" i="88"/>
  <c r="N343" i="88" s="1"/>
  <c r="M342" i="88"/>
  <c r="N342" i="88" s="1"/>
  <c r="M341" i="88"/>
  <c r="N341" i="88" s="1"/>
  <c r="M340" i="88"/>
  <c r="N340" i="88" s="1"/>
  <c r="M12" i="88"/>
  <c r="N12" i="88" s="1"/>
  <c r="M11" i="88"/>
  <c r="N11" i="88" s="1"/>
  <c r="M10" i="88"/>
  <c r="N10" i="88" s="1"/>
  <c r="M9" i="88"/>
  <c r="N9" i="88" s="1"/>
  <c r="M8" i="88"/>
  <c r="N8" i="88" s="1"/>
  <c r="M7" i="88"/>
  <c r="N7" i="88" s="1"/>
  <c r="J237" i="88" l="1"/>
  <c r="J236" i="88"/>
  <c r="J235" i="88"/>
  <c r="J234" i="88"/>
  <c r="J233" i="88"/>
  <c r="J232" i="88"/>
  <c r="J231" i="88"/>
  <c r="J230" i="88"/>
  <c r="J229" i="88"/>
  <c r="J228" i="88"/>
  <c r="J227" i="88"/>
  <c r="J226" i="88"/>
  <c r="J225" i="88"/>
  <c r="J224" i="88"/>
  <c r="J223" i="88"/>
  <c r="J222" i="88"/>
  <c r="J221" i="88"/>
  <c r="J220" i="88"/>
  <c r="J219" i="88"/>
  <c r="J218" i="88"/>
  <c r="J217" i="88"/>
  <c r="J216" i="88"/>
  <c r="J215" i="88"/>
  <c r="J214" i="88"/>
  <c r="J213" i="88"/>
  <c r="J212" i="88"/>
  <c r="J211" i="88"/>
  <c r="J210" i="88"/>
  <c r="J209" i="88"/>
  <c r="J208" i="88"/>
  <c r="J207" i="88"/>
  <c r="J206" i="88"/>
  <c r="J205" i="88"/>
  <c r="J204" i="88"/>
  <c r="J203" i="88"/>
  <c r="J202" i="88"/>
  <c r="J201" i="88"/>
  <c r="J200" i="88"/>
  <c r="J199" i="88"/>
  <c r="J198" i="88"/>
  <c r="J197" i="88"/>
  <c r="J196" i="88"/>
  <c r="J195" i="88"/>
  <c r="J194" i="88"/>
  <c r="J193" i="88"/>
  <c r="J192" i="88"/>
  <c r="J191" i="88"/>
  <c r="J190" i="88"/>
  <c r="J189" i="88"/>
  <c r="J188" i="88"/>
  <c r="J187" i="88"/>
  <c r="J186" i="88"/>
  <c r="J185" i="88"/>
  <c r="J184" i="88"/>
  <c r="J183" i="88"/>
  <c r="J182" i="88"/>
  <c r="J181" i="88"/>
  <c r="J180" i="88"/>
  <c r="J179" i="88"/>
  <c r="J178" i="88"/>
  <c r="J177" i="88"/>
  <c r="J176" i="88"/>
  <c r="J175" i="88"/>
  <c r="J174" i="88"/>
  <c r="J173" i="88"/>
  <c r="J172" i="88"/>
  <c r="J171" i="88"/>
  <c r="J170" i="88"/>
  <c r="J169" i="88"/>
  <c r="J168" i="88"/>
  <c r="J167" i="88"/>
  <c r="J166" i="88"/>
  <c r="J165" i="88"/>
  <c r="J164" i="88"/>
  <c r="J163" i="88"/>
  <c r="J162" i="88"/>
  <c r="J161" i="88"/>
  <c r="J160" i="88"/>
  <c r="J159" i="88"/>
  <c r="J158" i="88"/>
  <c r="J157" i="88"/>
  <c r="J156" i="88"/>
  <c r="J155" i="88"/>
  <c r="J154" i="88"/>
  <c r="J153" i="88"/>
  <c r="J152" i="88"/>
  <c r="J151" i="88"/>
  <c r="J150" i="88"/>
  <c r="J149" i="88"/>
  <c r="J148" i="88"/>
  <c r="J147" i="88"/>
  <c r="J146" i="88"/>
  <c r="J145" i="88"/>
  <c r="J144" i="88"/>
  <c r="J143" i="88"/>
  <c r="J142" i="88"/>
  <c r="J141" i="88"/>
  <c r="J140" i="88"/>
  <c r="J139" i="88"/>
  <c r="J138" i="88"/>
  <c r="J137" i="88"/>
  <c r="J136" i="88"/>
  <c r="J135" i="88"/>
  <c r="J134" i="88"/>
  <c r="J133" i="88"/>
  <c r="J132" i="88"/>
  <c r="J131" i="88"/>
  <c r="J130" i="88"/>
  <c r="J129" i="88"/>
  <c r="J128" i="88"/>
  <c r="J127" i="88"/>
  <c r="J126" i="88"/>
  <c r="J125" i="88"/>
  <c r="J124" i="88"/>
  <c r="J123" i="88"/>
  <c r="J122" i="88"/>
  <c r="J121" i="88"/>
  <c r="J120" i="88"/>
  <c r="J119" i="88"/>
  <c r="J118" i="88"/>
  <c r="J117" i="88"/>
  <c r="J116" i="88"/>
  <c r="J115" i="88"/>
  <c r="J114" i="88"/>
  <c r="J113" i="88"/>
  <c r="J112" i="88"/>
  <c r="J111" i="88"/>
  <c r="J110" i="88"/>
  <c r="J109" i="88"/>
  <c r="J108" i="88"/>
  <c r="J107" i="88"/>
  <c r="J106" i="88"/>
  <c r="J105" i="88"/>
  <c r="J104" i="88"/>
  <c r="J103" i="88"/>
  <c r="J102" i="88"/>
  <c r="J101" i="88"/>
  <c r="J100" i="88"/>
  <c r="J99" i="88"/>
  <c r="J98" i="88"/>
  <c r="J97" i="88"/>
  <c r="J96" i="88"/>
  <c r="J95" i="88"/>
  <c r="J94" i="88"/>
  <c r="J93" i="88"/>
  <c r="J92" i="88"/>
  <c r="J91" i="88"/>
  <c r="J90" i="88"/>
  <c r="J89" i="88"/>
  <c r="J88" i="88"/>
  <c r="J87" i="88"/>
  <c r="J86" i="88"/>
  <c r="J85" i="88"/>
  <c r="J84" i="88"/>
  <c r="J83" i="88"/>
  <c r="J82" i="88"/>
  <c r="J81" i="88"/>
  <c r="J80" i="88"/>
  <c r="J79" i="88"/>
  <c r="J78" i="88"/>
  <c r="J77" i="88"/>
  <c r="J76" i="88"/>
  <c r="J75" i="88"/>
  <c r="J74" i="88"/>
  <c r="J73" i="88"/>
  <c r="J72" i="88"/>
  <c r="J71" i="88"/>
  <c r="J70" i="88"/>
  <c r="J69" i="88"/>
  <c r="J68" i="88"/>
  <c r="J67" i="88"/>
  <c r="J66" i="88"/>
  <c r="J65" i="88"/>
  <c r="J64" i="88"/>
  <c r="J63" i="88"/>
  <c r="J62" i="88"/>
  <c r="J61" i="88"/>
  <c r="J60" i="88"/>
  <c r="J59" i="88"/>
  <c r="J58" i="88"/>
  <c r="J57" i="88"/>
  <c r="J56" i="88"/>
  <c r="J55" i="88"/>
  <c r="J54" i="88"/>
  <c r="J53" i="88"/>
  <c r="J52" i="88"/>
  <c r="J51" i="88"/>
  <c r="J50" i="88"/>
  <c r="J49" i="88"/>
  <c r="J48" i="88"/>
  <c r="J47" i="88"/>
  <c r="J46" i="88"/>
  <c r="J45" i="88"/>
  <c r="J44" i="88"/>
  <c r="J43" i="88"/>
  <c r="J42" i="88"/>
  <c r="J41" i="88"/>
  <c r="J40" i="88"/>
  <c r="J39" i="88"/>
  <c r="J38" i="88"/>
  <c r="J37" i="88"/>
  <c r="J36" i="88"/>
  <c r="J34" i="88"/>
  <c r="J33" i="88"/>
  <c r="J32" i="88"/>
  <c r="J31" i="88"/>
  <c r="J30" i="88"/>
  <c r="J29" i="88"/>
  <c r="J28" i="88"/>
  <c r="J27" i="88"/>
  <c r="N900" i="88" l="1"/>
  <c r="L900" i="88"/>
  <c r="N899" i="88"/>
  <c r="L899" i="88"/>
  <c r="N898" i="88"/>
  <c r="L898" i="88"/>
  <c r="N897" i="88"/>
  <c r="L897" i="88"/>
  <c r="N896" i="88"/>
  <c r="L896" i="88"/>
  <c r="N895" i="88"/>
  <c r="L895" i="88"/>
  <c r="N894" i="88"/>
  <c r="L894" i="88"/>
  <c r="L893" i="88"/>
  <c r="L892" i="88"/>
  <c r="L891" i="88"/>
  <c r="L890" i="88"/>
  <c r="L889" i="88"/>
  <c r="L888" i="88"/>
  <c r="L887" i="88"/>
  <c r="L886" i="88"/>
  <c r="N885" i="88"/>
  <c r="L885" i="88"/>
  <c r="L884" i="88"/>
  <c r="N883" i="88"/>
  <c r="L883" i="88"/>
  <c r="N882" i="88"/>
  <c r="L882" i="88"/>
  <c r="N881" i="88"/>
  <c r="L881" i="88"/>
  <c r="N880" i="88"/>
  <c r="L880" i="88"/>
  <c r="N879" i="88"/>
  <c r="L879" i="88"/>
  <c r="N878" i="88"/>
  <c r="L878" i="88"/>
  <c r="N877" i="88"/>
  <c r="L877" i="88"/>
  <c r="N876" i="88"/>
  <c r="L876" i="88"/>
  <c r="N875" i="88"/>
  <c r="L875" i="88"/>
  <c r="N874" i="88"/>
  <c r="L874" i="88"/>
  <c r="N873" i="88"/>
  <c r="L873" i="88"/>
  <c r="N872" i="88"/>
  <c r="L872" i="88"/>
  <c r="N871" i="88"/>
  <c r="L871" i="88"/>
  <c r="N870" i="88"/>
  <c r="L870" i="88"/>
  <c r="N869" i="88"/>
  <c r="L869" i="88"/>
  <c r="N868" i="88"/>
  <c r="L868" i="88"/>
  <c r="N867" i="88"/>
  <c r="L867" i="88"/>
  <c r="N866" i="88"/>
  <c r="L866" i="88"/>
  <c r="N865" i="88"/>
  <c r="L865" i="88"/>
  <c r="N864" i="88"/>
  <c r="L864" i="88"/>
  <c r="N863" i="88"/>
  <c r="L863" i="88"/>
  <c r="N862" i="88"/>
  <c r="L862" i="88"/>
  <c r="N861" i="88"/>
  <c r="L861" i="88"/>
  <c r="N860" i="88"/>
  <c r="L860" i="88"/>
  <c r="N859" i="88"/>
  <c r="L859" i="88"/>
  <c r="N858" i="88"/>
  <c r="L858" i="88"/>
  <c r="N857" i="88"/>
  <c r="L857" i="88"/>
  <c r="N856" i="88"/>
  <c r="L856" i="88"/>
  <c r="N855" i="88"/>
  <c r="L855" i="88"/>
  <c r="N854" i="88"/>
  <c r="L854" i="88"/>
  <c r="N853" i="88"/>
  <c r="L853" i="88"/>
  <c r="N852" i="88"/>
  <c r="L852" i="88"/>
  <c r="N851" i="88"/>
  <c r="L851" i="88"/>
  <c r="N850" i="88"/>
  <c r="L850" i="88"/>
  <c r="N849" i="88"/>
  <c r="L849" i="88"/>
  <c r="N848" i="88"/>
  <c r="L848" i="88"/>
  <c r="N847" i="88"/>
  <c r="L847" i="88"/>
  <c r="N846" i="88"/>
  <c r="L846" i="88"/>
  <c r="N845" i="88"/>
  <c r="L845" i="88"/>
  <c r="N844" i="88"/>
  <c r="L844" i="88"/>
  <c r="N843" i="88"/>
  <c r="L843" i="88"/>
  <c r="N842" i="88"/>
  <c r="L842" i="88"/>
  <c r="N841" i="88"/>
  <c r="L841" i="88"/>
  <c r="N840" i="88"/>
  <c r="L840" i="88"/>
  <c r="N839" i="88"/>
  <c r="L839" i="88"/>
  <c r="N838" i="88"/>
  <c r="L838" i="88"/>
  <c r="N837" i="88"/>
  <c r="L837" i="88"/>
  <c r="N836" i="88"/>
  <c r="L836" i="88"/>
  <c r="N835" i="88"/>
  <c r="L835" i="88"/>
  <c r="N834" i="88"/>
  <c r="L834" i="88"/>
  <c r="N833" i="88"/>
  <c r="L833" i="88"/>
  <c r="N832" i="88"/>
  <c r="L832" i="88"/>
  <c r="N831" i="88"/>
  <c r="L831" i="88"/>
  <c r="N830" i="88"/>
  <c r="L830" i="88"/>
  <c r="N829" i="88"/>
  <c r="L829" i="88"/>
  <c r="N828" i="88"/>
  <c r="L828" i="88"/>
  <c r="N827" i="88"/>
  <c r="L827" i="88"/>
  <c r="N826" i="88"/>
  <c r="L826" i="88"/>
  <c r="N825" i="88"/>
  <c r="L825" i="88"/>
  <c r="N824" i="88"/>
  <c r="L824" i="88"/>
  <c r="N823" i="88"/>
  <c r="L823" i="88"/>
  <c r="N822" i="88"/>
  <c r="L822" i="88"/>
  <c r="N821" i="88"/>
  <c r="L821" i="88"/>
  <c r="N820" i="88"/>
  <c r="L820" i="88"/>
  <c r="N819" i="88"/>
  <c r="L819" i="88"/>
  <c r="N818" i="88"/>
  <c r="L818" i="88"/>
  <c r="N817" i="88"/>
  <c r="L817" i="88"/>
  <c r="N816" i="88"/>
  <c r="L816" i="88"/>
  <c r="N815" i="88"/>
  <c r="L815" i="88"/>
  <c r="N814" i="88"/>
  <c r="L814" i="88"/>
  <c r="N813" i="88"/>
  <c r="L813" i="88"/>
  <c r="N812" i="88"/>
  <c r="L812" i="88"/>
  <c r="N811" i="88"/>
  <c r="L811" i="88"/>
  <c r="N810" i="88"/>
  <c r="L810" i="88"/>
  <c r="N809" i="88"/>
  <c r="L809" i="88"/>
  <c r="N808" i="88"/>
  <c r="L808" i="88"/>
  <c r="N807" i="88"/>
  <c r="L807" i="88"/>
  <c r="N806" i="88"/>
  <c r="L806" i="88"/>
  <c r="N805" i="88"/>
  <c r="L805" i="88"/>
  <c r="N804" i="88"/>
  <c r="L804" i="88"/>
  <c r="N803" i="88"/>
  <c r="L803" i="88"/>
  <c r="N802" i="88"/>
  <c r="L802" i="88"/>
  <c r="N801" i="88"/>
  <c r="L801" i="88"/>
  <c r="N800" i="88"/>
  <c r="L800" i="88"/>
  <c r="N799" i="88"/>
  <c r="L799" i="88"/>
  <c r="N798" i="88"/>
  <c r="L798" i="88"/>
  <c r="N797" i="88"/>
  <c r="L797" i="88"/>
  <c r="N796" i="88"/>
  <c r="L796" i="88"/>
  <c r="N795" i="88"/>
  <c r="L795" i="88"/>
  <c r="N794" i="88"/>
  <c r="L794" i="88"/>
  <c r="N793" i="88"/>
  <c r="L793" i="88"/>
  <c r="N792" i="88"/>
  <c r="L792" i="88"/>
  <c r="N791" i="88"/>
  <c r="L791" i="88"/>
  <c r="N790" i="88"/>
  <c r="L790" i="88"/>
  <c r="N789" i="88"/>
  <c r="L789" i="88"/>
  <c r="N788" i="88"/>
  <c r="L788" i="88"/>
  <c r="N787" i="88"/>
  <c r="L787" i="88"/>
  <c r="N786" i="88"/>
  <c r="L786" i="88"/>
  <c r="N785" i="88"/>
  <c r="L785" i="88"/>
  <c r="N784" i="88"/>
  <c r="L784" i="88"/>
  <c r="N783" i="88"/>
  <c r="L783" i="88"/>
  <c r="N782" i="88"/>
  <c r="L782" i="88"/>
  <c r="N781" i="88"/>
  <c r="L781" i="88"/>
  <c r="N780" i="88"/>
  <c r="L780" i="88"/>
  <c r="N779" i="88"/>
  <c r="L779" i="88"/>
  <c r="N778" i="88"/>
  <c r="L778" i="88"/>
  <c r="N777" i="88"/>
  <c r="L777" i="88"/>
  <c r="N776" i="88"/>
  <c r="L776" i="88"/>
  <c r="N775" i="88"/>
  <c r="L775" i="88"/>
  <c r="N774" i="88"/>
  <c r="L774" i="88"/>
  <c r="N773" i="88"/>
  <c r="L773" i="88"/>
  <c r="N772" i="88"/>
  <c r="L772" i="88"/>
  <c r="N771" i="88"/>
  <c r="L771" i="88"/>
  <c r="N770" i="88"/>
  <c r="L770" i="88"/>
  <c r="N769" i="88"/>
  <c r="L769" i="88"/>
  <c r="N768" i="88"/>
  <c r="L768" i="88"/>
  <c r="N767" i="88"/>
  <c r="L767" i="88"/>
  <c r="N766" i="88"/>
  <c r="L766" i="88"/>
  <c r="N765" i="88"/>
  <c r="L765" i="88"/>
  <c r="N764" i="88"/>
  <c r="L764" i="88"/>
  <c r="N763" i="88"/>
  <c r="L763" i="88"/>
  <c r="N762" i="88"/>
  <c r="L762" i="88"/>
  <c r="N761" i="88"/>
  <c r="L761" i="88"/>
  <c r="N760" i="88"/>
  <c r="L760" i="88"/>
  <c r="N759" i="88"/>
  <c r="L759" i="88"/>
  <c r="N758" i="88"/>
  <c r="L758" i="88"/>
  <c r="N757" i="88"/>
  <c r="L757" i="88"/>
  <c r="N756" i="88"/>
  <c r="L756" i="88"/>
  <c r="N755" i="88"/>
  <c r="L755" i="88"/>
  <c r="N754" i="88"/>
  <c r="L754" i="88"/>
  <c r="N753" i="88"/>
  <c r="L753" i="88"/>
  <c r="N752" i="88"/>
  <c r="L752" i="88"/>
  <c r="N751" i="88"/>
  <c r="L751" i="88"/>
  <c r="N750" i="88"/>
  <c r="L750" i="88"/>
  <c r="N749" i="88"/>
  <c r="L749" i="88"/>
  <c r="N748" i="88"/>
  <c r="L748" i="88"/>
  <c r="N747" i="88"/>
  <c r="L747" i="88"/>
  <c r="N746" i="88"/>
  <c r="L746" i="88"/>
  <c r="N745" i="88"/>
  <c r="L745" i="88"/>
  <c r="N744" i="88"/>
  <c r="L744" i="88"/>
  <c r="N743" i="88"/>
  <c r="L743" i="88"/>
  <c r="N742" i="88"/>
  <c r="L742" i="88"/>
  <c r="N741" i="88"/>
  <c r="L741" i="88"/>
  <c r="N740" i="88"/>
  <c r="L740" i="88"/>
  <c r="N739" i="88"/>
  <c r="L739" i="88"/>
  <c r="N738" i="88"/>
  <c r="L738" i="88"/>
  <c r="N737" i="88"/>
  <c r="L737" i="88"/>
  <c r="N736" i="88"/>
  <c r="L736" i="88"/>
  <c r="N735" i="88"/>
  <c r="L735" i="88"/>
  <c r="N734" i="88"/>
  <c r="L734" i="88"/>
  <c r="N733" i="88"/>
  <c r="L733" i="88"/>
  <c r="N732" i="88"/>
  <c r="L732" i="88"/>
  <c r="N731" i="88"/>
  <c r="L731" i="88"/>
  <c r="N730" i="88"/>
  <c r="L730" i="88"/>
  <c r="N729" i="88"/>
  <c r="L729" i="88"/>
  <c r="N728" i="88"/>
  <c r="L728" i="88"/>
  <c r="N727" i="88"/>
  <c r="L727" i="88"/>
  <c r="N726" i="88"/>
  <c r="L726" i="88"/>
  <c r="N725" i="88"/>
  <c r="L725" i="88"/>
  <c r="N724" i="88"/>
  <c r="L724" i="88"/>
  <c r="N723" i="88"/>
  <c r="L723" i="88"/>
  <c r="N722" i="88"/>
  <c r="L722" i="88"/>
  <c r="N721" i="88"/>
  <c r="L721" i="88"/>
  <c r="N720" i="88"/>
  <c r="L720" i="88"/>
  <c r="N719" i="88"/>
  <c r="L719" i="88"/>
  <c r="N718" i="88"/>
  <c r="L718" i="88"/>
  <c r="N717" i="88"/>
  <c r="L717" i="88"/>
  <c r="N716" i="88"/>
  <c r="L716" i="88"/>
  <c r="N715" i="88"/>
  <c r="L715" i="88"/>
  <c r="N714" i="88"/>
  <c r="L714" i="88"/>
  <c r="N713" i="88"/>
  <c r="L713" i="88"/>
  <c r="N712" i="88"/>
  <c r="L712" i="88"/>
  <c r="N711" i="88"/>
  <c r="L711" i="88"/>
  <c r="N710" i="88"/>
  <c r="L710" i="88"/>
  <c r="N709" i="88"/>
  <c r="L709" i="88"/>
  <c r="N708" i="88"/>
  <c r="L708" i="88"/>
  <c r="N707" i="88"/>
  <c r="L707" i="88"/>
  <c r="N706" i="88"/>
  <c r="L706" i="88"/>
  <c r="N705" i="88"/>
  <c r="L705" i="88"/>
  <c r="N704" i="88"/>
  <c r="L704" i="88"/>
  <c r="N703" i="88"/>
  <c r="L703" i="88"/>
  <c r="N702" i="88"/>
  <c r="L702" i="88"/>
  <c r="N701" i="88"/>
  <c r="L701" i="88"/>
  <c r="N700" i="88"/>
  <c r="L700" i="88"/>
  <c r="N699" i="88"/>
  <c r="L699" i="88"/>
  <c r="N698" i="88"/>
  <c r="L698" i="88"/>
  <c r="N697" i="88"/>
  <c r="L697" i="88"/>
  <c r="N696" i="88"/>
  <c r="L696" i="88"/>
  <c r="N695" i="88"/>
  <c r="L695" i="88"/>
  <c r="N694" i="88"/>
  <c r="L694" i="88"/>
  <c r="N693" i="88"/>
  <c r="L693" i="88"/>
  <c r="N692" i="88"/>
  <c r="L692" i="88"/>
  <c r="N691" i="88"/>
  <c r="L691" i="88"/>
  <c r="N690" i="88"/>
  <c r="L690" i="88"/>
  <c r="N689" i="88"/>
  <c r="L689" i="88"/>
  <c r="N688" i="88"/>
  <c r="L688" i="88"/>
  <c r="N687" i="88"/>
  <c r="L687" i="88"/>
  <c r="N686" i="88"/>
  <c r="L686" i="88"/>
  <c r="N685" i="88"/>
  <c r="L685" i="88"/>
  <c r="N684" i="88"/>
  <c r="L684" i="88"/>
  <c r="N683" i="88"/>
  <c r="L683" i="88"/>
  <c r="N682" i="88"/>
  <c r="L682" i="88"/>
  <c r="N681" i="88"/>
  <c r="L681" i="88"/>
  <c r="N680" i="88"/>
  <c r="L680" i="88"/>
  <c r="N679" i="88"/>
  <c r="L679" i="88"/>
  <c r="N678" i="88"/>
  <c r="L678" i="88"/>
  <c r="N677" i="88"/>
  <c r="L677" i="88"/>
  <c r="N676" i="88"/>
  <c r="L676" i="88"/>
  <c r="N675" i="88"/>
  <c r="L675" i="88"/>
  <c r="N674" i="88"/>
  <c r="L674" i="88"/>
  <c r="N673" i="88"/>
  <c r="L673" i="88"/>
  <c r="N672" i="88"/>
  <c r="L672" i="88"/>
  <c r="N671" i="88"/>
  <c r="L671" i="88"/>
  <c r="N670" i="88"/>
  <c r="L670" i="88"/>
  <c r="N669" i="88"/>
  <c r="L669" i="88"/>
  <c r="N668" i="88"/>
  <c r="L668" i="88"/>
  <c r="N667" i="88"/>
  <c r="L667" i="88"/>
  <c r="N666" i="88"/>
  <c r="L666" i="88"/>
  <c r="N665" i="88"/>
  <c r="L665" i="88"/>
  <c r="N664" i="88"/>
  <c r="L664" i="88"/>
  <c r="N663" i="88"/>
  <c r="L663" i="88"/>
  <c r="N662" i="88"/>
  <c r="L662" i="88"/>
  <c r="N661" i="88"/>
  <c r="L661" i="88"/>
  <c r="N660" i="88"/>
  <c r="L660" i="88"/>
  <c r="N659" i="88"/>
  <c r="L659" i="88"/>
  <c r="N658" i="88"/>
  <c r="L658" i="88"/>
  <c r="N657" i="88"/>
  <c r="L657" i="88"/>
  <c r="N656" i="88"/>
  <c r="L656" i="88"/>
  <c r="N655" i="88"/>
  <c r="L655" i="88"/>
  <c r="N654" i="88"/>
  <c r="L654" i="88"/>
  <c r="N653" i="88"/>
  <c r="L653" i="88"/>
  <c r="N652" i="88"/>
  <c r="L652" i="88"/>
  <c r="N651" i="88"/>
  <c r="L651" i="88"/>
  <c r="N650" i="88"/>
  <c r="L650" i="88"/>
  <c r="N649" i="88"/>
  <c r="L649" i="88"/>
  <c r="N648" i="88"/>
  <c r="L648" i="88"/>
  <c r="N647" i="88"/>
  <c r="L647" i="88"/>
  <c r="N646" i="88"/>
  <c r="L646" i="88"/>
  <c r="N645" i="88"/>
  <c r="L645" i="88"/>
  <c r="N644" i="88"/>
  <c r="L644" i="88"/>
  <c r="N643" i="88"/>
  <c r="L643" i="88"/>
  <c r="N642" i="88"/>
  <c r="L642" i="88"/>
  <c r="N641" i="88"/>
  <c r="L641" i="88"/>
  <c r="N640" i="88"/>
  <c r="L640" i="88"/>
  <c r="N639" i="88"/>
  <c r="L639" i="88"/>
  <c r="N638" i="88"/>
  <c r="L638" i="88"/>
  <c r="N637" i="88"/>
  <c r="L637" i="88"/>
  <c r="N636" i="88"/>
  <c r="L636" i="88"/>
  <c r="N635" i="88"/>
  <c r="L635" i="88"/>
  <c r="N634" i="88"/>
  <c r="L634" i="88"/>
  <c r="N633" i="88"/>
  <c r="L633" i="88"/>
  <c r="N632" i="88"/>
  <c r="L632" i="88"/>
  <c r="N631" i="88"/>
  <c r="L631" i="88"/>
  <c r="N630" i="88"/>
  <c r="L630" i="88"/>
  <c r="N629" i="88"/>
  <c r="L629" i="88"/>
  <c r="N628" i="88"/>
  <c r="L628" i="88"/>
  <c r="N627" i="88"/>
  <c r="L627" i="88"/>
  <c r="N626" i="88"/>
  <c r="L626" i="88"/>
  <c r="N625" i="88"/>
  <c r="L625" i="88"/>
  <c r="N624" i="88"/>
  <c r="L624" i="88"/>
  <c r="N623" i="88"/>
  <c r="L623" i="88"/>
  <c r="N622" i="88"/>
  <c r="L622" i="88"/>
  <c r="N621" i="88"/>
  <c r="L621" i="88"/>
  <c r="N620" i="88"/>
  <c r="L620" i="88"/>
  <c r="N619" i="88"/>
  <c r="L619" i="88"/>
  <c r="N618" i="88"/>
  <c r="L618" i="88"/>
  <c r="N617" i="88"/>
  <c r="L617" i="88"/>
  <c r="N616" i="88"/>
  <c r="L616" i="88"/>
  <c r="N615" i="88"/>
  <c r="L615" i="88"/>
  <c r="N614" i="88"/>
  <c r="L614" i="88"/>
  <c r="N613" i="88"/>
  <c r="L613" i="88"/>
  <c r="N612" i="88"/>
  <c r="L612" i="88"/>
  <c r="N611" i="88"/>
  <c r="L611" i="88"/>
  <c r="N610" i="88"/>
  <c r="L610" i="88"/>
  <c r="N609" i="88"/>
  <c r="L609" i="88"/>
  <c r="N608" i="88"/>
  <c r="L608" i="88"/>
  <c r="N607" i="88"/>
  <c r="L607" i="88"/>
  <c r="N606" i="88"/>
  <c r="L606" i="88"/>
  <c r="N605" i="88"/>
  <c r="L605" i="88"/>
  <c r="N604" i="88"/>
  <c r="L604" i="88"/>
  <c r="N603" i="88"/>
  <c r="L603" i="88"/>
  <c r="N602" i="88"/>
  <c r="L602" i="88"/>
  <c r="N601" i="88"/>
  <c r="L601" i="88"/>
  <c r="N600" i="88"/>
  <c r="L600" i="88"/>
  <c r="N599" i="88"/>
  <c r="L599" i="88"/>
  <c r="N598" i="88"/>
  <c r="L598" i="88"/>
  <c r="N597" i="88"/>
  <c r="L597" i="88"/>
  <c r="N596" i="88"/>
  <c r="L596" i="88"/>
  <c r="N595" i="88"/>
  <c r="L595" i="88"/>
  <c r="N594" i="88"/>
  <c r="L594" i="88"/>
  <c r="N593" i="88"/>
  <c r="L593" i="88"/>
  <c r="N592" i="88"/>
  <c r="L592" i="88"/>
  <c r="N591" i="88"/>
  <c r="L591" i="88"/>
  <c r="N590" i="88"/>
  <c r="L590" i="88"/>
  <c r="N589" i="88"/>
  <c r="L589" i="88"/>
  <c r="N588" i="88"/>
  <c r="L588" i="88"/>
  <c r="N587" i="88"/>
  <c r="L587" i="88"/>
  <c r="N586" i="88"/>
  <c r="L586" i="88"/>
  <c r="N585" i="88"/>
  <c r="L585" i="88"/>
  <c r="N584" i="88"/>
  <c r="L584" i="88"/>
  <c r="N583" i="88"/>
  <c r="L583" i="88"/>
  <c r="N582" i="88"/>
  <c r="L582" i="88"/>
  <c r="N581" i="88"/>
  <c r="L581" i="88"/>
  <c r="N580" i="88"/>
  <c r="L580" i="88"/>
  <c r="N579" i="88"/>
  <c r="L579" i="88"/>
  <c r="N578" i="88"/>
  <c r="L578" i="88"/>
  <c r="N577" i="88"/>
  <c r="L577" i="88"/>
  <c r="N576" i="88"/>
  <c r="L576" i="88"/>
  <c r="N575" i="88"/>
  <c r="L575" i="88"/>
  <c r="N574" i="88"/>
  <c r="L574" i="88"/>
  <c r="N573" i="88"/>
  <c r="L573" i="88"/>
  <c r="N572" i="88"/>
  <c r="L572" i="88"/>
  <c r="N571" i="88"/>
  <c r="L571" i="88"/>
  <c r="N570" i="88"/>
  <c r="L570" i="88"/>
  <c r="N569" i="88"/>
  <c r="L569" i="88"/>
  <c r="N568" i="88"/>
  <c r="L568" i="88"/>
  <c r="N567" i="88"/>
  <c r="L567" i="88"/>
  <c r="N566" i="88"/>
  <c r="L566" i="88"/>
  <c r="N565" i="88"/>
  <c r="L565" i="88"/>
  <c r="N564" i="88"/>
  <c r="L564" i="88"/>
  <c r="N563" i="88"/>
  <c r="L563" i="88"/>
  <c r="N562" i="88"/>
  <c r="L562" i="88"/>
  <c r="N561" i="88"/>
  <c r="L561" i="88"/>
  <c r="N560" i="88"/>
  <c r="L560" i="88"/>
  <c r="N559" i="88"/>
  <c r="L559" i="88"/>
  <c r="N558" i="88"/>
  <c r="L558" i="88"/>
  <c r="N557" i="88"/>
  <c r="L557" i="88"/>
  <c r="N556" i="88"/>
  <c r="L556" i="88"/>
  <c r="N555" i="88"/>
  <c r="L555" i="88"/>
  <c r="N554" i="88"/>
  <c r="L554" i="88"/>
  <c r="N553" i="88"/>
  <c r="L553" i="88"/>
  <c r="N552" i="88"/>
  <c r="L552" i="88"/>
  <c r="N551" i="88"/>
  <c r="L551" i="88"/>
  <c r="N550" i="88"/>
  <c r="L550" i="88"/>
  <c r="N549" i="88"/>
  <c r="L549" i="88"/>
  <c r="N548" i="88"/>
  <c r="L548" i="88"/>
  <c r="N547" i="88"/>
  <c r="L547" i="88"/>
  <c r="N546" i="88"/>
  <c r="L546" i="88"/>
  <c r="N545" i="88"/>
  <c r="L545" i="88"/>
  <c r="N544" i="88"/>
  <c r="L544" i="88"/>
  <c r="N543" i="88"/>
  <c r="L543" i="88"/>
  <c r="N542" i="88"/>
  <c r="L542" i="88"/>
  <c r="N541" i="88"/>
  <c r="L541" i="88"/>
  <c r="N540" i="88"/>
  <c r="L540" i="88"/>
  <c r="N539" i="88"/>
  <c r="L539" i="88"/>
  <c r="N538" i="88"/>
  <c r="L538" i="88"/>
  <c r="N537" i="88"/>
  <c r="L537" i="88"/>
  <c r="N536" i="88"/>
  <c r="L536" i="88"/>
  <c r="N535" i="88"/>
  <c r="L535" i="88"/>
  <c r="N534" i="88"/>
  <c r="L534" i="88"/>
  <c r="N533" i="88"/>
  <c r="L533" i="88"/>
  <c r="N532" i="88"/>
  <c r="L532" i="88"/>
  <c r="N531" i="88"/>
  <c r="L531" i="88"/>
  <c r="N530" i="88"/>
  <c r="L530" i="88"/>
  <c r="N529" i="88"/>
  <c r="L529" i="88"/>
  <c r="N528" i="88"/>
  <c r="L528" i="88"/>
  <c r="N527" i="88"/>
  <c r="L527" i="88"/>
  <c r="N526" i="88"/>
  <c r="L526" i="88"/>
  <c r="N525" i="88"/>
  <c r="L525" i="88"/>
  <c r="N524" i="88"/>
  <c r="L524" i="88"/>
  <c r="N523" i="88"/>
  <c r="L523" i="88"/>
  <c r="N522" i="88"/>
  <c r="L522" i="88"/>
  <c r="N521" i="88"/>
  <c r="L521" i="88"/>
  <c r="L520" i="88"/>
  <c r="L519" i="88"/>
  <c r="L518" i="88"/>
  <c r="L517" i="88"/>
  <c r="L516" i="88"/>
  <c r="L515" i="88"/>
  <c r="L514" i="88"/>
  <c r="L513" i="88"/>
  <c r="L512" i="88"/>
  <c r="L511" i="88"/>
  <c r="L510" i="88"/>
  <c r="L509" i="88"/>
  <c r="L508" i="88"/>
  <c r="L507" i="88"/>
  <c r="L506" i="88"/>
  <c r="L505" i="88"/>
  <c r="L504" i="88"/>
  <c r="L503" i="88"/>
  <c r="L502" i="88"/>
  <c r="L501" i="88"/>
  <c r="L5" i="88"/>
  <c r="M501" i="88" l="1"/>
  <c r="N501" i="88" s="1"/>
  <c r="K501" i="88"/>
  <c r="M503" i="88"/>
  <c r="N503" i="88" s="1"/>
  <c r="K503" i="88"/>
  <c r="M505" i="88"/>
  <c r="N505" i="88" s="1"/>
  <c r="K505" i="88"/>
  <c r="M507" i="88"/>
  <c r="N507" i="88" s="1"/>
  <c r="K507" i="88"/>
  <c r="M509" i="88"/>
  <c r="N509" i="88" s="1"/>
  <c r="K509" i="88"/>
  <c r="M511" i="88"/>
  <c r="N511" i="88" s="1"/>
  <c r="K511" i="88"/>
  <c r="M513" i="88"/>
  <c r="N513" i="88" s="1"/>
  <c r="K513" i="88"/>
  <c r="M515" i="88"/>
  <c r="N515" i="88" s="1"/>
  <c r="K515" i="88"/>
  <c r="M517" i="88"/>
  <c r="N517" i="88" s="1"/>
  <c r="K517" i="88"/>
  <c r="M519" i="88"/>
  <c r="N519" i="88" s="1"/>
  <c r="K519" i="88"/>
  <c r="M521" i="88"/>
  <c r="K521" i="88"/>
  <c r="M523" i="88"/>
  <c r="K523" i="88"/>
  <c r="M525" i="88"/>
  <c r="K525" i="88"/>
  <c r="M527" i="88"/>
  <c r="K527" i="88"/>
  <c r="M529" i="88"/>
  <c r="K529" i="88"/>
  <c r="M531" i="88"/>
  <c r="K531" i="88"/>
  <c r="M533" i="88"/>
  <c r="K533" i="88"/>
  <c r="M535" i="88"/>
  <c r="K535" i="88"/>
  <c r="M537" i="88"/>
  <c r="K537" i="88"/>
  <c r="M539" i="88"/>
  <c r="K539" i="88"/>
  <c r="M541" i="88"/>
  <c r="K541" i="88"/>
  <c r="M543" i="88"/>
  <c r="K543" i="88"/>
  <c r="M545" i="88"/>
  <c r="K545" i="88"/>
  <c r="M547" i="88"/>
  <c r="K547" i="88"/>
  <c r="M549" i="88"/>
  <c r="K549" i="88"/>
  <c r="M551" i="88"/>
  <c r="K551" i="88"/>
  <c r="M553" i="88"/>
  <c r="K553" i="88"/>
  <c r="M555" i="88"/>
  <c r="K555" i="88"/>
  <c r="M557" i="88"/>
  <c r="K557" i="88"/>
  <c r="M559" i="88"/>
  <c r="K559" i="88"/>
  <c r="M561" i="88"/>
  <c r="K561" i="88"/>
  <c r="M563" i="88"/>
  <c r="K563" i="88"/>
  <c r="M565" i="88"/>
  <c r="K565" i="88"/>
  <c r="M567" i="88"/>
  <c r="K567" i="88"/>
  <c r="M569" i="88"/>
  <c r="K569" i="88"/>
  <c r="M571" i="88"/>
  <c r="K571" i="88"/>
  <c r="M573" i="88"/>
  <c r="K573" i="88"/>
  <c r="M575" i="88"/>
  <c r="K575" i="88"/>
  <c r="M577" i="88"/>
  <c r="K577" i="88"/>
  <c r="M579" i="88"/>
  <c r="K579" i="88"/>
  <c r="M581" i="88"/>
  <c r="K581" i="88"/>
  <c r="M583" i="88"/>
  <c r="K583" i="88"/>
  <c r="M585" i="88"/>
  <c r="K585" i="88"/>
  <c r="M587" i="88"/>
  <c r="K587" i="88"/>
  <c r="M589" i="88"/>
  <c r="K589" i="88"/>
  <c r="M591" i="88"/>
  <c r="K591" i="88"/>
  <c r="M593" i="88"/>
  <c r="K593" i="88"/>
  <c r="M595" i="88"/>
  <c r="K595" i="88"/>
  <c r="M597" i="88"/>
  <c r="K597" i="88"/>
  <c r="M599" i="88"/>
  <c r="K599" i="88"/>
  <c r="M601" i="88"/>
  <c r="K601" i="88"/>
  <c r="M603" i="88"/>
  <c r="K603" i="88"/>
  <c r="M605" i="88"/>
  <c r="K605" i="88"/>
  <c r="M607" i="88"/>
  <c r="K607" i="88"/>
  <c r="M609" i="88"/>
  <c r="K609" i="88"/>
  <c r="M611" i="88"/>
  <c r="K611" i="88"/>
  <c r="M613" i="88"/>
  <c r="K613" i="88"/>
  <c r="M615" i="88"/>
  <c r="K615" i="88"/>
  <c r="M617" i="88"/>
  <c r="K617" i="88"/>
  <c r="M619" i="88"/>
  <c r="K619" i="88"/>
  <c r="M621" i="88"/>
  <c r="K621" i="88"/>
  <c r="M623" i="88"/>
  <c r="K623" i="88"/>
  <c r="M625" i="88"/>
  <c r="K625" i="88"/>
  <c r="M627" i="88"/>
  <c r="K627" i="88"/>
  <c r="M629" i="88"/>
  <c r="K629" i="88"/>
  <c r="M631" i="88"/>
  <c r="K631" i="88"/>
  <c r="M633" i="88"/>
  <c r="K633" i="88"/>
  <c r="M635" i="88"/>
  <c r="K635" i="88"/>
  <c r="M637" i="88"/>
  <c r="K637" i="88"/>
  <c r="M639" i="88"/>
  <c r="K639" i="88"/>
  <c r="M641" i="88"/>
  <c r="K641" i="88"/>
  <c r="M643" i="88"/>
  <c r="K643" i="88"/>
  <c r="M645" i="88"/>
  <c r="K645" i="88"/>
  <c r="M647" i="88"/>
  <c r="K647" i="88"/>
  <c r="M649" i="88"/>
  <c r="K649" i="88"/>
  <c r="M651" i="88"/>
  <c r="K651" i="88"/>
  <c r="M653" i="88"/>
  <c r="K653" i="88"/>
  <c r="M655" i="88"/>
  <c r="K655" i="88"/>
  <c r="M657" i="88"/>
  <c r="K657" i="88"/>
  <c r="M659" i="88"/>
  <c r="K659" i="88"/>
  <c r="M661" i="88"/>
  <c r="K661" i="88"/>
  <c r="M663" i="88"/>
  <c r="K663" i="88"/>
  <c r="M665" i="88"/>
  <c r="K665" i="88"/>
  <c r="M667" i="88"/>
  <c r="K667" i="88"/>
  <c r="M669" i="88"/>
  <c r="K669" i="88"/>
  <c r="M671" i="88"/>
  <c r="K671" i="88"/>
  <c r="M673" i="88"/>
  <c r="K673" i="88"/>
  <c r="M675" i="88"/>
  <c r="K675" i="88"/>
  <c r="M677" i="88"/>
  <c r="K677" i="88"/>
  <c r="M679" i="88"/>
  <c r="K679" i="88"/>
  <c r="M681" i="88"/>
  <c r="K681" i="88"/>
  <c r="M683" i="88"/>
  <c r="K683" i="88"/>
  <c r="M685" i="88"/>
  <c r="K685" i="88"/>
  <c r="M687" i="88"/>
  <c r="K687" i="88"/>
  <c r="M689" i="88"/>
  <c r="K689" i="88"/>
  <c r="M691" i="88"/>
  <c r="K691" i="88"/>
  <c r="M693" i="88"/>
  <c r="K693" i="88"/>
  <c r="M695" i="88"/>
  <c r="K695" i="88"/>
  <c r="M697" i="88"/>
  <c r="K697" i="88"/>
  <c r="M699" i="88"/>
  <c r="K699" i="88"/>
  <c r="M701" i="88"/>
  <c r="K701" i="88"/>
  <c r="M703" i="88"/>
  <c r="K703" i="88"/>
  <c r="M705" i="88"/>
  <c r="K705" i="88"/>
  <c r="M707" i="88"/>
  <c r="K707" i="88"/>
  <c r="M709" i="88"/>
  <c r="K709" i="88"/>
  <c r="M711" i="88"/>
  <c r="K711" i="88"/>
  <c r="M713" i="88"/>
  <c r="K713" i="88"/>
  <c r="M715" i="88"/>
  <c r="K715" i="88"/>
  <c r="M717" i="88"/>
  <c r="K717" i="88"/>
  <c r="M719" i="88"/>
  <c r="K719" i="88"/>
  <c r="M721" i="88"/>
  <c r="K721" i="88"/>
  <c r="M723" i="88"/>
  <c r="K723" i="88"/>
  <c r="M725" i="88"/>
  <c r="K725" i="88"/>
  <c r="M727" i="88"/>
  <c r="K727" i="88"/>
  <c r="M729" i="88"/>
  <c r="K729" i="88"/>
  <c r="M731" i="88"/>
  <c r="K731" i="88"/>
  <c r="M733" i="88"/>
  <c r="K733" i="88"/>
  <c r="M735" i="88"/>
  <c r="K735" i="88"/>
  <c r="M737" i="88"/>
  <c r="K737" i="88"/>
  <c r="M739" i="88"/>
  <c r="K739" i="88"/>
  <c r="M741" i="88"/>
  <c r="K741" i="88"/>
  <c r="M743" i="88"/>
  <c r="K743" i="88"/>
  <c r="M745" i="88"/>
  <c r="K745" i="88"/>
  <c r="M747" i="88"/>
  <c r="K747" i="88"/>
  <c r="M749" i="88"/>
  <c r="K749" i="88"/>
  <c r="M751" i="88"/>
  <c r="K751" i="88"/>
  <c r="M753" i="88"/>
  <c r="K753" i="88"/>
  <c r="M755" i="88"/>
  <c r="K755" i="88"/>
  <c r="M757" i="88"/>
  <c r="K757" i="88"/>
  <c r="M759" i="88"/>
  <c r="K759" i="88"/>
  <c r="M761" i="88"/>
  <c r="K761" i="88"/>
  <c r="M763" i="88"/>
  <c r="K763" i="88"/>
  <c r="M765" i="88"/>
  <c r="K765" i="88"/>
  <c r="M767" i="88"/>
  <c r="K767" i="88"/>
  <c r="M769" i="88"/>
  <c r="K769" i="88"/>
  <c r="M771" i="88"/>
  <c r="K771" i="88"/>
  <c r="M773" i="88"/>
  <c r="K773" i="88"/>
  <c r="M775" i="88"/>
  <c r="K775" i="88"/>
  <c r="M777" i="88"/>
  <c r="K777" i="88"/>
  <c r="M779" i="88"/>
  <c r="K779" i="88"/>
  <c r="M781" i="88"/>
  <c r="K781" i="88"/>
  <c r="M783" i="88"/>
  <c r="K783" i="88"/>
  <c r="M785" i="88"/>
  <c r="K785" i="88"/>
  <c r="M787" i="88"/>
  <c r="K787" i="88"/>
  <c r="M789" i="88"/>
  <c r="K789" i="88"/>
  <c r="M791" i="88"/>
  <c r="K791" i="88"/>
  <c r="M793" i="88"/>
  <c r="K793" i="88"/>
  <c r="M795" i="88"/>
  <c r="K795" i="88"/>
  <c r="M797" i="88"/>
  <c r="K797" i="88"/>
  <c r="M799" i="88"/>
  <c r="K799" i="88"/>
  <c r="M801" i="88"/>
  <c r="K801" i="88"/>
  <c r="M803" i="88"/>
  <c r="K803" i="88"/>
  <c r="M805" i="88"/>
  <c r="K805" i="88"/>
  <c r="M807" i="88"/>
  <c r="K807" i="88"/>
  <c r="M809" i="88"/>
  <c r="K809" i="88"/>
  <c r="M811" i="88"/>
  <c r="K811" i="88"/>
  <c r="M813" i="88"/>
  <c r="K813" i="88"/>
  <c r="M815" i="88"/>
  <c r="K815" i="88"/>
  <c r="M817" i="88"/>
  <c r="K817" i="88"/>
  <c r="M819" i="88"/>
  <c r="K819" i="88"/>
  <c r="M821" i="88"/>
  <c r="K821" i="88"/>
  <c r="M823" i="88"/>
  <c r="K823" i="88"/>
  <c r="M825" i="88"/>
  <c r="K825" i="88"/>
  <c r="M827" i="88"/>
  <c r="K827" i="88"/>
  <c r="M829" i="88"/>
  <c r="K829" i="88"/>
  <c r="M831" i="88"/>
  <c r="K831" i="88"/>
  <c r="M833" i="88"/>
  <c r="K833" i="88"/>
  <c r="M835" i="88"/>
  <c r="K835" i="88"/>
  <c r="M837" i="88"/>
  <c r="K837" i="88"/>
  <c r="M839" i="88"/>
  <c r="K839" i="88"/>
  <c r="M841" i="88"/>
  <c r="K841" i="88"/>
  <c r="M843" i="88"/>
  <c r="K843" i="88"/>
  <c r="M845" i="88"/>
  <c r="K845" i="88"/>
  <c r="M847" i="88"/>
  <c r="K847" i="88"/>
  <c r="M849" i="88"/>
  <c r="K849" i="88"/>
  <c r="M851" i="88"/>
  <c r="K851" i="88"/>
  <c r="M853" i="88"/>
  <c r="K853" i="88"/>
  <c r="M855" i="88"/>
  <c r="K855" i="88"/>
  <c r="M857" i="88"/>
  <c r="K857" i="88"/>
  <c r="M859" i="88"/>
  <c r="K859" i="88"/>
  <c r="M861" i="88"/>
  <c r="K861" i="88"/>
  <c r="M863" i="88"/>
  <c r="K863" i="88"/>
  <c r="M864" i="88"/>
  <c r="K864" i="88"/>
  <c r="M865" i="88"/>
  <c r="K865" i="88"/>
  <c r="M866" i="88"/>
  <c r="K866" i="88"/>
  <c r="M867" i="88"/>
  <c r="K867" i="88"/>
  <c r="M868" i="88"/>
  <c r="K868" i="88"/>
  <c r="M869" i="88"/>
  <c r="K869" i="88"/>
  <c r="M870" i="88"/>
  <c r="K870" i="88"/>
  <c r="M871" i="88"/>
  <c r="K871" i="88"/>
  <c r="M872" i="88"/>
  <c r="K872" i="88"/>
  <c r="M873" i="88"/>
  <c r="K873" i="88"/>
  <c r="M874" i="88"/>
  <c r="K874" i="88"/>
  <c r="M875" i="88"/>
  <c r="K875" i="88"/>
  <c r="M876" i="88"/>
  <c r="K876" i="88"/>
  <c r="M877" i="88"/>
  <c r="K877" i="88"/>
  <c r="M878" i="88"/>
  <c r="K878" i="88"/>
  <c r="M879" i="88"/>
  <c r="K879" i="88"/>
  <c r="M880" i="88"/>
  <c r="K880" i="88"/>
  <c r="M881" i="88"/>
  <c r="K881" i="88"/>
  <c r="M882" i="88"/>
  <c r="K882" i="88"/>
  <c r="M883" i="88"/>
  <c r="K883" i="88"/>
  <c r="M884" i="88"/>
  <c r="N884" i="88" s="1"/>
  <c r="K884" i="88"/>
  <c r="M887" i="88"/>
  <c r="N887" i="88" s="1"/>
  <c r="K887" i="88"/>
  <c r="M889" i="88"/>
  <c r="N889" i="88" s="1"/>
  <c r="K889" i="88"/>
  <c r="M891" i="88"/>
  <c r="N891" i="88" s="1"/>
  <c r="K891" i="88"/>
  <c r="M893" i="88"/>
  <c r="N893" i="88" s="1"/>
  <c r="K893" i="88"/>
  <c r="M502" i="88"/>
  <c r="N502" i="88" s="1"/>
  <c r="K502" i="88"/>
  <c r="M504" i="88"/>
  <c r="N504" i="88" s="1"/>
  <c r="K504" i="88"/>
  <c r="M506" i="88"/>
  <c r="N506" i="88" s="1"/>
  <c r="K506" i="88"/>
  <c r="M508" i="88"/>
  <c r="N508" i="88" s="1"/>
  <c r="K508" i="88"/>
  <c r="M510" i="88"/>
  <c r="N510" i="88" s="1"/>
  <c r="K510" i="88"/>
  <c r="M512" i="88"/>
  <c r="N512" i="88" s="1"/>
  <c r="K512" i="88"/>
  <c r="M514" i="88"/>
  <c r="N514" i="88" s="1"/>
  <c r="K514" i="88"/>
  <c r="M516" i="88"/>
  <c r="N516" i="88" s="1"/>
  <c r="K516" i="88"/>
  <c r="M518" i="88"/>
  <c r="N518" i="88" s="1"/>
  <c r="K518" i="88"/>
  <c r="M520" i="88"/>
  <c r="N520" i="88" s="1"/>
  <c r="K520" i="88"/>
  <c r="M522" i="88"/>
  <c r="K522" i="88"/>
  <c r="M524" i="88"/>
  <c r="K524" i="88"/>
  <c r="M526" i="88"/>
  <c r="K526" i="88"/>
  <c r="M528" i="88"/>
  <c r="K528" i="88"/>
  <c r="M530" i="88"/>
  <c r="K530" i="88"/>
  <c r="M532" i="88"/>
  <c r="K532" i="88"/>
  <c r="M534" i="88"/>
  <c r="K534" i="88"/>
  <c r="M536" i="88"/>
  <c r="K536" i="88"/>
  <c r="M538" i="88"/>
  <c r="K538" i="88"/>
  <c r="M540" i="88"/>
  <c r="K540" i="88"/>
  <c r="M542" i="88"/>
  <c r="K542" i="88"/>
  <c r="M544" i="88"/>
  <c r="K544" i="88"/>
  <c r="M546" i="88"/>
  <c r="K546" i="88"/>
  <c r="M548" i="88"/>
  <c r="K548" i="88"/>
  <c r="M550" i="88"/>
  <c r="K550" i="88"/>
  <c r="M552" i="88"/>
  <c r="K552" i="88"/>
  <c r="M554" i="88"/>
  <c r="K554" i="88"/>
  <c r="M556" i="88"/>
  <c r="K556" i="88"/>
  <c r="M558" i="88"/>
  <c r="K558" i="88"/>
  <c r="M560" i="88"/>
  <c r="K560" i="88"/>
  <c r="M562" i="88"/>
  <c r="K562" i="88"/>
  <c r="M564" i="88"/>
  <c r="K564" i="88"/>
  <c r="M566" i="88"/>
  <c r="K566" i="88"/>
  <c r="M568" i="88"/>
  <c r="K568" i="88"/>
  <c r="M570" i="88"/>
  <c r="K570" i="88"/>
  <c r="M572" i="88"/>
  <c r="K572" i="88"/>
  <c r="M574" i="88"/>
  <c r="K574" i="88"/>
  <c r="M576" i="88"/>
  <c r="K576" i="88"/>
  <c r="M578" i="88"/>
  <c r="K578" i="88"/>
  <c r="M580" i="88"/>
  <c r="K580" i="88"/>
  <c r="M582" i="88"/>
  <c r="K582" i="88"/>
  <c r="M584" i="88"/>
  <c r="K584" i="88"/>
  <c r="M586" i="88"/>
  <c r="K586" i="88"/>
  <c r="M588" i="88"/>
  <c r="K588" i="88"/>
  <c r="M590" i="88"/>
  <c r="K590" i="88"/>
  <c r="M592" i="88"/>
  <c r="K592" i="88"/>
  <c r="M594" i="88"/>
  <c r="K594" i="88"/>
  <c r="M596" i="88"/>
  <c r="K596" i="88"/>
  <c r="M598" i="88"/>
  <c r="K598" i="88"/>
  <c r="M600" i="88"/>
  <c r="K600" i="88"/>
  <c r="M602" i="88"/>
  <c r="K602" i="88"/>
  <c r="M604" i="88"/>
  <c r="K604" i="88"/>
  <c r="M606" i="88"/>
  <c r="K606" i="88"/>
  <c r="M608" i="88"/>
  <c r="K608" i="88"/>
  <c r="M610" i="88"/>
  <c r="K610" i="88"/>
  <c r="M612" i="88"/>
  <c r="K612" i="88"/>
  <c r="M614" i="88"/>
  <c r="K614" i="88"/>
  <c r="M616" i="88"/>
  <c r="K616" i="88"/>
  <c r="M618" i="88"/>
  <c r="K618" i="88"/>
  <c r="M620" i="88"/>
  <c r="K620" i="88"/>
  <c r="M622" i="88"/>
  <c r="K622" i="88"/>
  <c r="M624" i="88"/>
  <c r="K624" i="88"/>
  <c r="M626" i="88"/>
  <c r="K626" i="88"/>
  <c r="M628" i="88"/>
  <c r="K628" i="88"/>
  <c r="M630" i="88"/>
  <c r="K630" i="88"/>
  <c r="M632" i="88"/>
  <c r="K632" i="88"/>
  <c r="M634" i="88"/>
  <c r="K634" i="88"/>
  <c r="M636" i="88"/>
  <c r="K636" i="88"/>
  <c r="M638" i="88"/>
  <c r="K638" i="88"/>
  <c r="M640" i="88"/>
  <c r="K640" i="88"/>
  <c r="M642" i="88"/>
  <c r="K642" i="88"/>
  <c r="M644" i="88"/>
  <c r="K644" i="88"/>
  <c r="M646" i="88"/>
  <c r="K646" i="88"/>
  <c r="M648" i="88"/>
  <c r="K648" i="88"/>
  <c r="M650" i="88"/>
  <c r="K650" i="88"/>
  <c r="M652" i="88"/>
  <c r="K652" i="88"/>
  <c r="M654" i="88"/>
  <c r="K654" i="88"/>
  <c r="M656" i="88"/>
  <c r="K656" i="88"/>
  <c r="M658" i="88"/>
  <c r="K658" i="88"/>
  <c r="M660" i="88"/>
  <c r="K660" i="88"/>
  <c r="M662" i="88"/>
  <c r="K662" i="88"/>
  <c r="M664" i="88"/>
  <c r="K664" i="88"/>
  <c r="M666" i="88"/>
  <c r="K666" i="88"/>
  <c r="M668" i="88"/>
  <c r="K668" i="88"/>
  <c r="M670" i="88"/>
  <c r="K670" i="88"/>
  <c r="M672" i="88"/>
  <c r="K672" i="88"/>
  <c r="M674" i="88"/>
  <c r="K674" i="88"/>
  <c r="M676" i="88"/>
  <c r="K676" i="88"/>
  <c r="M678" i="88"/>
  <c r="K678" i="88"/>
  <c r="M680" i="88"/>
  <c r="K680" i="88"/>
  <c r="M682" i="88"/>
  <c r="K682" i="88"/>
  <c r="M684" i="88"/>
  <c r="K684" i="88"/>
  <c r="M686" i="88"/>
  <c r="K686" i="88"/>
  <c r="M688" i="88"/>
  <c r="K688" i="88"/>
  <c r="M690" i="88"/>
  <c r="K690" i="88"/>
  <c r="M692" i="88"/>
  <c r="K692" i="88"/>
  <c r="M694" i="88"/>
  <c r="K694" i="88"/>
  <c r="M696" i="88"/>
  <c r="K696" i="88"/>
  <c r="M698" i="88"/>
  <c r="K698" i="88"/>
  <c r="M700" i="88"/>
  <c r="K700" i="88"/>
  <c r="M702" i="88"/>
  <c r="K702" i="88"/>
  <c r="M704" i="88"/>
  <c r="K704" i="88"/>
  <c r="M706" i="88"/>
  <c r="K706" i="88"/>
  <c r="M708" i="88"/>
  <c r="K708" i="88"/>
  <c r="M710" i="88"/>
  <c r="K710" i="88"/>
  <c r="M712" i="88"/>
  <c r="K712" i="88"/>
  <c r="M714" i="88"/>
  <c r="K714" i="88"/>
  <c r="M716" i="88"/>
  <c r="K716" i="88"/>
  <c r="M718" i="88"/>
  <c r="K718" i="88"/>
  <c r="M720" i="88"/>
  <c r="K720" i="88"/>
  <c r="M722" i="88"/>
  <c r="K722" i="88"/>
  <c r="M724" i="88"/>
  <c r="K724" i="88"/>
  <c r="M726" i="88"/>
  <c r="K726" i="88"/>
  <c r="M728" i="88"/>
  <c r="K728" i="88"/>
  <c r="M730" i="88"/>
  <c r="K730" i="88"/>
  <c r="M732" i="88"/>
  <c r="K732" i="88"/>
  <c r="M734" i="88"/>
  <c r="K734" i="88"/>
  <c r="M736" i="88"/>
  <c r="K736" i="88"/>
  <c r="M738" i="88"/>
  <c r="K738" i="88"/>
  <c r="M740" i="88"/>
  <c r="K740" i="88"/>
  <c r="M742" i="88"/>
  <c r="K742" i="88"/>
  <c r="M744" i="88"/>
  <c r="K744" i="88"/>
  <c r="M746" i="88"/>
  <c r="K746" i="88"/>
  <c r="M748" i="88"/>
  <c r="K748" i="88"/>
  <c r="M750" i="88"/>
  <c r="K750" i="88"/>
  <c r="M752" i="88"/>
  <c r="K752" i="88"/>
  <c r="M754" i="88"/>
  <c r="K754" i="88"/>
  <c r="M756" i="88"/>
  <c r="K756" i="88"/>
  <c r="M758" i="88"/>
  <c r="K758" i="88"/>
  <c r="M760" i="88"/>
  <c r="K760" i="88"/>
  <c r="M762" i="88"/>
  <c r="K762" i="88"/>
  <c r="M764" i="88"/>
  <c r="K764" i="88"/>
  <c r="M766" i="88"/>
  <c r="K766" i="88"/>
  <c r="M768" i="88"/>
  <c r="K768" i="88"/>
  <c r="M770" i="88"/>
  <c r="K770" i="88"/>
  <c r="M772" i="88"/>
  <c r="K772" i="88"/>
  <c r="M774" i="88"/>
  <c r="K774" i="88"/>
  <c r="M776" i="88"/>
  <c r="K776" i="88"/>
  <c r="M778" i="88"/>
  <c r="K778" i="88"/>
  <c r="M780" i="88"/>
  <c r="K780" i="88"/>
  <c r="M782" i="88"/>
  <c r="K782" i="88"/>
  <c r="M784" i="88"/>
  <c r="K784" i="88"/>
  <c r="M786" i="88"/>
  <c r="K786" i="88"/>
  <c r="M788" i="88"/>
  <c r="K788" i="88"/>
  <c r="M790" i="88"/>
  <c r="K790" i="88"/>
  <c r="M792" i="88"/>
  <c r="K792" i="88"/>
  <c r="M794" i="88"/>
  <c r="K794" i="88"/>
  <c r="M796" i="88"/>
  <c r="K796" i="88"/>
  <c r="M798" i="88"/>
  <c r="K798" i="88"/>
  <c r="M800" i="88"/>
  <c r="K800" i="88"/>
  <c r="M802" i="88"/>
  <c r="K802" i="88"/>
  <c r="M804" i="88"/>
  <c r="K804" i="88"/>
  <c r="M806" i="88"/>
  <c r="K806" i="88"/>
  <c r="M808" i="88"/>
  <c r="K808" i="88"/>
  <c r="M810" i="88"/>
  <c r="K810" i="88"/>
  <c r="M812" i="88"/>
  <c r="K812" i="88"/>
  <c r="M814" i="88"/>
  <c r="K814" i="88"/>
  <c r="M816" i="88"/>
  <c r="K816" i="88"/>
  <c r="M818" i="88"/>
  <c r="K818" i="88"/>
  <c r="M820" i="88"/>
  <c r="K820" i="88"/>
  <c r="M822" i="88"/>
  <c r="K822" i="88"/>
  <c r="M824" i="88"/>
  <c r="K824" i="88"/>
  <c r="M826" i="88"/>
  <c r="K826" i="88"/>
  <c r="M828" i="88"/>
  <c r="K828" i="88"/>
  <c r="M830" i="88"/>
  <c r="K830" i="88"/>
  <c r="M832" i="88"/>
  <c r="K832" i="88"/>
  <c r="M834" i="88"/>
  <c r="K834" i="88"/>
  <c r="M836" i="88"/>
  <c r="K836" i="88"/>
  <c r="M838" i="88"/>
  <c r="K838" i="88"/>
  <c r="M840" i="88"/>
  <c r="K840" i="88"/>
  <c r="M842" i="88"/>
  <c r="K842" i="88"/>
  <c r="M844" i="88"/>
  <c r="K844" i="88"/>
  <c r="M846" i="88"/>
  <c r="K846" i="88"/>
  <c r="M848" i="88"/>
  <c r="K848" i="88"/>
  <c r="M850" i="88"/>
  <c r="K850" i="88"/>
  <c r="M852" i="88"/>
  <c r="K852" i="88"/>
  <c r="M854" i="88"/>
  <c r="K854" i="88"/>
  <c r="M856" i="88"/>
  <c r="K856" i="88"/>
  <c r="M858" i="88"/>
  <c r="K858" i="88"/>
  <c r="M860" i="88"/>
  <c r="K860" i="88"/>
  <c r="M862" i="88"/>
  <c r="K862" i="88"/>
  <c r="M885" i="88"/>
  <c r="K885" i="88"/>
  <c r="M886" i="88"/>
  <c r="N886" i="88" s="1"/>
  <c r="K886" i="88"/>
  <c r="M888" i="88"/>
  <c r="N888" i="88" s="1"/>
  <c r="K888" i="88"/>
  <c r="M890" i="88"/>
  <c r="N890" i="88" s="1"/>
  <c r="K890" i="88"/>
  <c r="M892" i="88"/>
  <c r="N892" i="88" s="1"/>
  <c r="K892" i="88"/>
  <c r="M894" i="88"/>
  <c r="K894" i="88"/>
  <c r="M895" i="88"/>
  <c r="K895" i="88"/>
  <c r="M896" i="88"/>
  <c r="K896" i="88"/>
  <c r="M897" i="88"/>
  <c r="K897" i="88"/>
  <c r="M898" i="88"/>
  <c r="K898" i="88"/>
  <c r="M899" i="88"/>
  <c r="K899" i="88"/>
  <c r="M900" i="88"/>
  <c r="K900" i="88"/>
  <c r="K55" i="1049"/>
  <c r="K54" i="1049"/>
  <c r="K53" i="1049"/>
  <c r="K52" i="1049"/>
  <c r="K51" i="1049"/>
  <c r="K50" i="1049"/>
  <c r="K49" i="1049"/>
  <c r="K48" i="1049"/>
  <c r="K47" i="1049"/>
  <c r="K46" i="1049"/>
  <c r="K45" i="1049"/>
  <c r="K44" i="1049"/>
  <c r="K43" i="1049"/>
  <c r="K42" i="1049"/>
  <c r="K41" i="1049"/>
  <c r="K40" i="1049"/>
  <c r="K39" i="1049"/>
  <c r="K38" i="1049"/>
  <c r="K37" i="1049"/>
  <c r="K36" i="1049"/>
  <c r="K35" i="1049"/>
  <c r="K34" i="1049"/>
  <c r="K33" i="1049"/>
  <c r="K32" i="1049"/>
  <c r="K31" i="1049"/>
  <c r="K30" i="1049"/>
  <c r="K29" i="1049"/>
  <c r="K28" i="1049"/>
  <c r="K27" i="1049"/>
  <c r="K26" i="1049"/>
  <c r="K25" i="1049"/>
  <c r="K24" i="1049"/>
  <c r="K23" i="1049"/>
  <c r="K22" i="1049"/>
  <c r="K21" i="1049"/>
  <c r="K20" i="1049"/>
  <c r="K19" i="1049"/>
  <c r="K18" i="1049"/>
  <c r="K17" i="1049"/>
  <c r="K16" i="1049"/>
  <c r="K15" i="1049"/>
  <c r="K14" i="1049"/>
  <c r="K13" i="1049"/>
  <c r="K12" i="1049"/>
  <c r="E5" i="1049"/>
  <c r="E55" i="1049"/>
  <c r="E54" i="1049"/>
  <c r="E53" i="1049"/>
  <c r="E52" i="1049"/>
  <c r="E51" i="1049"/>
  <c r="E50" i="1049"/>
  <c r="E49" i="1049"/>
  <c r="E48" i="1049"/>
  <c r="E47" i="1049"/>
  <c r="E46" i="1049"/>
  <c r="E45" i="1049"/>
  <c r="E44" i="1049"/>
  <c r="E43" i="1049"/>
  <c r="E42" i="1049"/>
  <c r="E41" i="1049"/>
  <c r="E40" i="1049"/>
  <c r="E39" i="1049"/>
  <c r="E38" i="1049"/>
  <c r="E37" i="1049"/>
  <c r="E36" i="1049"/>
  <c r="E35" i="1049"/>
  <c r="E34" i="1049"/>
  <c r="E33" i="1049"/>
  <c r="E32" i="1049"/>
  <c r="E31" i="1049"/>
  <c r="E30" i="1049"/>
  <c r="E29" i="1049"/>
  <c r="E28" i="1049"/>
  <c r="E27" i="1049"/>
  <c r="E26" i="1049"/>
  <c r="E25" i="1049"/>
  <c r="E24" i="1049"/>
  <c r="E23" i="1049"/>
  <c r="E22" i="1049"/>
  <c r="E21" i="1049"/>
  <c r="E20" i="1049"/>
  <c r="E19" i="1049"/>
  <c r="E18" i="1049"/>
  <c r="E17" i="1049"/>
  <c r="E16" i="1049"/>
  <c r="E15" i="1049"/>
  <c r="E14" i="1049"/>
  <c r="E13" i="1049"/>
  <c r="E12" i="1049"/>
  <c r="E11" i="1049"/>
  <c r="K11" i="1049" s="1"/>
  <c r="E10" i="1049"/>
  <c r="K10" i="1049" s="1"/>
  <c r="E9" i="1049"/>
  <c r="K9" i="1049" s="1"/>
  <c r="E8" i="1049"/>
  <c r="K8" i="1049" s="1"/>
  <c r="E7" i="1049"/>
  <c r="K7" i="1049" s="1"/>
  <c r="E6" i="1049"/>
  <c r="K5" i="1049" l="1"/>
  <c r="K6" i="1049" l="1"/>
  <c r="N1" i="1049"/>
  <c r="Y2" i="88"/>
  <c r="M1" i="1049" l="1"/>
  <c r="L1" i="1049"/>
  <c r="K1" i="1049" l="1"/>
  <c r="J1" i="1049" s="1"/>
  <c r="C1" i="1049" s="1"/>
  <c r="A5" i="88" l="1"/>
  <c r="AZ4000" i="88" l="1"/>
  <c r="AZ3999" i="88"/>
  <c r="AZ3998" i="88"/>
  <c r="AZ3997" i="88"/>
  <c r="AZ3996" i="88"/>
  <c r="AZ3995" i="88"/>
  <c r="AZ3994" i="88"/>
  <c r="AZ3993" i="88"/>
  <c r="AZ3992" i="88"/>
  <c r="AZ3991" i="88"/>
  <c r="AZ3990" i="88"/>
  <c r="AZ3989" i="88"/>
  <c r="AZ3988" i="88"/>
  <c r="AZ3987" i="88"/>
  <c r="AZ3986" i="88"/>
  <c r="AZ3985" i="88"/>
  <c r="AZ3984" i="88"/>
  <c r="AZ3983" i="88"/>
  <c r="AZ3982" i="88"/>
  <c r="AZ3981" i="88"/>
  <c r="AZ3980" i="88"/>
  <c r="AZ3979" i="88"/>
  <c r="AZ3978" i="88"/>
  <c r="AZ3977" i="88"/>
  <c r="AZ3976" i="88"/>
  <c r="AZ3975" i="88"/>
  <c r="AZ3974" i="88"/>
  <c r="AZ3973" i="88"/>
  <c r="AZ3972" i="88"/>
  <c r="AZ3971" i="88"/>
  <c r="AZ3970" i="88"/>
  <c r="AZ3969" i="88"/>
  <c r="AZ3968" i="88"/>
  <c r="AZ3967" i="88"/>
  <c r="AZ3966" i="88"/>
  <c r="AZ3965" i="88"/>
  <c r="AZ3964" i="88"/>
  <c r="AZ3963" i="88"/>
  <c r="AZ3962" i="88"/>
  <c r="AZ3961" i="88"/>
  <c r="AZ3960" i="88"/>
  <c r="AZ3959" i="88"/>
  <c r="AZ3958" i="88"/>
  <c r="AZ3957" i="88"/>
  <c r="AZ3956" i="88"/>
  <c r="AZ3955" i="88"/>
  <c r="AZ3954" i="88"/>
  <c r="AZ3953" i="88"/>
  <c r="AZ3952" i="88"/>
  <c r="AZ3951" i="88"/>
  <c r="AZ3950" i="88"/>
  <c r="AZ3949" i="88"/>
  <c r="AZ3948" i="88"/>
  <c r="AZ3947" i="88"/>
  <c r="AZ3946" i="88"/>
  <c r="AZ3945" i="88"/>
  <c r="AZ3944" i="88"/>
  <c r="AZ3943" i="88"/>
  <c r="AZ3942" i="88"/>
  <c r="AZ3941" i="88"/>
  <c r="AZ3940" i="88"/>
  <c r="AZ3939" i="88"/>
  <c r="AZ3938" i="88"/>
  <c r="AZ3937" i="88"/>
  <c r="AZ3936" i="88"/>
  <c r="AZ3935" i="88"/>
  <c r="AZ3934" i="88"/>
  <c r="AZ3933" i="88"/>
  <c r="AZ3932" i="88"/>
  <c r="AZ3931" i="88"/>
  <c r="AZ3930" i="88"/>
  <c r="AZ3929" i="88"/>
  <c r="AZ3928" i="88"/>
  <c r="AZ3927" i="88"/>
  <c r="AZ3926" i="88"/>
  <c r="AZ3925" i="88"/>
  <c r="AZ3924" i="88"/>
  <c r="AZ3923" i="88"/>
  <c r="AZ3922" i="88"/>
  <c r="AZ3921" i="88"/>
  <c r="AZ3920" i="88"/>
  <c r="AZ3919" i="88"/>
  <c r="AZ3918" i="88"/>
  <c r="AZ3917" i="88"/>
  <c r="AZ3916" i="88"/>
  <c r="AZ3915" i="88"/>
  <c r="AZ3914" i="88"/>
  <c r="AZ3913" i="88"/>
  <c r="AZ3912" i="88"/>
  <c r="AZ3911" i="88"/>
  <c r="AZ3910" i="88"/>
  <c r="AZ3909" i="88"/>
  <c r="AZ3908" i="88"/>
  <c r="AZ3907" i="88"/>
  <c r="AZ3906" i="88"/>
  <c r="AZ3905" i="88"/>
  <c r="AZ3904" i="88"/>
  <c r="AZ3903" i="88"/>
  <c r="AZ3902" i="88"/>
  <c r="AZ3901" i="88"/>
  <c r="AZ3900" i="88"/>
  <c r="AZ3899" i="88"/>
  <c r="AZ3898" i="88"/>
  <c r="AZ3897" i="88"/>
  <c r="AZ3896" i="88"/>
  <c r="AZ3895" i="88"/>
  <c r="AZ3894" i="88"/>
  <c r="AZ3893" i="88"/>
  <c r="AZ3892" i="88"/>
  <c r="AZ3891" i="88"/>
  <c r="AZ3890" i="88"/>
  <c r="AZ3889" i="88"/>
  <c r="AZ3888" i="88"/>
  <c r="AZ3887" i="88"/>
  <c r="AZ3886" i="88"/>
  <c r="AZ3885" i="88"/>
  <c r="AZ3884" i="88"/>
  <c r="AZ3883" i="88"/>
  <c r="AZ3882" i="88"/>
  <c r="AZ3881" i="88"/>
  <c r="AZ3880" i="88"/>
  <c r="AZ3879" i="88"/>
  <c r="AZ3878" i="88"/>
  <c r="AZ3877" i="88"/>
  <c r="AZ3876" i="88"/>
  <c r="AZ3875" i="88"/>
  <c r="AZ3874" i="88"/>
  <c r="AZ3873" i="88"/>
  <c r="AZ3872" i="88"/>
  <c r="AZ3871" i="88"/>
  <c r="AZ3870" i="88"/>
  <c r="AZ3869" i="88"/>
  <c r="AZ3868" i="88"/>
  <c r="AZ3867" i="88"/>
  <c r="AZ3866" i="88"/>
  <c r="AZ3865" i="88"/>
  <c r="AZ3864" i="88"/>
  <c r="AZ3863" i="88"/>
  <c r="AZ3862" i="88"/>
  <c r="AZ3861" i="88"/>
  <c r="AZ3860" i="88"/>
  <c r="AZ3859" i="88"/>
  <c r="AZ3858" i="88"/>
  <c r="AZ3857" i="88"/>
  <c r="AZ3856" i="88"/>
  <c r="AZ3855" i="88"/>
  <c r="AZ3854" i="88"/>
  <c r="AZ3853" i="88"/>
  <c r="AZ3852" i="88"/>
  <c r="AZ3851" i="88"/>
  <c r="AZ3850" i="88"/>
  <c r="AZ3849" i="88"/>
  <c r="AZ3848" i="88"/>
  <c r="AZ3847" i="88"/>
  <c r="AZ3846" i="88"/>
  <c r="AZ3845" i="88"/>
  <c r="AZ3844" i="88"/>
  <c r="AZ3843" i="88"/>
  <c r="AZ3842" i="88"/>
  <c r="AZ3841" i="88"/>
  <c r="AZ3840" i="88"/>
  <c r="AZ3839" i="88"/>
  <c r="AZ3838" i="88"/>
  <c r="AZ3837" i="88"/>
  <c r="AZ3836" i="88"/>
  <c r="AZ3835" i="88"/>
  <c r="AZ3834" i="88"/>
  <c r="AZ3833" i="88"/>
  <c r="AZ3832" i="88"/>
  <c r="AZ3831" i="88"/>
  <c r="AZ3830" i="88"/>
  <c r="AZ3829" i="88"/>
  <c r="AZ3828" i="88"/>
  <c r="AZ3827" i="88"/>
  <c r="AZ3826" i="88"/>
  <c r="AZ3825" i="88"/>
  <c r="AZ3824" i="88"/>
  <c r="AZ3823" i="88"/>
  <c r="AZ3822" i="88"/>
  <c r="AZ3821" i="88"/>
  <c r="AZ3820" i="88"/>
  <c r="AZ3819" i="88"/>
  <c r="AZ3818" i="88"/>
  <c r="AZ3817" i="88"/>
  <c r="AZ3816" i="88"/>
  <c r="AZ3815" i="88"/>
  <c r="AZ3814" i="88"/>
  <c r="AZ3813" i="88"/>
  <c r="AZ3812" i="88"/>
  <c r="AZ3811" i="88"/>
  <c r="AZ3810" i="88"/>
  <c r="AZ3809" i="88"/>
  <c r="AZ3808" i="88"/>
  <c r="AZ3807" i="88"/>
  <c r="AZ3806" i="88"/>
  <c r="AZ3805" i="88"/>
  <c r="AZ3804" i="88"/>
  <c r="AZ3803" i="88"/>
  <c r="AZ3802" i="88"/>
  <c r="AZ3801" i="88"/>
  <c r="AZ3800" i="88"/>
  <c r="AZ3799" i="88"/>
  <c r="AZ3798" i="88"/>
  <c r="AZ3797" i="88"/>
  <c r="AZ3796" i="88"/>
  <c r="AZ3795" i="88"/>
  <c r="AZ3794" i="88"/>
  <c r="AZ3793" i="88"/>
  <c r="AZ3792" i="88"/>
  <c r="AZ3791" i="88"/>
  <c r="AZ3790" i="88"/>
  <c r="AZ3789" i="88"/>
  <c r="AZ3788" i="88"/>
  <c r="AZ3787" i="88"/>
  <c r="AZ3786" i="88"/>
  <c r="AZ3785" i="88"/>
  <c r="AZ3784" i="88"/>
  <c r="AZ3783" i="88"/>
  <c r="AZ3782" i="88"/>
  <c r="AZ3781" i="88"/>
  <c r="AZ3780" i="88"/>
  <c r="AZ3779" i="88"/>
  <c r="AZ3778" i="88"/>
  <c r="AZ3777" i="88"/>
  <c r="AZ3776" i="88"/>
  <c r="AZ3775" i="88"/>
  <c r="AZ3774" i="88"/>
  <c r="AZ3773" i="88"/>
  <c r="AZ3772" i="88"/>
  <c r="AZ3771" i="88"/>
  <c r="AZ3770" i="88"/>
  <c r="AZ3769" i="88"/>
  <c r="AZ3768" i="88"/>
  <c r="AZ3767" i="88"/>
  <c r="AZ3766" i="88"/>
  <c r="AZ3765" i="88"/>
  <c r="AZ3764" i="88"/>
  <c r="AZ3763" i="88"/>
  <c r="AZ3762" i="88"/>
  <c r="AZ3761" i="88"/>
  <c r="AZ3760" i="88"/>
  <c r="AZ3759" i="88"/>
  <c r="AZ3758" i="88"/>
  <c r="AZ3757" i="88"/>
  <c r="AZ3756" i="88"/>
  <c r="AZ3755" i="88"/>
  <c r="AZ3754" i="88"/>
  <c r="AZ3753" i="88"/>
  <c r="AZ3752" i="88"/>
  <c r="AZ3751" i="88"/>
  <c r="AZ3750" i="88"/>
  <c r="AZ3749" i="88"/>
  <c r="AZ3748" i="88"/>
  <c r="AZ3747" i="88"/>
  <c r="AZ3746" i="88"/>
  <c r="AZ3745" i="88"/>
  <c r="AZ3744" i="88"/>
  <c r="AZ3743" i="88"/>
  <c r="AZ3742" i="88"/>
  <c r="AZ3741" i="88"/>
  <c r="AZ3740" i="88"/>
  <c r="AZ3739" i="88"/>
  <c r="AZ3738" i="88"/>
  <c r="AZ3737" i="88"/>
  <c r="AZ3736" i="88"/>
  <c r="AZ3735" i="88"/>
  <c r="AZ3734" i="88"/>
  <c r="AZ3733" i="88"/>
  <c r="AZ3732" i="88"/>
  <c r="AZ3731" i="88"/>
  <c r="AZ3730" i="88"/>
  <c r="AZ3729" i="88"/>
  <c r="AZ3728" i="88"/>
  <c r="AZ3727" i="88"/>
  <c r="AZ3726" i="88"/>
  <c r="AZ3725" i="88"/>
  <c r="AZ3724" i="88"/>
  <c r="AZ3723" i="88"/>
  <c r="AZ3722" i="88"/>
  <c r="AZ3721" i="88"/>
  <c r="AZ3720" i="88"/>
  <c r="AZ3719" i="88"/>
  <c r="AZ3718" i="88"/>
  <c r="AZ3717" i="88"/>
  <c r="AZ3716" i="88"/>
  <c r="AZ3715" i="88"/>
  <c r="AZ3714" i="88"/>
  <c r="AZ3713" i="88"/>
  <c r="AZ3712" i="88"/>
  <c r="AZ3711" i="88"/>
  <c r="AZ3710" i="88"/>
  <c r="AZ3709" i="88"/>
  <c r="AZ3708" i="88"/>
  <c r="AZ3707" i="88"/>
  <c r="AZ3706" i="88"/>
  <c r="AZ3705" i="88"/>
  <c r="AZ3704" i="88"/>
  <c r="AZ3703" i="88"/>
  <c r="AZ3702" i="88"/>
  <c r="AZ3701" i="88"/>
  <c r="AZ3700" i="88"/>
  <c r="AZ3699" i="88"/>
  <c r="AZ3698" i="88"/>
  <c r="AZ3697" i="88"/>
  <c r="AZ3696" i="88"/>
  <c r="AZ3695" i="88"/>
  <c r="AZ3694" i="88"/>
  <c r="AZ3693" i="88"/>
  <c r="AZ3692" i="88"/>
  <c r="AZ3691" i="88"/>
  <c r="AZ3690" i="88"/>
  <c r="AZ3689" i="88"/>
  <c r="AZ3688" i="88"/>
  <c r="AZ3687" i="88"/>
  <c r="AZ3686" i="88"/>
  <c r="AZ3685" i="88"/>
  <c r="AZ3684" i="88"/>
  <c r="AZ3683" i="88"/>
  <c r="AZ3682" i="88"/>
  <c r="AZ3681" i="88"/>
  <c r="AZ3680" i="88"/>
  <c r="AZ3679" i="88"/>
  <c r="AZ3678" i="88"/>
  <c r="AZ3677" i="88"/>
  <c r="AZ3676" i="88"/>
  <c r="AZ3675" i="88"/>
  <c r="AZ3674" i="88"/>
  <c r="AZ3673" i="88"/>
  <c r="AZ3672" i="88"/>
  <c r="AZ3671" i="88"/>
  <c r="AZ3670" i="88"/>
  <c r="AZ3669" i="88"/>
  <c r="AZ3668" i="88"/>
  <c r="AZ3667" i="88"/>
  <c r="AZ3666" i="88"/>
  <c r="AZ3665" i="88"/>
  <c r="AZ3664" i="88"/>
  <c r="AZ3663" i="88"/>
  <c r="AZ3662" i="88"/>
  <c r="AZ3661" i="88"/>
  <c r="AZ3660" i="88"/>
  <c r="AZ3659" i="88"/>
  <c r="AZ3658" i="88"/>
  <c r="AZ3657" i="88"/>
  <c r="AZ3656" i="88"/>
  <c r="AZ3655" i="88"/>
  <c r="AZ3654" i="88"/>
  <c r="AZ3653" i="88"/>
  <c r="AZ3652" i="88"/>
  <c r="AZ3651" i="88"/>
  <c r="AZ3650" i="88"/>
  <c r="AZ3649" i="88"/>
  <c r="AZ3648" i="88"/>
  <c r="AZ3647" i="88"/>
  <c r="AZ3646" i="88"/>
  <c r="AZ3645" i="88"/>
  <c r="AZ3644" i="88"/>
  <c r="AZ3643" i="88"/>
  <c r="AZ3642" i="88"/>
  <c r="AZ3641" i="88"/>
  <c r="AZ3640" i="88"/>
  <c r="AZ3639" i="88"/>
  <c r="AZ3638" i="88"/>
  <c r="AZ3637" i="88"/>
  <c r="AZ3636" i="88"/>
  <c r="AZ3635" i="88"/>
  <c r="AZ3634" i="88"/>
  <c r="AZ3633" i="88"/>
  <c r="AZ3632" i="88"/>
  <c r="AZ3631" i="88"/>
  <c r="AZ3630" i="88"/>
  <c r="AZ3629" i="88"/>
  <c r="AZ3628" i="88"/>
  <c r="AZ3627" i="88"/>
  <c r="AZ3626" i="88"/>
  <c r="AZ3625" i="88"/>
  <c r="AZ3624" i="88"/>
  <c r="AZ3623" i="88"/>
  <c r="AZ3622" i="88"/>
  <c r="AZ3621" i="88"/>
  <c r="AZ3620" i="88"/>
  <c r="AZ3619" i="88"/>
  <c r="AZ3618" i="88"/>
  <c r="AZ3617" i="88"/>
  <c r="AZ3616" i="88"/>
  <c r="AZ3615" i="88"/>
  <c r="AZ3614" i="88"/>
  <c r="AZ3613" i="88"/>
  <c r="AZ3612" i="88"/>
  <c r="AZ3611" i="88"/>
  <c r="AZ3610" i="88"/>
  <c r="AZ3609" i="88"/>
  <c r="AZ3608" i="88"/>
  <c r="AZ3607" i="88"/>
  <c r="AZ3606" i="88"/>
  <c r="AZ3605" i="88"/>
  <c r="AZ3604" i="88"/>
  <c r="AZ3603" i="88"/>
  <c r="AZ3602" i="88"/>
  <c r="AZ3601" i="88"/>
  <c r="AZ3600" i="88"/>
  <c r="AZ3599" i="88"/>
  <c r="AZ3598" i="88"/>
  <c r="AZ3597" i="88"/>
  <c r="AZ3596" i="88"/>
  <c r="AZ3595" i="88"/>
  <c r="AZ3594" i="88"/>
  <c r="AZ3593" i="88"/>
  <c r="AZ3592" i="88"/>
  <c r="AZ3591" i="88"/>
  <c r="AZ3590" i="88"/>
  <c r="AZ3589" i="88"/>
  <c r="AZ3588" i="88"/>
  <c r="AZ3587" i="88"/>
  <c r="AZ3586" i="88"/>
  <c r="AZ3585" i="88"/>
  <c r="AZ3584" i="88"/>
  <c r="AZ3583" i="88"/>
  <c r="AZ3582" i="88"/>
  <c r="AZ3581" i="88"/>
  <c r="AZ3580" i="88"/>
  <c r="AZ3579" i="88"/>
  <c r="AZ3578" i="88"/>
  <c r="AZ3577" i="88"/>
  <c r="AZ3576" i="88"/>
  <c r="AZ3575" i="88"/>
  <c r="AZ3574" i="88"/>
  <c r="AZ3573" i="88"/>
  <c r="AZ3572" i="88"/>
  <c r="AZ3571" i="88"/>
  <c r="AZ3570" i="88"/>
  <c r="AZ3569" i="88"/>
  <c r="AZ3568" i="88"/>
  <c r="AZ3567" i="88"/>
  <c r="AZ3566" i="88"/>
  <c r="AZ3565" i="88"/>
  <c r="AZ3564" i="88"/>
  <c r="AZ3563" i="88"/>
  <c r="AZ3562" i="88"/>
  <c r="AZ3561" i="88"/>
  <c r="AZ3560" i="88"/>
  <c r="AZ3559" i="88"/>
  <c r="AZ3558" i="88"/>
  <c r="AZ3557" i="88"/>
  <c r="AZ3556" i="88"/>
  <c r="AZ3555" i="88"/>
  <c r="AZ3554" i="88"/>
  <c r="AZ3553" i="88"/>
  <c r="AZ3552" i="88"/>
  <c r="AZ3551" i="88"/>
  <c r="AZ3550" i="88"/>
  <c r="AZ3549" i="88"/>
  <c r="AZ3548" i="88"/>
  <c r="AZ3547" i="88"/>
  <c r="AZ3546" i="88"/>
  <c r="AZ3545" i="88"/>
  <c r="AZ3544" i="88"/>
  <c r="AZ3543" i="88"/>
  <c r="AZ3542" i="88"/>
  <c r="AZ3541" i="88"/>
  <c r="AZ3540" i="88"/>
  <c r="AZ3539" i="88"/>
  <c r="AZ3538" i="88"/>
  <c r="AZ3537" i="88"/>
  <c r="AZ3536" i="88"/>
  <c r="AZ3535" i="88"/>
  <c r="AZ3534" i="88"/>
  <c r="AZ3533" i="88"/>
  <c r="AZ3532" i="88"/>
  <c r="AZ3531" i="88"/>
  <c r="AZ3530" i="88"/>
  <c r="AZ3529" i="88"/>
  <c r="AZ3528" i="88"/>
  <c r="AZ3527" i="88"/>
  <c r="AZ3526" i="88"/>
  <c r="AZ3525" i="88"/>
  <c r="AZ3524" i="88"/>
  <c r="AZ3523" i="88"/>
  <c r="AZ3522" i="88"/>
  <c r="AZ3521" i="88"/>
  <c r="AZ3520" i="88"/>
  <c r="AZ3519" i="88"/>
  <c r="AZ3518" i="88"/>
  <c r="AZ3517" i="88"/>
  <c r="AZ3516" i="88"/>
  <c r="AZ3515" i="88"/>
  <c r="AZ3514" i="88"/>
  <c r="AZ3513" i="88"/>
  <c r="AZ3512" i="88"/>
  <c r="AZ3511" i="88"/>
  <c r="AZ3510" i="88"/>
  <c r="AZ3509" i="88"/>
  <c r="AZ3508" i="88"/>
  <c r="AZ3507" i="88"/>
  <c r="AZ3506" i="88"/>
  <c r="AZ3505" i="88"/>
  <c r="AZ3504" i="88"/>
  <c r="AZ3503" i="88"/>
  <c r="AZ3502" i="88"/>
  <c r="AZ3501" i="88"/>
  <c r="AZ3500" i="88"/>
  <c r="AZ3499" i="88"/>
  <c r="AZ3498" i="88"/>
  <c r="AZ3497" i="88"/>
  <c r="AZ3496" i="88"/>
  <c r="AZ3495" i="88"/>
  <c r="AZ3494" i="88"/>
  <c r="AZ3493" i="88"/>
  <c r="AZ3492" i="88"/>
  <c r="AZ3491" i="88"/>
  <c r="AZ3490" i="88"/>
  <c r="AZ3489" i="88"/>
  <c r="AZ3488" i="88"/>
  <c r="AZ3487" i="88"/>
  <c r="AZ3486" i="88"/>
  <c r="AZ3485" i="88"/>
  <c r="AZ3484" i="88"/>
  <c r="AZ3483" i="88"/>
  <c r="AZ3482" i="88"/>
  <c r="AZ3481" i="88"/>
  <c r="AZ3480" i="88"/>
  <c r="AZ3479" i="88"/>
  <c r="AZ3478" i="88"/>
  <c r="AZ3477" i="88"/>
  <c r="AZ3476" i="88"/>
  <c r="AZ3475" i="88"/>
  <c r="AZ3474" i="88"/>
  <c r="AZ3473" i="88"/>
  <c r="AZ3472" i="88"/>
  <c r="AZ3471" i="88"/>
  <c r="AZ3470" i="88"/>
  <c r="AZ3469" i="88"/>
  <c r="AZ3468" i="88"/>
  <c r="AZ3467" i="88"/>
  <c r="AZ3466" i="88"/>
  <c r="AZ3465" i="88"/>
  <c r="AZ3464" i="88"/>
  <c r="AZ3463" i="88"/>
  <c r="AZ3462" i="88"/>
  <c r="AZ3461" i="88"/>
  <c r="AZ3460" i="88"/>
  <c r="AZ3459" i="88"/>
  <c r="AZ3458" i="88"/>
  <c r="AZ3457" i="88"/>
  <c r="AZ3456" i="88"/>
  <c r="AZ3455" i="88"/>
  <c r="AZ3454" i="88"/>
  <c r="AZ3453" i="88"/>
  <c r="AZ3452" i="88"/>
  <c r="AZ3451" i="88"/>
  <c r="AZ3450" i="88"/>
  <c r="AZ3449" i="88"/>
  <c r="AZ3448" i="88"/>
  <c r="AZ3447" i="88"/>
  <c r="AZ3446" i="88"/>
  <c r="AZ3445" i="88"/>
  <c r="AZ3444" i="88"/>
  <c r="AZ3443" i="88"/>
  <c r="AZ3442" i="88"/>
  <c r="AZ3441" i="88"/>
  <c r="AZ3440" i="88"/>
  <c r="AZ3439" i="88"/>
  <c r="AZ3438" i="88"/>
  <c r="AZ3437" i="88"/>
  <c r="AZ3436" i="88"/>
  <c r="AZ3435" i="88"/>
  <c r="AZ3434" i="88"/>
  <c r="AZ3433" i="88"/>
  <c r="AZ3432" i="88"/>
  <c r="AZ3431" i="88"/>
  <c r="AZ3430" i="88"/>
  <c r="AZ3429" i="88"/>
  <c r="AZ3428" i="88"/>
  <c r="AZ3427" i="88"/>
  <c r="AZ3426" i="88"/>
  <c r="AZ3425" i="88"/>
  <c r="AZ3424" i="88"/>
  <c r="AZ3423" i="88"/>
  <c r="AZ3422" i="88"/>
  <c r="AZ3421" i="88"/>
  <c r="AZ3420" i="88"/>
  <c r="AZ3419" i="88"/>
  <c r="AZ3418" i="88"/>
  <c r="AZ3417" i="88"/>
  <c r="AZ3416" i="88"/>
  <c r="AZ3415" i="88"/>
  <c r="AZ3414" i="88"/>
  <c r="AZ3413" i="88"/>
  <c r="AZ3412" i="88"/>
  <c r="AZ3411" i="88"/>
  <c r="AZ3410" i="88"/>
  <c r="AZ3409" i="88"/>
  <c r="AZ3408" i="88"/>
  <c r="AZ3407" i="88"/>
  <c r="AZ3406" i="88"/>
  <c r="AZ3405" i="88"/>
  <c r="AZ3404" i="88"/>
  <c r="AZ3403" i="88"/>
  <c r="AZ3402" i="88"/>
  <c r="AZ3401" i="88"/>
  <c r="AZ3400" i="88"/>
  <c r="AZ3399" i="88"/>
  <c r="AZ3398" i="88"/>
  <c r="AZ3397" i="88"/>
  <c r="AZ3396" i="88"/>
  <c r="AZ3395" i="88"/>
  <c r="AZ3394" i="88"/>
  <c r="AZ3393" i="88"/>
  <c r="AZ3392" i="88"/>
  <c r="AZ3391" i="88"/>
  <c r="AZ3390" i="88"/>
  <c r="AZ3389" i="88"/>
  <c r="AZ3388" i="88"/>
  <c r="AZ3387" i="88"/>
  <c r="AZ3386" i="88"/>
  <c r="AZ3385" i="88"/>
  <c r="AZ3384" i="88"/>
  <c r="AZ3383" i="88"/>
  <c r="AZ3382" i="88"/>
  <c r="AZ3381" i="88"/>
  <c r="AZ3380" i="88"/>
  <c r="AZ3379" i="88"/>
  <c r="AZ3378" i="88"/>
  <c r="AZ3377" i="88"/>
  <c r="AZ3376" i="88"/>
  <c r="AZ3375" i="88"/>
  <c r="AZ3374" i="88"/>
  <c r="AZ3373" i="88"/>
  <c r="AZ3372" i="88"/>
  <c r="AZ3371" i="88"/>
  <c r="AZ3370" i="88"/>
  <c r="AZ3369" i="88"/>
  <c r="BA3368" i="88"/>
  <c r="AZ3368" i="88"/>
  <c r="BA3367" i="88"/>
  <c r="AZ3367" i="88"/>
  <c r="BA3366" i="88"/>
  <c r="AZ3366" i="88"/>
  <c r="BA3365" i="88"/>
  <c r="AZ3365" i="88"/>
  <c r="BA3364" i="88"/>
  <c r="AZ3364" i="88"/>
  <c r="BA3363" i="88"/>
  <c r="AZ3363" i="88"/>
  <c r="BA3362" i="88"/>
  <c r="AZ3362" i="88"/>
  <c r="BA3361" i="88"/>
  <c r="AZ3361" i="88"/>
  <c r="BA3360" i="88"/>
  <c r="AZ3360" i="88"/>
  <c r="BA3359" i="88"/>
  <c r="AZ3359" i="88"/>
  <c r="BA3358" i="88"/>
  <c r="AZ3358" i="88"/>
  <c r="BA3357" i="88"/>
  <c r="AZ3357" i="88"/>
  <c r="BA3356" i="88"/>
  <c r="AZ3356" i="88"/>
  <c r="BA3355" i="88"/>
  <c r="AZ3355" i="88"/>
  <c r="BA3354" i="88"/>
  <c r="AZ3354" i="88"/>
  <c r="BA3353" i="88"/>
  <c r="AZ3353" i="88"/>
  <c r="BA3352" i="88"/>
  <c r="AZ3352" i="88"/>
  <c r="BA3351" i="88"/>
  <c r="AZ3351" i="88"/>
  <c r="BA3350" i="88"/>
  <c r="AZ3350" i="88"/>
  <c r="BA3349" i="88"/>
  <c r="AZ3349" i="88"/>
  <c r="BA3348" i="88"/>
  <c r="AZ3348" i="88"/>
  <c r="BA3347" i="88"/>
  <c r="AZ3347" i="88"/>
  <c r="BA3346" i="88"/>
  <c r="AZ3346" i="88"/>
  <c r="BA3345" i="88"/>
  <c r="AZ3345" i="88"/>
  <c r="BA3344" i="88"/>
  <c r="AZ3344" i="88"/>
  <c r="BA3343" i="88"/>
  <c r="AZ3343" i="88"/>
  <c r="BA3342" i="88"/>
  <c r="AZ3342" i="88"/>
  <c r="BA3341" i="88"/>
  <c r="AZ3341" i="88"/>
  <c r="BA3340" i="88"/>
  <c r="AZ3340" i="88"/>
  <c r="BA3339" i="88"/>
  <c r="AZ3339" i="88"/>
  <c r="BA3338" i="88"/>
  <c r="AZ3338" i="88"/>
  <c r="BA3337" i="88"/>
  <c r="AZ3337" i="88"/>
  <c r="BA3336" i="88"/>
  <c r="AZ3336" i="88"/>
  <c r="BA3335" i="88"/>
  <c r="AZ3335" i="88"/>
  <c r="BA3334" i="88"/>
  <c r="AZ3334" i="88"/>
  <c r="BA3333" i="88"/>
  <c r="AZ3333" i="88"/>
  <c r="BA3332" i="88"/>
  <c r="AZ3332" i="88"/>
  <c r="BA3331" i="88"/>
  <c r="AZ3331" i="88"/>
  <c r="BA3330" i="88"/>
  <c r="AZ3330" i="88"/>
  <c r="BA3329" i="88"/>
  <c r="AZ3329" i="88"/>
  <c r="BA3328" i="88"/>
  <c r="AZ3328" i="88"/>
  <c r="BA3327" i="88"/>
  <c r="AZ3327" i="88"/>
  <c r="BA3326" i="88"/>
  <c r="AZ3326" i="88"/>
  <c r="BA3325" i="88"/>
  <c r="AZ3325" i="88"/>
  <c r="BA3324" i="88"/>
  <c r="AZ3324" i="88"/>
  <c r="BA3323" i="88"/>
  <c r="AZ3323" i="88"/>
  <c r="BA3322" i="88"/>
  <c r="AZ3322" i="88"/>
  <c r="BA3321" i="88"/>
  <c r="AZ3321" i="88"/>
  <c r="AZ3320" i="88"/>
  <c r="AZ3319" i="88"/>
  <c r="AZ3318" i="88"/>
  <c r="AZ3317" i="88"/>
  <c r="AZ3316" i="88"/>
  <c r="AZ3315" i="88"/>
  <c r="AZ3314" i="88"/>
  <c r="AZ3313" i="88"/>
  <c r="AZ3312" i="88"/>
  <c r="AZ3311" i="88"/>
  <c r="AZ3310" i="88"/>
  <c r="AZ3309" i="88"/>
  <c r="AZ3308" i="88"/>
  <c r="AZ3307" i="88"/>
  <c r="AZ3306" i="88"/>
  <c r="AZ3305" i="88"/>
  <c r="AZ3304" i="88"/>
  <c r="AZ3303" i="88"/>
  <c r="AZ3302" i="88"/>
  <c r="AZ3301" i="88"/>
  <c r="AZ3300" i="88"/>
  <c r="AZ3299" i="88"/>
  <c r="AZ3298" i="88"/>
  <c r="AZ3297" i="88"/>
  <c r="AZ3296" i="88"/>
  <c r="AZ3295" i="88"/>
  <c r="AZ3294" i="88"/>
  <c r="AZ3293" i="88"/>
  <c r="AZ3292" i="88"/>
  <c r="AZ3291" i="88"/>
  <c r="AZ3290" i="88"/>
  <c r="AZ3289" i="88"/>
  <c r="AZ3288" i="88"/>
  <c r="AZ3287" i="88"/>
  <c r="AZ3286" i="88"/>
  <c r="AZ3285" i="88"/>
  <c r="AZ3284" i="88"/>
  <c r="AZ3283" i="88"/>
  <c r="AZ3282" i="88"/>
  <c r="AZ3281" i="88"/>
  <c r="AZ3280" i="88"/>
  <c r="AZ3279" i="88"/>
  <c r="AZ3278" i="88"/>
  <c r="AZ3277" i="88"/>
  <c r="AZ3276" i="88"/>
  <c r="AZ3275" i="88"/>
  <c r="AZ3274" i="88"/>
  <c r="AZ3273" i="88"/>
  <c r="AZ3272" i="88"/>
  <c r="AZ3271" i="88"/>
  <c r="AZ3270" i="88"/>
  <c r="AZ3269" i="88"/>
  <c r="AZ3268" i="88"/>
  <c r="AZ3267" i="88"/>
  <c r="AZ3266" i="88"/>
  <c r="AZ3265" i="88"/>
  <c r="AZ3264" i="88"/>
  <c r="AZ3263" i="88"/>
  <c r="AZ3262" i="88"/>
  <c r="AZ3261" i="88"/>
  <c r="AZ3260" i="88"/>
  <c r="AZ3259" i="88"/>
  <c r="AZ3258" i="88"/>
  <c r="AZ3257" i="88"/>
  <c r="AZ3256" i="88"/>
  <c r="AZ3255" i="88"/>
  <c r="AZ3254" i="88"/>
  <c r="AZ3253" i="88"/>
  <c r="AZ3252" i="88"/>
  <c r="AZ3251" i="88"/>
  <c r="AZ3250" i="88"/>
  <c r="AZ3249" i="88"/>
  <c r="AZ3248" i="88"/>
  <c r="AZ3247" i="88"/>
  <c r="AZ3246" i="88"/>
  <c r="AZ3245" i="88"/>
  <c r="AZ3244" i="88"/>
  <c r="AZ3243" i="88"/>
  <c r="AZ3242" i="88"/>
  <c r="AZ3241" i="88"/>
  <c r="AZ3240" i="88"/>
  <c r="AZ3239" i="88"/>
  <c r="AZ3238" i="88"/>
  <c r="AZ3237" i="88"/>
  <c r="AZ3236" i="88"/>
  <c r="AZ3235" i="88"/>
  <c r="AZ3234" i="88"/>
  <c r="AZ3233" i="88"/>
  <c r="AZ3232" i="88"/>
  <c r="AZ3231" i="88"/>
  <c r="AZ3230" i="88"/>
  <c r="AZ3229" i="88"/>
  <c r="AZ3228" i="88"/>
  <c r="AZ3227" i="88"/>
  <c r="AZ3226" i="88"/>
  <c r="AZ3225" i="88"/>
  <c r="AZ3224" i="88"/>
  <c r="AZ3223" i="88"/>
  <c r="AZ3222" i="88"/>
  <c r="AZ3221" i="88"/>
  <c r="AZ3220" i="88"/>
  <c r="AZ3219" i="88"/>
  <c r="AZ3218" i="88"/>
  <c r="AZ3217" i="88"/>
  <c r="AZ3216" i="88"/>
  <c r="AZ3215" i="88"/>
  <c r="AZ3214" i="88"/>
  <c r="AZ3213" i="88"/>
  <c r="AZ3212" i="88"/>
  <c r="AZ3211" i="88"/>
  <c r="AZ3210" i="88"/>
  <c r="AZ3209" i="88"/>
  <c r="AZ3208" i="88"/>
  <c r="AZ3207" i="88"/>
  <c r="AZ3206" i="88"/>
  <c r="AZ3205" i="88"/>
  <c r="AZ3204" i="88"/>
  <c r="AZ3203" i="88"/>
  <c r="AZ3202" i="88"/>
  <c r="AZ3201" i="88"/>
  <c r="AZ3200" i="88"/>
  <c r="AZ3199" i="88"/>
  <c r="AZ3198" i="88"/>
  <c r="AZ3197" i="88"/>
  <c r="AZ3196" i="88"/>
  <c r="AZ3195" i="88"/>
  <c r="AZ3194" i="88"/>
  <c r="AZ3193" i="88"/>
  <c r="AZ3192" i="88"/>
  <c r="AZ3191" i="88"/>
  <c r="AZ3190" i="88"/>
  <c r="AZ3189" i="88"/>
  <c r="AZ3188" i="88"/>
  <c r="AZ3187" i="88"/>
  <c r="AZ3186" i="88"/>
  <c r="AZ3185" i="88"/>
  <c r="AZ3184" i="88"/>
  <c r="AZ3183" i="88"/>
  <c r="AZ3182" i="88"/>
  <c r="AZ3181" i="88"/>
  <c r="AZ3180" i="88"/>
  <c r="AZ3179" i="88"/>
  <c r="AZ3178" i="88"/>
  <c r="AZ3177" i="88"/>
  <c r="AZ3176" i="88"/>
  <c r="AZ3175" i="88"/>
  <c r="AZ3174" i="88"/>
  <c r="AZ3173" i="88"/>
  <c r="AZ3172" i="88"/>
  <c r="AZ3171" i="88"/>
  <c r="AZ3170" i="88"/>
  <c r="AZ3169" i="88"/>
  <c r="AZ3168" i="88"/>
  <c r="AZ3167" i="88"/>
  <c r="AZ3166" i="88"/>
  <c r="AZ3165" i="88"/>
  <c r="AZ3164" i="88"/>
  <c r="AZ3163" i="88"/>
  <c r="AZ3162" i="88"/>
  <c r="AZ3161" i="88"/>
  <c r="AZ3160" i="88"/>
  <c r="AZ3159" i="88"/>
  <c r="AZ3158" i="88"/>
  <c r="AZ3157" i="88"/>
  <c r="AZ3156" i="88"/>
  <c r="AZ3155" i="88"/>
  <c r="AZ3154" i="88"/>
  <c r="AZ3153" i="88"/>
  <c r="AZ3152" i="88"/>
  <c r="AZ3151" i="88"/>
  <c r="AZ3150" i="88"/>
  <c r="AZ3149" i="88"/>
  <c r="AZ3148" i="88"/>
  <c r="AZ3147" i="88"/>
  <c r="AZ3146" i="88"/>
  <c r="AZ3145" i="88"/>
  <c r="AZ3144" i="88"/>
  <c r="AZ3143" i="88"/>
  <c r="AZ3142" i="88"/>
  <c r="AZ3141" i="88"/>
  <c r="AZ3140" i="88"/>
  <c r="AZ3139" i="88"/>
  <c r="AZ3138" i="88"/>
  <c r="AZ3137" i="88"/>
  <c r="AZ3136" i="88"/>
  <c r="AZ3135" i="88"/>
  <c r="AZ3134" i="88"/>
  <c r="AZ3133" i="88"/>
  <c r="AZ3132" i="88"/>
  <c r="AZ3131" i="88"/>
  <c r="AZ3130" i="88"/>
  <c r="AZ3129" i="88"/>
  <c r="AZ3128" i="88"/>
  <c r="AZ3127" i="88"/>
  <c r="AZ3126" i="88"/>
  <c r="AZ3125" i="88"/>
  <c r="AZ3124" i="88"/>
  <c r="AZ3123" i="88"/>
  <c r="AZ3122" i="88"/>
  <c r="AZ3121" i="88"/>
  <c r="AZ3120" i="88"/>
  <c r="AZ3119" i="88"/>
  <c r="AZ3118" i="88"/>
  <c r="AZ3117" i="88"/>
  <c r="AZ3116" i="88"/>
  <c r="AZ3115" i="88"/>
  <c r="AZ3114" i="88"/>
  <c r="AZ3113" i="88"/>
  <c r="AZ3112" i="88"/>
  <c r="AZ3111" i="88"/>
  <c r="AZ3110" i="88"/>
  <c r="AZ3109" i="88"/>
  <c r="AZ3108" i="88"/>
  <c r="AZ3107" i="88"/>
  <c r="AZ3106" i="88"/>
  <c r="AZ3105" i="88"/>
  <c r="AZ3104" i="88"/>
  <c r="AZ3103" i="88"/>
  <c r="AZ3102" i="88"/>
  <c r="AZ3101" i="88"/>
  <c r="AZ3100" i="88"/>
  <c r="AZ3099" i="88"/>
  <c r="AZ3098" i="88"/>
  <c r="AZ3097" i="88"/>
  <c r="AZ3096" i="88"/>
  <c r="AZ3095" i="88"/>
  <c r="AZ3094" i="88"/>
  <c r="AZ3093" i="88"/>
  <c r="AZ3092" i="88"/>
  <c r="AZ3091" i="88"/>
  <c r="AZ3090" i="88"/>
  <c r="AZ3089" i="88"/>
  <c r="AZ3088" i="88"/>
  <c r="AZ3087" i="88"/>
  <c r="AZ3086" i="88"/>
  <c r="AZ3085" i="88"/>
  <c r="AZ3084" i="88"/>
  <c r="AZ3083" i="88"/>
  <c r="AZ3082" i="88"/>
  <c r="AZ3081" i="88"/>
  <c r="AZ3080" i="88"/>
  <c r="AZ3079" i="88"/>
  <c r="AZ3078" i="88"/>
  <c r="AZ3077" i="88"/>
  <c r="AZ3076" i="88"/>
  <c r="AZ3075" i="88"/>
  <c r="AZ3074" i="88"/>
  <c r="AZ3073" i="88"/>
  <c r="AZ3072" i="88"/>
  <c r="AZ3071" i="88"/>
  <c r="AZ3070" i="88"/>
  <c r="AZ3069" i="88"/>
  <c r="AZ3068" i="88"/>
  <c r="AZ3067" i="88"/>
  <c r="AZ3066" i="88"/>
  <c r="AZ3065" i="88"/>
  <c r="AZ3064" i="88"/>
  <c r="AZ3063" i="88"/>
  <c r="AZ3062" i="88"/>
  <c r="AZ3061" i="88"/>
  <c r="AZ3060" i="88"/>
  <c r="AZ3059" i="88"/>
  <c r="AZ3058" i="88"/>
  <c r="AZ3057" i="88"/>
  <c r="AZ3056" i="88"/>
  <c r="AZ3055" i="88"/>
  <c r="AZ3054" i="88"/>
  <c r="AZ3053" i="88"/>
  <c r="AZ3052" i="88"/>
  <c r="AZ3051" i="88"/>
  <c r="AZ3050" i="88"/>
  <c r="AZ3049" i="88"/>
  <c r="AZ3048" i="88"/>
  <c r="AZ3047" i="88"/>
  <c r="AZ3046" i="88"/>
  <c r="AZ3045" i="88"/>
  <c r="AZ3044" i="88"/>
  <c r="AZ3043" i="88"/>
  <c r="AZ3042" i="88"/>
  <c r="AZ3041" i="88"/>
  <c r="AZ3040" i="88"/>
  <c r="AZ3039" i="88"/>
  <c r="AZ3038" i="88"/>
  <c r="AZ3037" i="88"/>
  <c r="AZ3036" i="88"/>
  <c r="AZ3035" i="88"/>
  <c r="AZ3034" i="88"/>
  <c r="AZ3033" i="88"/>
  <c r="AZ3032" i="88"/>
  <c r="AZ3031" i="88"/>
  <c r="AZ3030" i="88"/>
  <c r="AZ3029" i="88"/>
  <c r="AZ3028" i="88"/>
  <c r="AZ3027" i="88"/>
  <c r="AZ3026" i="88"/>
  <c r="AZ3025" i="88"/>
  <c r="AZ3024" i="88"/>
  <c r="AZ3023" i="88"/>
  <c r="AZ3022" i="88"/>
  <c r="AZ3021" i="88"/>
  <c r="AZ3020" i="88"/>
  <c r="AZ3019" i="88"/>
  <c r="AZ3018" i="88"/>
  <c r="AZ3017" i="88"/>
  <c r="AZ3016" i="88"/>
  <c r="AZ3015" i="88"/>
  <c r="AZ3014" i="88"/>
  <c r="AZ3013" i="88"/>
  <c r="AZ3012" i="88"/>
  <c r="AZ3011" i="88"/>
  <c r="AZ3010" i="88"/>
  <c r="AZ3009" i="88"/>
  <c r="AZ3008" i="88"/>
  <c r="AZ3007" i="88"/>
  <c r="AZ3006" i="88"/>
  <c r="AZ3005" i="88"/>
  <c r="AZ3004" i="88"/>
  <c r="AZ3003" i="88"/>
  <c r="AZ3002" i="88"/>
  <c r="AZ3001" i="88"/>
  <c r="AZ3000" i="88"/>
  <c r="AZ2999" i="88"/>
  <c r="AZ2998" i="88"/>
  <c r="AZ2997" i="88"/>
  <c r="AZ2996" i="88"/>
  <c r="AZ2995" i="88"/>
  <c r="AZ2994" i="88"/>
  <c r="AZ2993" i="88"/>
  <c r="AZ2992" i="88"/>
  <c r="AZ2991" i="88"/>
  <c r="AZ2990" i="88"/>
  <c r="AZ2989" i="88"/>
  <c r="AZ2988" i="88"/>
  <c r="AZ2987" i="88"/>
  <c r="AZ2986" i="88"/>
  <c r="AZ2985" i="88"/>
  <c r="AZ2984" i="88"/>
  <c r="AZ2983" i="88"/>
  <c r="AZ2982" i="88"/>
  <c r="AZ2981" i="88"/>
  <c r="AZ2980" i="88"/>
  <c r="AZ2979" i="88"/>
  <c r="AZ2978" i="88"/>
  <c r="AZ2977" i="88"/>
  <c r="AZ2976" i="88"/>
  <c r="AZ2975" i="88"/>
  <c r="AZ2974" i="88"/>
  <c r="AZ2973" i="88"/>
  <c r="AZ2972" i="88"/>
  <c r="AZ2971" i="88"/>
  <c r="AZ2970" i="88"/>
  <c r="AZ2969" i="88"/>
  <c r="AZ2968" i="88"/>
  <c r="AZ2967" i="88"/>
  <c r="AZ2966" i="88"/>
  <c r="AZ2965" i="88"/>
  <c r="AZ2964" i="88"/>
  <c r="AZ2963" i="88"/>
  <c r="AZ2962" i="88"/>
  <c r="AZ2961" i="88"/>
  <c r="AZ2960" i="88"/>
  <c r="AZ2959" i="88"/>
  <c r="AZ2958" i="88"/>
  <c r="AZ2957" i="88"/>
  <c r="AZ2956" i="88"/>
  <c r="AZ2955" i="88"/>
  <c r="AZ2954" i="88"/>
  <c r="AZ2953" i="88"/>
  <c r="AZ2952" i="88"/>
  <c r="AZ2951" i="88"/>
  <c r="AZ2950" i="88"/>
  <c r="AZ2949" i="88"/>
  <c r="AZ2948" i="88"/>
  <c r="AZ2947" i="88"/>
  <c r="AZ2946" i="88"/>
  <c r="AZ2945" i="88"/>
  <c r="AZ2944" i="88"/>
  <c r="AZ2943" i="88"/>
  <c r="AZ2942" i="88"/>
  <c r="AZ2941" i="88"/>
  <c r="AZ2940" i="88"/>
  <c r="AZ2939" i="88"/>
  <c r="AZ2938" i="88"/>
  <c r="AZ2937" i="88"/>
  <c r="AZ2936" i="88"/>
  <c r="AZ2935" i="88"/>
  <c r="AZ2934" i="88"/>
  <c r="AZ2933" i="88"/>
  <c r="AZ2932" i="88"/>
  <c r="AZ2931" i="88"/>
  <c r="AZ2930" i="88"/>
  <c r="AZ2929" i="88"/>
  <c r="AZ2928" i="88"/>
  <c r="AZ2927" i="88"/>
  <c r="AZ2926" i="88"/>
  <c r="AZ2925" i="88"/>
  <c r="AZ2924" i="88"/>
  <c r="AZ2923" i="88"/>
  <c r="AZ2922" i="88"/>
  <c r="AZ2921" i="88"/>
  <c r="AZ2920" i="88"/>
  <c r="AZ2919" i="88"/>
  <c r="AZ2918" i="88"/>
  <c r="AZ2917" i="88"/>
  <c r="AZ2916" i="88"/>
  <c r="AZ2915" i="88"/>
  <c r="AZ2914" i="88"/>
  <c r="AZ2913" i="88"/>
  <c r="AZ2912" i="88"/>
  <c r="AZ2911" i="88"/>
  <c r="AZ2910" i="88"/>
  <c r="AZ2909" i="88"/>
  <c r="AZ2908" i="88"/>
  <c r="AZ2907" i="88"/>
  <c r="AZ2906" i="88"/>
  <c r="AZ2905" i="88"/>
  <c r="AZ2904" i="88"/>
  <c r="AZ2903" i="88"/>
  <c r="AZ2902" i="88"/>
  <c r="AZ2901" i="88"/>
  <c r="AZ2900" i="88"/>
  <c r="AZ2899" i="88"/>
  <c r="AZ2898" i="88"/>
  <c r="AZ2897" i="88"/>
  <c r="AZ2896" i="88"/>
  <c r="AZ2895" i="88"/>
  <c r="AZ2894" i="88"/>
  <c r="AZ2893" i="88"/>
  <c r="AZ2892" i="88"/>
  <c r="AZ2891" i="88"/>
  <c r="AZ2890" i="88"/>
  <c r="AZ2889" i="88"/>
  <c r="AZ2888" i="88"/>
  <c r="AZ2887" i="88"/>
  <c r="AZ2886" i="88"/>
  <c r="AZ2885" i="88"/>
  <c r="AZ2884" i="88"/>
  <c r="AZ2883" i="88"/>
  <c r="AZ2882" i="88"/>
  <c r="AZ2881" i="88"/>
  <c r="AZ2880" i="88"/>
  <c r="AZ2879" i="88"/>
  <c r="AZ2878" i="88"/>
  <c r="AZ2877" i="88"/>
  <c r="AZ2876" i="88"/>
  <c r="AZ2875" i="88"/>
  <c r="AZ2874" i="88"/>
  <c r="AZ2873" i="88"/>
  <c r="AZ2872" i="88"/>
  <c r="AZ2871" i="88"/>
  <c r="AZ2870" i="88"/>
  <c r="AZ2869" i="88"/>
  <c r="AZ2868" i="88"/>
  <c r="AZ2867" i="88"/>
  <c r="AZ2866" i="88"/>
  <c r="AZ2865" i="88"/>
  <c r="AZ2864" i="88"/>
  <c r="AZ2863" i="88"/>
  <c r="AZ2862" i="88"/>
  <c r="AZ2861" i="88"/>
  <c r="AZ2860" i="88"/>
  <c r="AZ2859" i="88"/>
  <c r="AZ2858" i="88"/>
  <c r="AZ2857" i="88"/>
  <c r="AZ2856" i="88"/>
  <c r="AZ2855" i="88"/>
  <c r="AZ2854" i="88"/>
  <c r="AZ2853" i="88"/>
  <c r="AZ2852" i="88"/>
  <c r="AZ2851" i="88"/>
  <c r="AZ2850" i="88"/>
  <c r="AZ2849" i="88"/>
  <c r="AZ2848" i="88"/>
  <c r="AZ2847" i="88"/>
  <c r="AZ2846" i="88"/>
  <c r="AZ2845" i="88"/>
  <c r="AZ2844" i="88"/>
  <c r="AZ2843" i="88"/>
  <c r="AZ2842" i="88"/>
  <c r="AZ2841" i="88"/>
  <c r="AZ2840" i="88"/>
  <c r="AZ2839" i="88"/>
  <c r="AZ2838" i="88"/>
  <c r="AZ2837" i="88"/>
  <c r="AZ2836" i="88"/>
  <c r="AZ2835" i="88"/>
  <c r="AZ2834" i="88"/>
  <c r="AZ2833" i="88"/>
  <c r="AZ2832" i="88"/>
  <c r="AZ2831" i="88"/>
  <c r="AZ2830" i="88"/>
  <c r="AZ2829" i="88"/>
  <c r="AZ2828" i="88"/>
  <c r="AZ2827" i="88"/>
  <c r="AZ2826" i="88"/>
  <c r="AZ2825" i="88"/>
  <c r="AZ2824" i="88"/>
  <c r="AZ2823" i="88"/>
  <c r="AZ2822" i="88"/>
  <c r="AZ2821" i="88"/>
  <c r="AZ2820" i="88"/>
  <c r="AZ2819" i="88"/>
  <c r="AZ2818" i="88"/>
  <c r="AZ2817" i="88"/>
  <c r="AZ2816" i="88"/>
  <c r="AZ2815" i="88"/>
  <c r="AZ2814" i="88"/>
  <c r="AZ2813" i="88"/>
  <c r="AZ2812" i="88"/>
  <c r="AZ2811" i="88"/>
  <c r="AZ2810" i="88"/>
  <c r="AZ2809" i="88"/>
  <c r="AZ2808" i="88"/>
  <c r="AZ2807" i="88"/>
  <c r="AZ2806" i="88"/>
  <c r="AZ2805" i="88"/>
  <c r="AZ2804" i="88"/>
  <c r="AZ2803" i="88"/>
  <c r="AZ2802" i="88"/>
  <c r="AZ2801" i="88"/>
  <c r="AZ2800" i="88"/>
  <c r="AZ2799" i="88"/>
  <c r="AZ2798" i="88"/>
  <c r="AZ2797" i="88"/>
  <c r="AZ2796" i="88"/>
  <c r="AZ2795" i="88"/>
  <c r="AZ2794" i="88"/>
  <c r="AZ2793" i="88"/>
  <c r="AZ2792" i="88"/>
  <c r="AZ2791" i="88"/>
  <c r="AZ2790" i="88"/>
  <c r="AZ2789" i="88"/>
  <c r="AZ2788" i="88"/>
  <c r="AZ2787" i="88"/>
  <c r="AZ2786" i="88"/>
  <c r="AZ2785" i="88"/>
  <c r="AZ2784" i="88"/>
  <c r="AZ2783" i="88"/>
  <c r="AZ2782" i="88"/>
  <c r="AZ2781" i="88"/>
  <c r="AZ2780" i="88"/>
  <c r="AZ2779" i="88"/>
  <c r="AZ2778" i="88"/>
  <c r="AZ2777" i="88"/>
  <c r="AZ2776" i="88"/>
  <c r="AZ2775" i="88"/>
  <c r="AZ2774" i="88"/>
  <c r="AZ2773" i="88"/>
  <c r="AZ2772" i="88"/>
  <c r="AZ2771" i="88"/>
  <c r="AZ2770" i="88"/>
  <c r="AZ2769" i="88"/>
  <c r="AZ2768" i="88"/>
  <c r="AZ2767" i="88"/>
  <c r="AZ2766" i="88"/>
  <c r="AZ2765" i="88"/>
  <c r="AZ2764" i="88"/>
  <c r="AZ2763" i="88"/>
  <c r="AZ2762" i="88"/>
  <c r="AZ2761" i="88"/>
  <c r="AZ2760" i="88"/>
  <c r="AZ2759" i="88"/>
  <c r="AZ2758" i="88"/>
  <c r="AZ2757" i="88"/>
  <c r="AZ2756" i="88"/>
  <c r="AZ2755" i="88"/>
  <c r="AZ2754" i="88"/>
  <c r="AZ2753" i="88"/>
  <c r="AZ2752" i="88"/>
  <c r="AZ2751" i="88"/>
  <c r="AZ2750" i="88"/>
  <c r="AZ2749" i="88"/>
  <c r="AZ2748" i="88"/>
  <c r="AZ2747" i="88"/>
  <c r="AZ2746" i="88"/>
  <c r="AZ2745" i="88"/>
  <c r="AZ2744" i="88"/>
  <c r="AZ2743" i="88"/>
  <c r="AZ2742" i="88"/>
  <c r="AZ2741" i="88"/>
  <c r="AZ2740" i="88"/>
  <c r="AZ2739" i="88"/>
  <c r="AZ2738" i="88"/>
  <c r="AZ2737" i="88"/>
  <c r="AZ2736" i="88"/>
  <c r="AZ2735" i="88"/>
  <c r="AZ2734" i="88"/>
  <c r="AZ2733" i="88"/>
  <c r="AZ2732" i="88"/>
  <c r="AZ2731" i="88"/>
  <c r="AZ2730" i="88"/>
  <c r="AZ2729" i="88"/>
  <c r="AZ2728" i="88"/>
  <c r="AZ2727" i="88"/>
  <c r="AZ2726" i="88"/>
  <c r="AZ2725" i="88"/>
  <c r="AZ2724" i="88"/>
  <c r="AZ2723" i="88"/>
  <c r="AZ2722" i="88"/>
  <c r="AZ2721" i="88"/>
  <c r="AZ2720" i="88"/>
  <c r="AZ2719" i="88"/>
  <c r="AZ2718" i="88"/>
  <c r="AZ2717" i="88"/>
  <c r="AZ2716" i="88"/>
  <c r="AZ2715" i="88"/>
  <c r="AZ2714" i="88"/>
  <c r="AZ2713" i="88"/>
  <c r="AZ2712" i="88"/>
  <c r="AZ2711" i="88"/>
  <c r="AZ2710" i="88"/>
  <c r="AZ2709" i="88"/>
  <c r="AZ2708" i="88"/>
  <c r="AZ2707" i="88"/>
  <c r="AZ2706" i="88"/>
  <c r="AZ2705" i="88"/>
  <c r="AZ2704" i="88"/>
  <c r="AZ2703" i="88"/>
  <c r="AZ2702" i="88"/>
  <c r="AZ2701" i="88"/>
  <c r="AZ2700" i="88"/>
  <c r="AZ2699" i="88"/>
  <c r="AZ2698" i="88"/>
  <c r="AZ2697" i="88"/>
  <c r="AZ2696" i="88"/>
  <c r="AZ2695" i="88"/>
  <c r="AZ2694" i="88"/>
  <c r="AZ2693" i="88"/>
  <c r="AZ2692" i="88"/>
  <c r="AZ2691" i="88"/>
  <c r="AZ2690" i="88"/>
  <c r="AZ2689" i="88"/>
  <c r="AZ2688" i="88"/>
  <c r="AZ2687" i="88"/>
  <c r="AZ2686" i="88"/>
  <c r="AZ2685" i="88"/>
  <c r="AZ2684" i="88"/>
  <c r="AZ2683" i="88"/>
  <c r="AZ2682" i="88"/>
  <c r="AZ2681" i="88"/>
  <c r="AZ2680" i="88"/>
  <c r="AZ2679" i="88"/>
  <c r="AZ2678" i="88"/>
  <c r="AZ2677" i="88"/>
  <c r="AZ2676" i="88"/>
  <c r="AZ2675" i="88"/>
  <c r="AZ2674" i="88"/>
  <c r="AZ2673" i="88"/>
  <c r="AZ2672" i="88"/>
  <c r="AZ2671" i="88"/>
  <c r="AZ2670" i="88"/>
  <c r="AZ2669" i="88"/>
  <c r="AZ2668" i="88"/>
  <c r="AZ2667" i="88"/>
  <c r="AZ2666" i="88"/>
  <c r="AZ2665" i="88"/>
  <c r="AZ2664" i="88"/>
  <c r="AZ2663" i="88"/>
  <c r="AZ2662" i="88"/>
  <c r="AZ2661" i="88"/>
  <c r="AZ2660" i="88"/>
  <c r="AZ2659" i="88"/>
  <c r="AZ2658" i="88"/>
  <c r="AZ2657" i="88"/>
  <c r="AZ2656" i="88"/>
  <c r="AZ2655" i="88"/>
  <c r="AZ2654" i="88"/>
  <c r="AZ2653" i="88"/>
  <c r="AZ2652" i="88"/>
  <c r="AZ2651" i="88"/>
  <c r="AZ2650" i="88"/>
  <c r="AZ2649" i="88"/>
  <c r="AZ2648" i="88"/>
  <c r="AZ2647" i="88"/>
  <c r="AZ2646" i="88"/>
  <c r="AZ2645" i="88"/>
  <c r="AZ2644" i="88"/>
  <c r="AZ2643" i="88"/>
  <c r="AZ2642" i="88"/>
  <c r="AZ2641" i="88"/>
  <c r="AZ2640" i="88"/>
  <c r="AZ2639" i="88"/>
  <c r="AZ2638" i="88"/>
  <c r="AZ2637" i="88"/>
  <c r="AZ2636" i="88"/>
  <c r="AZ2635" i="88"/>
  <c r="AZ2634" i="88"/>
  <c r="AZ2633" i="88"/>
  <c r="AZ2632" i="88"/>
  <c r="AZ2631" i="88"/>
  <c r="AZ2630" i="88"/>
  <c r="AZ2629" i="88"/>
  <c r="AZ2628" i="88"/>
  <c r="AZ2627" i="88"/>
  <c r="AZ2626" i="88"/>
  <c r="AZ2625" i="88"/>
  <c r="AZ2624" i="88"/>
  <c r="AZ2623" i="88"/>
  <c r="AZ2622" i="88"/>
  <c r="AZ2621" i="88"/>
  <c r="AZ2620" i="88"/>
  <c r="AZ2619" i="88"/>
  <c r="AZ2618" i="88"/>
  <c r="AZ2617" i="88"/>
  <c r="AZ2616" i="88"/>
  <c r="AZ2615" i="88"/>
  <c r="AZ2614" i="88"/>
  <c r="AZ2613" i="88"/>
  <c r="AZ2612" i="88"/>
  <c r="AZ2611" i="88"/>
  <c r="AZ2610" i="88"/>
  <c r="AZ2609" i="88"/>
  <c r="AZ2608" i="88"/>
  <c r="AZ2607" i="88"/>
  <c r="AZ2606" i="88"/>
  <c r="AZ2605" i="88"/>
  <c r="AZ2604" i="88"/>
  <c r="AZ2603" i="88"/>
  <c r="AZ2602" i="88"/>
  <c r="AZ2601" i="88"/>
  <c r="AZ2600" i="88"/>
  <c r="AZ2599" i="88"/>
  <c r="AZ2598" i="88"/>
  <c r="AZ2597" i="88"/>
  <c r="AZ2596" i="88"/>
  <c r="AZ2595" i="88"/>
  <c r="AZ2594" i="88"/>
  <c r="AZ2593" i="88"/>
  <c r="AZ2592" i="88"/>
  <c r="AZ2591" i="88"/>
  <c r="AZ2590" i="88"/>
  <c r="AZ2589" i="88"/>
  <c r="AZ2588" i="88"/>
  <c r="AZ2587" i="88"/>
  <c r="AZ2586" i="88"/>
  <c r="AZ2585" i="88"/>
  <c r="AZ2584" i="88"/>
  <c r="AZ2583" i="88"/>
  <c r="AZ2582" i="88"/>
  <c r="AZ2581" i="88"/>
  <c r="AZ2580" i="88"/>
  <c r="AZ2579" i="88"/>
  <c r="AZ2578" i="88"/>
  <c r="AZ2577" i="88"/>
  <c r="AZ2576" i="88"/>
  <c r="AZ2575" i="88"/>
  <c r="AZ2574" i="88"/>
  <c r="AZ2573" i="88"/>
  <c r="AZ2572" i="88"/>
  <c r="AZ2571" i="88"/>
  <c r="AZ2570" i="88"/>
  <c r="AZ2569" i="88"/>
  <c r="AZ2568" i="88"/>
  <c r="AZ2567" i="88"/>
  <c r="AZ2566" i="88"/>
  <c r="AZ2565" i="88"/>
  <c r="AZ2564" i="88"/>
  <c r="AZ2563" i="88"/>
  <c r="AZ2562" i="88"/>
  <c r="AZ2561" i="88"/>
  <c r="AZ2560" i="88"/>
  <c r="AZ2559" i="88"/>
  <c r="AZ2558" i="88"/>
  <c r="AZ2557" i="88"/>
  <c r="AZ2556" i="88"/>
  <c r="AZ2555" i="88"/>
  <c r="AZ2554" i="88"/>
  <c r="AZ2553" i="88"/>
  <c r="AZ2552" i="88"/>
  <c r="AZ2551" i="88"/>
  <c r="AZ2550" i="88"/>
  <c r="AZ2549" i="88"/>
  <c r="AZ2548" i="88"/>
  <c r="AZ2547" i="88"/>
  <c r="AZ2546" i="88"/>
  <c r="AZ2545" i="88"/>
  <c r="AZ2544" i="88"/>
  <c r="AZ2543" i="88"/>
  <c r="AZ2542" i="88"/>
  <c r="AZ2541" i="88"/>
  <c r="AZ2540" i="88"/>
  <c r="AZ2539" i="88"/>
  <c r="AZ2538" i="88"/>
  <c r="AZ2537" i="88"/>
  <c r="AZ2536" i="88"/>
  <c r="AZ2535" i="88"/>
  <c r="AZ2534" i="88"/>
  <c r="AZ2533" i="88"/>
  <c r="AZ2532" i="88"/>
  <c r="AZ2531" i="88"/>
  <c r="AZ2530" i="88"/>
  <c r="AZ2529" i="88"/>
  <c r="AZ2528" i="88"/>
  <c r="AZ2527" i="88"/>
  <c r="AZ2526" i="88"/>
  <c r="AZ2525" i="88"/>
  <c r="AZ2524" i="88"/>
  <c r="AZ2523" i="88"/>
  <c r="AZ2522" i="88"/>
  <c r="AZ2521" i="88"/>
  <c r="AZ2520" i="88"/>
  <c r="AZ2519" i="88"/>
  <c r="AZ2518" i="88"/>
  <c r="AZ2517" i="88"/>
  <c r="AZ2516" i="88"/>
  <c r="AZ2515" i="88"/>
  <c r="AZ2514" i="88"/>
  <c r="AZ2513" i="88"/>
  <c r="AZ2512" i="88"/>
  <c r="AZ2511" i="88"/>
  <c r="AZ2510" i="88"/>
  <c r="AZ2509" i="88"/>
  <c r="AZ2508" i="88"/>
  <c r="AZ2507" i="88"/>
  <c r="AZ2506" i="88"/>
  <c r="AZ2505" i="88"/>
  <c r="AZ2504" i="88"/>
  <c r="AZ2503" i="88"/>
  <c r="AZ2502" i="88"/>
  <c r="AZ2501" i="88"/>
  <c r="AZ2500" i="88"/>
  <c r="AZ2499" i="88"/>
  <c r="AZ2498" i="88"/>
  <c r="AZ2497" i="88"/>
  <c r="AZ2496" i="88"/>
  <c r="AZ2495" i="88"/>
  <c r="AZ2494" i="88"/>
  <c r="AZ2493" i="88"/>
  <c r="BA2492" i="88"/>
  <c r="AZ2492" i="88"/>
  <c r="BA2491" i="88"/>
  <c r="AZ2491" i="88"/>
  <c r="BA2490" i="88"/>
  <c r="AZ2490" i="88"/>
  <c r="BA2489" i="88"/>
  <c r="AZ2489" i="88"/>
  <c r="BA2488" i="88"/>
  <c r="AZ2488" i="88"/>
  <c r="BA2487" i="88"/>
  <c r="AZ2487" i="88"/>
  <c r="BA2486" i="88"/>
  <c r="AZ2486" i="88"/>
  <c r="BA2485" i="88"/>
  <c r="AZ2485" i="88"/>
  <c r="BA2484" i="88"/>
  <c r="AZ2484" i="88"/>
  <c r="BA2483" i="88"/>
  <c r="AZ2483" i="88"/>
  <c r="BA2482" i="88"/>
  <c r="AZ2482" i="88"/>
  <c r="BA2481" i="88"/>
  <c r="AZ2481" i="88"/>
  <c r="BA2480" i="88"/>
  <c r="AZ2480" i="88"/>
  <c r="BA2479" i="88"/>
  <c r="AZ2479" i="88"/>
  <c r="BA2478" i="88"/>
  <c r="AZ2478" i="88"/>
  <c r="AZ2477" i="88"/>
  <c r="AZ2476" i="88"/>
  <c r="AZ2475" i="88"/>
  <c r="AZ2474" i="88"/>
  <c r="AZ2473" i="88"/>
  <c r="AZ2472" i="88"/>
  <c r="AZ2471" i="88"/>
  <c r="AZ2470" i="88"/>
  <c r="AZ2469" i="88"/>
  <c r="AZ2468" i="88"/>
  <c r="AZ2467" i="88"/>
  <c r="AZ2466" i="88"/>
  <c r="AZ2465" i="88"/>
  <c r="AZ2464" i="88"/>
  <c r="AZ2463" i="88"/>
  <c r="AZ2462" i="88"/>
  <c r="AZ2461" i="88"/>
  <c r="AZ2460" i="88"/>
  <c r="AZ2459" i="88"/>
  <c r="AZ2458" i="88"/>
  <c r="AZ2457" i="88"/>
  <c r="AZ2456" i="88"/>
  <c r="AZ2455" i="88"/>
  <c r="AZ2454" i="88"/>
  <c r="AZ2453" i="88"/>
  <c r="AZ2452" i="88"/>
  <c r="AZ2451" i="88"/>
  <c r="AZ2450" i="88"/>
  <c r="AZ2449" i="88"/>
  <c r="AZ2448" i="88"/>
  <c r="AZ2447" i="88"/>
  <c r="AZ2446" i="88"/>
  <c r="AZ2445" i="88"/>
  <c r="AZ2444" i="88"/>
  <c r="AZ2443" i="88"/>
  <c r="AZ2442" i="88"/>
  <c r="AZ2441" i="88"/>
  <c r="AZ2440" i="88"/>
  <c r="AZ2439" i="88"/>
  <c r="AZ2438" i="88"/>
  <c r="AZ2437" i="88"/>
  <c r="AZ2436" i="88"/>
  <c r="AZ2435" i="88"/>
  <c r="AZ2434" i="88"/>
  <c r="AZ2433" i="88"/>
  <c r="AZ2432" i="88"/>
  <c r="AZ2431" i="88"/>
  <c r="AZ2430" i="88"/>
  <c r="AZ2429" i="88"/>
  <c r="AZ2428" i="88"/>
  <c r="AZ2427" i="88"/>
  <c r="AZ2426" i="88"/>
  <c r="AZ2425" i="88"/>
  <c r="AZ2424" i="88"/>
  <c r="AZ2423" i="88"/>
  <c r="AZ2422" i="88"/>
  <c r="AZ2421" i="88"/>
  <c r="AZ2420" i="88"/>
  <c r="AZ2419" i="88"/>
  <c r="AZ2418" i="88"/>
  <c r="AZ2417" i="88"/>
  <c r="AZ2416" i="88"/>
  <c r="AZ2415" i="88"/>
  <c r="AZ2414" i="88"/>
  <c r="AZ2413" i="88"/>
  <c r="AZ2412" i="88"/>
  <c r="AZ2411" i="88"/>
  <c r="AZ2410" i="88"/>
  <c r="AZ2409" i="88"/>
  <c r="AZ2408" i="88"/>
  <c r="AZ2407" i="88"/>
  <c r="AZ2406" i="88"/>
  <c r="AZ2405" i="88"/>
  <c r="AZ2404" i="88"/>
  <c r="AZ2403" i="88"/>
  <c r="AZ2402" i="88"/>
  <c r="AZ2401" i="88"/>
  <c r="AZ2400" i="88"/>
  <c r="AZ2399" i="88"/>
  <c r="AZ2398" i="88"/>
  <c r="AZ2397" i="88"/>
  <c r="AZ2396" i="88"/>
  <c r="AZ2395" i="88"/>
  <c r="AZ2394" i="88"/>
  <c r="AZ2393" i="88"/>
  <c r="AZ2392" i="88"/>
  <c r="AZ2391" i="88"/>
  <c r="AZ2390" i="88"/>
  <c r="AZ2389" i="88"/>
  <c r="AZ2388" i="88"/>
  <c r="AZ2387" i="88"/>
  <c r="AZ2386" i="88"/>
  <c r="AZ2385" i="88"/>
  <c r="AZ2384" i="88"/>
  <c r="AZ2383" i="88"/>
  <c r="AZ2382" i="88"/>
  <c r="AZ2381" i="88"/>
  <c r="AZ2380" i="88"/>
  <c r="AZ2379" i="88"/>
  <c r="AZ2378" i="88"/>
  <c r="AZ2377" i="88"/>
  <c r="AZ2376" i="88"/>
  <c r="AZ2375" i="88"/>
  <c r="AZ2374" i="88"/>
  <c r="AZ2373" i="88"/>
  <c r="AZ2372" i="88"/>
  <c r="AZ2371" i="88"/>
  <c r="AZ2370" i="88"/>
  <c r="AZ2369" i="88"/>
  <c r="AZ2368" i="88"/>
  <c r="AZ2367" i="88"/>
  <c r="AZ2366" i="88"/>
  <c r="AZ2365" i="88"/>
  <c r="AZ2364" i="88"/>
  <c r="AZ2363" i="88"/>
  <c r="AZ2362" i="88"/>
  <c r="AZ2361" i="88"/>
  <c r="AZ2360" i="88"/>
  <c r="AZ2359" i="88"/>
  <c r="AZ2358" i="88"/>
  <c r="AZ2357" i="88"/>
  <c r="AZ2356" i="88"/>
  <c r="AZ2355" i="88"/>
  <c r="AZ2354" i="88"/>
  <c r="AZ2353" i="88"/>
  <c r="AZ2352" i="88"/>
  <c r="AZ2351" i="88"/>
  <c r="AZ2350" i="88"/>
  <c r="AZ2349" i="88"/>
  <c r="AZ2348" i="88"/>
  <c r="AZ2347" i="88"/>
  <c r="AZ2346" i="88"/>
  <c r="AZ2345" i="88"/>
  <c r="AZ2344" i="88"/>
  <c r="AZ2343" i="88"/>
  <c r="AZ2342" i="88"/>
  <c r="AZ2341" i="88"/>
  <c r="AZ2340" i="88"/>
  <c r="AZ2339" i="88"/>
  <c r="AZ2338" i="88"/>
  <c r="AZ2337" i="88"/>
  <c r="AZ2336" i="88"/>
  <c r="AZ2335" i="88"/>
  <c r="AZ2334" i="88"/>
  <c r="AZ2333" i="88"/>
  <c r="AZ2332" i="88"/>
  <c r="AZ2331" i="88"/>
  <c r="AZ2330" i="88"/>
  <c r="AZ2329" i="88"/>
  <c r="AZ2328" i="88"/>
  <c r="AZ2327" i="88"/>
  <c r="AZ2326" i="88"/>
  <c r="AZ2325" i="88"/>
  <c r="AZ2324" i="88"/>
  <c r="AZ2323" i="88"/>
  <c r="AZ2322" i="88"/>
  <c r="AZ2321" i="88"/>
  <c r="AZ2320" i="88"/>
  <c r="AZ2319" i="88"/>
  <c r="AZ2318" i="88"/>
  <c r="AZ2317" i="88"/>
  <c r="AZ2316" i="88"/>
  <c r="AZ2315" i="88"/>
  <c r="AZ2314" i="88"/>
  <c r="AZ2313" i="88"/>
  <c r="AZ2312" i="88"/>
  <c r="AZ2311" i="88"/>
  <c r="AZ2310" i="88"/>
  <c r="AZ2309" i="88"/>
  <c r="AZ2308" i="88"/>
  <c r="AZ2307" i="88"/>
  <c r="AZ2306" i="88"/>
  <c r="AZ2305" i="88"/>
  <c r="AZ2304" i="88"/>
  <c r="AZ2303" i="88"/>
  <c r="AZ2302" i="88"/>
  <c r="AZ2301" i="88"/>
  <c r="AZ2300" i="88"/>
  <c r="AZ2299" i="88"/>
  <c r="AZ2298" i="88"/>
  <c r="AZ2297" i="88"/>
  <c r="AZ2296" i="88"/>
  <c r="AZ2295" i="88"/>
  <c r="AZ2294" i="88"/>
  <c r="AZ2293" i="88"/>
  <c r="AZ2292" i="88"/>
  <c r="AZ2291" i="88"/>
  <c r="AZ2290" i="88"/>
  <c r="AZ2289" i="88"/>
  <c r="AZ2288" i="88"/>
  <c r="AZ2287" i="88"/>
  <c r="AZ2286" i="88"/>
  <c r="AZ2285" i="88"/>
  <c r="AZ2284" i="88"/>
  <c r="AZ2283" i="88"/>
  <c r="AZ2282" i="88"/>
  <c r="AZ2281" i="88"/>
  <c r="AZ2280" i="88"/>
  <c r="AZ2279" i="88"/>
  <c r="AZ2278" i="88"/>
  <c r="AZ2277" i="88"/>
  <c r="AZ2276" i="88"/>
  <c r="AZ2275" i="88"/>
  <c r="AZ2274" i="88"/>
  <c r="AZ2273" i="88"/>
  <c r="AZ2272" i="88"/>
  <c r="AZ2271" i="88"/>
  <c r="AZ2270" i="88"/>
  <c r="AZ2269" i="88"/>
  <c r="AZ2268" i="88"/>
  <c r="AZ2267" i="88"/>
  <c r="AZ2266" i="88"/>
  <c r="AZ2265" i="88"/>
  <c r="AZ2264" i="88"/>
  <c r="AZ2263" i="88"/>
  <c r="AZ2262" i="88"/>
  <c r="AZ2261" i="88"/>
  <c r="AZ2260" i="88"/>
  <c r="AZ2259" i="88"/>
  <c r="AZ2258" i="88"/>
  <c r="AZ2257" i="88"/>
  <c r="AZ2256" i="88"/>
  <c r="AZ2255" i="88"/>
  <c r="AZ2254" i="88"/>
  <c r="AZ2253" i="88"/>
  <c r="AZ2252" i="88"/>
  <c r="AZ2251" i="88"/>
  <c r="AZ2250" i="88"/>
  <c r="AZ2249" i="88"/>
  <c r="AZ2248" i="88"/>
  <c r="AZ2247" i="88"/>
  <c r="AZ2246" i="88"/>
  <c r="AZ2245" i="88"/>
  <c r="AZ2244" i="88"/>
  <c r="AZ2243" i="88"/>
  <c r="AZ2242" i="88"/>
  <c r="AZ2241" i="88"/>
  <c r="AZ2240" i="88"/>
  <c r="AZ2239" i="88"/>
  <c r="AZ2238" i="88"/>
  <c r="AZ2237" i="88"/>
  <c r="AZ2236" i="88"/>
  <c r="AZ2235" i="88"/>
  <c r="AZ2234" i="88"/>
  <c r="AZ2233" i="88"/>
  <c r="AZ2232" i="88"/>
  <c r="AZ2231" i="88"/>
  <c r="AZ2230" i="88"/>
  <c r="AZ2229" i="88"/>
  <c r="AZ2228" i="88"/>
  <c r="AZ2227" i="88"/>
  <c r="AZ2226" i="88"/>
  <c r="AZ2225" i="88"/>
  <c r="AZ2224" i="88"/>
  <c r="AZ2223" i="88"/>
  <c r="AZ2222" i="88"/>
  <c r="AZ2221" i="88"/>
  <c r="AZ2220" i="88"/>
  <c r="AZ2219" i="88"/>
  <c r="AZ2218" i="88"/>
  <c r="AZ2217" i="88"/>
  <c r="AZ2216" i="88"/>
  <c r="AZ2215" i="88"/>
  <c r="AZ2214" i="88"/>
  <c r="AZ2213" i="88"/>
  <c r="AZ2212" i="88"/>
  <c r="AZ2211" i="88"/>
  <c r="AZ2210" i="88"/>
  <c r="AZ2209" i="88"/>
  <c r="AZ2208" i="88"/>
  <c r="AZ2207" i="88"/>
  <c r="AZ2206" i="88"/>
  <c r="AZ2205" i="88"/>
  <c r="AZ2204" i="88"/>
  <c r="AZ2203" i="88"/>
  <c r="AZ2202" i="88"/>
  <c r="AZ2201" i="88"/>
  <c r="AZ2200" i="88"/>
  <c r="AZ2199" i="88"/>
  <c r="AZ2198" i="88"/>
  <c r="AZ2197" i="88"/>
  <c r="AZ2196" i="88"/>
  <c r="AZ2195" i="88"/>
  <c r="AZ2194" i="88"/>
  <c r="AZ2193" i="88"/>
  <c r="AZ2192" i="88"/>
  <c r="AZ2191" i="88"/>
  <c r="AZ2190" i="88"/>
  <c r="AZ2189" i="88"/>
  <c r="AZ2188" i="88"/>
  <c r="AZ2187" i="88"/>
  <c r="AZ2186" i="88"/>
  <c r="AZ2185" i="88"/>
  <c r="AZ2184" i="88"/>
  <c r="AZ2183" i="88"/>
  <c r="AZ2182" i="88"/>
  <c r="AZ2181" i="88"/>
  <c r="AZ2180" i="88"/>
  <c r="AZ2179" i="88"/>
  <c r="AZ2178" i="88"/>
  <c r="AZ2177" i="88"/>
  <c r="AZ2176" i="88"/>
  <c r="AZ2175" i="88"/>
  <c r="AZ2174" i="88"/>
  <c r="AZ2173" i="88"/>
  <c r="AZ2172" i="88"/>
  <c r="AZ2171" i="88"/>
  <c r="AZ2170" i="88"/>
  <c r="AZ2169" i="88"/>
  <c r="AZ2168" i="88"/>
  <c r="AZ2167" i="88"/>
  <c r="AZ2166" i="88"/>
  <c r="AZ2165" i="88"/>
  <c r="AZ2164" i="88"/>
  <c r="AZ2163" i="88"/>
  <c r="AZ2162" i="88"/>
  <c r="AZ2161" i="88"/>
  <c r="AZ2160" i="88"/>
  <c r="AZ2159" i="88"/>
  <c r="AZ2158" i="88"/>
  <c r="AZ2157" i="88"/>
  <c r="AZ2156" i="88"/>
  <c r="AZ2155" i="88"/>
  <c r="AZ2154" i="88"/>
  <c r="AZ2153" i="88"/>
  <c r="AZ2152" i="88"/>
  <c r="AZ2151" i="88"/>
  <c r="AZ2150" i="88"/>
  <c r="AZ2149" i="88"/>
  <c r="AZ2148" i="88"/>
  <c r="AZ2147" i="88"/>
  <c r="AZ2146" i="88"/>
  <c r="AZ2145" i="88"/>
  <c r="AZ2144" i="88"/>
  <c r="AZ2143" i="88"/>
  <c r="AZ2142" i="88"/>
  <c r="AZ2141" i="88"/>
  <c r="AZ2140" i="88"/>
  <c r="AZ2139" i="88"/>
  <c r="AZ2138" i="88"/>
  <c r="AZ2137" i="88"/>
  <c r="AZ2136" i="88"/>
  <c r="AZ2135" i="88"/>
  <c r="AZ2134" i="88"/>
  <c r="AZ2133" i="88"/>
  <c r="AZ2132" i="88"/>
  <c r="AZ2131" i="88"/>
  <c r="AZ2130" i="88"/>
  <c r="AZ2129" i="88"/>
  <c r="AZ2128" i="88"/>
  <c r="AZ2127" i="88"/>
  <c r="AZ2126" i="88"/>
  <c r="AZ2125" i="88"/>
  <c r="AZ2124" i="88"/>
  <c r="AZ2123" i="88"/>
  <c r="AZ2122" i="88"/>
  <c r="AZ2121" i="88"/>
  <c r="AZ2120" i="88"/>
  <c r="AZ2119" i="88"/>
  <c r="AZ2118" i="88"/>
  <c r="AZ2117" i="88"/>
  <c r="AZ2116" i="88"/>
  <c r="AZ2115" i="88"/>
  <c r="AZ2114" i="88"/>
  <c r="AZ2113" i="88"/>
  <c r="AZ2112" i="88"/>
  <c r="AZ2111" i="88"/>
  <c r="AZ2110" i="88"/>
  <c r="AZ2109" i="88"/>
  <c r="AZ2108" i="88"/>
  <c r="AZ2107" i="88"/>
  <c r="AZ2106" i="88"/>
  <c r="AZ2105" i="88"/>
  <c r="AZ2104" i="88"/>
  <c r="AZ2103" i="88"/>
  <c r="AZ2102" i="88"/>
  <c r="AZ2101" i="88"/>
  <c r="AZ2100" i="88"/>
  <c r="AZ2099" i="88"/>
  <c r="AZ2098" i="88"/>
  <c r="AZ2097" i="88"/>
  <c r="AZ2096" i="88"/>
  <c r="AZ2095" i="88"/>
  <c r="AZ2094" i="88"/>
  <c r="AZ2093" i="88"/>
  <c r="AZ2092" i="88"/>
  <c r="AZ2091" i="88"/>
  <c r="AZ2090" i="88"/>
  <c r="AZ2089" i="88"/>
  <c r="AZ2088" i="88"/>
  <c r="AZ2087" i="88"/>
  <c r="AZ2086" i="88"/>
  <c r="AZ2085" i="88"/>
  <c r="AZ2084" i="88"/>
  <c r="AZ2083" i="88"/>
  <c r="AZ2082" i="88"/>
  <c r="AZ2081" i="88"/>
  <c r="AZ2080" i="88"/>
  <c r="AZ2079" i="88"/>
  <c r="AZ2078" i="88"/>
  <c r="AZ2077" i="88"/>
  <c r="AZ2076" i="88"/>
  <c r="AZ2075" i="88"/>
  <c r="AZ2074" i="88"/>
  <c r="AZ2073" i="88"/>
  <c r="AZ2072" i="88"/>
  <c r="AZ2071" i="88"/>
  <c r="AZ2070" i="88"/>
  <c r="AZ2069" i="88"/>
  <c r="AZ2068" i="88"/>
  <c r="AZ2067" i="88"/>
  <c r="AZ2066" i="88"/>
  <c r="AZ2065" i="88"/>
  <c r="AZ2064" i="88"/>
  <c r="AZ2063" i="88"/>
  <c r="AZ2062" i="88"/>
  <c r="AZ2061" i="88"/>
  <c r="AZ2060" i="88"/>
  <c r="AZ2059" i="88"/>
  <c r="AZ2058" i="88"/>
  <c r="AZ2057" i="88"/>
  <c r="AZ2056" i="88"/>
  <c r="AZ2055" i="88"/>
  <c r="AZ2054" i="88"/>
  <c r="AZ2053" i="88"/>
  <c r="AZ2052" i="88"/>
  <c r="AZ2051" i="88"/>
  <c r="AZ2050" i="88"/>
  <c r="AZ2049" i="88"/>
  <c r="AZ2048" i="88"/>
  <c r="AZ2047" i="88"/>
  <c r="AZ2046" i="88"/>
  <c r="AZ2045" i="88"/>
  <c r="AZ2044" i="88"/>
  <c r="AZ2043" i="88"/>
  <c r="AZ2042" i="88"/>
  <c r="AZ2041" i="88"/>
  <c r="AZ2040" i="88"/>
  <c r="AZ2039" i="88"/>
  <c r="AZ2038" i="88"/>
  <c r="AZ2037" i="88"/>
  <c r="AZ2036" i="88"/>
  <c r="AZ2035" i="88"/>
  <c r="AZ2034" i="88"/>
  <c r="AZ2033" i="88"/>
  <c r="AZ2032" i="88"/>
  <c r="AZ2031" i="88"/>
  <c r="AZ2030" i="88"/>
  <c r="AZ2029" i="88"/>
  <c r="AZ2028" i="88"/>
  <c r="AZ2027" i="88"/>
  <c r="AZ2026" i="88"/>
  <c r="AZ2025" i="88"/>
  <c r="AZ2024" i="88"/>
  <c r="AZ2023" i="88"/>
  <c r="AZ2022" i="88"/>
  <c r="AZ2021" i="88"/>
  <c r="AZ2020" i="88"/>
  <c r="AZ2019" i="88"/>
  <c r="AZ2018" i="88"/>
  <c r="AZ2017" i="88"/>
  <c r="AZ2016" i="88"/>
  <c r="AZ2015" i="88"/>
  <c r="AZ2014" i="88"/>
  <c r="AZ2013" i="88"/>
  <c r="AZ2012" i="88"/>
  <c r="AZ2011" i="88"/>
  <c r="AZ2010" i="88"/>
  <c r="AZ2009" i="88"/>
  <c r="AZ2008" i="88"/>
  <c r="AZ2007" i="88"/>
  <c r="AZ2006" i="88"/>
  <c r="AZ2005" i="88"/>
  <c r="AZ2004" i="88"/>
  <c r="AZ2003" i="88"/>
  <c r="AZ2002" i="88"/>
  <c r="AZ2001" i="88"/>
  <c r="AZ2000" i="88"/>
  <c r="AZ1999" i="88"/>
  <c r="AZ1998" i="88"/>
  <c r="AZ1997" i="88"/>
  <c r="AZ1996" i="88"/>
  <c r="AZ1995" i="88"/>
  <c r="AZ1994" i="88"/>
  <c r="AZ1993" i="88"/>
  <c r="AZ1992" i="88"/>
  <c r="AZ1991" i="88"/>
  <c r="AZ1990" i="88"/>
  <c r="AZ1989" i="88"/>
  <c r="AZ1988" i="88"/>
  <c r="AZ1987" i="88"/>
  <c r="AZ1986" i="88"/>
  <c r="AZ1985" i="88"/>
  <c r="AZ1984" i="88"/>
  <c r="AZ1983" i="88"/>
  <c r="AZ1982" i="88"/>
  <c r="AZ1981" i="88"/>
  <c r="AZ1980" i="88"/>
  <c r="AZ1979" i="88"/>
  <c r="AZ1978" i="88"/>
  <c r="AZ1977" i="88"/>
  <c r="AZ1976" i="88"/>
  <c r="AZ1975" i="88"/>
  <c r="AZ1974" i="88"/>
  <c r="AZ1973" i="88"/>
  <c r="AZ1972" i="88"/>
  <c r="AZ1971" i="88"/>
  <c r="AZ1970" i="88"/>
  <c r="AZ1969" i="88"/>
  <c r="AZ1968" i="88"/>
  <c r="AZ1967" i="88"/>
  <c r="AZ1966" i="88"/>
  <c r="AZ1965" i="88"/>
  <c r="AZ1964" i="88"/>
  <c r="AZ1963" i="88"/>
  <c r="AZ1962" i="88"/>
  <c r="AZ1961" i="88"/>
  <c r="AZ1960" i="88"/>
  <c r="AZ1959" i="88"/>
  <c r="AZ1958" i="88"/>
  <c r="AZ1957" i="88"/>
  <c r="AZ1956" i="88"/>
  <c r="AZ1955" i="88"/>
  <c r="AZ1954" i="88"/>
  <c r="AZ1953" i="88"/>
  <c r="AZ1952" i="88"/>
  <c r="AZ1951" i="88"/>
  <c r="AZ1950" i="88"/>
  <c r="AZ1949" i="88"/>
  <c r="AZ1948" i="88"/>
  <c r="AZ1947" i="88"/>
  <c r="AZ1946" i="88"/>
  <c r="AZ1945" i="88"/>
  <c r="AZ1944" i="88"/>
  <c r="AZ1943" i="88"/>
  <c r="AZ1942" i="88"/>
  <c r="AZ1941" i="88"/>
  <c r="AZ1940" i="88"/>
  <c r="AZ1939" i="88"/>
  <c r="AZ1938" i="88"/>
  <c r="AZ1937" i="88"/>
  <c r="AZ1936" i="88"/>
  <c r="AZ1935" i="88"/>
  <c r="AZ1934" i="88"/>
  <c r="AZ1933" i="88"/>
  <c r="AZ1932" i="88"/>
  <c r="AZ1931" i="88"/>
  <c r="AZ1930" i="88"/>
  <c r="AZ1929" i="88"/>
  <c r="AZ1928" i="88"/>
  <c r="AZ1927" i="88"/>
  <c r="AZ1926" i="88"/>
  <c r="AZ1925" i="88"/>
  <c r="AZ1924" i="88"/>
  <c r="AZ1923" i="88"/>
  <c r="AZ1922" i="88"/>
  <c r="AZ1921" i="88"/>
  <c r="AZ1920" i="88"/>
  <c r="AZ1919" i="88"/>
  <c r="AZ1918" i="88"/>
  <c r="AZ1917" i="88"/>
  <c r="AZ1916" i="88"/>
  <c r="AZ1915" i="88"/>
  <c r="AZ1914" i="88"/>
  <c r="AZ1913" i="88"/>
  <c r="AZ1912" i="88"/>
  <c r="AZ1911" i="88"/>
  <c r="AZ1910" i="88"/>
  <c r="AZ1909" i="88"/>
  <c r="AZ1908" i="88"/>
  <c r="AZ1907" i="88"/>
  <c r="AZ1906" i="88"/>
  <c r="AZ1905" i="88"/>
  <c r="AZ1904" i="88"/>
  <c r="AZ1903" i="88"/>
  <c r="AZ1902" i="88"/>
  <c r="AZ1901" i="88"/>
  <c r="AZ1900" i="88"/>
  <c r="AZ1899" i="88"/>
  <c r="AZ1898" i="88"/>
  <c r="AZ1897" i="88"/>
  <c r="AZ1896" i="88"/>
  <c r="AZ1895" i="88"/>
  <c r="AZ1894" i="88"/>
  <c r="AZ1893" i="88"/>
  <c r="AZ1892" i="88"/>
  <c r="AZ1891" i="88"/>
  <c r="AZ1890" i="88"/>
  <c r="AZ1889" i="88"/>
  <c r="AZ1888" i="88"/>
  <c r="AZ1887" i="88"/>
  <c r="AZ1886" i="88"/>
  <c r="AZ1885" i="88"/>
  <c r="AZ1884" i="88"/>
  <c r="AZ1883" i="88"/>
  <c r="AZ1882" i="88"/>
  <c r="AZ1881" i="88"/>
  <c r="AZ1880" i="88"/>
  <c r="AZ1879" i="88"/>
  <c r="AZ1878" i="88"/>
  <c r="AZ1877" i="88"/>
  <c r="AZ1876" i="88"/>
  <c r="AZ1875" i="88"/>
  <c r="AZ1874" i="88"/>
  <c r="AZ1873" i="88"/>
  <c r="AZ1872" i="88"/>
  <c r="AZ1871" i="88"/>
  <c r="AZ1870" i="88"/>
  <c r="AZ1869" i="88"/>
  <c r="AZ1868" i="88"/>
  <c r="AZ1867" i="88"/>
  <c r="AZ1866" i="88"/>
  <c r="AZ1865" i="88"/>
  <c r="AZ1864" i="88"/>
  <c r="AZ1863" i="88"/>
  <c r="AZ1862" i="88"/>
  <c r="AZ1861" i="88"/>
  <c r="AZ1860" i="88"/>
  <c r="AZ1859" i="88"/>
  <c r="AZ1858" i="88"/>
  <c r="AZ1857" i="88"/>
  <c r="AZ1856" i="88"/>
  <c r="AZ1855" i="88"/>
  <c r="AZ1854" i="88"/>
  <c r="AZ1853" i="88"/>
  <c r="AZ1852" i="88"/>
  <c r="AZ1851" i="88"/>
  <c r="AZ1850" i="88"/>
  <c r="AZ1849" i="88"/>
  <c r="AZ1848" i="88"/>
  <c r="AZ1847" i="88"/>
  <c r="AZ1846" i="88"/>
  <c r="AZ1845" i="88"/>
  <c r="AZ1844" i="88"/>
  <c r="AZ1843" i="88"/>
  <c r="AZ1842" i="88"/>
  <c r="AZ1841" i="88"/>
  <c r="AZ1840" i="88"/>
  <c r="AZ1839" i="88"/>
  <c r="AZ1838" i="88"/>
  <c r="AZ1837" i="88"/>
  <c r="AZ1836" i="88"/>
  <c r="AZ1835" i="88"/>
  <c r="AZ1834" i="88"/>
  <c r="AZ1833" i="88"/>
  <c r="AZ1832" i="88"/>
  <c r="AZ1831" i="88"/>
  <c r="AZ1830" i="88"/>
  <c r="AZ1829" i="88"/>
  <c r="AZ1828" i="88"/>
  <c r="AZ1827" i="88"/>
  <c r="AZ1826" i="88"/>
  <c r="AZ1825" i="88"/>
  <c r="AZ1824" i="88"/>
  <c r="AZ1823" i="88"/>
  <c r="AZ1822" i="88"/>
  <c r="AZ1821" i="88"/>
  <c r="AZ1820" i="88"/>
  <c r="AZ1819" i="88"/>
  <c r="AZ1818" i="88"/>
  <c r="AZ1817" i="88"/>
  <c r="AZ1816" i="88"/>
  <c r="AZ1815" i="88"/>
  <c r="AZ1814" i="88"/>
  <c r="AZ1813" i="88"/>
  <c r="AZ1812" i="88"/>
  <c r="AZ1811" i="88"/>
  <c r="AZ1810" i="88"/>
  <c r="AZ1809" i="88"/>
  <c r="AZ1808" i="88"/>
  <c r="AZ1807" i="88"/>
  <c r="AZ1806" i="88"/>
  <c r="AZ1805" i="88"/>
  <c r="AZ1804" i="88"/>
  <c r="AZ1803" i="88"/>
  <c r="AZ1802" i="88"/>
  <c r="AZ1801" i="88"/>
  <c r="AZ1800" i="88"/>
  <c r="AZ1799" i="88"/>
  <c r="AZ1798" i="88"/>
  <c r="AZ1797" i="88"/>
  <c r="AZ1796" i="88"/>
  <c r="AZ1795" i="88"/>
  <c r="AZ1794" i="88"/>
  <c r="AZ1793" i="88"/>
  <c r="AZ1792" i="88"/>
  <c r="AZ1791" i="88"/>
  <c r="AZ1790" i="88"/>
  <c r="AZ1789" i="88"/>
  <c r="AZ1788" i="88"/>
  <c r="AZ1787" i="88"/>
  <c r="AZ1786" i="88"/>
  <c r="AZ1785" i="88"/>
  <c r="AZ1784" i="88"/>
  <c r="AZ1783" i="88"/>
  <c r="AZ1782" i="88"/>
  <c r="AZ1781" i="88"/>
  <c r="AZ1780" i="88"/>
  <c r="AZ1779" i="88"/>
  <c r="AZ1778" i="88"/>
  <c r="AZ1777" i="88"/>
  <c r="AZ1776" i="88"/>
  <c r="AZ1775" i="88"/>
  <c r="AZ1774" i="88"/>
  <c r="AZ1773" i="88"/>
  <c r="AZ1772" i="88"/>
  <c r="AZ1771" i="88"/>
  <c r="AZ1770" i="88"/>
  <c r="AZ1769" i="88"/>
  <c r="AZ1768" i="88"/>
  <c r="AZ1767" i="88"/>
  <c r="AZ1766" i="88"/>
  <c r="AZ1765" i="88"/>
  <c r="AZ1764" i="88"/>
  <c r="AZ1763" i="88"/>
  <c r="AZ1762" i="88"/>
  <c r="AZ1761" i="88"/>
  <c r="AZ1760" i="88"/>
  <c r="AZ1759" i="88"/>
  <c r="AZ1758" i="88"/>
  <c r="AZ1757" i="88"/>
  <c r="AZ1756" i="88"/>
  <c r="AZ1755" i="88"/>
  <c r="AZ1754" i="88"/>
  <c r="AZ1753" i="88"/>
  <c r="AZ1752" i="88"/>
  <c r="AZ1751" i="88"/>
  <c r="AZ1750" i="88"/>
  <c r="AZ1749" i="88"/>
  <c r="AZ1748" i="88"/>
  <c r="AZ1747" i="88"/>
  <c r="AZ1746" i="88"/>
  <c r="AZ1745" i="88"/>
  <c r="AZ1744" i="88"/>
  <c r="AZ1743" i="88"/>
  <c r="AZ1742" i="88"/>
  <c r="AZ1741" i="88"/>
  <c r="AZ1740" i="88"/>
  <c r="AZ1739" i="88"/>
  <c r="AZ1738" i="88"/>
  <c r="AZ1737" i="88"/>
  <c r="AZ1736" i="88"/>
  <c r="AZ1735" i="88"/>
  <c r="AZ1734" i="88"/>
  <c r="AZ1733" i="88"/>
  <c r="AZ1732" i="88"/>
  <c r="AZ1731" i="88"/>
  <c r="AZ1730" i="88"/>
  <c r="AZ1729" i="88"/>
  <c r="AZ1728" i="88"/>
  <c r="AZ1727" i="88"/>
  <c r="AZ1726" i="88"/>
  <c r="AZ1725" i="88"/>
  <c r="AZ1724" i="88"/>
  <c r="AZ1723" i="88"/>
  <c r="AZ1722" i="88"/>
  <c r="AZ1721" i="88"/>
  <c r="AZ1720" i="88"/>
  <c r="AZ1719" i="88"/>
  <c r="AZ1718" i="88"/>
  <c r="AZ1717" i="88"/>
  <c r="AZ1716" i="88"/>
  <c r="AZ1715" i="88"/>
  <c r="AZ1714" i="88"/>
  <c r="AZ1713" i="88"/>
  <c r="AZ1712" i="88"/>
  <c r="AZ1711" i="88"/>
  <c r="AZ1710" i="88"/>
  <c r="AZ1709" i="88"/>
  <c r="AZ1708" i="88"/>
  <c r="AZ1707" i="88"/>
  <c r="AZ1706" i="88"/>
  <c r="AZ1705" i="88"/>
  <c r="AZ1704" i="88"/>
  <c r="AZ1703" i="88"/>
  <c r="AZ1702" i="88"/>
  <c r="AZ1701" i="88"/>
  <c r="AZ1700" i="88"/>
  <c r="AZ1699" i="88"/>
  <c r="AZ1698" i="88"/>
  <c r="AZ1697" i="88"/>
  <c r="AZ1696" i="88"/>
  <c r="AZ1695" i="88"/>
  <c r="AZ1694" i="88"/>
  <c r="AZ1693" i="88"/>
  <c r="AZ1692" i="88"/>
  <c r="AZ1691" i="88"/>
  <c r="AZ1690" i="88"/>
  <c r="AZ1689" i="88"/>
  <c r="AZ1688" i="88"/>
  <c r="AZ1687" i="88"/>
  <c r="AZ1686" i="88"/>
  <c r="AZ1685" i="88"/>
  <c r="AZ1684" i="88"/>
  <c r="AZ1683" i="88"/>
  <c r="AZ1682" i="88"/>
  <c r="AZ1681" i="88"/>
  <c r="AZ1680" i="88"/>
  <c r="AZ1679" i="88"/>
  <c r="AZ1678" i="88"/>
  <c r="AZ1677" i="88"/>
  <c r="AZ1676" i="88"/>
  <c r="AZ1675" i="88"/>
  <c r="AZ1674" i="88"/>
  <c r="AZ1673" i="88"/>
  <c r="AZ1672" i="88"/>
  <c r="AZ1671" i="88"/>
  <c r="AZ1670" i="88"/>
  <c r="AZ1669" i="88"/>
  <c r="AZ1668" i="88"/>
  <c r="AZ1667" i="88"/>
  <c r="AZ1666" i="88"/>
  <c r="AZ1665" i="88"/>
  <c r="AZ1664" i="88"/>
  <c r="AZ1663" i="88"/>
  <c r="AZ1662" i="88"/>
  <c r="AZ1661" i="88"/>
  <c r="AZ1660" i="88"/>
  <c r="AZ1659" i="88"/>
  <c r="AZ1658" i="88"/>
  <c r="AZ1657" i="88"/>
  <c r="AZ1656" i="88"/>
  <c r="AZ1655" i="88"/>
  <c r="AZ1654" i="88"/>
  <c r="AZ1653" i="88"/>
  <c r="AZ1652" i="88"/>
  <c r="AZ1651" i="88"/>
  <c r="AZ1650" i="88"/>
  <c r="AZ1649" i="88"/>
  <c r="AZ1648" i="88"/>
  <c r="AZ1647" i="88"/>
  <c r="AZ1646" i="88"/>
  <c r="AZ1645" i="88"/>
  <c r="AZ1644" i="88"/>
  <c r="AZ1643" i="88"/>
  <c r="AZ1642" i="88"/>
  <c r="AZ1641" i="88"/>
  <c r="AZ1640" i="88"/>
  <c r="AZ1639" i="88"/>
  <c r="AZ1638" i="88"/>
  <c r="AZ1637" i="88"/>
  <c r="AZ1636" i="88"/>
  <c r="AZ1635" i="88"/>
  <c r="AZ1634" i="88"/>
  <c r="AZ1633" i="88"/>
  <c r="AZ1632" i="88"/>
  <c r="AZ1631" i="88"/>
  <c r="AZ1630" i="88"/>
  <c r="AZ1629" i="88"/>
  <c r="AZ1628" i="88"/>
  <c r="AZ1627" i="88"/>
  <c r="AZ1626" i="88"/>
  <c r="AZ1625" i="88"/>
  <c r="AZ1624" i="88"/>
  <c r="AZ1623" i="88"/>
  <c r="AZ1622" i="88"/>
  <c r="AZ1621" i="88"/>
  <c r="AZ1620" i="88"/>
  <c r="AZ1619" i="88"/>
  <c r="AZ1618" i="88"/>
  <c r="AZ1617" i="88"/>
  <c r="AZ1616" i="88"/>
  <c r="AZ1615" i="88"/>
  <c r="AZ1614" i="88"/>
  <c r="AZ1613" i="88"/>
  <c r="AZ1612" i="88"/>
  <c r="AZ1611" i="88"/>
  <c r="AZ1610" i="88"/>
  <c r="AZ1609" i="88"/>
  <c r="AZ1608" i="88"/>
  <c r="AZ1607" i="88"/>
  <c r="AZ1606" i="88"/>
  <c r="AZ1605" i="88"/>
  <c r="AZ1604" i="88"/>
  <c r="AZ1603" i="88"/>
  <c r="AZ1602" i="88"/>
  <c r="AZ1601" i="88"/>
  <c r="AZ1600" i="88"/>
  <c r="AZ1599" i="88"/>
  <c r="AZ1598" i="88"/>
  <c r="AZ1597" i="88"/>
  <c r="AZ1596" i="88"/>
  <c r="AZ1595" i="88"/>
  <c r="AZ1594" i="88"/>
  <c r="AZ1593" i="88"/>
  <c r="AZ1592" i="88"/>
  <c r="AZ1591" i="88"/>
  <c r="AZ1590" i="88"/>
  <c r="AZ1589" i="88"/>
  <c r="AZ1588" i="88"/>
  <c r="AZ1587" i="88"/>
  <c r="AZ1586" i="88"/>
  <c r="AZ1585" i="88"/>
  <c r="AZ1584" i="88"/>
  <c r="AZ1583" i="88"/>
  <c r="AZ1582" i="88"/>
  <c r="AZ1581" i="88"/>
  <c r="AZ1580" i="88"/>
  <c r="AZ1579" i="88"/>
  <c r="AZ1578" i="88"/>
  <c r="AZ1577" i="88"/>
  <c r="AZ1576" i="88"/>
  <c r="AZ1575" i="88"/>
  <c r="AZ1574" i="88"/>
  <c r="AZ1573" i="88"/>
  <c r="AZ1572" i="88"/>
  <c r="AZ1571" i="88"/>
  <c r="AZ1570" i="88"/>
  <c r="AZ1569" i="88"/>
  <c r="AZ1568" i="88"/>
  <c r="AZ1567" i="88"/>
  <c r="AZ1566" i="88"/>
  <c r="AZ1565" i="88"/>
  <c r="AZ1564" i="88"/>
  <c r="AZ1563" i="88"/>
  <c r="AZ1562" i="88"/>
  <c r="AZ1561" i="88"/>
  <c r="AZ1560" i="88"/>
  <c r="AZ1559" i="88"/>
  <c r="AZ1558" i="88"/>
  <c r="AZ1557" i="88"/>
  <c r="AZ1556" i="88"/>
  <c r="AZ1555" i="88"/>
  <c r="AZ1554" i="88"/>
  <c r="AZ1553" i="88"/>
  <c r="AZ1552" i="88"/>
  <c r="AZ1551" i="88"/>
  <c r="AZ1550" i="88"/>
  <c r="AZ1549" i="88"/>
  <c r="AZ1548" i="88"/>
  <c r="AZ1547" i="88"/>
  <c r="AZ1546" i="88"/>
  <c r="AZ1545" i="88"/>
  <c r="AZ1544" i="88"/>
  <c r="AZ1543" i="88"/>
  <c r="AZ1542" i="88"/>
  <c r="AZ1541" i="88"/>
  <c r="AZ1540" i="88"/>
  <c r="AZ1539" i="88"/>
  <c r="AZ1538" i="88"/>
  <c r="AZ1537" i="88"/>
  <c r="AZ1536" i="88"/>
  <c r="AZ1535" i="88"/>
  <c r="AZ1534" i="88"/>
  <c r="AZ1533" i="88"/>
  <c r="AZ1532" i="88"/>
  <c r="AZ1531" i="88"/>
  <c r="AZ1530" i="88"/>
  <c r="AZ1529" i="88"/>
  <c r="AZ1528" i="88"/>
  <c r="AZ1527" i="88"/>
  <c r="AZ1526" i="88"/>
  <c r="AZ1525" i="88"/>
  <c r="AZ1524" i="88"/>
  <c r="AZ1523" i="88"/>
  <c r="AZ1522" i="88"/>
  <c r="AZ1521" i="88"/>
  <c r="AZ1520" i="88"/>
  <c r="AZ1519" i="88"/>
  <c r="AZ1518" i="88"/>
  <c r="AZ1517" i="88"/>
  <c r="AZ1516" i="88"/>
  <c r="AZ1515" i="88"/>
  <c r="AZ1514" i="88"/>
  <c r="AZ1513" i="88"/>
  <c r="AZ1512" i="88"/>
  <c r="AZ1511" i="88"/>
  <c r="AZ1510" i="88"/>
  <c r="AZ1509" i="88"/>
  <c r="AZ1508" i="88"/>
  <c r="AZ1507" i="88"/>
  <c r="AZ1506" i="88"/>
  <c r="AZ1505" i="88"/>
  <c r="AZ1504" i="88"/>
  <c r="AZ1503" i="88"/>
  <c r="AZ1502" i="88"/>
  <c r="AZ1501" i="88"/>
  <c r="AZ1500" i="88"/>
  <c r="AZ1499" i="88"/>
  <c r="AZ1498" i="88"/>
  <c r="AZ1497" i="88"/>
  <c r="AZ1496" i="88"/>
  <c r="AZ1495" i="88"/>
  <c r="AZ1494" i="88"/>
  <c r="AZ1493" i="88"/>
  <c r="AZ1492" i="88"/>
  <c r="AZ1491" i="88"/>
  <c r="AZ1490" i="88"/>
  <c r="AZ1489" i="88"/>
  <c r="AZ1488" i="88"/>
  <c r="AZ1487" i="88"/>
  <c r="AZ1486" i="88"/>
  <c r="AZ1485" i="88"/>
  <c r="AZ1484" i="88"/>
  <c r="AZ1483" i="88"/>
  <c r="AZ1482" i="88"/>
  <c r="AZ1481" i="88"/>
  <c r="AZ1480" i="88"/>
  <c r="AZ1479" i="88"/>
  <c r="AZ1478" i="88"/>
  <c r="AZ1477" i="88"/>
  <c r="AZ1476" i="88"/>
  <c r="AZ1475" i="88"/>
  <c r="AZ1474" i="88"/>
  <c r="AZ1473" i="88"/>
  <c r="AZ1472" i="88"/>
  <c r="AZ1471" i="88"/>
  <c r="AZ1470" i="88"/>
  <c r="AZ1469" i="88"/>
  <c r="AZ1468" i="88"/>
  <c r="AZ1467" i="88"/>
  <c r="AZ1466" i="88"/>
  <c r="AZ1465" i="88"/>
  <c r="AZ1464" i="88"/>
  <c r="AZ1463" i="88"/>
  <c r="AZ1462" i="88"/>
  <c r="AZ1461" i="88"/>
  <c r="AZ1460" i="88"/>
  <c r="AZ1459" i="88"/>
  <c r="AZ1458" i="88"/>
  <c r="AZ1457" i="88"/>
  <c r="AZ1456" i="88"/>
  <c r="AZ1455" i="88"/>
  <c r="AZ1454" i="88"/>
  <c r="AZ1453" i="88"/>
  <c r="AZ1452" i="88"/>
  <c r="AZ1451" i="88"/>
  <c r="AZ1450" i="88"/>
  <c r="AZ1449" i="88"/>
  <c r="AZ1448" i="88"/>
  <c r="AZ1447" i="88"/>
  <c r="AZ1446" i="88"/>
  <c r="AZ1445" i="88"/>
  <c r="AZ1444" i="88"/>
  <c r="AZ1443" i="88"/>
  <c r="AZ1442" i="88"/>
  <c r="AZ1441" i="88"/>
  <c r="AZ1440" i="88"/>
  <c r="AZ1439" i="88"/>
  <c r="AZ1438" i="88"/>
  <c r="AZ1437" i="88"/>
  <c r="AZ1436" i="88"/>
  <c r="AZ1435" i="88"/>
  <c r="AZ1434" i="88"/>
  <c r="AZ1433" i="88"/>
  <c r="AZ1432" i="88"/>
  <c r="AZ1431" i="88"/>
  <c r="AZ1430" i="88"/>
  <c r="AZ1429" i="88"/>
  <c r="AZ1428" i="88"/>
  <c r="AZ1427" i="88"/>
  <c r="AZ1426" i="88"/>
  <c r="AZ1425" i="88"/>
  <c r="AZ1424" i="88"/>
  <c r="AZ1423" i="88"/>
  <c r="AZ1422" i="88"/>
  <c r="AZ1421" i="88"/>
  <c r="AZ1420" i="88"/>
  <c r="AZ1419" i="88"/>
  <c r="AZ1418" i="88"/>
  <c r="AZ1417" i="88"/>
  <c r="AZ1416" i="88"/>
  <c r="AZ1415" i="88"/>
  <c r="AZ1414" i="88"/>
  <c r="AZ1413" i="88"/>
  <c r="AZ1412" i="88"/>
  <c r="AZ1411" i="88"/>
  <c r="AZ1410" i="88"/>
  <c r="AZ1409" i="88"/>
  <c r="AZ1408" i="88"/>
  <c r="AZ1407" i="88"/>
  <c r="AZ1406" i="88"/>
  <c r="AZ1405" i="88"/>
  <c r="AZ1404" i="88"/>
  <c r="AZ1403" i="88"/>
  <c r="AZ1402" i="88"/>
  <c r="AZ1401" i="88"/>
  <c r="AZ1400" i="88"/>
  <c r="AZ1399" i="88"/>
  <c r="AZ1398" i="88"/>
  <c r="AZ1397" i="88"/>
  <c r="AZ1396" i="88"/>
  <c r="AZ1395" i="88"/>
  <c r="AZ1394" i="88"/>
  <c r="AZ1393" i="88"/>
  <c r="AZ1392" i="88"/>
  <c r="AZ1391" i="88"/>
  <c r="AZ1390" i="88"/>
  <c r="AZ1389" i="88"/>
  <c r="AZ1388" i="88"/>
  <c r="AZ1387" i="88"/>
  <c r="AZ1386" i="88"/>
  <c r="AZ1385" i="88"/>
  <c r="AZ1384" i="88"/>
  <c r="AZ1383" i="88"/>
  <c r="AZ1382" i="88"/>
  <c r="AZ1381" i="88"/>
  <c r="AZ1380" i="88"/>
  <c r="AZ1379" i="88"/>
  <c r="AZ1378" i="88"/>
  <c r="AZ1377" i="88"/>
  <c r="AZ1376" i="88"/>
  <c r="AZ1375" i="88"/>
  <c r="AZ1374" i="88"/>
  <c r="AZ1373" i="88"/>
  <c r="AZ1372" i="88"/>
  <c r="AZ1371" i="88"/>
  <c r="AZ1370" i="88"/>
  <c r="AZ1369" i="88"/>
  <c r="AZ1368" i="88"/>
  <c r="AZ1367" i="88"/>
  <c r="AZ1366" i="88"/>
  <c r="AZ1365" i="88"/>
  <c r="AZ1364" i="88"/>
  <c r="AZ1363" i="88"/>
  <c r="AZ1362" i="88"/>
  <c r="AZ1361" i="88"/>
  <c r="AZ1360" i="88"/>
  <c r="AZ1359" i="88"/>
  <c r="AZ1358" i="88"/>
  <c r="AZ1357" i="88"/>
  <c r="AZ1356" i="88"/>
  <c r="AZ1355" i="88"/>
  <c r="AZ1354" i="88"/>
  <c r="AZ1353" i="88"/>
  <c r="AZ1352" i="88"/>
  <c r="AZ1351" i="88"/>
  <c r="AZ1350" i="88"/>
  <c r="AZ1349" i="88"/>
  <c r="AZ1348" i="88"/>
  <c r="AZ1347" i="88"/>
  <c r="AZ1346" i="88"/>
  <c r="AZ1345" i="88"/>
  <c r="AZ1344" i="88"/>
  <c r="AZ1343" i="88"/>
  <c r="AZ1342" i="88"/>
  <c r="AZ1341" i="88"/>
  <c r="AZ1340" i="88"/>
  <c r="AZ1339" i="88"/>
  <c r="AZ1338" i="88"/>
  <c r="AZ1337" i="88"/>
  <c r="AZ1336" i="88"/>
  <c r="AZ1335" i="88"/>
  <c r="AZ1334" i="88"/>
  <c r="AZ1333" i="88"/>
  <c r="AZ1332" i="88"/>
  <c r="AZ1331" i="88"/>
  <c r="AZ1330" i="88"/>
  <c r="AZ1329" i="88"/>
  <c r="AZ1328" i="88"/>
  <c r="AZ1327" i="88"/>
  <c r="AZ1326" i="88"/>
  <c r="AZ1325" i="88"/>
  <c r="AZ1324" i="88"/>
  <c r="AZ1323" i="88"/>
  <c r="AZ1322" i="88"/>
  <c r="AZ1321" i="88"/>
  <c r="AZ1320" i="88"/>
  <c r="AZ1319" i="88"/>
  <c r="AZ1318" i="88"/>
  <c r="AZ1317" i="88"/>
  <c r="AZ1316" i="88"/>
  <c r="AZ1315" i="88"/>
  <c r="AZ1314" i="88"/>
  <c r="AZ1313" i="88"/>
  <c r="AZ1312" i="88"/>
  <c r="AZ1311" i="88"/>
  <c r="AZ1310" i="88"/>
  <c r="AZ1309" i="88"/>
  <c r="AZ1308" i="88"/>
  <c r="AZ1307" i="88"/>
  <c r="AZ1306" i="88"/>
  <c r="AZ1305" i="88"/>
  <c r="AZ1304" i="88"/>
  <c r="AZ1303" i="88"/>
  <c r="AZ1302" i="88"/>
  <c r="AZ1301" i="88"/>
  <c r="AZ1300" i="88"/>
  <c r="AZ1299" i="88"/>
  <c r="AZ1298" i="88"/>
  <c r="AZ1297" i="88"/>
  <c r="AZ1296" i="88"/>
  <c r="AZ1295" i="88"/>
  <c r="AZ1294" i="88"/>
  <c r="AZ1293" i="88"/>
  <c r="AZ1292" i="88"/>
  <c r="AZ1291" i="88"/>
  <c r="AZ1290" i="88"/>
  <c r="AZ1289" i="88"/>
  <c r="AZ1288" i="88"/>
  <c r="AZ1287" i="88"/>
  <c r="AZ1286" i="88"/>
  <c r="AZ1285" i="88"/>
  <c r="AZ1284" i="88"/>
  <c r="AZ1283" i="88"/>
  <c r="AZ1282" i="88"/>
  <c r="AZ1281" i="88"/>
  <c r="AZ1280" i="88"/>
  <c r="AZ1279" i="88"/>
  <c r="AZ1278" i="88"/>
  <c r="AZ1277" i="88"/>
  <c r="AZ1276" i="88"/>
  <c r="AZ1275" i="88"/>
  <c r="AZ1274" i="88"/>
  <c r="AZ1273" i="88"/>
  <c r="AZ1272" i="88"/>
  <c r="AZ1271" i="88"/>
  <c r="AZ1270" i="88"/>
  <c r="AZ1269" i="88"/>
  <c r="AZ1268" i="88"/>
  <c r="AZ1267" i="88"/>
  <c r="AZ1266" i="88"/>
  <c r="AZ1265" i="88"/>
  <c r="AZ1264" i="88"/>
  <c r="AZ1263" i="88"/>
  <c r="AZ1262" i="88"/>
  <c r="AZ1261" i="88"/>
  <c r="AZ1260" i="88"/>
  <c r="AZ1259" i="88"/>
  <c r="AZ1258" i="88"/>
  <c r="AZ1257" i="88"/>
  <c r="AZ1256" i="88"/>
  <c r="AZ1255" i="88"/>
  <c r="AZ1254" i="88"/>
  <c r="AZ1253" i="88"/>
  <c r="AZ1252" i="88"/>
  <c r="AZ1251" i="88"/>
  <c r="AZ1250" i="88"/>
  <c r="AZ1249" i="88"/>
  <c r="AZ1248" i="88"/>
  <c r="AZ1247" i="88"/>
  <c r="AZ1246" i="88"/>
  <c r="AZ1245" i="88"/>
  <c r="AZ1244" i="88"/>
  <c r="AZ1243" i="88"/>
  <c r="AZ1242" i="88"/>
  <c r="AZ1241" i="88"/>
  <c r="AZ1240" i="88"/>
  <c r="AZ1239" i="88"/>
  <c r="AZ1238" i="88"/>
  <c r="AZ1237" i="88"/>
  <c r="AZ1236" i="88"/>
  <c r="AZ1235" i="88"/>
  <c r="AZ1234" i="88"/>
  <c r="AZ1233" i="88"/>
  <c r="AZ1232" i="88"/>
  <c r="AZ1231" i="88"/>
  <c r="AZ1230" i="88"/>
  <c r="AZ1229" i="88"/>
  <c r="AZ1228" i="88"/>
  <c r="AZ1227" i="88"/>
  <c r="AZ1226" i="88"/>
  <c r="AZ1225" i="88"/>
  <c r="AZ1224" i="88"/>
  <c r="AZ1223" i="88"/>
  <c r="AZ1222" i="88"/>
  <c r="AZ1221" i="88"/>
  <c r="AZ1220" i="88"/>
  <c r="AZ1219" i="88"/>
  <c r="AZ1218" i="88"/>
  <c r="AZ1217" i="88"/>
  <c r="AZ1216" i="88"/>
  <c r="AZ1215" i="88"/>
  <c r="AZ1214" i="88"/>
  <c r="AZ1213" i="88"/>
  <c r="AZ1212" i="88"/>
  <c r="AZ1211" i="88"/>
  <c r="AZ1210" i="88"/>
  <c r="AZ1209" i="88"/>
  <c r="AZ1208" i="88"/>
  <c r="AZ1207" i="88"/>
  <c r="AZ1206" i="88"/>
  <c r="AZ1205" i="88"/>
  <c r="AZ1204" i="88"/>
  <c r="AZ1203" i="88"/>
  <c r="AZ1202" i="88"/>
  <c r="AZ1201" i="88"/>
  <c r="AZ1200" i="88"/>
  <c r="AZ1199" i="88"/>
  <c r="AZ1198" i="88"/>
  <c r="AZ1197" i="88"/>
  <c r="AZ1196" i="88"/>
  <c r="AZ1195" i="88"/>
  <c r="AZ1194" i="88"/>
  <c r="AZ1193" i="88"/>
  <c r="AZ1192" i="88"/>
  <c r="AZ1191" i="88"/>
  <c r="AZ1190" i="88"/>
  <c r="AZ1189" i="88"/>
  <c r="AZ1188" i="88"/>
  <c r="AZ1187" i="88"/>
  <c r="AZ1186" i="88"/>
  <c r="AZ1185" i="88"/>
  <c r="AZ1184" i="88"/>
  <c r="AZ1183" i="88"/>
  <c r="AZ1182" i="88"/>
  <c r="AZ1181" i="88"/>
  <c r="AZ1180" i="88"/>
  <c r="AZ1179" i="88"/>
  <c r="AZ1178" i="88"/>
  <c r="AZ1177" i="88"/>
  <c r="AZ1176" i="88"/>
  <c r="AZ1175" i="88"/>
  <c r="AZ1174" i="88"/>
  <c r="AZ1173" i="88"/>
  <c r="AZ1172" i="88"/>
  <c r="AZ1171" i="88"/>
  <c r="AZ1170" i="88"/>
  <c r="AZ1169" i="88"/>
  <c r="AZ1168" i="88"/>
  <c r="AZ1167" i="88"/>
  <c r="AZ1166" i="88"/>
  <c r="AZ1165" i="88"/>
  <c r="AZ1164" i="88"/>
  <c r="AZ1163" i="88"/>
  <c r="AZ1162" i="88"/>
  <c r="AZ1161" i="88"/>
  <c r="AZ1160" i="88"/>
  <c r="AZ1159" i="88"/>
  <c r="AZ1158" i="88"/>
  <c r="AZ1157" i="88"/>
  <c r="AZ1156" i="88"/>
  <c r="AZ1155" i="88"/>
  <c r="AZ1154" i="88"/>
  <c r="AZ1153" i="88"/>
  <c r="AZ1152" i="88"/>
  <c r="AZ1151" i="88"/>
  <c r="AZ1150" i="88"/>
  <c r="AZ1149" i="88"/>
  <c r="AZ1148" i="88"/>
  <c r="AZ1147" i="88"/>
  <c r="AZ1146" i="88"/>
  <c r="AZ1145" i="88"/>
  <c r="AZ1144" i="88"/>
  <c r="AZ1143" i="88"/>
  <c r="AZ1142" i="88"/>
  <c r="AZ1141" i="88"/>
  <c r="AZ1140" i="88"/>
  <c r="AZ1139" i="88"/>
  <c r="AZ1138" i="88"/>
  <c r="AZ1137" i="88"/>
  <c r="AZ1136" i="88"/>
  <c r="AZ1135" i="88"/>
  <c r="AZ1134" i="88"/>
  <c r="AZ1133" i="88"/>
  <c r="AZ1132" i="88"/>
  <c r="AZ1131" i="88"/>
  <c r="AZ1130" i="88"/>
  <c r="AZ1129" i="88"/>
  <c r="AZ1128" i="88"/>
  <c r="AZ1127" i="88"/>
  <c r="AZ1126" i="88"/>
  <c r="AZ1125" i="88"/>
  <c r="AZ1124" i="88"/>
  <c r="AZ1123" i="88"/>
  <c r="AZ1122" i="88"/>
  <c r="AZ1121" i="88"/>
  <c r="AZ1120" i="88"/>
  <c r="AZ1119" i="88"/>
  <c r="AZ1118" i="88"/>
  <c r="AZ1117" i="88"/>
  <c r="AZ1116" i="88"/>
  <c r="AZ1115" i="88"/>
  <c r="AZ1114" i="88"/>
  <c r="AZ1113" i="88"/>
  <c r="AZ1112" i="88"/>
  <c r="AZ1111" i="88"/>
  <c r="AZ1110" i="88"/>
  <c r="AZ1109" i="88"/>
  <c r="AZ1108" i="88"/>
  <c r="AZ1107" i="88"/>
  <c r="AZ1106" i="88"/>
  <c r="AZ1105" i="88"/>
  <c r="AZ1104" i="88"/>
  <c r="AZ1103" i="88"/>
  <c r="AZ1102" i="88"/>
  <c r="AZ1101" i="88"/>
  <c r="AZ1100" i="88"/>
  <c r="AZ1099" i="88"/>
  <c r="AZ1098" i="88"/>
  <c r="AZ1097" i="88"/>
  <c r="AZ1096" i="88"/>
  <c r="AZ1095" i="88"/>
  <c r="AZ1094" i="88"/>
  <c r="AZ1093" i="88"/>
  <c r="AZ1092" i="88"/>
  <c r="AZ1091" i="88"/>
  <c r="AZ1090" i="88"/>
  <c r="AZ1089" i="88"/>
  <c r="AZ1088" i="88"/>
  <c r="AZ1087" i="88"/>
  <c r="AZ1086" i="88"/>
  <c r="AZ1085" i="88"/>
  <c r="AZ1084" i="88"/>
  <c r="AZ1083" i="88"/>
  <c r="AZ1082" i="88"/>
  <c r="AZ1081" i="88"/>
  <c r="AZ1080" i="88"/>
  <c r="AZ1079" i="88"/>
  <c r="AZ1078" i="88"/>
  <c r="AZ1077" i="88"/>
  <c r="AZ1076" i="88"/>
  <c r="AZ1075" i="88"/>
  <c r="AZ1074" i="88"/>
  <c r="AZ1073" i="88"/>
  <c r="AZ1072" i="88"/>
  <c r="AZ1071" i="88"/>
  <c r="AZ1070" i="88"/>
  <c r="AZ1069" i="88"/>
  <c r="AZ1068" i="88"/>
  <c r="AZ1067" i="88"/>
  <c r="AZ1066" i="88"/>
  <c r="AZ1065" i="88"/>
  <c r="AZ1064" i="88"/>
  <c r="AZ1063" i="88"/>
  <c r="AZ1062" i="88"/>
  <c r="AZ1061" i="88"/>
  <c r="AZ1060" i="88"/>
  <c r="AZ1059" i="88"/>
  <c r="AZ1058" i="88"/>
  <c r="AZ1057" i="88"/>
  <c r="AZ1056" i="88"/>
  <c r="AZ1055" i="88"/>
  <c r="AZ1054" i="88"/>
  <c r="AZ1053" i="88"/>
  <c r="AZ1052" i="88"/>
  <c r="AZ1051" i="88"/>
  <c r="AZ1050" i="88"/>
  <c r="AZ1049" i="88"/>
  <c r="AZ1048" i="88"/>
  <c r="AZ1047" i="88"/>
  <c r="AZ1046" i="88"/>
  <c r="AZ1045" i="88"/>
  <c r="AZ1044" i="88"/>
  <c r="AZ1043" i="88"/>
  <c r="AZ1042" i="88"/>
  <c r="AZ1041" i="88"/>
  <c r="AZ1040" i="88"/>
  <c r="AZ1039" i="88"/>
  <c r="AZ1038" i="88"/>
  <c r="AZ1037" i="88"/>
  <c r="AZ1036" i="88"/>
  <c r="AZ1035" i="88"/>
  <c r="AZ1034" i="88"/>
  <c r="AZ1033" i="88"/>
  <c r="AZ1032" i="88"/>
  <c r="AZ1031" i="88"/>
  <c r="AZ1030" i="88"/>
  <c r="AZ1029" i="88"/>
  <c r="AZ1028" i="88"/>
  <c r="AZ1027" i="88"/>
  <c r="AZ1026" i="88"/>
  <c r="AZ1025" i="88"/>
  <c r="AZ1024" i="88"/>
  <c r="AZ1023" i="88"/>
  <c r="AZ1022" i="88"/>
  <c r="AZ1021" i="88"/>
  <c r="AZ1020" i="88"/>
  <c r="AZ1019" i="88"/>
  <c r="AZ1018" i="88"/>
  <c r="AO7" i="88"/>
  <c r="AO461" i="88"/>
  <c r="AA461" i="88" s="1"/>
  <c r="AO460" i="88"/>
  <c r="AA460" i="88" s="1"/>
  <c r="AO459" i="88"/>
  <c r="AA459" i="88" s="1"/>
  <c r="AO458" i="88"/>
  <c r="AA458" i="88" s="1"/>
  <c r="AO457" i="88"/>
  <c r="AA457" i="88" s="1"/>
  <c r="AO456" i="88"/>
  <c r="AA456" i="88" s="1"/>
  <c r="AO455" i="88"/>
  <c r="AA455" i="88" s="1"/>
  <c r="AO454" i="88"/>
  <c r="AA454" i="88" s="1"/>
  <c r="AO453" i="88"/>
  <c r="AA453" i="88" s="1"/>
  <c r="AO452" i="88"/>
  <c r="AA452" i="88" s="1"/>
  <c r="AO451" i="88"/>
  <c r="AA451" i="88" s="1"/>
  <c r="AO450" i="88"/>
  <c r="AA450" i="88" s="1"/>
  <c r="AO449" i="88"/>
  <c r="AA449" i="88" s="1"/>
  <c r="AO448" i="88"/>
  <c r="AA448" i="88" s="1"/>
  <c r="AO447" i="88"/>
  <c r="AA447" i="88" s="1"/>
  <c r="AO446" i="88"/>
  <c r="AA446" i="88" s="1"/>
  <c r="AO445" i="88"/>
  <c r="AA445" i="88" s="1"/>
  <c r="AO444" i="88"/>
  <c r="AA444" i="88" s="1"/>
  <c r="AO443" i="88"/>
  <c r="AA443" i="88" s="1"/>
  <c r="AO442" i="88"/>
  <c r="AA442" i="88" s="1"/>
  <c r="AO441" i="88"/>
  <c r="AA441" i="88" s="1"/>
  <c r="AO440" i="88"/>
  <c r="AA440" i="88" s="1"/>
  <c r="AO439" i="88"/>
  <c r="AA439" i="88" s="1"/>
  <c r="AO438" i="88"/>
  <c r="AA438" i="88" s="1"/>
  <c r="AO437" i="88"/>
  <c r="AA437" i="88" s="1"/>
  <c r="AO436" i="88"/>
  <c r="AA436" i="88" s="1"/>
  <c r="AO435" i="88"/>
  <c r="AA435" i="88" s="1"/>
  <c r="AO434" i="88"/>
  <c r="AA434" i="88" s="1"/>
  <c r="AO433" i="88"/>
  <c r="AA433" i="88" s="1"/>
  <c r="AO432" i="88"/>
  <c r="AA432" i="88" s="1"/>
  <c r="AO431" i="88"/>
  <c r="AO430" i="88"/>
  <c r="AO429" i="88"/>
  <c r="AO428" i="88"/>
  <c r="AO427" i="88"/>
  <c r="AO426" i="88"/>
  <c r="AO425" i="88"/>
  <c r="AO424" i="88"/>
  <c r="AO423" i="88"/>
  <c r="AO422" i="88"/>
  <c r="AO421" i="88"/>
  <c r="AO420" i="88"/>
  <c r="AO419" i="88"/>
  <c r="AO418" i="88"/>
  <c r="AO417" i="88"/>
  <c r="AO416" i="88"/>
  <c r="AO415" i="88"/>
  <c r="AO414" i="88"/>
  <c r="AO413" i="88"/>
  <c r="AO412" i="88"/>
  <c r="AO411" i="88"/>
  <c r="AO410" i="88"/>
  <c r="AO409" i="88"/>
  <c r="AO408" i="88"/>
  <c r="AO407" i="88"/>
  <c r="AO406" i="88"/>
  <c r="AO405" i="88"/>
  <c r="AO404" i="88"/>
  <c r="AO403" i="88"/>
  <c r="AO402" i="88"/>
  <c r="AO401" i="88"/>
  <c r="AO400" i="88"/>
  <c r="AO399" i="88"/>
  <c r="AO398" i="88"/>
  <c r="AO397" i="88"/>
  <c r="AO396" i="88"/>
  <c r="AO395" i="88"/>
  <c r="AO394" i="88"/>
  <c r="AO393" i="88"/>
  <c r="AO392" i="88"/>
  <c r="AO391" i="88"/>
  <c r="AO390" i="88"/>
  <c r="AO389" i="88"/>
  <c r="AO388" i="88"/>
  <c r="AO387" i="88"/>
  <c r="AO386" i="88"/>
  <c r="AO385" i="88"/>
  <c r="AO384" i="88"/>
  <c r="AO383" i="88"/>
  <c r="AO382" i="88"/>
  <c r="AO381" i="88"/>
  <c r="AO380" i="88"/>
  <c r="AO379" i="88"/>
  <c r="AO378" i="88"/>
  <c r="AO377" i="88"/>
  <c r="AO376" i="88"/>
  <c r="AO375" i="88"/>
  <c r="AO374" i="88"/>
  <c r="AO373" i="88"/>
  <c r="AO372" i="88"/>
  <c r="AO371" i="88"/>
  <c r="AO370" i="88"/>
  <c r="AO369" i="88"/>
  <c r="AO368" i="88"/>
  <c r="AO367" i="88"/>
  <c r="AO366" i="88"/>
  <c r="AO365" i="88"/>
  <c r="AO364" i="88"/>
  <c r="AO363" i="88"/>
  <c r="AO362" i="88"/>
  <c r="AO361" i="88"/>
  <c r="AO360" i="88"/>
  <c r="AO359" i="88"/>
  <c r="AO358" i="88"/>
  <c r="AO357" i="88"/>
  <c r="AO356" i="88"/>
  <c r="AO355" i="88"/>
  <c r="AO354" i="88"/>
  <c r="AO353" i="88"/>
  <c r="AO352" i="88"/>
  <c r="AO351" i="88"/>
  <c r="AO350" i="88"/>
  <c r="AO349" i="88"/>
  <c r="AO348" i="88"/>
  <c r="AO347" i="88"/>
  <c r="AO346" i="88"/>
  <c r="AO345" i="88"/>
  <c r="AO344" i="88"/>
  <c r="AO343" i="88"/>
  <c r="AO342" i="88"/>
  <c r="AO341" i="88"/>
  <c r="AO340" i="88"/>
  <c r="AO339" i="88"/>
  <c r="AO338" i="88"/>
  <c r="AO337" i="88"/>
  <c r="AO336" i="88"/>
  <c r="AO335" i="88"/>
  <c r="AO334" i="88"/>
  <c r="AO333" i="88"/>
  <c r="AO332" i="88"/>
  <c r="AO331" i="88"/>
  <c r="AO330" i="88"/>
  <c r="AO329" i="88"/>
  <c r="AO328" i="88"/>
  <c r="AO327" i="88"/>
  <c r="AO326" i="88"/>
  <c r="AO325" i="88"/>
  <c r="AO324" i="88"/>
  <c r="AO323" i="88"/>
  <c r="AO322" i="88"/>
  <c r="AO321" i="88"/>
  <c r="AO320" i="88"/>
  <c r="AO319" i="88"/>
  <c r="AO318" i="88"/>
  <c r="AO317" i="88"/>
  <c r="AO316" i="88"/>
  <c r="AO315" i="88"/>
  <c r="AO314" i="88"/>
  <c r="AO313" i="88"/>
  <c r="AO312" i="88"/>
  <c r="AO311" i="88"/>
  <c r="AO310" i="88"/>
  <c r="AO309" i="88"/>
  <c r="AO308" i="88"/>
  <c r="AO307" i="88"/>
  <c r="AO306" i="88"/>
  <c r="AO305" i="88"/>
  <c r="AO304" i="88"/>
  <c r="AO303" i="88"/>
  <c r="AO302" i="88"/>
  <c r="AO301" i="88"/>
  <c r="AO300" i="88"/>
  <c r="AO299" i="88"/>
  <c r="AO298" i="88"/>
  <c r="AO297" i="88"/>
  <c r="AO296" i="88"/>
  <c r="AO295" i="88"/>
  <c r="AO294" i="88"/>
  <c r="AO293" i="88"/>
  <c r="AO292" i="88"/>
  <c r="AO291" i="88"/>
  <c r="AO290" i="88"/>
  <c r="AO289" i="88"/>
  <c r="AO288" i="88"/>
  <c r="AO287" i="88"/>
  <c r="AO286" i="88"/>
  <c r="AO285" i="88"/>
  <c r="AO284" i="88"/>
  <c r="AO283" i="88"/>
  <c r="AO282" i="88"/>
  <c r="AO281" i="88"/>
  <c r="AO280" i="88"/>
  <c r="AO279" i="88"/>
  <c r="AO278" i="88"/>
  <c r="AO277" i="88"/>
  <c r="AO276" i="88"/>
  <c r="AO275" i="88"/>
  <c r="AO274" i="88"/>
  <c r="AO273" i="88"/>
  <c r="AO272" i="88"/>
  <c r="AO271" i="88"/>
  <c r="AO270" i="88"/>
  <c r="AO269" i="88"/>
  <c r="AO268" i="88"/>
  <c r="AO267" i="88"/>
  <c r="AO266" i="88"/>
  <c r="AO265" i="88"/>
  <c r="AO264" i="88"/>
  <c r="AO263" i="88"/>
  <c r="AO262" i="88"/>
  <c r="AO261" i="88"/>
  <c r="AO260" i="88"/>
  <c r="AO259" i="88"/>
  <c r="AO258" i="88"/>
  <c r="AO257" i="88"/>
  <c r="AO256" i="88"/>
  <c r="AO255" i="88"/>
  <c r="AO254" i="88"/>
  <c r="AO253" i="88"/>
  <c r="AO252" i="88"/>
  <c r="AO251" i="88"/>
  <c r="AO250" i="88"/>
  <c r="AO249" i="88"/>
  <c r="AO248" i="88"/>
  <c r="AO247" i="88"/>
  <c r="AO246" i="88"/>
  <c r="AO245" i="88"/>
  <c r="AO244" i="88"/>
  <c r="AO243" i="88"/>
  <c r="AO242" i="88"/>
  <c r="AO241" i="88"/>
  <c r="AO240" i="88"/>
  <c r="AO239" i="88"/>
  <c r="AO238" i="88"/>
  <c r="AO237" i="88"/>
  <c r="AO236" i="88"/>
  <c r="AO235" i="88"/>
  <c r="AO234" i="88"/>
  <c r="AO233" i="88"/>
  <c r="AO232" i="88"/>
  <c r="AO231" i="88"/>
  <c r="AO230" i="88"/>
  <c r="AO229" i="88"/>
  <c r="AO228" i="88"/>
  <c r="AO227" i="88"/>
  <c r="AO226" i="88"/>
  <c r="AO225" i="88"/>
  <c r="AO224" i="88"/>
  <c r="AO223" i="88"/>
  <c r="AO222" i="88"/>
  <c r="AO221" i="88"/>
  <c r="AO220" i="88"/>
  <c r="AO219" i="88"/>
  <c r="AO218" i="88"/>
  <c r="AO217" i="88"/>
  <c r="AO216" i="88"/>
  <c r="AO215" i="88"/>
  <c r="AO214" i="88"/>
  <c r="AO213" i="88"/>
  <c r="AO212" i="88"/>
  <c r="AO211" i="88"/>
  <c r="AO210" i="88"/>
  <c r="AO209" i="88"/>
  <c r="AO208" i="88"/>
  <c r="AO207" i="88"/>
  <c r="AO206" i="88"/>
  <c r="AO205" i="88"/>
  <c r="AO204" i="88"/>
  <c r="AO203" i="88"/>
  <c r="AO202" i="88"/>
  <c r="AO201" i="88"/>
  <c r="AO200" i="88"/>
  <c r="AO199" i="88"/>
  <c r="AO198" i="88"/>
  <c r="AO197" i="88"/>
  <c r="AO196" i="88"/>
  <c r="AO195" i="88"/>
  <c r="AO194" i="88"/>
  <c r="AO193" i="88"/>
  <c r="AO192" i="88"/>
  <c r="AO191" i="88"/>
  <c r="AO190" i="88"/>
  <c r="AO189" i="88"/>
  <c r="AO188" i="88"/>
  <c r="AO187" i="88"/>
  <c r="AO186" i="88"/>
  <c r="AO185" i="88"/>
  <c r="AO184" i="88"/>
  <c r="AO183" i="88"/>
  <c r="AO182" i="88"/>
  <c r="AO181" i="88"/>
  <c r="AO180" i="88"/>
  <c r="AO179" i="88"/>
  <c r="AO178" i="88"/>
  <c r="AO177" i="88"/>
  <c r="AO176" i="88"/>
  <c r="AO175" i="88"/>
  <c r="AO174" i="88"/>
  <c r="AO173" i="88"/>
  <c r="AO172" i="88"/>
  <c r="AO171" i="88"/>
  <c r="AO170" i="88"/>
  <c r="AO169" i="88"/>
  <c r="AO168" i="88"/>
  <c r="AO167" i="88"/>
  <c r="AO166" i="88"/>
  <c r="AO165" i="88"/>
  <c r="AO164" i="88"/>
  <c r="AO163" i="88"/>
  <c r="AO162" i="88"/>
  <c r="AO161" i="88"/>
  <c r="AO160" i="88"/>
  <c r="AO159" i="88"/>
  <c r="AO158" i="88"/>
  <c r="AO157" i="88"/>
  <c r="AO156" i="88"/>
  <c r="AO155" i="88"/>
  <c r="AO154" i="88"/>
  <c r="AO153" i="88"/>
  <c r="AO152" i="88"/>
  <c r="AO151" i="88"/>
  <c r="AO150" i="88"/>
  <c r="AO149" i="88"/>
  <c r="AO148" i="88"/>
  <c r="AO147" i="88"/>
  <c r="AO146" i="88"/>
  <c r="AO145" i="88"/>
  <c r="AO144" i="88"/>
  <c r="AO143" i="88"/>
  <c r="AO142" i="88"/>
  <c r="AO141" i="88"/>
  <c r="AO140" i="88"/>
  <c r="AO139" i="88"/>
  <c r="AO138" i="88"/>
  <c r="AO137" i="88"/>
  <c r="AO136" i="88"/>
  <c r="AO135" i="88"/>
  <c r="AO134" i="88"/>
  <c r="AO133" i="88"/>
  <c r="AO132" i="88"/>
  <c r="AO131" i="88"/>
  <c r="AO130" i="88"/>
  <c r="AO129" i="88"/>
  <c r="AO128" i="88"/>
  <c r="AO127" i="88"/>
  <c r="AO126" i="88"/>
  <c r="AO125" i="88"/>
  <c r="AO124" i="88"/>
  <c r="AO123" i="88"/>
  <c r="AO122" i="88"/>
  <c r="AO121" i="88"/>
  <c r="AO120" i="88"/>
  <c r="AO119" i="88"/>
  <c r="AO118" i="88"/>
  <c r="AO117" i="88"/>
  <c r="AO116" i="88"/>
  <c r="AO115" i="88"/>
  <c r="AO114" i="88"/>
  <c r="AO113" i="88"/>
  <c r="AO112" i="88"/>
  <c r="AO111" i="88"/>
  <c r="AO110" i="88"/>
  <c r="AO109" i="88"/>
  <c r="AO108" i="88"/>
  <c r="AO107" i="88"/>
  <c r="AO106" i="88"/>
  <c r="AO105" i="88"/>
  <c r="AO104" i="88"/>
  <c r="AO103" i="88"/>
  <c r="AO102" i="88"/>
  <c r="AO101" i="88"/>
  <c r="AO100" i="88"/>
  <c r="AO99" i="88"/>
  <c r="AO98" i="88"/>
  <c r="AO97" i="88"/>
  <c r="AO96" i="88"/>
  <c r="AO95" i="88"/>
  <c r="AO94" i="88"/>
  <c r="AO93" i="88"/>
  <c r="AO92" i="88"/>
  <c r="AO91" i="88"/>
  <c r="AO90" i="88"/>
  <c r="AO89" i="88"/>
  <c r="AO88" i="88"/>
  <c r="AO87" i="88"/>
  <c r="AO86" i="88"/>
  <c r="AO85" i="88"/>
  <c r="AO84" i="88"/>
  <c r="AO83" i="88"/>
  <c r="AO82" i="88"/>
  <c r="AO81" i="88"/>
  <c r="AO80" i="88"/>
  <c r="AO79" i="88"/>
  <c r="AO78" i="88"/>
  <c r="AO77" i="88"/>
  <c r="AO76" i="88"/>
  <c r="AO75" i="88"/>
  <c r="AO74" i="88"/>
  <c r="AO73" i="88"/>
  <c r="AO72" i="88"/>
  <c r="AO71" i="88"/>
  <c r="AO70" i="88"/>
  <c r="AO69" i="88"/>
  <c r="AO68" i="88"/>
  <c r="AO67" i="88"/>
  <c r="AO66" i="88"/>
  <c r="AO65" i="88"/>
  <c r="AO64" i="88"/>
  <c r="AO63" i="88"/>
  <c r="AO62" i="88"/>
  <c r="AO61" i="88"/>
  <c r="AO60" i="88"/>
  <c r="AO59" i="88"/>
  <c r="AO58" i="88"/>
  <c r="AO57" i="88"/>
  <c r="AO56" i="88"/>
  <c r="AO55" i="88"/>
  <c r="AO54" i="88"/>
  <c r="AO53" i="88"/>
  <c r="AO52" i="88"/>
  <c r="AO51" i="88"/>
  <c r="AO50" i="88"/>
  <c r="AO49" i="88"/>
  <c r="AO48" i="88"/>
  <c r="AO47" i="88"/>
  <c r="AO46" i="88"/>
  <c r="AO45" i="88"/>
  <c r="AO44" i="88"/>
  <c r="AO43" i="88"/>
  <c r="AO42" i="88"/>
  <c r="AO41" i="88"/>
  <c r="AO40" i="88"/>
  <c r="AO39" i="88"/>
  <c r="AO38" i="88"/>
  <c r="AO37" i="88"/>
  <c r="AO36" i="88"/>
  <c r="AO35" i="88"/>
  <c r="AO34" i="88"/>
  <c r="AO33" i="88"/>
  <c r="AO32" i="88"/>
  <c r="AO31" i="88"/>
  <c r="AO30" i="88"/>
  <c r="AO29" i="88"/>
  <c r="AO28" i="88"/>
  <c r="AO27" i="88"/>
  <c r="AO26" i="88"/>
  <c r="AO25" i="88"/>
  <c r="AO24" i="88"/>
  <c r="AO23" i="88"/>
  <c r="AO21" i="88"/>
  <c r="AO20" i="88"/>
  <c r="AO19" i="88"/>
  <c r="AO18" i="88"/>
  <c r="AO16" i="88"/>
  <c r="AO15" i="88"/>
  <c r="AO14" i="88"/>
  <c r="AO13" i="88"/>
  <c r="AO12" i="88"/>
  <c r="AO11" i="88"/>
  <c r="AO10" i="88"/>
  <c r="AO9" i="88"/>
  <c r="AO8" i="88"/>
  <c r="AO5" i="88"/>
  <c r="AZ1017" i="88"/>
  <c r="AZ1016" i="88"/>
  <c r="AZ1015" i="88"/>
  <c r="AZ1014" i="88"/>
  <c r="AZ1013" i="88"/>
  <c r="AZ1012" i="88"/>
  <c r="AZ1011" i="88"/>
  <c r="AZ1010" i="88"/>
  <c r="AZ1009" i="88"/>
  <c r="AZ1008" i="88"/>
  <c r="AZ1007" i="88"/>
  <c r="AZ1006" i="88"/>
  <c r="AZ1005" i="88"/>
  <c r="AZ1004" i="88"/>
  <c r="AZ1003" i="88"/>
  <c r="AZ1002" i="88"/>
  <c r="AZ1001" i="88"/>
  <c r="AZ1000" i="88"/>
  <c r="AZ999" i="88"/>
  <c r="AZ998" i="88"/>
  <c r="AZ997" i="88"/>
  <c r="AZ996" i="88"/>
  <c r="AZ995" i="88"/>
  <c r="AZ994" i="88"/>
  <c r="AZ993" i="88"/>
  <c r="AZ992" i="88"/>
  <c r="AZ991" i="88"/>
  <c r="AZ990" i="88"/>
  <c r="AZ989" i="88"/>
  <c r="AZ988" i="88"/>
  <c r="AZ987" i="88"/>
  <c r="AZ986" i="88"/>
  <c r="AZ985" i="88"/>
  <c r="AZ984" i="88"/>
  <c r="AZ983" i="88"/>
  <c r="AZ982" i="88"/>
  <c r="AZ981" i="88"/>
  <c r="AZ980" i="88"/>
  <c r="AZ979" i="88"/>
  <c r="AZ978" i="88"/>
  <c r="AZ977" i="88"/>
  <c r="AZ976" i="88"/>
  <c r="AZ975" i="88"/>
  <c r="AZ974" i="88"/>
  <c r="AZ973" i="88"/>
  <c r="AZ972" i="88"/>
  <c r="AZ971" i="88"/>
  <c r="AZ970" i="88"/>
  <c r="AZ969" i="88"/>
  <c r="AZ968" i="88"/>
  <c r="AZ967" i="88"/>
  <c r="AZ966" i="88"/>
  <c r="AZ965" i="88"/>
  <c r="AZ964" i="88"/>
  <c r="AZ963" i="88"/>
  <c r="AZ962" i="88"/>
  <c r="AZ961" i="88"/>
  <c r="AZ960" i="88"/>
  <c r="AZ959" i="88"/>
  <c r="AZ958" i="88"/>
  <c r="AZ957" i="88"/>
  <c r="AZ956" i="88"/>
  <c r="AZ955" i="88"/>
  <c r="AZ954" i="88"/>
  <c r="AZ953" i="88"/>
  <c r="AZ952" i="88"/>
  <c r="AZ951" i="88"/>
  <c r="AZ950" i="88"/>
  <c r="AZ949" i="88"/>
  <c r="AZ948" i="88"/>
  <c r="AZ947" i="88"/>
  <c r="AZ946" i="88"/>
  <c r="AZ945" i="88"/>
  <c r="AZ944" i="88"/>
  <c r="AZ943" i="88"/>
  <c r="AZ942" i="88"/>
  <c r="AZ941" i="88"/>
  <c r="AZ940" i="88"/>
  <c r="AZ939" i="88"/>
  <c r="AZ938" i="88"/>
  <c r="AZ937" i="88"/>
  <c r="AZ936" i="88"/>
  <c r="AZ935" i="88"/>
  <c r="AZ934" i="88"/>
  <c r="AZ933" i="88"/>
  <c r="AZ932" i="88"/>
  <c r="AZ931" i="88"/>
  <c r="AZ930" i="88"/>
  <c r="AZ929" i="88"/>
  <c r="AZ928" i="88"/>
  <c r="AZ927" i="88"/>
  <c r="AZ926" i="88"/>
  <c r="AZ925" i="88"/>
  <c r="AZ924" i="88"/>
  <c r="AZ923" i="88"/>
  <c r="AZ922" i="88"/>
  <c r="AZ921" i="88"/>
  <c r="AZ920" i="88"/>
  <c r="AZ919" i="88"/>
  <c r="AZ918" i="88"/>
  <c r="AZ917" i="88"/>
  <c r="AZ916" i="88"/>
  <c r="AZ915" i="88"/>
  <c r="AZ914" i="88"/>
  <c r="AZ913" i="88"/>
  <c r="AZ912" i="88"/>
  <c r="AZ911" i="88"/>
  <c r="AZ910" i="88"/>
  <c r="AZ909" i="88"/>
  <c r="AZ908" i="88"/>
  <c r="AZ907" i="88"/>
  <c r="AZ906" i="88"/>
  <c r="AZ905" i="88"/>
  <c r="AZ904" i="88"/>
  <c r="AZ903" i="88"/>
  <c r="AZ902" i="88"/>
  <c r="AZ901" i="88"/>
  <c r="AZ900" i="88"/>
  <c r="AZ899" i="88"/>
  <c r="AZ898" i="88"/>
  <c r="AZ897" i="88"/>
  <c r="AZ896" i="88"/>
  <c r="AZ895" i="88"/>
  <c r="AZ894" i="88"/>
  <c r="AZ893" i="88"/>
  <c r="AZ892" i="88"/>
  <c r="AZ891" i="88"/>
  <c r="AZ890" i="88"/>
  <c r="AZ889" i="88"/>
  <c r="AZ888" i="88"/>
  <c r="AZ887" i="88"/>
  <c r="AZ886" i="88"/>
  <c r="AZ885" i="88"/>
  <c r="AZ884" i="88"/>
  <c r="AZ883" i="88"/>
  <c r="AZ882" i="88"/>
  <c r="AZ881" i="88"/>
  <c r="AZ880" i="88"/>
  <c r="AZ879" i="88"/>
  <c r="AZ878" i="88"/>
  <c r="AZ877" i="88"/>
  <c r="AZ876" i="88"/>
  <c r="AZ875" i="88"/>
  <c r="AZ874" i="88"/>
  <c r="AZ873" i="88"/>
  <c r="AZ872" i="88"/>
  <c r="AZ871" i="88"/>
  <c r="AZ870" i="88"/>
  <c r="AZ869" i="88"/>
  <c r="AZ868" i="88"/>
  <c r="AZ867" i="88"/>
  <c r="AZ866" i="88"/>
  <c r="AZ865" i="88"/>
  <c r="AZ864" i="88"/>
  <c r="AZ863" i="88"/>
  <c r="AZ862" i="88"/>
  <c r="AZ861" i="88"/>
  <c r="AZ860" i="88"/>
  <c r="AZ859" i="88"/>
  <c r="AZ858" i="88"/>
  <c r="AZ857" i="88"/>
  <c r="AZ856" i="88"/>
  <c r="AZ855" i="88"/>
  <c r="AZ854" i="88"/>
  <c r="AZ853" i="88"/>
  <c r="AZ852" i="88"/>
  <c r="AZ851" i="88"/>
  <c r="AZ850" i="88"/>
  <c r="AZ849" i="88"/>
  <c r="AZ848" i="88"/>
  <c r="AZ847" i="88"/>
  <c r="AZ846" i="88"/>
  <c r="AZ845" i="88"/>
  <c r="AZ844" i="88"/>
  <c r="AZ843" i="88"/>
  <c r="AZ842" i="88"/>
  <c r="AZ841" i="88"/>
  <c r="AZ840" i="88"/>
  <c r="AZ839" i="88"/>
  <c r="AZ838" i="88"/>
  <c r="AZ837" i="88"/>
  <c r="AZ836" i="88"/>
  <c r="AZ835" i="88"/>
  <c r="AZ834" i="88"/>
  <c r="AZ833" i="88"/>
  <c r="AZ832" i="88"/>
  <c r="AZ831" i="88"/>
  <c r="AZ830" i="88"/>
  <c r="AZ829" i="88"/>
  <c r="AZ828" i="88"/>
  <c r="AZ827" i="88"/>
  <c r="AZ826" i="88"/>
  <c r="AZ825" i="88"/>
  <c r="AZ824" i="88"/>
  <c r="AZ823" i="88"/>
  <c r="AZ822" i="88"/>
  <c r="AZ821" i="88"/>
  <c r="AZ820" i="88"/>
  <c r="AZ819" i="88"/>
  <c r="AZ818" i="88"/>
  <c r="AZ817" i="88"/>
  <c r="AZ816" i="88"/>
  <c r="AZ815" i="88"/>
  <c r="AZ814" i="88"/>
  <c r="AZ813" i="88"/>
  <c r="AZ812" i="88"/>
  <c r="AZ811" i="88"/>
  <c r="AZ810" i="88"/>
  <c r="AZ809" i="88"/>
  <c r="AZ808" i="88"/>
  <c r="AZ807" i="88"/>
  <c r="AZ806" i="88"/>
  <c r="AZ805" i="88"/>
  <c r="AZ804" i="88"/>
  <c r="AZ803" i="88"/>
  <c r="AZ802" i="88"/>
  <c r="AZ801" i="88"/>
  <c r="AZ800" i="88"/>
  <c r="AZ799" i="88"/>
  <c r="AZ798" i="88"/>
  <c r="AZ797" i="88"/>
  <c r="AZ796" i="88"/>
  <c r="AZ795" i="88"/>
  <c r="AZ794" i="88"/>
  <c r="AZ793" i="88"/>
  <c r="AZ792" i="88"/>
  <c r="AZ791" i="88"/>
  <c r="AZ790" i="88"/>
  <c r="AZ789" i="88"/>
  <c r="AZ788" i="88"/>
  <c r="AZ787" i="88"/>
  <c r="AZ786" i="88"/>
  <c r="AZ785" i="88"/>
  <c r="AZ784" i="88"/>
  <c r="AZ783" i="88"/>
  <c r="AZ782" i="88"/>
  <c r="AZ781" i="88"/>
  <c r="AZ780" i="88"/>
  <c r="AZ779" i="88"/>
  <c r="AZ778" i="88"/>
  <c r="AZ777" i="88"/>
  <c r="AZ776" i="88"/>
  <c r="AZ775" i="88"/>
  <c r="AZ774" i="88"/>
  <c r="AZ773" i="88"/>
  <c r="AZ772" i="88"/>
  <c r="AZ771" i="88"/>
  <c r="AZ770" i="88"/>
  <c r="AZ769" i="88"/>
  <c r="AZ768" i="88"/>
  <c r="AZ767" i="88"/>
  <c r="AZ766" i="88"/>
  <c r="AZ765" i="88"/>
  <c r="AZ764" i="88"/>
  <c r="AZ763" i="88"/>
  <c r="AZ762" i="88"/>
  <c r="AZ761" i="88"/>
  <c r="AZ760" i="88"/>
  <c r="AZ759" i="88"/>
  <c r="AZ758" i="88"/>
  <c r="AZ757" i="88"/>
  <c r="AZ756" i="88"/>
  <c r="AZ755" i="88"/>
  <c r="AZ754" i="88"/>
  <c r="AZ753" i="88"/>
  <c r="AZ752" i="88"/>
  <c r="AZ751" i="88"/>
  <c r="AZ750" i="88"/>
  <c r="AZ749" i="88"/>
  <c r="AZ748" i="88"/>
  <c r="AZ747" i="88"/>
  <c r="AZ746" i="88"/>
  <c r="AZ745" i="88"/>
  <c r="AZ744" i="88"/>
  <c r="AZ743" i="88"/>
  <c r="AZ742" i="88"/>
  <c r="AZ741" i="88"/>
  <c r="AZ740" i="88"/>
  <c r="AZ739" i="88"/>
  <c r="AZ738" i="88"/>
  <c r="AZ737" i="88"/>
  <c r="AZ736" i="88"/>
  <c r="AZ735" i="88"/>
  <c r="AZ734" i="88"/>
  <c r="AZ733" i="88"/>
  <c r="AZ732" i="88"/>
  <c r="AZ731" i="88"/>
  <c r="AZ730" i="88"/>
  <c r="AZ729" i="88"/>
  <c r="AZ728" i="88"/>
  <c r="AZ727" i="88"/>
  <c r="AZ726" i="88"/>
  <c r="AZ725" i="88"/>
  <c r="AZ724" i="88"/>
  <c r="AZ723" i="88"/>
  <c r="AZ722" i="88"/>
  <c r="AZ721" i="88"/>
  <c r="AZ720" i="88"/>
  <c r="AZ719" i="88"/>
  <c r="AZ718" i="88"/>
  <c r="AZ717" i="88"/>
  <c r="AZ716" i="88"/>
  <c r="AZ715" i="88"/>
  <c r="AZ714" i="88"/>
  <c r="AZ713" i="88"/>
  <c r="AZ712" i="88"/>
  <c r="AZ711" i="88"/>
  <c r="AZ710" i="88"/>
  <c r="AZ709" i="88"/>
  <c r="AZ708" i="88"/>
  <c r="AZ707" i="88"/>
  <c r="AZ706" i="88"/>
  <c r="AZ705" i="88"/>
  <c r="AZ704" i="88"/>
  <c r="AZ703" i="88"/>
  <c r="AZ702" i="88"/>
  <c r="AZ701" i="88"/>
  <c r="AZ700" i="88"/>
  <c r="AZ699" i="88"/>
  <c r="AZ698" i="88"/>
  <c r="AZ697" i="88"/>
  <c r="AZ696" i="88"/>
  <c r="AZ695" i="88"/>
  <c r="AZ694" i="88"/>
  <c r="AZ693" i="88"/>
  <c r="AZ692" i="88"/>
  <c r="AZ691" i="88"/>
  <c r="AZ690" i="88"/>
  <c r="AZ689" i="88"/>
  <c r="AZ688" i="88"/>
  <c r="AZ687" i="88"/>
  <c r="AZ686" i="88"/>
  <c r="AZ685" i="88"/>
  <c r="AZ684" i="88"/>
  <c r="AZ683" i="88"/>
  <c r="AZ682" i="88"/>
  <c r="AZ681" i="88"/>
  <c r="AZ680" i="88"/>
  <c r="AZ679" i="88"/>
  <c r="AZ678" i="88"/>
  <c r="AZ677" i="88"/>
  <c r="AZ676" i="88"/>
  <c r="AZ675" i="88"/>
  <c r="AZ674" i="88"/>
  <c r="AZ673" i="88"/>
  <c r="AZ672" i="88"/>
  <c r="AZ671" i="88"/>
  <c r="AZ670" i="88"/>
  <c r="AZ669" i="88"/>
  <c r="AZ668" i="88"/>
  <c r="AZ667" i="88"/>
  <c r="D5" i="88" l="1"/>
  <c r="AZ484" i="88" l="1"/>
  <c r="AZ483" i="88"/>
  <c r="AZ482" i="88"/>
  <c r="AZ481" i="88"/>
  <c r="AZ480" i="88"/>
  <c r="AZ479" i="88"/>
  <c r="AZ478" i="88"/>
  <c r="AZ477" i="88"/>
  <c r="AZ476" i="88"/>
  <c r="AZ475" i="88"/>
  <c r="AZ474" i="88"/>
  <c r="AZ473" i="88"/>
  <c r="AZ472" i="88"/>
  <c r="AZ471" i="88"/>
  <c r="AZ470" i="88"/>
  <c r="AZ469" i="88"/>
  <c r="AZ468" i="88"/>
  <c r="AZ467" i="88"/>
  <c r="AZ466" i="88"/>
  <c r="AZ465" i="88"/>
  <c r="AZ464" i="88"/>
  <c r="AZ463" i="88"/>
  <c r="AZ462" i="88"/>
  <c r="AZ461" i="88"/>
  <c r="AZ460" i="88"/>
  <c r="AZ459" i="88"/>
  <c r="AZ458" i="88"/>
  <c r="AZ457" i="88"/>
  <c r="AZ456" i="88"/>
  <c r="AZ455" i="88"/>
  <c r="AZ454" i="88"/>
  <c r="AZ453" i="88"/>
  <c r="AZ452" i="88"/>
  <c r="AZ451" i="88"/>
  <c r="AZ450" i="88"/>
  <c r="AZ449" i="88"/>
  <c r="AZ448" i="88"/>
  <c r="AZ447" i="88"/>
  <c r="AZ446" i="88"/>
  <c r="AZ445" i="88"/>
  <c r="AZ444" i="88"/>
  <c r="AZ443" i="88"/>
  <c r="AZ442" i="88"/>
  <c r="AZ441" i="88"/>
  <c r="AZ440" i="88"/>
  <c r="AZ439" i="88"/>
  <c r="AZ438" i="88"/>
  <c r="AZ437" i="88"/>
  <c r="AZ436" i="88"/>
  <c r="AZ435" i="88"/>
  <c r="AZ434" i="88"/>
  <c r="AZ433" i="88"/>
  <c r="AZ432" i="88"/>
  <c r="AZ431" i="88"/>
  <c r="AZ430" i="88"/>
  <c r="AZ429" i="88"/>
  <c r="AZ428" i="88"/>
  <c r="AZ427" i="88"/>
  <c r="AZ426" i="88"/>
  <c r="AZ425" i="88"/>
  <c r="AZ424" i="88"/>
  <c r="AZ423" i="88"/>
  <c r="AZ422" i="88"/>
  <c r="AZ421" i="88"/>
  <c r="AZ420" i="88"/>
  <c r="AZ419" i="88"/>
  <c r="AZ418" i="88"/>
  <c r="AZ417" i="88"/>
  <c r="AZ416" i="88"/>
  <c r="AZ415" i="88"/>
  <c r="AZ414" i="88"/>
  <c r="AZ413" i="88"/>
  <c r="AZ412" i="88"/>
  <c r="AZ411" i="88"/>
  <c r="AZ410" i="88"/>
  <c r="AZ409" i="88"/>
  <c r="AZ408" i="88"/>
  <c r="AZ407" i="88"/>
  <c r="AZ406" i="88"/>
  <c r="AZ405" i="88"/>
  <c r="AZ404" i="88"/>
  <c r="AZ403" i="88"/>
  <c r="AZ402" i="88"/>
  <c r="AZ401" i="88"/>
  <c r="AZ400" i="88"/>
  <c r="AZ399" i="88"/>
  <c r="AZ398" i="88"/>
  <c r="AZ397" i="88"/>
  <c r="AZ396" i="88"/>
  <c r="AZ395" i="88"/>
  <c r="AZ394" i="88"/>
  <c r="AZ393" i="88"/>
  <c r="AZ392" i="88"/>
  <c r="AZ391" i="88"/>
  <c r="AZ390" i="88"/>
  <c r="AZ389" i="88"/>
  <c r="AZ388" i="88"/>
  <c r="AZ387" i="88"/>
  <c r="AZ386" i="88"/>
  <c r="AZ385" i="88"/>
  <c r="AZ384" i="88"/>
  <c r="AZ383" i="88"/>
  <c r="AZ382" i="88"/>
  <c r="AZ381" i="88"/>
  <c r="AZ380" i="88"/>
  <c r="AZ379" i="88"/>
  <c r="AZ378" i="88"/>
  <c r="AZ377" i="88"/>
  <c r="AZ376" i="88"/>
  <c r="AZ375" i="88"/>
  <c r="AZ374" i="88"/>
  <c r="AZ373" i="88"/>
  <c r="AZ372" i="88"/>
  <c r="AZ371" i="88"/>
  <c r="AZ370" i="88"/>
  <c r="AZ369" i="88"/>
  <c r="AZ368" i="88"/>
  <c r="AZ367" i="88"/>
  <c r="AZ366" i="88"/>
  <c r="AZ365" i="88"/>
  <c r="AZ364" i="88"/>
  <c r="AZ363" i="88"/>
  <c r="AZ362" i="88"/>
  <c r="AZ361" i="88"/>
  <c r="AZ360" i="88"/>
  <c r="AZ359" i="88"/>
  <c r="AZ358" i="88"/>
  <c r="AZ357" i="88"/>
  <c r="AZ356" i="88"/>
  <c r="AZ355" i="88"/>
  <c r="AZ354" i="88"/>
  <c r="AZ353" i="88"/>
  <c r="AZ352" i="88"/>
  <c r="AZ351" i="88"/>
  <c r="AZ350" i="88"/>
  <c r="AZ349" i="88"/>
  <c r="AZ348" i="88"/>
  <c r="AZ347" i="88"/>
  <c r="AZ346" i="88"/>
  <c r="AZ345" i="88"/>
  <c r="AZ344" i="88"/>
  <c r="AZ343" i="88"/>
  <c r="AZ342" i="88"/>
  <c r="AZ341" i="88"/>
  <c r="AZ340" i="88"/>
  <c r="AZ339" i="88"/>
  <c r="AZ338" i="88"/>
  <c r="AZ337" i="88"/>
  <c r="AZ336" i="88"/>
  <c r="AZ335" i="88"/>
  <c r="AZ334" i="88"/>
  <c r="AZ333" i="88"/>
  <c r="AZ332" i="88"/>
  <c r="AZ331" i="88"/>
  <c r="AZ330" i="88"/>
  <c r="AZ329" i="88"/>
  <c r="AZ328" i="88"/>
  <c r="AZ327" i="88"/>
  <c r="AZ326" i="88"/>
  <c r="AZ325" i="88"/>
  <c r="AZ324" i="88"/>
  <c r="AZ323" i="88"/>
  <c r="AZ322" i="88"/>
  <c r="AZ321" i="88"/>
  <c r="AZ320" i="88"/>
  <c r="AZ319" i="88"/>
  <c r="AZ318" i="88"/>
  <c r="AZ317" i="88"/>
  <c r="AZ316" i="88"/>
  <c r="AZ315" i="88"/>
  <c r="AZ314" i="88"/>
  <c r="AZ313" i="88"/>
  <c r="AZ312" i="88"/>
  <c r="AZ311" i="88"/>
  <c r="AZ310" i="88"/>
  <c r="AZ309" i="88"/>
  <c r="AZ308" i="88"/>
  <c r="AZ307" i="88"/>
  <c r="AZ306" i="88"/>
  <c r="AZ305" i="88"/>
  <c r="AZ304" i="88"/>
  <c r="AZ303" i="88"/>
  <c r="AZ302" i="88"/>
  <c r="AZ301" i="88"/>
  <c r="AZ300" i="88"/>
  <c r="AZ299" i="88"/>
  <c r="AZ298" i="88"/>
  <c r="AZ297" i="88"/>
  <c r="AZ296" i="88"/>
  <c r="AZ295" i="88"/>
  <c r="AZ294" i="88"/>
  <c r="AZ293" i="88"/>
  <c r="AZ292" i="88"/>
  <c r="AZ291" i="88"/>
  <c r="AZ290" i="88"/>
  <c r="AZ289" i="88"/>
  <c r="AZ288" i="88"/>
  <c r="AZ287" i="88"/>
  <c r="AZ286" i="88"/>
  <c r="AZ285" i="88"/>
  <c r="AZ284" i="88"/>
  <c r="AZ283" i="88"/>
  <c r="AZ282" i="88"/>
  <c r="AZ281" i="88"/>
  <c r="AZ280" i="88"/>
  <c r="AZ279" i="88"/>
  <c r="AZ278" i="88"/>
  <c r="AZ277" i="88"/>
  <c r="AZ276" i="88"/>
  <c r="AZ275" i="88"/>
  <c r="AZ274" i="88"/>
  <c r="AZ273" i="88"/>
  <c r="AZ272" i="88"/>
  <c r="AZ271" i="88"/>
  <c r="AZ270" i="88"/>
  <c r="AZ269" i="88"/>
  <c r="AZ268" i="88"/>
  <c r="AZ267" i="88"/>
  <c r="AZ266" i="88"/>
  <c r="AZ265" i="88"/>
  <c r="AZ264" i="88"/>
  <c r="AZ263" i="88"/>
  <c r="AZ262" i="88"/>
  <c r="AZ261" i="88"/>
  <c r="AZ260" i="88"/>
  <c r="AZ259" i="88"/>
  <c r="AZ258" i="88"/>
  <c r="AZ257" i="88"/>
  <c r="AZ256" i="88"/>
  <c r="AZ255" i="88"/>
  <c r="AZ254" i="88"/>
  <c r="AZ253" i="88"/>
  <c r="AZ252" i="88"/>
  <c r="AZ251" i="88"/>
  <c r="AZ250" i="88"/>
  <c r="AZ249" i="88"/>
  <c r="AZ248" i="88"/>
  <c r="AZ247" i="88"/>
  <c r="AZ246" i="88"/>
  <c r="AZ245" i="88"/>
  <c r="AZ244" i="88"/>
  <c r="AZ243" i="88"/>
  <c r="AZ242" i="88"/>
  <c r="AZ241" i="88"/>
  <c r="AZ240" i="88"/>
  <c r="AZ239" i="88"/>
  <c r="AZ238" i="88"/>
  <c r="AZ237" i="88"/>
  <c r="AZ236" i="88"/>
  <c r="AZ235" i="88"/>
  <c r="AZ234" i="88"/>
  <c r="AZ233" i="88"/>
  <c r="AZ232" i="88"/>
  <c r="AZ231" i="88"/>
  <c r="AZ230" i="88"/>
  <c r="AZ229" i="88"/>
  <c r="AZ228" i="88"/>
  <c r="AZ227" i="88"/>
  <c r="AZ226" i="88"/>
  <c r="AZ225" i="88"/>
  <c r="AZ224" i="88"/>
  <c r="AZ223" i="88"/>
  <c r="AZ222" i="88"/>
  <c r="AZ221" i="88"/>
  <c r="AZ220" i="88"/>
  <c r="AZ219" i="88"/>
  <c r="AZ218" i="88"/>
  <c r="AZ217" i="88"/>
  <c r="AZ216" i="88"/>
  <c r="AZ215" i="88"/>
  <c r="AZ214" i="88"/>
  <c r="AZ213" i="88"/>
  <c r="AZ212" i="88"/>
  <c r="AZ211" i="88"/>
  <c r="AZ210" i="88"/>
  <c r="AZ209" i="88"/>
  <c r="AZ208" i="88"/>
  <c r="AZ207" i="88"/>
  <c r="AZ206" i="88"/>
  <c r="AZ205" i="88"/>
  <c r="AZ204" i="88"/>
  <c r="AZ203" i="88"/>
  <c r="AZ202" i="88"/>
  <c r="AZ201" i="88"/>
  <c r="AZ200" i="88"/>
  <c r="AZ199" i="88"/>
  <c r="AZ198" i="88"/>
  <c r="AZ197" i="88"/>
  <c r="AZ196" i="88"/>
  <c r="AZ195" i="88"/>
  <c r="AZ194" i="88"/>
  <c r="AZ193" i="88"/>
  <c r="AZ192" i="88"/>
  <c r="AZ191" i="88"/>
  <c r="AZ190" i="88"/>
  <c r="AZ189" i="88"/>
  <c r="AZ188" i="88"/>
  <c r="AZ187" i="88"/>
  <c r="AZ186" i="88"/>
  <c r="AZ185" i="88"/>
  <c r="AZ184" i="88"/>
  <c r="AZ183" i="88"/>
  <c r="AZ182" i="88"/>
  <c r="AZ181" i="88"/>
  <c r="AZ180" i="88"/>
  <c r="AZ179" i="88"/>
  <c r="AZ178" i="88"/>
  <c r="AZ177" i="88"/>
  <c r="AZ176" i="88"/>
  <c r="AZ175" i="88"/>
  <c r="AZ174" i="88"/>
  <c r="AZ173" i="88"/>
  <c r="AZ172" i="88"/>
  <c r="AZ171" i="88"/>
  <c r="AZ170" i="88"/>
  <c r="AZ169" i="88"/>
  <c r="AZ168" i="88"/>
  <c r="AZ167" i="88"/>
  <c r="AZ166" i="88"/>
  <c r="AZ165" i="88"/>
  <c r="AZ164" i="88"/>
  <c r="AZ163" i="88"/>
  <c r="AZ162" i="88"/>
  <c r="AZ161" i="88"/>
  <c r="AZ160" i="88"/>
  <c r="AZ159" i="88"/>
  <c r="AZ158" i="88"/>
  <c r="AZ157" i="88"/>
  <c r="AZ156" i="88"/>
  <c r="AZ155" i="88"/>
  <c r="AZ154" i="88"/>
  <c r="AZ153" i="88"/>
  <c r="AZ152" i="88"/>
  <c r="AZ151" i="88"/>
  <c r="AZ150" i="88"/>
  <c r="AZ149" i="88"/>
  <c r="AZ148" i="88"/>
  <c r="AZ147" i="88"/>
  <c r="AZ146" i="88"/>
  <c r="AZ145" i="88"/>
  <c r="AZ144" i="88"/>
  <c r="AZ143" i="88"/>
  <c r="AZ142" i="88"/>
  <c r="AZ141" i="88"/>
  <c r="AZ140" i="88"/>
  <c r="AZ139" i="88"/>
  <c r="AZ138" i="88"/>
  <c r="AZ137" i="88"/>
  <c r="AZ136" i="88"/>
  <c r="AZ135" i="88"/>
  <c r="AZ134" i="88"/>
  <c r="AZ133" i="88"/>
  <c r="AZ132" i="88"/>
  <c r="AZ131" i="88"/>
  <c r="AZ130" i="88"/>
  <c r="AZ129" i="88"/>
  <c r="AZ128" i="88"/>
  <c r="AZ127" i="88"/>
  <c r="AZ126" i="88"/>
  <c r="AZ125" i="88"/>
  <c r="AZ124" i="88"/>
  <c r="AZ123" i="88"/>
  <c r="AZ122" i="88"/>
  <c r="AZ121" i="88"/>
  <c r="AZ120" i="88"/>
  <c r="AZ119" i="88"/>
  <c r="AZ118" i="88"/>
  <c r="AZ117" i="88"/>
  <c r="AZ116" i="88"/>
  <c r="AZ115" i="88"/>
  <c r="AZ114" i="88"/>
  <c r="AZ113" i="88"/>
  <c r="AZ112" i="88"/>
  <c r="AZ111" i="88"/>
  <c r="AZ110" i="88"/>
  <c r="AZ109" i="88"/>
  <c r="AZ108" i="88"/>
  <c r="AZ107" i="88"/>
  <c r="AZ106" i="88"/>
  <c r="AZ105" i="88"/>
  <c r="AZ104" i="88"/>
  <c r="AZ103" i="88"/>
  <c r="AZ102" i="88"/>
  <c r="AZ101" i="88"/>
  <c r="AZ100" i="88"/>
  <c r="AZ99" i="88"/>
  <c r="AZ98" i="88"/>
  <c r="AZ97" i="88"/>
  <c r="AZ96" i="88"/>
  <c r="AZ95" i="88"/>
  <c r="AZ94" i="88"/>
  <c r="AZ93" i="88"/>
  <c r="AZ92" i="88"/>
  <c r="AZ91" i="88"/>
  <c r="AZ90" i="88"/>
  <c r="AZ89" i="88"/>
  <c r="AZ88" i="88"/>
  <c r="AZ87" i="88"/>
  <c r="AZ86" i="88"/>
  <c r="AZ85" i="88"/>
  <c r="AZ84" i="88"/>
  <c r="AZ83" i="88"/>
  <c r="AZ82" i="88"/>
  <c r="AZ81" i="88"/>
  <c r="AZ80" i="88"/>
  <c r="AZ79" i="88"/>
  <c r="AZ78" i="88"/>
  <c r="AZ77" i="88"/>
  <c r="AZ76" i="88"/>
  <c r="AZ75" i="88"/>
  <c r="AZ74" i="88"/>
  <c r="AZ73" i="88"/>
  <c r="AZ72" i="88"/>
  <c r="AZ71" i="88"/>
  <c r="AZ70" i="88"/>
  <c r="AZ69" i="88"/>
  <c r="AZ68" i="88"/>
  <c r="AZ67" i="88"/>
  <c r="AZ66" i="88"/>
  <c r="AZ65" i="88"/>
  <c r="AZ64" i="88"/>
  <c r="AZ63" i="88"/>
  <c r="AZ62" i="88"/>
  <c r="AZ61" i="88"/>
  <c r="AZ60" i="88"/>
  <c r="AZ59" i="88"/>
  <c r="AZ58" i="88"/>
  <c r="AZ57" i="88"/>
  <c r="AZ56" i="88"/>
  <c r="AZ55" i="88"/>
  <c r="AZ54" i="88"/>
  <c r="AZ53" i="88"/>
  <c r="AZ52" i="88"/>
  <c r="AZ51" i="88"/>
  <c r="AZ50" i="88"/>
  <c r="AZ49" i="88"/>
  <c r="AZ48" i="88"/>
  <c r="AZ47" i="88"/>
  <c r="AZ46" i="88"/>
  <c r="AZ45" i="88"/>
  <c r="AZ44" i="88"/>
  <c r="AZ43" i="88"/>
  <c r="AZ42" i="88"/>
  <c r="AZ41" i="88"/>
  <c r="AZ40" i="88"/>
  <c r="AZ39" i="88"/>
  <c r="AZ38" i="88"/>
  <c r="AZ37" i="88"/>
  <c r="AZ36" i="88"/>
  <c r="AZ35" i="88"/>
  <c r="AZ34" i="88"/>
  <c r="AZ33" i="88"/>
  <c r="AZ32" i="88"/>
  <c r="AZ31" i="88"/>
  <c r="AZ30" i="88"/>
  <c r="AZ29" i="88"/>
  <c r="AZ28" i="88"/>
  <c r="AZ27" i="88"/>
  <c r="AZ26" i="88"/>
  <c r="AZ25" i="88"/>
  <c r="AZ24" i="88"/>
  <c r="AZ23" i="88"/>
  <c r="AZ22" i="88"/>
  <c r="AZ21" i="88"/>
  <c r="AZ20" i="88"/>
  <c r="AZ19" i="88"/>
  <c r="AZ18" i="88"/>
  <c r="AZ17" i="88"/>
  <c r="AZ16" i="88"/>
  <c r="AZ15" i="88"/>
  <c r="AZ14" i="88"/>
  <c r="AZ13" i="88"/>
  <c r="AZ12" i="88"/>
  <c r="AZ11" i="88"/>
  <c r="AZ10" i="88"/>
  <c r="AZ9" i="88"/>
  <c r="AZ8" i="88"/>
  <c r="AZ7" i="88"/>
  <c r="AZ6" i="88"/>
  <c r="AZ5" i="88"/>
  <c r="AZ666" i="88"/>
  <c r="AZ665" i="88"/>
  <c r="AZ664" i="88"/>
  <c r="AZ663" i="88"/>
  <c r="AZ662" i="88"/>
  <c r="AZ661" i="88"/>
  <c r="AZ660" i="88"/>
  <c r="AZ659" i="88"/>
  <c r="AZ658" i="88"/>
  <c r="AZ657" i="88"/>
  <c r="AZ656" i="88"/>
  <c r="AZ655" i="88"/>
  <c r="AZ654" i="88"/>
  <c r="AZ653" i="88"/>
  <c r="AZ652" i="88"/>
  <c r="AZ651" i="88"/>
  <c r="AZ650" i="88"/>
  <c r="AZ649" i="88"/>
  <c r="AZ648" i="88"/>
  <c r="AZ647" i="88"/>
  <c r="AZ646" i="88"/>
  <c r="AZ645" i="88"/>
  <c r="AZ644" i="88"/>
  <c r="AZ643" i="88"/>
  <c r="AZ642" i="88"/>
  <c r="AZ641" i="88"/>
  <c r="AZ640" i="88"/>
  <c r="AZ639" i="88"/>
  <c r="AZ638" i="88"/>
  <c r="AZ637" i="88"/>
  <c r="AZ636" i="88"/>
  <c r="AZ635" i="88"/>
  <c r="AZ634" i="88"/>
  <c r="AZ633" i="88"/>
  <c r="AZ632" i="88"/>
  <c r="AZ631" i="88"/>
  <c r="AZ630" i="88"/>
  <c r="AZ629" i="88"/>
  <c r="AZ628" i="88"/>
  <c r="AZ627" i="88"/>
  <c r="AZ626" i="88"/>
  <c r="AZ625" i="88"/>
  <c r="AZ624" i="88"/>
  <c r="AZ623" i="88"/>
  <c r="AZ622" i="88"/>
  <c r="AZ621" i="88"/>
  <c r="AZ620" i="88"/>
  <c r="AZ619" i="88"/>
  <c r="AZ618" i="88"/>
  <c r="AZ617" i="88"/>
  <c r="AZ616" i="88"/>
  <c r="AZ615" i="88"/>
  <c r="AZ614" i="88"/>
  <c r="AZ613" i="88"/>
  <c r="AZ612" i="88"/>
  <c r="AZ611" i="88"/>
  <c r="AZ610" i="88"/>
  <c r="AZ609" i="88"/>
  <c r="AZ608" i="88"/>
  <c r="AZ607" i="88"/>
  <c r="AZ606" i="88"/>
  <c r="AZ605" i="88"/>
  <c r="AZ604" i="88"/>
  <c r="AZ603" i="88"/>
  <c r="AZ602" i="88"/>
  <c r="AZ601" i="88"/>
  <c r="AZ600" i="88"/>
  <c r="AZ599" i="88"/>
  <c r="AZ598" i="88"/>
  <c r="AZ597" i="88"/>
  <c r="AZ596" i="88"/>
  <c r="AZ595" i="88"/>
  <c r="AZ594" i="88"/>
  <c r="AZ593" i="88"/>
  <c r="AZ592" i="88"/>
  <c r="AZ591" i="88"/>
  <c r="AZ590" i="88"/>
  <c r="AZ589" i="88"/>
  <c r="AZ588" i="88"/>
  <c r="AZ587" i="88"/>
  <c r="AZ586" i="88"/>
  <c r="AZ585" i="88"/>
  <c r="AZ584" i="88"/>
  <c r="AZ583" i="88"/>
  <c r="AZ582" i="88"/>
  <c r="AZ581" i="88"/>
  <c r="AZ580" i="88"/>
  <c r="AZ579" i="88"/>
  <c r="AZ578" i="88"/>
  <c r="AZ577" i="88"/>
  <c r="AZ576" i="88"/>
  <c r="AZ575" i="88"/>
  <c r="AZ574" i="88"/>
  <c r="AZ573" i="88"/>
  <c r="AZ572" i="88"/>
  <c r="AZ571" i="88"/>
  <c r="AZ570" i="88"/>
  <c r="AZ569" i="88"/>
  <c r="AZ568" i="88"/>
  <c r="AZ567" i="88"/>
  <c r="AZ566" i="88"/>
  <c r="AZ565" i="88"/>
  <c r="AZ564" i="88"/>
  <c r="AZ563" i="88"/>
  <c r="AZ562" i="88"/>
  <c r="AZ561" i="88"/>
  <c r="AZ560" i="88"/>
  <c r="AZ559" i="88"/>
  <c r="AZ558" i="88"/>
  <c r="AZ557" i="88"/>
  <c r="AZ556" i="88"/>
  <c r="AZ555" i="88"/>
  <c r="AZ554" i="88"/>
  <c r="AZ553" i="88"/>
  <c r="AZ552" i="88"/>
  <c r="AZ551" i="88"/>
  <c r="AZ550" i="88"/>
  <c r="AZ549" i="88"/>
  <c r="AZ548" i="88"/>
  <c r="AZ547" i="88"/>
  <c r="AZ546" i="88"/>
  <c r="AZ545" i="88"/>
  <c r="AZ544" i="88"/>
  <c r="AZ543" i="88"/>
  <c r="AZ542" i="88"/>
  <c r="AZ541" i="88"/>
  <c r="AZ540" i="88"/>
  <c r="AZ539" i="88"/>
  <c r="AZ538" i="88"/>
  <c r="AZ537" i="88"/>
  <c r="AZ536" i="88"/>
  <c r="AZ535" i="88"/>
  <c r="AZ534" i="88"/>
  <c r="AZ533" i="88"/>
  <c r="AZ532" i="88"/>
  <c r="AZ531" i="88"/>
  <c r="AZ530" i="88"/>
  <c r="AZ529" i="88"/>
  <c r="AZ528" i="88"/>
  <c r="AZ527" i="88"/>
  <c r="AZ526" i="88"/>
  <c r="AZ525" i="88"/>
  <c r="AZ524" i="88"/>
  <c r="AZ523" i="88"/>
  <c r="AZ522" i="88"/>
  <c r="AZ521" i="88"/>
  <c r="AZ520" i="88"/>
  <c r="AZ519" i="88"/>
  <c r="AZ518" i="88"/>
  <c r="AZ517" i="88"/>
  <c r="AZ516" i="88"/>
  <c r="AZ515" i="88"/>
  <c r="AZ514" i="88"/>
  <c r="AZ513" i="88"/>
  <c r="AZ512" i="88"/>
  <c r="AZ511" i="88"/>
  <c r="AZ510" i="88"/>
  <c r="AZ509" i="88"/>
  <c r="AZ508" i="88"/>
  <c r="AZ507" i="88"/>
  <c r="AZ506" i="88"/>
  <c r="AZ505" i="88"/>
  <c r="AZ504" i="88"/>
  <c r="AZ503" i="88"/>
  <c r="AZ502" i="88"/>
  <c r="AZ501" i="88"/>
  <c r="AZ500" i="88"/>
  <c r="AZ499" i="88"/>
  <c r="AZ498" i="88"/>
  <c r="AZ497" i="88"/>
  <c r="AZ496" i="88"/>
  <c r="AZ495" i="88"/>
  <c r="AZ494" i="88"/>
  <c r="AZ493" i="88"/>
  <c r="AZ492" i="88"/>
  <c r="AZ491" i="88"/>
  <c r="AZ490" i="88"/>
  <c r="AZ489" i="88"/>
  <c r="AZ488" i="88"/>
  <c r="AZ487" i="88"/>
  <c r="AZ486" i="88"/>
  <c r="AZ485" i="88"/>
  <c r="BA381" i="88" l="1"/>
  <c r="BA369" i="88"/>
  <c r="BA373" i="88"/>
  <c r="BA378" i="88"/>
  <c r="BA322" i="88"/>
  <c r="BA346" i="88"/>
  <c r="BA374" i="88"/>
  <c r="BA377" i="88"/>
  <c r="BA345" i="88"/>
  <c r="BA353" i="88"/>
  <c r="BA285" i="88"/>
  <c r="BA325" i="88"/>
  <c r="BA306" i="88"/>
  <c r="BA290" i="88"/>
  <c r="BA329" i="88"/>
  <c r="BA262" i="88"/>
  <c r="BA303" i="88"/>
  <c r="BA313" i="88"/>
  <c r="BA314" i="88"/>
  <c r="BA341" i="88"/>
  <c r="BA349" i="88"/>
  <c r="BA376" i="88"/>
  <c r="BA379" i="88"/>
  <c r="BA380" i="88"/>
  <c r="BA375" i="88"/>
  <c r="BA274" i="88"/>
  <c r="BA253" i="88"/>
  <c r="BA294" i="88"/>
  <c r="BA289" i="88"/>
  <c r="BA317" i="88"/>
  <c r="BA321" i="88"/>
  <c r="BA286" i="88"/>
  <c r="BA292" i="88"/>
  <c r="BA297" i="88"/>
  <c r="BA298" i="88"/>
  <c r="BA305" i="88"/>
  <c r="BA309" i="88"/>
  <c r="BA276" i="88"/>
  <c r="BA244" i="88"/>
  <c r="BA323" i="88"/>
  <c r="BA333" i="88"/>
  <c r="BA337" i="88"/>
  <c r="BA347" i="88"/>
  <c r="BA350" i="88"/>
  <c r="BA357" i="88"/>
  <c r="BA361" i="88"/>
  <c r="BA365" i="88"/>
  <c r="BA370" i="88"/>
  <c r="BA301" i="88"/>
  <c r="BA293" i="88"/>
  <c r="BA302" i="88"/>
  <c r="BA348" i="88"/>
  <c r="BA352" i="88"/>
  <c r="BA372" i="88"/>
  <c r="BA291" i="88"/>
  <c r="BA324" i="88"/>
  <c r="BA351" i="88"/>
  <c r="BA371" i="88"/>
  <c r="BA254" i="88"/>
  <c r="BA268" i="88"/>
  <c r="BA304" i="88"/>
  <c r="BA307" i="88"/>
  <c r="BA310" i="88"/>
  <c r="BA318" i="88"/>
  <c r="BA338" i="88"/>
  <c r="BA342" i="88"/>
  <c r="BA366" i="88"/>
  <c r="BA257" i="88"/>
  <c r="BA273" i="88"/>
  <c r="BA284" i="88"/>
  <c r="BA288" i="88"/>
  <c r="BA296" i="88"/>
  <c r="BA300" i="88"/>
  <c r="BA308" i="88"/>
  <c r="BA312" i="88"/>
  <c r="BA316" i="88"/>
  <c r="BA320" i="88"/>
  <c r="BA328" i="88"/>
  <c r="BA332" i="88"/>
  <c r="BA336" i="88"/>
  <c r="BA340" i="88"/>
  <c r="BA344" i="88"/>
  <c r="BA356" i="88"/>
  <c r="BA360" i="88"/>
  <c r="BA364" i="88"/>
  <c r="BA368" i="88"/>
  <c r="BA255" i="88"/>
  <c r="BA272" i="88"/>
  <c r="BA280" i="88"/>
  <c r="BA287" i="88"/>
  <c r="BA295" i="88"/>
  <c r="BA299" i="88"/>
  <c r="BA311" i="88"/>
  <c r="BA315" i="88"/>
  <c r="BA319" i="88"/>
  <c r="BA327" i="88"/>
  <c r="BA331" i="88"/>
  <c r="BA335" i="88"/>
  <c r="BA339" i="88"/>
  <c r="BA343" i="88"/>
  <c r="BA355" i="88"/>
  <c r="BA359" i="88"/>
  <c r="BA363" i="88"/>
  <c r="BA367" i="88"/>
  <c r="BA326" i="88"/>
  <c r="BA330" i="88"/>
  <c r="BA334" i="88"/>
  <c r="BA354" i="88"/>
  <c r="BA358" i="88"/>
  <c r="BA362" i="88"/>
  <c r="BA282" i="88"/>
  <c r="BA239" i="88"/>
  <c r="BA241" i="88"/>
  <c r="BA270" i="88"/>
  <c r="BA247" i="88"/>
  <c r="BA265" i="88"/>
  <c r="BA269" i="88"/>
  <c r="BA277" i="88"/>
  <c r="BA281" i="88"/>
  <c r="BA243" i="88"/>
  <c r="BA261" i="88"/>
  <c r="BA267" i="88"/>
  <c r="BA271" i="88"/>
  <c r="BA275" i="88"/>
  <c r="BA279" i="88"/>
  <c r="BA283" i="88"/>
  <c r="BA258" i="88"/>
  <c r="BA266" i="88"/>
  <c r="BA278" i="88"/>
  <c r="BA256" i="88"/>
  <c r="BA235" i="88"/>
  <c r="BA240" i="88"/>
  <c r="BA251" i="88"/>
  <c r="BA259" i="88"/>
  <c r="BA263" i="88"/>
  <c r="BA252" i="88"/>
  <c r="BA260" i="88"/>
  <c r="BA264" i="88"/>
  <c r="BA231" i="88"/>
  <c r="BA220" i="88"/>
  <c r="BA232" i="88"/>
  <c r="BA200" i="88"/>
  <c r="BA187" i="88"/>
  <c r="BA184" i="88"/>
  <c r="BA179" i="88"/>
  <c r="BA217" i="88"/>
  <c r="BA245" i="88"/>
  <c r="BA209" i="88"/>
  <c r="BA221" i="88"/>
  <c r="BA183" i="88"/>
  <c r="BA191" i="88"/>
  <c r="BA199" i="88"/>
  <c r="BA188" i="88"/>
  <c r="BA208" i="88"/>
  <c r="BA215" i="88"/>
  <c r="BA219" i="88"/>
  <c r="BA233" i="88"/>
  <c r="BA237" i="88"/>
  <c r="BA242" i="88"/>
  <c r="BA223" i="88"/>
  <c r="BA211" i="88"/>
  <c r="BA227" i="88"/>
  <c r="BA185" i="88"/>
  <c r="BA203" i="88"/>
  <c r="BA195" i="88"/>
  <c r="BA197" i="88"/>
  <c r="BA207" i="88"/>
  <c r="BA212" i="88"/>
  <c r="BA196" i="88"/>
  <c r="BA218" i="88"/>
  <c r="BA178" i="88"/>
  <c r="BA189" i="88"/>
  <c r="BA193" i="88"/>
  <c r="BA198" i="88"/>
  <c r="BA201" i="88"/>
  <c r="BA205" i="88"/>
  <c r="BA210" i="88"/>
  <c r="BA225" i="88"/>
  <c r="BA229" i="88"/>
  <c r="BA213" i="88"/>
  <c r="BA152" i="88"/>
  <c r="BA181" i="88"/>
  <c r="BA216" i="88"/>
  <c r="BA249" i="88"/>
  <c r="BA180" i="88"/>
  <c r="BA192" i="88"/>
  <c r="BA204" i="88"/>
  <c r="BA224" i="88"/>
  <c r="BA228" i="88"/>
  <c r="BA236" i="88"/>
  <c r="BA248" i="88"/>
  <c r="BA182" i="88"/>
  <c r="BA186" i="88"/>
  <c r="BA190" i="88"/>
  <c r="BA194" i="88"/>
  <c r="BA202" i="88"/>
  <c r="BA206" i="88"/>
  <c r="BA214" i="88"/>
  <c r="BA222" i="88"/>
  <c r="BA226" i="88"/>
  <c r="BA230" i="88"/>
  <c r="BA234" i="88"/>
  <c r="BA238" i="88"/>
  <c r="BA246" i="88"/>
  <c r="BA250" i="88"/>
  <c r="BA136" i="88"/>
  <c r="BA176" i="88"/>
  <c r="BA114" i="88"/>
  <c r="BA158" i="88"/>
  <c r="BA170" i="88"/>
  <c r="BA145" i="88"/>
  <c r="BA148" i="88"/>
  <c r="BA151" i="88"/>
  <c r="BA162" i="88"/>
  <c r="BA168" i="88"/>
  <c r="BA130" i="88"/>
  <c r="BA112" i="88"/>
  <c r="BA35" i="88"/>
  <c r="BA100" i="88"/>
  <c r="BA102" i="88"/>
  <c r="BA90" i="88"/>
  <c r="BA96" i="88"/>
  <c r="BA106" i="88"/>
  <c r="BA41" i="88"/>
  <c r="BA43" i="88"/>
  <c r="BA36" i="88"/>
  <c r="BA25" i="88"/>
  <c r="BA10" i="88"/>
  <c r="BA12" i="88"/>
  <c r="BA31" i="88"/>
  <c r="BA30" i="88"/>
  <c r="BA20" i="88"/>
  <c r="BA21" i="88"/>
  <c r="BA13" i="88"/>
  <c r="BA15" i="88"/>
  <c r="BA16" i="88"/>
  <c r="BA22" i="88"/>
  <c r="Y38" i="88" s="1"/>
  <c r="BA5" i="88"/>
  <c r="BA8" i="88"/>
  <c r="BA84" i="88"/>
  <c r="BA78" i="88"/>
  <c r="BA68" i="88"/>
  <c r="BA48" i="88"/>
  <c r="BA115" i="88"/>
  <c r="BA150" i="88"/>
  <c r="BA76" i="88"/>
  <c r="BA26" i="88"/>
  <c r="BA19" i="88"/>
  <c r="BA14" i="88"/>
  <c r="BA37" i="88"/>
  <c r="BA42" i="88"/>
  <c r="BA144" i="88"/>
  <c r="BA146" i="88"/>
  <c r="BA174" i="88"/>
  <c r="BA164" i="88"/>
  <c r="BA142" i="88"/>
  <c r="BA140" i="88"/>
  <c r="BA134" i="88"/>
  <c r="BA113" i="88"/>
  <c r="BA108" i="88"/>
  <c r="BA94" i="88"/>
  <c r="BA88" i="88"/>
  <c r="BA62" i="88"/>
  <c r="BA60" i="88"/>
  <c r="BA46" i="88"/>
  <c r="BA40" i="88"/>
  <c r="BA34" i="88"/>
  <c r="BA28" i="88"/>
  <c r="BA24" i="88"/>
  <c r="BA18" i="88"/>
  <c r="BA177" i="88"/>
  <c r="BA172" i="88"/>
  <c r="BA171" i="88"/>
  <c r="BA166" i="88"/>
  <c r="BA165" i="88"/>
  <c r="BA160" i="88"/>
  <c r="BA159" i="88"/>
  <c r="BA149" i="88"/>
  <c r="BA143" i="88"/>
  <c r="BA138" i="88"/>
  <c r="BA137" i="88"/>
  <c r="BA132" i="88"/>
  <c r="BA131" i="88"/>
  <c r="BA110" i="88"/>
  <c r="BA109" i="88"/>
  <c r="BA104" i="88"/>
  <c r="BA103" i="88"/>
  <c r="BA98" i="88"/>
  <c r="BA97" i="88"/>
  <c r="BA92" i="88"/>
  <c r="BA91" i="88"/>
  <c r="BA86" i="88"/>
  <c r="BA85" i="88"/>
  <c r="BA79" i="88"/>
  <c r="BA69" i="88"/>
  <c r="BA63" i="88"/>
  <c r="BA61" i="88"/>
  <c r="BA49" i="88"/>
  <c r="BA44" i="88"/>
  <c r="BA38" i="88"/>
  <c r="BA32" i="88"/>
  <c r="Y40" i="88" s="1"/>
  <c r="BA7" i="88"/>
  <c r="BA9" i="88"/>
  <c r="BA11" i="88"/>
  <c r="BA17" i="88"/>
  <c r="BA23" i="88"/>
  <c r="BA27" i="88"/>
  <c r="Y37" i="88" s="1"/>
  <c r="BA29" i="88"/>
  <c r="BA33" i="88"/>
  <c r="BA39" i="88"/>
  <c r="BA45" i="88"/>
  <c r="BA47" i="88"/>
  <c r="BA51" i="88"/>
  <c r="BA53" i="88"/>
  <c r="BA55" i="88"/>
  <c r="BA57" i="88"/>
  <c r="BA59" i="88"/>
  <c r="BA65" i="88"/>
  <c r="BA67" i="88"/>
  <c r="BA71" i="88"/>
  <c r="BA73" i="88"/>
  <c r="BA75" i="88"/>
  <c r="BA77" i="88"/>
  <c r="BA81" i="88"/>
  <c r="BA83" i="88"/>
  <c r="BA87" i="88"/>
  <c r="BA89" i="88"/>
  <c r="BA93" i="88"/>
  <c r="BA95" i="88"/>
  <c r="BA99" i="88"/>
  <c r="BA101" i="88"/>
  <c r="BA105" i="88"/>
  <c r="BA107" i="88"/>
  <c r="BA111" i="88"/>
  <c r="BA117" i="88"/>
  <c r="BA119" i="88"/>
  <c r="BA121" i="88"/>
  <c r="BA123" i="88"/>
  <c r="BA125" i="88"/>
  <c r="BA127" i="88"/>
  <c r="BA129" i="88"/>
  <c r="BA133" i="88"/>
  <c r="BA135" i="88"/>
  <c r="BA139" i="88"/>
  <c r="BA141" i="88"/>
  <c r="BA147" i="88"/>
  <c r="BA153" i="88"/>
  <c r="BA155" i="88"/>
  <c r="BA157" i="88"/>
  <c r="BA161" i="88"/>
  <c r="BA163" i="88"/>
  <c r="BA167" i="88"/>
  <c r="BA169" i="88"/>
  <c r="BA173" i="88"/>
  <c r="BA175" i="88"/>
  <c r="BA6" i="88"/>
  <c r="Y39" i="88" s="1"/>
  <c r="BA50" i="88"/>
  <c r="BA52" i="88"/>
  <c r="BA54" i="88"/>
  <c r="BA56" i="88"/>
  <c r="BA58" i="88"/>
  <c r="BA64" i="88"/>
  <c r="BA66" i="88"/>
  <c r="BA70" i="88"/>
  <c r="BA72" i="88"/>
  <c r="BA74" i="88"/>
  <c r="BA80" i="88"/>
  <c r="BA82" i="88"/>
  <c r="BA116" i="88"/>
  <c r="BA118" i="88"/>
  <c r="BA120" i="88"/>
  <c r="BA122" i="88"/>
  <c r="BA124" i="88"/>
  <c r="BA126" i="88"/>
  <c r="BA128" i="88"/>
  <c r="BA154" i="88"/>
  <c r="BA156" i="88"/>
  <c r="Y11" i="88" l="1"/>
  <c r="A38" i="1048"/>
  <c r="B38" i="1048"/>
  <c r="C38" i="1048"/>
  <c r="K5" i="88" l="1"/>
  <c r="M5" i="88" l="1"/>
  <c r="N5" i="88" s="1"/>
  <c r="BA2040" i="88" l="1"/>
  <c r="BA2029" i="88"/>
  <c r="BA2185" i="88"/>
  <c r="BA2054" i="88"/>
  <c r="BA2042" i="88"/>
  <c r="BA2077" i="88"/>
  <c r="BA2209" i="88"/>
  <c r="BA2022" i="88"/>
  <c r="BA2016" i="88"/>
  <c r="BA2125" i="88"/>
  <c r="BA1999" i="88"/>
  <c r="BA1984" i="88"/>
  <c r="BA1969" i="88"/>
  <c r="BA1954" i="88"/>
  <c r="BA1939" i="88"/>
  <c r="BA1924" i="88"/>
  <c r="BA1909" i="88"/>
  <c r="BA1894" i="88"/>
  <c r="BA1870" i="88"/>
  <c r="BA1591" i="88"/>
  <c r="BA1576" i="88"/>
  <c r="BA1561" i="88"/>
  <c r="BA1546" i="88"/>
  <c r="BA1531" i="88"/>
  <c r="BA1516" i="88"/>
  <c r="BA1501" i="88"/>
  <c r="BA1471" i="88"/>
  <c r="BA1456" i="88"/>
  <c r="BA1441" i="88"/>
  <c r="BA1426" i="88"/>
  <c r="BA1411" i="88"/>
  <c r="BA1396" i="88"/>
  <c r="BA1381" i="88"/>
  <c r="BA1366" i="88"/>
  <c r="BA1351" i="88"/>
  <c r="BA1336" i="88"/>
  <c r="BA1321" i="88"/>
  <c r="BA1306" i="88"/>
  <c r="BA1291" i="88"/>
  <c r="BA1276" i="88"/>
  <c r="BA1261" i="88"/>
  <c r="BA1246" i="88"/>
  <c r="BA1231" i="88"/>
  <c r="BA1216" i="88"/>
  <c r="BA1201" i="88"/>
  <c r="BA1981" i="88"/>
  <c r="BA1966" i="88"/>
  <c r="BA1951" i="88"/>
  <c r="BA1936" i="88"/>
  <c r="BA1921" i="88"/>
  <c r="BA1906" i="88"/>
  <c r="BA1891" i="88"/>
  <c r="BA1867" i="88"/>
  <c r="BA1855" i="88"/>
  <c r="BA1843" i="88"/>
  <c r="BA1831" i="88"/>
  <c r="BA1819" i="88"/>
  <c r="BA1807" i="88"/>
  <c r="BA1795" i="88"/>
  <c r="BA1783" i="88"/>
  <c r="BA1771" i="88"/>
  <c r="BA1759" i="88"/>
  <c r="BA1747" i="88"/>
  <c r="BA1735" i="88"/>
  <c r="BA1723" i="88"/>
  <c r="BA1687" i="88"/>
  <c r="BA1675" i="88"/>
  <c r="BA1663" i="88"/>
  <c r="BA1651" i="88"/>
  <c r="BA1639" i="88"/>
  <c r="BA1627" i="88"/>
  <c r="BA1615" i="88"/>
  <c r="BA1603" i="88"/>
  <c r="BA1588" i="88"/>
  <c r="BA1573" i="88"/>
  <c r="BA1558" i="88"/>
  <c r="BA1543" i="88"/>
  <c r="BA1528" i="88"/>
  <c r="BA1513" i="88"/>
  <c r="BA1498" i="88"/>
  <c r="BA1468" i="88"/>
  <c r="BA1453" i="88"/>
  <c r="BA1438" i="88"/>
  <c r="BA1423" i="88"/>
  <c r="BA1408" i="88"/>
  <c r="BA1393" i="88"/>
  <c r="BA1378" i="88"/>
  <c r="BA1363" i="88"/>
  <c r="BA1348" i="88"/>
  <c r="BA1333" i="88"/>
  <c r="BA1318" i="88"/>
  <c r="BA1303" i="88"/>
  <c r="BA1288" i="88"/>
  <c r="BA1273" i="88"/>
  <c r="BA1258" i="88"/>
  <c r="BA1243" i="88"/>
  <c r="BA1228" i="88"/>
  <c r="BA1213" i="88"/>
  <c r="BA1254" i="88"/>
  <c r="BA1239" i="88"/>
  <c r="BA1224" i="88"/>
  <c r="BA1209" i="88"/>
  <c r="BA1314" i="88"/>
  <c r="BA1299" i="88"/>
  <c r="BA1284" i="88"/>
  <c r="BA1269" i="88"/>
  <c r="BA1374" i="88"/>
  <c r="BA1359" i="88"/>
  <c r="BA1344" i="88"/>
  <c r="BA1329" i="88"/>
  <c r="BA1434" i="88"/>
  <c r="BA1419" i="88"/>
  <c r="BA1404" i="88"/>
  <c r="BA1389" i="88"/>
  <c r="BA1494" i="88"/>
  <c r="BA1464" i="88"/>
  <c r="BA1449" i="88"/>
  <c r="BA1554" i="88"/>
  <c r="BA1539" i="88"/>
  <c r="BA1524" i="88"/>
  <c r="BA1509" i="88"/>
  <c r="BA1584" i="88"/>
  <c r="BA1569" i="88"/>
  <c r="BA1234" i="88"/>
  <c r="BA1219" i="88"/>
  <c r="BA1204" i="88"/>
  <c r="BA1294" i="88"/>
  <c r="BA1279" i="88"/>
  <c r="BA1264" i="88"/>
  <c r="BA1249" i="88"/>
  <c r="BA1354" i="88"/>
  <c r="BA1339" i="88"/>
  <c r="BA1324" i="88"/>
  <c r="BA1309" i="88"/>
  <c r="BA1414" i="88"/>
  <c r="BA1399" i="88"/>
  <c r="BA1384" i="88"/>
  <c r="BA1369" i="88"/>
  <c r="BA1474" i="88"/>
  <c r="BA1459" i="88"/>
  <c r="BA1444" i="88"/>
  <c r="BA1429" i="88"/>
  <c r="BA1534" i="88"/>
  <c r="BA1519" i="88"/>
  <c r="BA1504" i="88"/>
  <c r="BA1594" i="88"/>
  <c r="BA1579" i="88"/>
  <c r="BA1564" i="88"/>
  <c r="BA1549" i="88"/>
  <c r="BA1873" i="88"/>
  <c r="BA1957" i="88"/>
  <c r="BA1942" i="88"/>
  <c r="BA1927" i="88"/>
  <c r="BA1912" i="88"/>
  <c r="BA1897" i="88"/>
  <c r="BA1987" i="88"/>
  <c r="BA1972" i="88"/>
  <c r="BA1863" i="88"/>
  <c r="BA1596" i="88"/>
  <c r="BA1581" i="88"/>
  <c r="BA1566" i="88"/>
  <c r="BA1551" i="88"/>
  <c r="BA1536" i="88"/>
  <c r="BA1521" i="88"/>
  <c r="BA1506" i="88"/>
  <c r="BA1476" i="88"/>
  <c r="BA1461" i="88"/>
  <c r="BA1446" i="88"/>
  <c r="BA1431" i="88"/>
  <c r="BA1416" i="88"/>
  <c r="BA1401" i="88"/>
  <c r="BA1386" i="88"/>
  <c r="BA1371" i="88"/>
  <c r="BA1356" i="88"/>
  <c r="BA1341" i="88"/>
  <c r="BA1326" i="88"/>
  <c r="BA1311" i="88"/>
  <c r="BA1296" i="88"/>
  <c r="BA1281" i="88"/>
  <c r="BA1266" i="88"/>
  <c r="BA1251" i="88"/>
  <c r="BA1236" i="88"/>
  <c r="BA1221" i="88"/>
  <c r="BA1206" i="88"/>
  <c r="BA1998" i="88"/>
  <c r="BA1983" i="88"/>
  <c r="BA1968" i="88"/>
  <c r="BA1953" i="88"/>
  <c r="BA1938" i="88"/>
  <c r="BA1923" i="88"/>
  <c r="BA1908" i="88"/>
  <c r="BA1893" i="88"/>
  <c r="BA1869" i="88"/>
  <c r="BA1590" i="88"/>
  <c r="BA1575" i="88"/>
  <c r="BA1560" i="88"/>
  <c r="BA1545" i="88"/>
  <c r="BA1530" i="88"/>
  <c r="BA1515" i="88"/>
  <c r="BA1500" i="88"/>
  <c r="BA1470" i="88"/>
  <c r="BA1455" i="88"/>
  <c r="BA1440" i="88"/>
  <c r="BA1425" i="88"/>
  <c r="BA1410" i="88"/>
  <c r="BA1395" i="88"/>
  <c r="BA1380" i="88"/>
  <c r="BA1365" i="88"/>
  <c r="BA1350" i="88"/>
  <c r="BA1335" i="88"/>
  <c r="BA1320" i="88"/>
  <c r="BA1305" i="88"/>
  <c r="BA1290" i="88"/>
  <c r="BA1275" i="88"/>
  <c r="BA1260" i="88"/>
  <c r="BA1245" i="88"/>
  <c r="BA1230" i="88"/>
  <c r="BA1215" i="88"/>
  <c r="BA1200" i="88"/>
  <c r="BA1210" i="88"/>
  <c r="BA1270" i="88"/>
  <c r="BA1255" i="88"/>
  <c r="BA1240" i="88"/>
  <c r="BA1225" i="88"/>
  <c r="BA1330" i="88"/>
  <c r="BA1315" i="88"/>
  <c r="BA1300" i="88"/>
  <c r="BA1285" i="88"/>
  <c r="BA1390" i="88"/>
  <c r="BA1375" i="88"/>
  <c r="BA1360" i="88"/>
  <c r="BA1345" i="88"/>
  <c r="BA1450" i="88"/>
  <c r="BA1435" i="88"/>
  <c r="BA1420" i="88"/>
  <c r="BA1405" i="88"/>
  <c r="BA1540" i="88"/>
  <c r="BA1525" i="88"/>
  <c r="BA1510" i="88"/>
  <c r="BA1495" i="88"/>
  <c r="BA1465" i="88"/>
  <c r="BA1585" i="88"/>
  <c r="BA1570" i="88"/>
  <c r="BA1555" i="88"/>
  <c r="BA1988" i="88"/>
  <c r="BA2011" i="88"/>
  <c r="BA2045" i="88"/>
  <c r="BA2109" i="88"/>
  <c r="BA2225" i="88"/>
  <c r="BA2257" i="88"/>
  <c r="BA2289" i="88"/>
  <c r="BA2353" i="88"/>
  <c r="BA2449" i="88"/>
  <c r="BA2559" i="88"/>
  <c r="BA2297" i="88"/>
  <c r="BA2377" i="88"/>
  <c r="BA2425" i="88"/>
  <c r="BA2150" i="88"/>
  <c r="BA2214" i="88"/>
  <c r="BA2276" i="88"/>
  <c r="BA2310" i="88"/>
  <c r="BA2342" i="88"/>
  <c r="BA2046" i="88"/>
  <c r="BA2034" i="88"/>
  <c r="BA2073" i="88"/>
  <c r="BA2135" i="88"/>
  <c r="BA2207" i="88"/>
  <c r="BA2239" i="88"/>
  <c r="BA2271" i="88"/>
  <c r="BA2335" i="88"/>
  <c r="BA2431" i="88"/>
  <c r="BA2541" i="88"/>
  <c r="BA2095" i="88"/>
  <c r="BA2066" i="88"/>
  <c r="BA2130" i="88"/>
  <c r="BA2258" i="88"/>
  <c r="BA2300" i="88"/>
  <c r="BA2364" i="88"/>
  <c r="BA2131" i="88"/>
  <c r="BA2173" i="88"/>
  <c r="BA2269" i="88"/>
  <c r="BA2333" i="88"/>
  <c r="BA2365" i="88"/>
  <c r="BA2397" i="88"/>
  <c r="BA2539" i="88"/>
  <c r="BA2571" i="88"/>
  <c r="BA2027" i="88"/>
  <c r="BA2091" i="88"/>
  <c r="BA2126" i="88"/>
  <c r="BA2190" i="88"/>
  <c r="BA2298" i="88"/>
  <c r="BA2330" i="88"/>
  <c r="BA2010" i="88"/>
  <c r="BA2113" i="88"/>
  <c r="BA2161" i="88"/>
  <c r="BA2227" i="88"/>
  <c r="BA2323" i="88"/>
  <c r="BA2387" i="88"/>
  <c r="BA2419" i="88"/>
  <c r="BA2451" i="88"/>
  <c r="BA2497" i="88"/>
  <c r="BA2529" i="88"/>
  <c r="BA2281" i="88"/>
  <c r="BA2329" i="88"/>
  <c r="BA2369" i="88"/>
  <c r="BA2511" i="88"/>
  <c r="BA2551" i="88"/>
  <c r="BA2035" i="88"/>
  <c r="BA2099" i="88"/>
  <c r="BA2070" i="88"/>
  <c r="BA2198" i="88"/>
  <c r="BA2262" i="88"/>
  <c r="BA2334" i="88"/>
  <c r="BA2366" i="88"/>
  <c r="BA2017" i="88"/>
  <c r="BA2167" i="88"/>
  <c r="BA2199" i="88"/>
  <c r="BA2263" i="88"/>
  <c r="BA2359" i="88"/>
  <c r="BA2423" i="88"/>
  <c r="BA2455" i="88"/>
  <c r="BA2533" i="88"/>
  <c r="BA2565" i="88"/>
  <c r="BA2145" i="88"/>
  <c r="BA2114" i="88"/>
  <c r="BA2178" i="88"/>
  <c r="BA2324" i="88"/>
  <c r="BA2012" i="88"/>
  <c r="BA2053" i="88"/>
  <c r="BA2117" i="88"/>
  <c r="BA2197" i="88"/>
  <c r="BA2261" i="88"/>
  <c r="BA2293" i="88"/>
  <c r="BA2325" i="88"/>
  <c r="BA2389" i="88"/>
  <c r="BA2499" i="88"/>
  <c r="BA2174" i="88"/>
  <c r="BA2238" i="88"/>
  <c r="BA2288" i="88"/>
  <c r="BA2322" i="88"/>
  <c r="BA2354" i="88"/>
  <c r="BA2052" i="88"/>
  <c r="BA2048" i="88"/>
  <c r="BA2153" i="88"/>
  <c r="BA2251" i="88"/>
  <c r="BA2315" i="88"/>
  <c r="BA2347" i="88"/>
  <c r="BA2379" i="88"/>
  <c r="BA2443" i="88"/>
  <c r="BA2521" i="88"/>
  <c r="BA2553" i="88"/>
  <c r="BA2233" i="88"/>
  <c r="BA2361" i="88"/>
  <c r="BA2401" i="88"/>
  <c r="BA2441" i="88"/>
  <c r="BA2503" i="88"/>
  <c r="BA2583" i="88"/>
  <c r="BA2019" i="88"/>
  <c r="BA2083" i="88"/>
  <c r="BA2163" i="88"/>
  <c r="BA2118" i="88"/>
  <c r="BA2246" i="88"/>
  <c r="BA2294" i="88"/>
  <c r="BA2358" i="88"/>
  <c r="BA2009" i="88"/>
  <c r="BA2006" i="88"/>
  <c r="BA2041" i="88"/>
  <c r="BA2191" i="88"/>
  <c r="BA2287" i="88"/>
  <c r="BA2351" i="88"/>
  <c r="BA2383" i="88"/>
  <c r="BA2415" i="88"/>
  <c r="BA2557" i="88"/>
  <c r="BA2063" i="88"/>
  <c r="BA2162" i="88"/>
  <c r="BA2226" i="88"/>
  <c r="BA2282" i="88"/>
  <c r="BA2316" i="88"/>
  <c r="BA2348" i="88"/>
  <c r="BA2004" i="88"/>
  <c r="BA2037" i="88"/>
  <c r="BA2101" i="88"/>
  <c r="BA2155" i="88"/>
  <c r="BA2189" i="88"/>
  <c r="BA2221" i="88"/>
  <c r="BA2253" i="88"/>
  <c r="BA2317" i="88"/>
  <c r="BA2413" i="88"/>
  <c r="BA2523" i="88"/>
  <c r="BA2059" i="88"/>
  <c r="BA2094" i="88"/>
  <c r="BA2222" i="88"/>
  <c r="BA2280" i="88"/>
  <c r="BA2346" i="88"/>
  <c r="BA2005" i="88"/>
  <c r="BA2081" i="88"/>
  <c r="BA2143" i="88"/>
  <c r="BA2179" i="88"/>
  <c r="BA2243" i="88"/>
  <c r="BA2275" i="88"/>
  <c r="BA2307" i="88"/>
  <c r="BA2371" i="88"/>
  <c r="BA2577" i="88"/>
  <c r="BA2217" i="88"/>
  <c r="BA2305" i="88"/>
  <c r="BA2433" i="88"/>
  <c r="BA2535" i="88"/>
  <c r="BA2575" i="88"/>
  <c r="BA2102" i="88"/>
  <c r="BA2166" i="88"/>
  <c r="BA2318" i="88"/>
  <c r="BA2036" i="88"/>
  <c r="BA2089" i="88"/>
  <c r="BA2149" i="88"/>
  <c r="BA2215" i="88"/>
  <c r="BA2279" i="88"/>
  <c r="BA2311" i="88"/>
  <c r="BA2343" i="88"/>
  <c r="BA2407" i="88"/>
  <c r="BA2517" i="88"/>
  <c r="BA2047" i="88"/>
  <c r="BA2082" i="88"/>
  <c r="BA2210" i="88"/>
  <c r="BA2274" i="88"/>
  <c r="BA2340" i="88"/>
  <c r="BA2028" i="88"/>
  <c r="BA2024" i="88"/>
  <c r="BA2181" i="88"/>
  <c r="BA2245" i="88"/>
  <c r="BA2341" i="88"/>
  <c r="BA2405" i="88"/>
  <c r="BA2437" i="88"/>
  <c r="BA2469" i="88"/>
  <c r="BA2515" i="88"/>
  <c r="BA2547" i="88"/>
  <c r="BA2107" i="88"/>
  <c r="BA2078" i="88"/>
  <c r="BA2142" i="88"/>
  <c r="BA2270" i="88"/>
  <c r="BA2306" i="88"/>
  <c r="BA2001" i="88"/>
  <c r="BA1583" i="88"/>
  <c r="BA1568" i="88"/>
  <c r="BA1553" i="88"/>
  <c r="BA1538" i="88"/>
  <c r="BA1523" i="88"/>
  <c r="BA1508" i="88"/>
  <c r="BA1493" i="88"/>
  <c r="BA1463" i="88"/>
  <c r="BA1448" i="88"/>
  <c r="BA1433" i="88"/>
  <c r="BA1418" i="88"/>
  <c r="BA1403" i="88"/>
  <c r="BA1388" i="88"/>
  <c r="BA1373" i="88"/>
  <c r="BA1358" i="88"/>
  <c r="BA1343" i="88"/>
  <c r="BA1328" i="88"/>
  <c r="BA1313" i="88"/>
  <c r="BA1298" i="88"/>
  <c r="BA1283" i="88"/>
  <c r="BA1268" i="88"/>
  <c r="BA1253" i="88"/>
  <c r="BA1238" i="88"/>
  <c r="BA1223" i="88"/>
  <c r="BA1208" i="88"/>
  <c r="BA2000" i="88"/>
  <c r="BA1985" i="88"/>
  <c r="BA1970" i="88"/>
  <c r="BA1955" i="88"/>
  <c r="BA1940" i="88"/>
  <c r="BA1925" i="88"/>
  <c r="BA1910" i="88"/>
  <c r="BA1895" i="88"/>
  <c r="BA1871" i="88"/>
  <c r="BA1592" i="88"/>
  <c r="BA1577" i="88"/>
  <c r="BA1562" i="88"/>
  <c r="BA1547" i="88"/>
  <c r="BA1532" i="88"/>
  <c r="BA1517" i="88"/>
  <c r="BA1502" i="88"/>
  <c r="BA1472" i="88"/>
  <c r="BA1457" i="88"/>
  <c r="BA1442" i="88"/>
  <c r="BA1427" i="88"/>
  <c r="BA1412" i="88"/>
  <c r="BA1397" i="88"/>
  <c r="BA1382" i="88"/>
  <c r="BA1367" i="88"/>
  <c r="BA1352" i="88"/>
  <c r="BA1337" i="88"/>
  <c r="BA1322" i="88"/>
  <c r="BA1307" i="88"/>
  <c r="BA1292" i="88"/>
  <c r="BA1277" i="88"/>
  <c r="BA1262" i="88"/>
  <c r="BA1247" i="88"/>
  <c r="BA1232" i="88"/>
  <c r="BA1217" i="88"/>
  <c r="BA1202" i="88"/>
  <c r="BA1864" i="88"/>
  <c r="BA1597" i="88"/>
  <c r="BA1582" i="88"/>
  <c r="BA1567" i="88"/>
  <c r="BA1552" i="88"/>
  <c r="BA1537" i="88"/>
  <c r="BA1522" i="88"/>
  <c r="BA1507" i="88"/>
  <c r="BA1462" i="88"/>
  <c r="BA1447" i="88"/>
  <c r="BA1432" i="88"/>
  <c r="BA1417" i="88"/>
  <c r="BA1402" i="88"/>
  <c r="BA1387" i="88"/>
  <c r="BA1372" i="88"/>
  <c r="BA1357" i="88"/>
  <c r="BA1342" i="88"/>
  <c r="BA1327" i="88"/>
  <c r="BA1312" i="88"/>
  <c r="BA1297" i="88"/>
  <c r="BA1282" i="88"/>
  <c r="BA1267" i="88"/>
  <c r="BA1252" i="88"/>
  <c r="BA1237" i="88"/>
  <c r="BA1222" i="88"/>
  <c r="BA1207" i="88"/>
  <c r="BA1982" i="88"/>
  <c r="BA1967" i="88"/>
  <c r="BA1952" i="88"/>
  <c r="BA1937" i="88"/>
  <c r="BA1922" i="88"/>
  <c r="BA1907" i="88"/>
  <c r="BA1892" i="88"/>
  <c r="BA1868" i="88"/>
  <c r="BA1856" i="88"/>
  <c r="BA1844" i="88"/>
  <c r="BA1832" i="88"/>
  <c r="BA1820" i="88"/>
  <c r="BA1808" i="88"/>
  <c r="BA1796" i="88"/>
  <c r="BA1784" i="88"/>
  <c r="BA1772" i="88"/>
  <c r="BA1760" i="88"/>
  <c r="BA1748" i="88"/>
  <c r="BA1736" i="88"/>
  <c r="BA1724" i="88"/>
  <c r="BA1688" i="88"/>
  <c r="BA1676" i="88"/>
  <c r="BA1664" i="88"/>
  <c r="BA1652" i="88"/>
  <c r="BA1640" i="88"/>
  <c r="BA1628" i="88"/>
  <c r="BA1616" i="88"/>
  <c r="BA1604" i="88"/>
  <c r="BA1589" i="88"/>
  <c r="BA1574" i="88"/>
  <c r="BA1559" i="88"/>
  <c r="BA1544" i="88"/>
  <c r="BA1529" i="88"/>
  <c r="BA1514" i="88"/>
  <c r="BA1499" i="88"/>
  <c r="BA1469" i="88"/>
  <c r="BA1454" i="88"/>
  <c r="BA1439" i="88"/>
  <c r="BA1424" i="88"/>
  <c r="BA1409" i="88"/>
  <c r="BA1394" i="88"/>
  <c r="BA1379" i="88"/>
  <c r="BA1364" i="88"/>
  <c r="BA1349" i="88"/>
  <c r="BA1334" i="88"/>
  <c r="BA1319" i="88"/>
  <c r="BA1304" i="88"/>
  <c r="BA1289" i="88"/>
  <c r="BA1274" i="88"/>
  <c r="BA1259" i="88"/>
  <c r="BA1244" i="88"/>
  <c r="BA1229" i="88"/>
  <c r="BA1214" i="88"/>
  <c r="BA2030" i="88"/>
  <c r="BA2018" i="88"/>
  <c r="BA2065" i="88"/>
  <c r="BA2127" i="88"/>
  <c r="BA2171" i="88"/>
  <c r="BA2203" i="88"/>
  <c r="BA2235" i="88"/>
  <c r="BA2299" i="88"/>
  <c r="BA2395" i="88"/>
  <c r="BA2505" i="88"/>
  <c r="BA2569" i="88"/>
  <c r="BA2023" i="88"/>
  <c r="BA2058" i="88"/>
  <c r="BA2186" i="88"/>
  <c r="BA2250" i="88"/>
  <c r="BA2328" i="88"/>
  <c r="BA2360" i="88"/>
  <c r="BA2378" i="88"/>
  <c r="BA2071" i="88"/>
  <c r="BA2154" i="88"/>
  <c r="BA2234" i="88"/>
  <c r="BA2304" i="88"/>
  <c r="BA2384" i="88"/>
  <c r="BA2412" i="88"/>
  <c r="BA2444" i="88"/>
  <c r="BA2524" i="88"/>
  <c r="BA2096" i="88"/>
  <c r="BA2160" i="88"/>
  <c r="BA3144" i="88"/>
  <c r="BA3215" i="88"/>
  <c r="BA2789" i="88"/>
  <c r="BA3217" i="88"/>
  <c r="BA3296" i="88"/>
  <c r="BA3504" i="88"/>
  <c r="BA3568" i="88"/>
  <c r="BA3664" i="88"/>
  <c r="BA3389" i="88"/>
  <c r="BA3485" i="88"/>
  <c r="BA3645" i="88"/>
  <c r="BA3766" i="88"/>
  <c r="BA3894" i="88"/>
  <c r="BA3926" i="88"/>
  <c r="BA3787" i="88"/>
  <c r="BA3883" i="88"/>
  <c r="BA3947" i="88"/>
  <c r="BA2418" i="88"/>
  <c r="BA2450" i="88"/>
  <c r="BA2498" i="88"/>
  <c r="BA2108" i="88"/>
  <c r="BA2172" i="88"/>
  <c r="BA3086" i="88"/>
  <c r="BA3150" i="88"/>
  <c r="BA3182" i="88"/>
  <c r="BA3179" i="88"/>
  <c r="BA3206" i="88"/>
  <c r="BA3446" i="88"/>
  <c r="BA3574" i="88"/>
  <c r="BA3606" i="88"/>
  <c r="BA3734" i="88"/>
  <c r="BA3315" i="88"/>
  <c r="BA3395" i="88"/>
  <c r="BA3427" i="88"/>
  <c r="BA3555" i="88"/>
  <c r="BA3587" i="88"/>
  <c r="BA3683" i="88"/>
  <c r="BA3747" i="88"/>
  <c r="BA3804" i="88"/>
  <c r="BA3964" i="88"/>
  <c r="BA3873" i="88"/>
  <c r="BA3905" i="88"/>
  <c r="BA2400" i="88"/>
  <c r="BA2432" i="88"/>
  <c r="BA2576" i="88"/>
  <c r="BA2072" i="88"/>
  <c r="BA2136" i="88"/>
  <c r="BA2264" i="88"/>
  <c r="BA3164" i="88"/>
  <c r="BA3161" i="88"/>
  <c r="BA3396" i="88"/>
  <c r="BA3428" i="88"/>
  <c r="BA3524" i="88"/>
  <c r="BA3588" i="88"/>
  <c r="BA3684" i="88"/>
  <c r="BA3233" i="88"/>
  <c r="BA3297" i="88"/>
  <c r="BA3377" i="88"/>
  <c r="BA2055" i="88"/>
  <c r="BA2137" i="88"/>
  <c r="BA2138" i="88"/>
  <c r="BA2286" i="88"/>
  <c r="BA2336" i="88"/>
  <c r="BA2376" i="88"/>
  <c r="BA2436" i="88"/>
  <c r="BA2516" i="88"/>
  <c r="BA2144" i="88"/>
  <c r="BA2208" i="88"/>
  <c r="BA2816" i="88"/>
  <c r="BA3168" i="88"/>
  <c r="BA3200" i="88"/>
  <c r="BA3005" i="88"/>
  <c r="BA3197" i="88"/>
  <c r="BA3224" i="88"/>
  <c r="BA3288" i="88"/>
  <c r="BA3400" i="88"/>
  <c r="BA3464" i="88"/>
  <c r="BA3528" i="88"/>
  <c r="BA3624" i="88"/>
  <c r="BA3269" i="88"/>
  <c r="BA3381" i="88"/>
  <c r="BA3445" i="88"/>
  <c r="BA3605" i="88"/>
  <c r="BA3733" i="88"/>
  <c r="BA3854" i="88"/>
  <c r="BA3886" i="88"/>
  <c r="BA3843" i="88"/>
  <c r="BA3907" i="88"/>
  <c r="BA2442" i="88"/>
  <c r="BA2522" i="88"/>
  <c r="BA2156" i="88"/>
  <c r="BA2220" i="88"/>
  <c r="BA3207" i="88"/>
  <c r="BA3171" i="88"/>
  <c r="BA3294" i="88"/>
  <c r="BA3374" i="88"/>
  <c r="BA3534" i="88"/>
  <c r="BA3566" i="88"/>
  <c r="BA3694" i="88"/>
  <c r="BA3726" i="88"/>
  <c r="BA3307" i="88"/>
  <c r="BA3387" i="88"/>
  <c r="BA3515" i="88"/>
  <c r="BA3547" i="88"/>
  <c r="BA3643" i="88"/>
  <c r="BA3707" i="88"/>
  <c r="BA3764" i="88"/>
  <c r="BA3924" i="88"/>
  <c r="BA1902" i="88"/>
  <c r="BA3833" i="88"/>
  <c r="BA3865" i="88"/>
  <c r="BA2424" i="88"/>
  <c r="BA2456" i="88"/>
  <c r="BA2504" i="88"/>
  <c r="BA2568" i="88"/>
  <c r="BA2120" i="88"/>
  <c r="BA2184" i="88"/>
  <c r="BA3188" i="88"/>
  <c r="BA2897" i="88"/>
  <c r="BA3153" i="88"/>
  <c r="BA3308" i="88"/>
  <c r="BA3388" i="88"/>
  <c r="BA3484" i="88"/>
  <c r="BA3548" i="88"/>
  <c r="BA3644" i="88"/>
  <c r="BA3225" i="88"/>
  <c r="BA3289" i="88"/>
  <c r="BA2119" i="88"/>
  <c r="BA2106" i="88"/>
  <c r="BA2202" i="88"/>
  <c r="BA2396" i="88"/>
  <c r="BA2540" i="88"/>
  <c r="BA2064" i="88"/>
  <c r="BA2192" i="88"/>
  <c r="BA2256" i="88"/>
  <c r="BA3032" i="88"/>
  <c r="BA3189" i="88"/>
  <c r="BA3216" i="88"/>
  <c r="BA3312" i="88"/>
  <c r="BA3424" i="88"/>
  <c r="BA3488" i="88"/>
  <c r="BA3584" i="88"/>
  <c r="BA3648" i="88"/>
  <c r="BA3744" i="88"/>
  <c r="BA3261" i="88"/>
  <c r="BA3373" i="88"/>
  <c r="BA3565" i="88"/>
  <c r="BA3693" i="88"/>
  <c r="BA3725" i="88"/>
  <c r="BA3814" i="88"/>
  <c r="BA3846" i="88"/>
  <c r="BA3974" i="88"/>
  <c r="BA1900" i="88"/>
  <c r="BA3803" i="88"/>
  <c r="BA3867" i="88"/>
  <c r="BA3963" i="88"/>
  <c r="BA2402" i="88"/>
  <c r="BA2514" i="88"/>
  <c r="BA2578" i="88"/>
  <c r="BA2076" i="88"/>
  <c r="BA2204" i="88"/>
  <c r="BA2268" i="88"/>
  <c r="BA3198" i="88"/>
  <c r="BA2843" i="88"/>
  <c r="BA3163" i="88"/>
  <c r="BA3222" i="88"/>
  <c r="BA3254" i="88"/>
  <c r="BA3398" i="88"/>
  <c r="BA3494" i="88"/>
  <c r="BA3526" i="88"/>
  <c r="BA3654" i="88"/>
  <c r="BA3686" i="88"/>
  <c r="BA3235" i="88"/>
  <c r="BA3379" i="88"/>
  <c r="BA3475" i="88"/>
  <c r="BA3507" i="88"/>
  <c r="BA3635" i="88"/>
  <c r="BA3667" i="88"/>
  <c r="BA3767" i="88"/>
  <c r="BA3884" i="88"/>
  <c r="BA1917" i="88"/>
  <c r="BA3793" i="88"/>
  <c r="BA3825" i="88"/>
  <c r="BA3953" i="88"/>
  <c r="BA2382" i="88"/>
  <c r="BA2448" i="88"/>
  <c r="BA2496" i="88"/>
  <c r="BA2560" i="88"/>
  <c r="BA2168" i="88"/>
  <c r="BA2232" i="88"/>
  <c r="BA2924" i="88"/>
  <c r="BA3180" i="88"/>
  <c r="BA3113" i="88"/>
  <c r="BA3145" i="88"/>
  <c r="BA3204" i="88"/>
  <c r="BA3236" i="88"/>
  <c r="BA3380" i="88"/>
  <c r="BA3444" i="88"/>
  <c r="BA3508" i="88"/>
  <c r="BA3604" i="88"/>
  <c r="BA3313" i="88"/>
  <c r="BA2090" i="88"/>
  <c r="BA2312" i="88"/>
  <c r="BA2352" i="88"/>
  <c r="BA2388" i="88"/>
  <c r="BA2420" i="88"/>
  <c r="BA2532" i="88"/>
  <c r="BA2112" i="88"/>
  <c r="BA2240" i="88"/>
  <c r="BA3152" i="88"/>
  <c r="BA3181" i="88"/>
  <c r="BA3448" i="88"/>
  <c r="BA3544" i="88"/>
  <c r="BA3608" i="88"/>
  <c r="BA3704" i="88"/>
  <c r="BA3397" i="88"/>
  <c r="BA3525" i="88"/>
  <c r="BA3653" i="88"/>
  <c r="BA3685" i="88"/>
  <c r="BA3774" i="88"/>
  <c r="BA3806" i="88"/>
  <c r="BA3934" i="88"/>
  <c r="BA3966" i="88"/>
  <c r="BA3827" i="88"/>
  <c r="BA3923" i="88"/>
  <c r="BA2394" i="88"/>
  <c r="BA2426" i="88"/>
  <c r="BA2506" i="88"/>
  <c r="BA2570" i="88"/>
  <c r="BA2060" i="88"/>
  <c r="BA2124" i="88"/>
  <c r="BA2252" i="88"/>
  <c r="BA2870" i="88"/>
  <c r="BA3059" i="88"/>
  <c r="BA3187" i="88"/>
  <c r="BA3390" i="88"/>
  <c r="BA3454" i="88"/>
  <c r="BA3486" i="88"/>
  <c r="BA3614" i="88"/>
  <c r="BA3646" i="88"/>
  <c r="BA3259" i="88"/>
  <c r="BA3371" i="88"/>
  <c r="BA3435" i="88"/>
  <c r="BA3467" i="88"/>
  <c r="BA3595" i="88"/>
  <c r="BA3627" i="88"/>
  <c r="BA3723" i="88"/>
  <c r="BA3844" i="88"/>
  <c r="BA3785" i="88"/>
  <c r="BA3913" i="88"/>
  <c r="BA3945" i="88"/>
  <c r="BA2372" i="88"/>
  <c r="BA2408" i="88"/>
  <c r="BA2552" i="88"/>
  <c r="BA2088" i="88"/>
  <c r="BA2216" i="88"/>
  <c r="BA3169" i="88"/>
  <c r="BA3260" i="88"/>
  <c r="BA3372" i="88"/>
  <c r="BA3404" i="88"/>
  <c r="BA3468" i="88"/>
  <c r="BA3564" i="88"/>
  <c r="BA3628" i="88"/>
  <c r="BA3724" i="88"/>
  <c r="BA3305" i="88"/>
  <c r="BA3545" i="88"/>
  <c r="BA3713" i="88"/>
  <c r="BA3745" i="88"/>
  <c r="BA3834" i="88"/>
  <c r="BA3866" i="88"/>
  <c r="BA3863" i="88"/>
  <c r="BA3927" i="88"/>
  <c r="BA2414" i="88"/>
  <c r="BA2558" i="88"/>
  <c r="BA2100" i="88"/>
  <c r="BA2228" i="88"/>
  <c r="BA3146" i="88"/>
  <c r="BA2951" i="88"/>
  <c r="BA3143" i="88"/>
  <c r="BA3234" i="88"/>
  <c r="BA3378" i="88"/>
  <c r="BA3474" i="88"/>
  <c r="BA3506" i="88"/>
  <c r="BA3634" i="88"/>
  <c r="BA3666" i="88"/>
  <c r="BA3763" i="88"/>
  <c r="BA3391" i="88"/>
  <c r="BA3455" i="88"/>
  <c r="BA3487" i="88"/>
  <c r="BA3615" i="88"/>
  <c r="BA3647" i="88"/>
  <c r="BA3743" i="88"/>
  <c r="BA3864" i="88"/>
  <c r="BA1932" i="88"/>
  <c r="BA3925" i="88"/>
  <c r="BA1903" i="88"/>
  <c r="BA3673" i="88"/>
  <c r="BA3705" i="88"/>
  <c r="BA3794" i="88"/>
  <c r="BA3826" i="88"/>
  <c r="BA3954" i="88"/>
  <c r="BA3823" i="88"/>
  <c r="BA3887" i="88"/>
  <c r="BA3983" i="88"/>
  <c r="BA2370" i="88"/>
  <c r="BA2406" i="88"/>
  <c r="BA2438" i="88"/>
  <c r="BA2550" i="88"/>
  <c r="BA2084" i="88"/>
  <c r="BA2148" i="88"/>
  <c r="BA2292" i="88"/>
  <c r="BA3170" i="88"/>
  <c r="BA3205" i="88"/>
  <c r="BA3199" i="88"/>
  <c r="BA3258" i="88"/>
  <c r="BA3290" i="88"/>
  <c r="BA3370" i="88"/>
  <c r="BA3434" i="88"/>
  <c r="BA3466" i="88"/>
  <c r="BA3594" i="88"/>
  <c r="BA3626" i="88"/>
  <c r="BA3754" i="88"/>
  <c r="BA3383" i="88"/>
  <c r="BA3447" i="88"/>
  <c r="BA3575" i="88"/>
  <c r="BA3607" i="88"/>
  <c r="BA3703" i="88"/>
  <c r="BA3824" i="88"/>
  <c r="BA3984" i="88"/>
  <c r="BA1915" i="88"/>
  <c r="BA1947" i="88"/>
  <c r="BA3853" i="88"/>
  <c r="BA3885" i="88"/>
  <c r="BA1901" i="88"/>
  <c r="BA3425" i="88"/>
  <c r="BA3465" i="88"/>
  <c r="BA3505" i="88"/>
  <c r="BA3665" i="88"/>
  <c r="BA3786" i="88"/>
  <c r="BA3914" i="88"/>
  <c r="BA3946" i="88"/>
  <c r="BA3783" i="88"/>
  <c r="BA3847" i="88"/>
  <c r="BA3943" i="88"/>
  <c r="BA1929" i="88"/>
  <c r="BA1914" i="88"/>
  <c r="BA1899" i="88"/>
  <c r="BA2430" i="88"/>
  <c r="BA2462" i="88"/>
  <c r="BA2542" i="88"/>
  <c r="BA2132" i="88"/>
  <c r="BA2196" i="88"/>
  <c r="BA3162" i="88"/>
  <c r="BA3218" i="88"/>
  <c r="BA3314" i="88"/>
  <c r="BA3394" i="88"/>
  <c r="BA3426" i="88"/>
  <c r="BA3554" i="88"/>
  <c r="BA3586" i="88"/>
  <c r="BA3714" i="88"/>
  <c r="BA3746" i="88"/>
  <c r="BA3295" i="88"/>
  <c r="BA3535" i="88"/>
  <c r="BA3567" i="88"/>
  <c r="BA3663" i="88"/>
  <c r="BA3727" i="88"/>
  <c r="BA3765" i="88"/>
  <c r="BA3784" i="88"/>
  <c r="BA3944" i="88"/>
  <c r="BA1930" i="88"/>
  <c r="BA1992" i="88"/>
  <c r="BA1977" i="88"/>
  <c r="BA1962" i="88"/>
  <c r="BA3813" i="88"/>
  <c r="BA3845" i="88"/>
  <c r="BA3973" i="88"/>
  <c r="BA3585" i="88"/>
  <c r="BA3625" i="88"/>
  <c r="BA3753" i="88"/>
  <c r="BA3874" i="88"/>
  <c r="BA3906" i="88"/>
  <c r="BA3807" i="88"/>
  <c r="BA3903" i="88"/>
  <c r="BA3967" i="88"/>
  <c r="BA2390" i="88"/>
  <c r="BA2454" i="88"/>
  <c r="BA2534" i="88"/>
  <c r="BA2180" i="88"/>
  <c r="BA2244" i="88"/>
  <c r="BA3186" i="88"/>
  <c r="BA3151" i="88"/>
  <c r="BA3306" i="88"/>
  <c r="BA3514" i="88"/>
  <c r="BA3546" i="88"/>
  <c r="BA3674" i="88"/>
  <c r="BA3706" i="88"/>
  <c r="BA3223" i="88"/>
  <c r="BA3287" i="88"/>
  <c r="BA3495" i="88"/>
  <c r="BA3527" i="88"/>
  <c r="BA3655" i="88"/>
  <c r="BA3687" i="88"/>
  <c r="BA3904" i="88"/>
  <c r="BA1975" i="88"/>
  <c r="BA1960" i="88"/>
  <c r="BA1945" i="88"/>
  <c r="BA3773" i="88"/>
  <c r="BA3805" i="88"/>
  <c r="BA3933" i="88"/>
  <c r="BA3965" i="88"/>
  <c r="BA1944" i="88"/>
  <c r="BA1946" i="88"/>
  <c r="BA1931" i="88"/>
  <c r="BA1916" i="88"/>
  <c r="BA1918" i="88"/>
  <c r="BA1994" i="88"/>
  <c r="BA3893" i="88"/>
  <c r="BA1974" i="88"/>
  <c r="BA1959" i="88"/>
  <c r="BA1933" i="88"/>
  <c r="BA1948" i="88"/>
  <c r="BA1991" i="88"/>
  <c r="BA1976" i="88"/>
  <c r="BA1961" i="88"/>
  <c r="BA1993" i="88"/>
  <c r="BA1978" i="88"/>
  <c r="BA1963" i="88"/>
  <c r="BA1799" i="88"/>
  <c r="BA1797" i="88"/>
  <c r="BA1798" i="88"/>
  <c r="BA1606" i="88"/>
  <c r="BA1607" i="88"/>
  <c r="BA1605" i="88"/>
  <c r="BA1883" i="88"/>
  <c r="BA1885" i="88"/>
  <c r="BA1882" i="88"/>
  <c r="BA1886" i="88"/>
  <c r="BA1884" i="88"/>
  <c r="BA1801" i="88"/>
  <c r="BA2605" i="88"/>
  <c r="BA2604" i="88"/>
  <c r="BA2603" i="88"/>
  <c r="BA2610" i="88"/>
  <c r="BA2602" i="88"/>
  <c r="BA2607" i="88"/>
  <c r="BA2611" i="88"/>
  <c r="BA2606" i="88"/>
  <c r="BA2609" i="88"/>
  <c r="BA2608" i="88"/>
  <c r="BA2641" i="88"/>
  <c r="BA2638" i="88"/>
  <c r="BA2639" i="88"/>
  <c r="BA2640" i="88"/>
  <c r="BA2634" i="88"/>
  <c r="BA2632" i="88"/>
  <c r="BA2636" i="88"/>
  <c r="BA2637" i="88"/>
  <c r="BA2635" i="88"/>
  <c r="BA2633" i="88"/>
  <c r="BA2695" i="88"/>
  <c r="BA2699" i="88"/>
  <c r="BA2692" i="88"/>
  <c r="BA2696" i="88"/>
  <c r="BA2693" i="88"/>
  <c r="BA2697" i="88"/>
  <c r="BA2694" i="88"/>
  <c r="BA2700" i="88"/>
  <c r="BA2698" i="88"/>
  <c r="BA2701" i="88"/>
  <c r="BA2587" i="88"/>
  <c r="BA2585" i="88"/>
  <c r="BA2586" i="88"/>
  <c r="BA2584" i="88"/>
  <c r="BA2681" i="88"/>
  <c r="BA2682" i="88"/>
  <c r="BA2683" i="88"/>
  <c r="BA2684" i="88"/>
  <c r="BA2651" i="88"/>
  <c r="BA2653" i="88"/>
  <c r="BA2652" i="88"/>
  <c r="BA2654" i="88"/>
  <c r="BA1725" i="88"/>
  <c r="BA1727" i="88"/>
  <c r="BA1726" i="88"/>
  <c r="BA1679" i="88"/>
  <c r="BA1678" i="88"/>
  <c r="BA1677" i="88"/>
  <c r="BA1877" i="88"/>
  <c r="BA1878" i="88"/>
  <c r="BA1876" i="88"/>
  <c r="BA1875" i="88"/>
  <c r="BA1858" i="88"/>
  <c r="BA1857" i="88"/>
  <c r="BA1859" i="88"/>
  <c r="BA2622" i="88"/>
  <c r="BA2623" i="88"/>
  <c r="BA2621" i="88"/>
  <c r="BA2624" i="88"/>
  <c r="BA2668" i="88"/>
  <c r="BA2665" i="88"/>
  <c r="BA2666" i="88"/>
  <c r="BA2664" i="88"/>
  <c r="BA2671" i="88"/>
  <c r="BA2662" i="88"/>
  <c r="BA2667" i="88"/>
  <c r="BA2670" i="88"/>
  <c r="BA2663" i="88"/>
  <c r="BA2669" i="88"/>
  <c r="BA2594" i="88"/>
  <c r="BA2592" i="88"/>
  <c r="BA2593" i="88"/>
  <c r="BA2591" i="88"/>
  <c r="BA2617" i="88"/>
  <c r="BA2615" i="88"/>
  <c r="BA2614" i="88"/>
  <c r="BA2616" i="88"/>
  <c r="BA1835" i="88"/>
  <c r="BA1833" i="88"/>
  <c r="BA1834" i="88"/>
  <c r="BA1691" i="88"/>
  <c r="BA1689" i="88"/>
  <c r="BA1690" i="88"/>
  <c r="BA1643" i="88"/>
  <c r="BA1642" i="88"/>
  <c r="BA1641" i="88"/>
  <c r="BA2645" i="88"/>
  <c r="BA2644" i="88"/>
  <c r="BA2647" i="88"/>
  <c r="BA2646" i="88"/>
  <c r="BA2675" i="88"/>
  <c r="BA2676" i="88"/>
  <c r="BA2674" i="88"/>
  <c r="BA2677" i="88"/>
  <c r="BA2825" i="88"/>
  <c r="BA2827" i="88"/>
  <c r="BA2826" i="88"/>
  <c r="BA2824" i="88"/>
  <c r="BA2954" i="88"/>
  <c r="BA2955" i="88"/>
  <c r="BA2953" i="88"/>
  <c r="BA2952" i="88"/>
  <c r="BA2820" i="88"/>
  <c r="BA2818" i="88"/>
  <c r="BA2817" i="88"/>
  <c r="BA2819" i="88"/>
  <c r="BA3081" i="88"/>
  <c r="BA3083" i="88"/>
  <c r="BA3082" i="88"/>
  <c r="BA3079" i="88"/>
  <c r="BA3076" i="88"/>
  <c r="BA3078" i="88"/>
  <c r="BA3080" i="88"/>
  <c r="BA3075" i="88"/>
  <c r="BA3077" i="88"/>
  <c r="BA3067" i="88"/>
  <c r="BA3068" i="88"/>
  <c r="BA3070" i="88"/>
  <c r="BA3069" i="88"/>
  <c r="BA2813" i="88"/>
  <c r="BA2809" i="88"/>
  <c r="BA2811" i="88"/>
  <c r="BA2808" i="88"/>
  <c r="BA2812" i="88"/>
  <c r="BA2807" i="88"/>
  <c r="BA2806" i="88"/>
  <c r="BA2805" i="88"/>
  <c r="BA2810" i="88"/>
  <c r="BA2935" i="88"/>
  <c r="BA2932" i="88"/>
  <c r="BA2934" i="88"/>
  <c r="BA2933" i="88"/>
  <c r="BA3060" i="88"/>
  <c r="BA3063" i="88"/>
  <c r="BA3061" i="88"/>
  <c r="BA3062" i="88"/>
  <c r="BA2797" i="88"/>
  <c r="BA2800" i="88"/>
  <c r="BA2799" i="88"/>
  <c r="BA2798" i="88"/>
  <c r="BA2925" i="88"/>
  <c r="BA2928" i="88"/>
  <c r="BA2927" i="88"/>
  <c r="BA2926" i="88"/>
  <c r="BA2771" i="88"/>
  <c r="BA2769" i="88"/>
  <c r="BA2770" i="88"/>
  <c r="BA2772" i="88"/>
  <c r="BA2899" i="88"/>
  <c r="BA2900" i="88"/>
  <c r="BA2898" i="88"/>
  <c r="BA2901" i="88"/>
  <c r="BA3026" i="88"/>
  <c r="BA3021" i="88"/>
  <c r="BA3029" i="88"/>
  <c r="BA3025" i="88"/>
  <c r="BA3022" i="88"/>
  <c r="BA3027" i="88"/>
  <c r="BA3023" i="88"/>
  <c r="BA3024" i="88"/>
  <c r="BA3028" i="88"/>
  <c r="BA1823" i="88"/>
  <c r="BA1821" i="88"/>
  <c r="BA1822" i="88"/>
  <c r="BA2085" i="88"/>
  <c r="BA2782" i="88"/>
  <c r="BA2784" i="88"/>
  <c r="BA2779" i="88"/>
  <c r="BA2781" i="88"/>
  <c r="BA2780" i="88"/>
  <c r="BA2783" i="88"/>
  <c r="BA2785" i="88"/>
  <c r="BA2778" i="88"/>
  <c r="BA2786" i="88"/>
  <c r="BA2908" i="88"/>
  <c r="BA2905" i="88"/>
  <c r="BA2907" i="88"/>
  <c r="BA2906" i="88"/>
  <c r="BA3036" i="88"/>
  <c r="BA3033" i="88"/>
  <c r="BA3034" i="88"/>
  <c r="BA3035" i="88"/>
  <c r="BA3980" i="88"/>
  <c r="BA3981" i="88"/>
  <c r="BA3979" i="88"/>
  <c r="BA3982" i="88"/>
  <c r="BA2765" i="88"/>
  <c r="BA2763" i="88"/>
  <c r="BA2764" i="88"/>
  <c r="BA2762" i="88"/>
  <c r="BA2891" i="88"/>
  <c r="BA2892" i="88"/>
  <c r="BA2894" i="88"/>
  <c r="BA2886" i="88"/>
  <c r="BA2888" i="88"/>
  <c r="BA2889" i="88"/>
  <c r="BA2893" i="88"/>
  <c r="BA2887" i="88"/>
  <c r="BA2890" i="88"/>
  <c r="BA3015" i="88"/>
  <c r="BA3016" i="88"/>
  <c r="BA3013" i="88"/>
  <c r="BA3014" i="88"/>
  <c r="BA2737" i="88"/>
  <c r="BA2736" i="88"/>
  <c r="BA2734" i="88"/>
  <c r="BA2735" i="88"/>
  <c r="BA3116" i="88"/>
  <c r="BA3115" i="88"/>
  <c r="BA3114" i="88"/>
  <c r="BA3117" i="88"/>
  <c r="BA2790" i="88"/>
  <c r="BA2793" i="88"/>
  <c r="BA2792" i="88"/>
  <c r="BA2791" i="88"/>
  <c r="BA3040" i="88"/>
  <c r="BA3041" i="88"/>
  <c r="BA3042" i="88"/>
  <c r="BA3043" i="88"/>
  <c r="BA1785" i="88"/>
  <c r="BA1786" i="88"/>
  <c r="BA1787" i="88"/>
  <c r="BA1631" i="88"/>
  <c r="BA1629" i="88"/>
  <c r="BA1630" i="88"/>
  <c r="BA2599" i="88"/>
  <c r="BA1827" i="88"/>
  <c r="BA1828" i="88"/>
  <c r="BA3469" i="88"/>
  <c r="BA2742" i="88"/>
  <c r="BA2744" i="88"/>
  <c r="BA2743" i="88"/>
  <c r="BA2741" i="88"/>
  <c r="BA2874" i="88"/>
  <c r="BA2872" i="88"/>
  <c r="BA2871" i="88"/>
  <c r="BA2873" i="88"/>
  <c r="BA3124" i="88"/>
  <c r="BA3121" i="88"/>
  <c r="BA3123" i="88"/>
  <c r="BA3122" i="88"/>
  <c r="BA2753" i="88"/>
  <c r="BA2758" i="88"/>
  <c r="BA2759" i="88"/>
  <c r="BA2755" i="88"/>
  <c r="BA2751" i="88"/>
  <c r="BA2750" i="88"/>
  <c r="BA2757" i="88"/>
  <c r="BA2756" i="88"/>
  <c r="BA2752" i="88"/>
  <c r="BA2754" i="88"/>
  <c r="BA2879" i="88"/>
  <c r="BA2881" i="88"/>
  <c r="BA2878" i="88"/>
  <c r="BA2880" i="88"/>
  <c r="BA3007" i="88"/>
  <c r="BA3008" i="88"/>
  <c r="BA3006" i="88"/>
  <c r="BA3009" i="88"/>
  <c r="BA3129" i="88"/>
  <c r="BA3132" i="88"/>
  <c r="BA3137" i="88"/>
  <c r="BA3131" i="88"/>
  <c r="BA3133" i="88"/>
  <c r="BA3134" i="88"/>
  <c r="BA3136" i="88"/>
  <c r="BA3138" i="88"/>
  <c r="BA3135" i="88"/>
  <c r="BA3130" i="88"/>
  <c r="BA2725" i="88"/>
  <c r="BA2726" i="88"/>
  <c r="BA2730" i="88"/>
  <c r="BA2731" i="88"/>
  <c r="BA2722" i="88"/>
  <c r="BA2729" i="88"/>
  <c r="BA2723" i="88"/>
  <c r="BA2728" i="88"/>
  <c r="BA2724" i="88"/>
  <c r="BA2727" i="88"/>
  <c r="BA2704" i="88"/>
  <c r="BA2705" i="88"/>
  <c r="BA2707" i="88"/>
  <c r="BA2706" i="88"/>
  <c r="BA2960" i="88"/>
  <c r="BA2962" i="88"/>
  <c r="BA2961" i="88"/>
  <c r="BA2959" i="88"/>
  <c r="BA3088" i="88"/>
  <c r="BA3090" i="88"/>
  <c r="BA3089" i="88"/>
  <c r="BA3087" i="88"/>
  <c r="BA3095" i="88"/>
  <c r="BA3097" i="88"/>
  <c r="BA3094" i="88"/>
  <c r="BA3096" i="88"/>
  <c r="BA2851" i="88"/>
  <c r="BA2852" i="88"/>
  <c r="BA2853" i="88"/>
  <c r="BA2854" i="88"/>
  <c r="BA2847" i="88"/>
  <c r="BA2845" i="88"/>
  <c r="BA2844" i="88"/>
  <c r="BA2846" i="88"/>
  <c r="BA2713" i="88"/>
  <c r="BA2712" i="88"/>
  <c r="BA2711" i="88"/>
  <c r="BA2714" i="88"/>
  <c r="BA2919" i="88"/>
  <c r="BA2916" i="88"/>
  <c r="BA2914" i="88"/>
  <c r="BA2913" i="88"/>
  <c r="BA2921" i="88"/>
  <c r="BA2917" i="88"/>
  <c r="BA2918" i="88"/>
  <c r="BA2920" i="88"/>
  <c r="BA2915" i="88"/>
  <c r="BA2835" i="88"/>
  <c r="BA2832" i="88"/>
  <c r="BA2836" i="88"/>
  <c r="BA2834" i="88"/>
  <c r="BA2840" i="88"/>
  <c r="BA2833" i="88"/>
  <c r="BA2838" i="88"/>
  <c r="BA2837" i="88"/>
  <c r="BA2839" i="88"/>
  <c r="BA3110" i="88"/>
  <c r="BA3105" i="88"/>
  <c r="BA3103" i="88"/>
  <c r="BA3108" i="88"/>
  <c r="BA3102" i="88"/>
  <c r="BA3106" i="88"/>
  <c r="BA3104" i="88"/>
  <c r="BA3107" i="88"/>
  <c r="BA3109" i="88"/>
  <c r="BA2973" i="88"/>
  <c r="BA2972" i="88"/>
  <c r="BA2975" i="88"/>
  <c r="BA2971" i="88"/>
  <c r="BA2969" i="88"/>
  <c r="BA2968" i="88"/>
  <c r="BA2970" i="88"/>
  <c r="BA2967" i="88"/>
  <c r="BA2974" i="88"/>
  <c r="BA2995" i="88"/>
  <c r="BA3000" i="88"/>
  <c r="BA3001" i="88"/>
  <c r="BA2998" i="88"/>
  <c r="BA2997" i="88"/>
  <c r="BA2996" i="88"/>
  <c r="BA3002" i="88"/>
  <c r="BA2994" i="88"/>
  <c r="BA2999" i="88"/>
  <c r="BA2944" i="88"/>
  <c r="BA2946" i="88"/>
  <c r="BA2942" i="88"/>
  <c r="BA2943" i="88"/>
  <c r="BA2941" i="88"/>
  <c r="BA2947" i="88"/>
  <c r="BA2948" i="88"/>
  <c r="BA2945" i="88"/>
  <c r="BA2940" i="88"/>
  <c r="BA2863" i="88"/>
  <c r="BA2860" i="88"/>
  <c r="BA2867" i="88"/>
  <c r="BA2866" i="88"/>
  <c r="BA2865" i="88"/>
  <c r="BA2862" i="88"/>
  <c r="BA2861" i="88"/>
  <c r="BA2864" i="88"/>
  <c r="BA2859" i="88"/>
  <c r="BA1774" i="88"/>
  <c r="BA1773" i="88"/>
  <c r="BA1775" i="88"/>
  <c r="BA2471" i="88"/>
  <c r="BA2470" i="88"/>
  <c r="BA2472" i="88"/>
  <c r="BA1655" i="88"/>
  <c r="BA1653" i="88"/>
  <c r="BA1654" i="88"/>
  <c r="BA1693" i="88"/>
  <c r="BA2689" i="88"/>
  <c r="BA2409" i="88"/>
  <c r="BA2554" i="88"/>
  <c r="BA3697" i="88"/>
  <c r="BA1729" i="88"/>
  <c r="BA3192" i="88"/>
  <c r="BA3053" i="88"/>
  <c r="BA3051" i="88"/>
  <c r="BA3050" i="88"/>
  <c r="BA3056" i="88"/>
  <c r="BA3052" i="88"/>
  <c r="BA3049" i="88"/>
  <c r="BA3048" i="88"/>
  <c r="BA3055" i="88"/>
  <c r="BA3054" i="88"/>
  <c r="BA3481" i="88"/>
  <c r="BA3480" i="88"/>
  <c r="BA3699" i="88"/>
  <c r="BA3700" i="88"/>
  <c r="BA3868" i="88"/>
  <c r="BA3919" i="88"/>
  <c r="BA3920" i="88"/>
  <c r="BA3750" i="88"/>
  <c r="BA3749" i="88"/>
  <c r="BA2445" i="88"/>
  <c r="BA1598" i="88"/>
  <c r="BA1600" i="88"/>
  <c r="BA1599" i="88"/>
  <c r="BA1623" i="88"/>
  <c r="BA1624" i="88"/>
  <c r="BA3309" i="88"/>
  <c r="BA1755" i="88"/>
  <c r="BA1756" i="88"/>
  <c r="BA3677" i="88"/>
  <c r="BA1617" i="88"/>
  <c r="BA1618" i="88"/>
  <c r="BA1619" i="88"/>
  <c r="BA2659" i="88"/>
  <c r="BA1840" i="88"/>
  <c r="BA1839" i="88"/>
  <c r="BA2475" i="88"/>
  <c r="BA1744" i="88"/>
  <c r="BA1743" i="88"/>
  <c r="BA2936" i="88"/>
  <c r="BA2937" i="88"/>
  <c r="BA2459" i="88"/>
  <c r="BA2457" i="88"/>
  <c r="BA2458" i="88"/>
  <c r="BA3930" i="88"/>
  <c r="BA3929" i="88"/>
  <c r="BA1768" i="88"/>
  <c r="BA1767" i="88"/>
  <c r="BA1852" i="88"/>
  <c r="BA1851" i="88"/>
  <c r="BA1612" i="88"/>
  <c r="BA1611" i="88"/>
  <c r="BA2013" i="88"/>
  <c r="BA2600" i="88"/>
  <c r="BA2601" i="88"/>
  <c r="BA1813" i="88"/>
  <c r="BA1659" i="88"/>
  <c r="BA1660" i="88"/>
  <c r="BA1672" i="88"/>
  <c r="BA1671" i="88"/>
  <c r="BA2301" i="88"/>
  <c r="BA1621" i="88"/>
  <c r="BA2391" i="88"/>
  <c r="BA2283" i="88"/>
  <c r="BA3120" i="88"/>
  <c r="BA3977" i="88"/>
  <c r="BA3501" i="88"/>
  <c r="BA3500" i="88"/>
  <c r="BA3530" i="88"/>
  <c r="BA3531" i="88"/>
  <c r="BA3600" i="88"/>
  <c r="BA3601" i="88"/>
  <c r="BA3879" i="88"/>
  <c r="BA3880" i="88"/>
  <c r="BA3959" i="88"/>
  <c r="BA3960" i="88"/>
  <c r="BA3820" i="88"/>
  <c r="BA3819" i="88"/>
  <c r="BA1847" i="88"/>
  <c r="BA1846" i="88"/>
  <c r="BA1845" i="88"/>
  <c r="BA1804" i="88"/>
  <c r="BA1803" i="88"/>
  <c r="BA1665" i="88"/>
  <c r="BA1667" i="88"/>
  <c r="BA1666" i="88"/>
  <c r="BA1648" i="88"/>
  <c r="BA1647" i="88"/>
  <c r="BA1715" i="88"/>
  <c r="BA1714" i="88"/>
  <c r="BA1762" i="88"/>
  <c r="BA1761" i="88"/>
  <c r="BA1763" i="88"/>
  <c r="BA1684" i="88"/>
  <c r="BA1683" i="88"/>
  <c r="BA2958" i="88"/>
  <c r="BA2466" i="88"/>
  <c r="BA2465" i="88"/>
  <c r="BA2464" i="88"/>
  <c r="BA3591" i="88"/>
  <c r="BA3590" i="88"/>
  <c r="BA1696" i="88"/>
  <c r="BA1695" i="88"/>
  <c r="BA1816" i="88"/>
  <c r="BA1815" i="88"/>
  <c r="BA2648" i="88"/>
  <c r="BA2649" i="88"/>
  <c r="BA3689" i="88"/>
  <c r="BA3690" i="88"/>
  <c r="BA1731" i="88"/>
  <c r="BA1732" i="88"/>
  <c r="BA2588" i="88"/>
  <c r="BA2589" i="88"/>
  <c r="BA3430" i="88"/>
  <c r="BA3431" i="88"/>
  <c r="BA3440" i="88"/>
  <c r="BA3441" i="88"/>
  <c r="BA3521" i="88"/>
  <c r="BA3520" i="88"/>
  <c r="BA3471" i="88"/>
  <c r="BA3470" i="88"/>
  <c r="BA3578" i="88"/>
  <c r="BA1810" i="88"/>
  <c r="BA1811" i="88"/>
  <c r="BA1809" i="88"/>
  <c r="BA1749" i="88"/>
  <c r="BA1750" i="88"/>
  <c r="BA1751" i="88"/>
  <c r="BA3850" i="88"/>
  <c r="BA3849" i="88"/>
  <c r="BA1791" i="88"/>
  <c r="BA1792" i="88"/>
  <c r="BA1737" i="88"/>
  <c r="BA1739" i="88"/>
  <c r="BA1738" i="88"/>
  <c r="BA1635" i="88"/>
  <c r="BA1636" i="88"/>
  <c r="BA2618" i="88"/>
  <c r="BA2619" i="88"/>
  <c r="BA3910" i="88"/>
  <c r="BA3909" i="88"/>
  <c r="BA2337" i="88"/>
  <c r="BA2794" i="88"/>
  <c r="BA2795" i="88"/>
  <c r="BA3551" i="88"/>
  <c r="BA3550" i="88"/>
  <c r="BA3789" i="88"/>
  <c r="BA3790" i="88"/>
  <c r="BA3071" i="88"/>
  <c r="BA3072" i="88"/>
  <c r="BA1720" i="88"/>
  <c r="BA1719" i="88"/>
  <c r="BA3729" i="88"/>
  <c r="BA3730" i="88"/>
  <c r="BA2247" i="88"/>
  <c r="BA1741" i="88"/>
  <c r="BA1780" i="88"/>
  <c r="BA1779" i="88"/>
  <c r="BA3569" i="88"/>
  <c r="BA1657" i="88"/>
  <c r="BA3509" i="88"/>
  <c r="BA2265" i="88"/>
  <c r="BA2031" i="88"/>
  <c r="BA2355" i="88"/>
  <c r="BA3620" i="88"/>
  <c r="BA3621" i="88"/>
  <c r="BA3571" i="88"/>
  <c r="BA3570" i="88"/>
  <c r="BA3720" i="88"/>
  <c r="BA3719" i="88"/>
  <c r="BA2629" i="88"/>
  <c r="BA3490" i="88"/>
  <c r="BA3491" i="88"/>
  <c r="BA3609" i="88"/>
  <c r="BA1645" i="88"/>
  <c r="BA2595" i="88"/>
  <c r="BA2596" i="88"/>
  <c r="BA1789" i="88"/>
  <c r="BA1888" i="88"/>
  <c r="BA1849" i="88"/>
  <c r="BA3837" i="88"/>
  <c r="BA2562" i="88"/>
  <c r="BA2561" i="88"/>
  <c r="BA1717" i="88"/>
  <c r="BA2476" i="88"/>
  <c r="BA2477" i="88"/>
  <c r="BA3638" i="88"/>
  <c r="BA3156" i="88"/>
  <c r="BA1669" i="88"/>
  <c r="BA2507" i="88"/>
  <c r="BA2508" i="88"/>
  <c r="BA2493" i="88"/>
  <c r="BA2660" i="88"/>
  <c r="BA2661" i="88"/>
  <c r="BA1837" i="88"/>
  <c r="BA2121" i="88"/>
  <c r="BA2373" i="88"/>
  <c r="BA2229" i="88"/>
  <c r="BA1861" i="88"/>
  <c r="BA1633" i="88"/>
  <c r="BA2690" i="88"/>
  <c r="BA2691" i="88"/>
  <c r="BA3064" i="88"/>
  <c r="BA3065" i="88"/>
  <c r="BA2157" i="88"/>
  <c r="BA2821" i="88"/>
  <c r="BA2822" i="88"/>
  <c r="BA3718" i="88"/>
  <c r="BA3183" i="88"/>
  <c r="BA3228" i="88"/>
  <c r="BA3810" i="88"/>
  <c r="BA3809" i="88"/>
  <c r="BA3003" i="88"/>
  <c r="BA3004" i="88"/>
  <c r="BA3580" i="88"/>
  <c r="BA3581" i="88"/>
  <c r="BA3799" i="88"/>
  <c r="BA3800" i="88"/>
  <c r="BA3459" i="88"/>
  <c r="BA3870" i="88"/>
  <c r="BA3869" i="88"/>
  <c r="BA3949" i="88"/>
  <c r="BA3950" i="88"/>
  <c r="BA3737" i="88"/>
  <c r="BA3797" i="88"/>
  <c r="BA3780" i="88"/>
  <c r="BA3779" i="88"/>
  <c r="BA3610" i="88"/>
  <c r="BA3611" i="88"/>
  <c r="BA3828" i="88"/>
  <c r="BA3830" i="88"/>
  <c r="BA3829" i="88"/>
  <c r="BA2745" i="88"/>
  <c r="BA2746" i="88"/>
  <c r="BA3721" i="88"/>
  <c r="BA3722" i="88"/>
  <c r="BA2193" i="88"/>
  <c r="BA3968" i="88"/>
  <c r="BA2710" i="88"/>
  <c r="BA3369" i="88"/>
  <c r="BA3532" i="88"/>
  <c r="BA3533" i="88"/>
  <c r="BA3917" i="88"/>
  <c r="BA2732" i="88"/>
  <c r="BA2733" i="88"/>
  <c r="BA3670" i="88"/>
  <c r="BA3669" i="88"/>
  <c r="BA3859" i="88"/>
  <c r="BA3860" i="88"/>
  <c r="BA2536" i="88"/>
  <c r="BA3318" i="88"/>
  <c r="BA3739" i="88"/>
  <c r="BA3740" i="88"/>
  <c r="BA3660" i="88"/>
  <c r="BA3659" i="88"/>
  <c r="BA3709" i="88"/>
  <c r="BA3710" i="88"/>
  <c r="BA3598" i="88"/>
  <c r="BA3770" i="88"/>
  <c r="BA3769" i="88"/>
  <c r="BA3759" i="88"/>
  <c r="BA3760" i="88"/>
  <c r="BA3558" i="88"/>
  <c r="BA3098" i="88"/>
  <c r="BA3099" i="88"/>
  <c r="BA3650" i="88"/>
  <c r="BA3691" i="88"/>
  <c r="BA3692" i="88"/>
  <c r="BA3630" i="88"/>
  <c r="BA3631" i="88"/>
  <c r="BA3522" i="88"/>
  <c r="BA3523" i="88"/>
  <c r="BA2902" i="88"/>
  <c r="BA2903" i="88"/>
  <c r="BA3708" i="88"/>
  <c r="BA3778" i="88"/>
  <c r="BA3125" i="88"/>
  <c r="BA3126" i="88"/>
  <c r="BA3461" i="88"/>
  <c r="BA3460" i="88"/>
  <c r="BA3768" i="88"/>
  <c r="BA3091" i="88"/>
  <c r="BA3092" i="88"/>
  <c r="BA3839" i="88"/>
  <c r="BA3840" i="88"/>
  <c r="BA3668" i="88"/>
  <c r="BA3858" i="88"/>
  <c r="BA3479" i="88"/>
  <c r="BA3552" i="88"/>
  <c r="BA3553" i="88"/>
  <c r="BA3111" i="88"/>
  <c r="BA3112" i="88"/>
  <c r="BA3399" i="88"/>
  <c r="BA3255" i="88"/>
  <c r="BA3651" i="88"/>
  <c r="BA3652" i="88"/>
  <c r="BA3671" i="88"/>
  <c r="BA3672" i="88"/>
  <c r="BA3421" i="88"/>
  <c r="BA3165" i="88"/>
  <c r="BA2460" i="88"/>
  <c r="BA2461" i="88"/>
  <c r="BA3888" i="88"/>
  <c r="BA3738" i="88"/>
  <c r="BA3432" i="88"/>
  <c r="BA3433" i="88"/>
  <c r="BA2895" i="88"/>
  <c r="BA2896" i="88"/>
  <c r="BA3093" i="88"/>
  <c r="BA3264" i="88"/>
  <c r="BA3717" i="88"/>
  <c r="BA3898" i="88"/>
  <c r="BA2612" i="88"/>
  <c r="BA2613" i="88"/>
  <c r="BA3518" i="88"/>
  <c r="BA3748" i="88"/>
  <c r="BA3386" i="88"/>
  <c r="BA2929" i="88"/>
  <c r="BA2930" i="88"/>
  <c r="BA1825" i="88"/>
  <c r="BA2463" i="88"/>
  <c r="BA2904" i="88"/>
  <c r="BA2590" i="88"/>
  <c r="BA3899" i="88"/>
  <c r="BA3900" i="88"/>
  <c r="BA3439" i="88"/>
  <c r="BA2738" i="88"/>
  <c r="BA2739" i="88"/>
  <c r="BA3678" i="88"/>
  <c r="BA3890" i="88"/>
  <c r="BA3889" i="88"/>
  <c r="BA2319" i="88"/>
  <c r="BA3017" i="88"/>
  <c r="BA3018" i="88"/>
  <c r="BA3940" i="88"/>
  <c r="BA3939" i="88"/>
  <c r="BA3698" i="88"/>
  <c r="BA3300" i="88"/>
  <c r="BA3658" i="88"/>
  <c r="BA2841" i="88"/>
  <c r="BA2842" i="88"/>
  <c r="BA3589" i="88"/>
  <c r="BA3458" i="88"/>
  <c r="BA3392" i="88"/>
  <c r="BA2828" i="88"/>
  <c r="BA2829" i="88"/>
  <c r="BA3560" i="88"/>
  <c r="BA3562" i="88"/>
  <c r="BA3563" i="88"/>
  <c r="BA3561" i="88"/>
  <c r="BA2518" i="88"/>
  <c r="BA3510" i="88"/>
  <c r="BA3512" i="88"/>
  <c r="BA3513" i="88"/>
  <c r="BA3511" i="88"/>
  <c r="BA3808" i="88"/>
  <c r="BA2956" i="88"/>
  <c r="BA2957" i="88"/>
  <c r="BA3037" i="88"/>
  <c r="BA3038" i="88"/>
  <c r="BA2211" i="88"/>
  <c r="BA3450" i="88"/>
  <c r="BA3452" i="88"/>
  <c r="BA3453" i="88"/>
  <c r="BA3451" i="88"/>
  <c r="BA2868" i="88"/>
  <c r="BA2869" i="88"/>
  <c r="BA2848" i="88"/>
  <c r="BA2849" i="88"/>
  <c r="BA2650" i="88"/>
  <c r="BA3203" i="88"/>
  <c r="BA3202" i="88"/>
  <c r="BA3177" i="88"/>
  <c r="BA3178" i="88"/>
  <c r="BA3403" i="88"/>
  <c r="BA2715" i="88"/>
  <c r="BA2716" i="88"/>
  <c r="BA3489" i="88"/>
  <c r="BA3701" i="88"/>
  <c r="BA3702" i="88"/>
  <c r="BA3190" i="88"/>
  <c r="BA3191" i="88"/>
  <c r="BA3118" i="88"/>
  <c r="BA3119" i="88"/>
  <c r="BA3736" i="88"/>
  <c r="BA3735" i="88"/>
  <c r="BA2393" i="88"/>
  <c r="BA2392" i="88"/>
  <c r="BA2563" i="88"/>
  <c r="BA2564" i="88"/>
  <c r="BA2525" i="88"/>
  <c r="BA2526" i="88"/>
  <c r="BA2531" i="88"/>
  <c r="BA2530" i="88"/>
  <c r="BA3213" i="88"/>
  <c r="BA3214" i="88"/>
  <c r="BA2152" i="88"/>
  <c r="BA2151" i="88"/>
  <c r="BA3937" i="88"/>
  <c r="BA3878" i="88"/>
  <c r="BA3472" i="88"/>
  <c r="BA3473" i="88"/>
  <c r="BA3957" i="88"/>
  <c r="BA3679" i="88"/>
  <c r="BA3681" i="88"/>
  <c r="BA3682" i="88"/>
  <c r="BA3680" i="88"/>
  <c r="BA3047" i="88"/>
  <c r="BA3046" i="88"/>
  <c r="BA2537" i="88"/>
  <c r="BA2538" i="88"/>
  <c r="BA3908" i="88"/>
  <c r="BA3438" i="88"/>
  <c r="BA2657" i="88"/>
  <c r="BA2658" i="88"/>
  <c r="BA3596" i="88"/>
  <c r="BA3597" i="88"/>
  <c r="BA2831" i="88"/>
  <c r="BA2830" i="88"/>
  <c r="BA2708" i="88"/>
  <c r="BA2709" i="88"/>
  <c r="BA3688" i="88"/>
  <c r="BA2720" i="88"/>
  <c r="BA2721" i="88"/>
  <c r="BA2719" i="88"/>
  <c r="BA3788" i="88"/>
  <c r="BA3499" i="88"/>
  <c r="BA2787" i="88"/>
  <c r="BA2788" i="88"/>
  <c r="BA3811" i="88"/>
  <c r="BA3812" i="88"/>
  <c r="BA3019" i="88"/>
  <c r="BA3020" i="88"/>
  <c r="BA3657" i="88"/>
  <c r="BA3656" i="88"/>
  <c r="BA3540" i="88"/>
  <c r="BA3542" i="88"/>
  <c r="BA3543" i="88"/>
  <c r="BA3541" i="88"/>
  <c r="BA2678" i="88"/>
  <c r="BA2679" i="88"/>
  <c r="BA3057" i="88"/>
  <c r="BA3058" i="88"/>
  <c r="BA3498" i="88"/>
  <c r="BA3012" i="88"/>
  <c r="BA2702" i="88"/>
  <c r="BA2703" i="88"/>
  <c r="BA2513" i="88"/>
  <c r="BA2512" i="88"/>
  <c r="BA3185" i="88"/>
  <c r="BA3184" i="88"/>
  <c r="BA3030" i="88"/>
  <c r="BA3031" i="88"/>
  <c r="BA3201" i="88"/>
  <c r="BA2760" i="88"/>
  <c r="BA2761" i="88"/>
  <c r="BA3941" i="88"/>
  <c r="BA3942" i="88"/>
  <c r="BA3612" i="88"/>
  <c r="BA3613" i="88"/>
  <c r="BA2620" i="88"/>
  <c r="BA3304" i="88"/>
  <c r="BA3303" i="88"/>
  <c r="BA2242" i="88"/>
  <c r="BA2241" i="88"/>
  <c r="BA3139" i="88"/>
  <c r="BA3140" i="88"/>
  <c r="BA3084" i="88"/>
  <c r="BA3085" i="88"/>
  <c r="BA2949" i="88"/>
  <c r="BA2950" i="88"/>
  <c r="BA3976" i="88"/>
  <c r="BA3975" i="88"/>
  <c r="BA3629" i="88"/>
  <c r="BA2140" i="88"/>
  <c r="BA2141" i="88"/>
  <c r="BA2344" i="88"/>
  <c r="BA2345" i="88"/>
  <c r="BA2062" i="88"/>
  <c r="BA2061" i="88"/>
  <c r="BA1681" i="88"/>
  <c r="BA1753" i="88"/>
  <c r="BA3758" i="88"/>
  <c r="BA1777" i="88"/>
  <c r="BA1609" i="88"/>
  <c r="BA3219" i="88"/>
  <c r="BA3857" i="88"/>
  <c r="BA2630" i="88"/>
  <c r="BA2631" i="88"/>
  <c r="BA3970" i="88"/>
  <c r="BA3969" i="88"/>
  <c r="BA3972" i="88"/>
  <c r="BA3971" i="88"/>
  <c r="BA3978" i="88"/>
  <c r="BA3818" i="88"/>
  <c r="BA2749" i="88"/>
  <c r="BA3529" i="88"/>
  <c r="BA2768" i="88"/>
  <c r="BA3641" i="88"/>
  <c r="BA3642" i="88"/>
  <c r="BA3640" i="88"/>
  <c r="BA2500" i="88"/>
  <c r="BA3921" i="88"/>
  <c r="BA3922" i="88"/>
  <c r="BA2773" i="88"/>
  <c r="BA2774" i="88"/>
  <c r="BA3901" i="88"/>
  <c r="BA3902" i="88"/>
  <c r="BA2655" i="88"/>
  <c r="BA2656" i="88"/>
  <c r="BA3375" i="88"/>
  <c r="BA3582" i="88"/>
  <c r="BA3583" i="88"/>
  <c r="BA2850" i="88"/>
  <c r="BA2801" i="88"/>
  <c r="BA2802" i="88"/>
  <c r="BA3861" i="88"/>
  <c r="BA3862" i="88"/>
  <c r="BA2823" i="88"/>
  <c r="BA3741" i="88"/>
  <c r="BA3742" i="88"/>
  <c r="BA3661" i="88"/>
  <c r="BA3662" i="88"/>
  <c r="BA3622" i="88"/>
  <c r="BA3623" i="88"/>
  <c r="BA3771" i="88"/>
  <c r="BA3772" i="88"/>
  <c r="BA3897" i="88"/>
  <c r="BA3519" i="88"/>
  <c r="BA1765" i="88"/>
  <c r="BA2427" i="88"/>
  <c r="BA2049" i="88"/>
  <c r="BA2139" i="88"/>
  <c r="BA3538" i="88"/>
  <c r="BA3928" i="88"/>
  <c r="BA3951" i="88"/>
  <c r="BA3952" i="88"/>
  <c r="BA3539" i="88"/>
  <c r="BA3751" i="88"/>
  <c r="BA3752" i="88"/>
  <c r="BA2175" i="88"/>
  <c r="BA3948" i="88"/>
  <c r="BA3801" i="88"/>
  <c r="BA3802" i="88"/>
  <c r="BA3010" i="88"/>
  <c r="BA3011" i="88"/>
  <c r="BA3791" i="88"/>
  <c r="BA3792" i="88"/>
  <c r="BA2931" i="88"/>
  <c r="BA2814" i="88"/>
  <c r="BA2815" i="88"/>
  <c r="BA3649" i="88"/>
  <c r="BA3384" i="88"/>
  <c r="BA3871" i="88"/>
  <c r="BA3872" i="88"/>
  <c r="BA3482" i="88"/>
  <c r="BA3483" i="88"/>
  <c r="BA2266" i="88"/>
  <c r="BA2267" i="88"/>
  <c r="BA3761" i="88"/>
  <c r="BA3762" i="88"/>
  <c r="BA3599" i="88"/>
  <c r="BA3174" i="88"/>
  <c r="BA3632" i="88"/>
  <c r="BA3633" i="88"/>
  <c r="BA3619" i="88"/>
  <c r="BA3821" i="88"/>
  <c r="BA3822" i="88"/>
  <c r="BA3492" i="88"/>
  <c r="BA3493" i="88"/>
  <c r="BA3436" i="88"/>
  <c r="BA3437" i="88"/>
  <c r="BA2165" i="88"/>
  <c r="BA2164" i="88"/>
  <c r="BA2176" i="88"/>
  <c r="BA2177" i="88"/>
  <c r="BA2116" i="88"/>
  <c r="BA2115" i="88"/>
  <c r="BA2025" i="88"/>
  <c r="BA2026" i="88"/>
  <c r="BA2201" i="88"/>
  <c r="BA2200" i="88"/>
  <c r="BA2882" i="88"/>
  <c r="BA2883" i="88"/>
  <c r="BA2579" i="88"/>
  <c r="BA2580" i="88"/>
  <c r="BA2453" i="88"/>
  <c r="BA2452" i="88"/>
  <c r="BA2566" i="88"/>
  <c r="BA2567" i="88"/>
  <c r="BA2260" i="88"/>
  <c r="BA2259" i="88"/>
  <c r="BA3855" i="88"/>
  <c r="BA3856" i="88"/>
  <c r="BA2385" i="88"/>
  <c r="BA2386" i="88"/>
  <c r="BA3462" i="88"/>
  <c r="BA3463" i="88"/>
  <c r="BA3848" i="88"/>
  <c r="BA3385" i="88"/>
  <c r="BA3382" i="88"/>
  <c r="BA3918" i="88"/>
  <c r="BA3835" i="88"/>
  <c r="BA3836" i="88"/>
  <c r="BA2033" i="88"/>
  <c r="BA2032" i="88"/>
  <c r="BA3286" i="88"/>
  <c r="BA2796" i="88"/>
  <c r="BA3310" i="88"/>
  <c r="BA3311" i="88"/>
  <c r="BA2740" i="88"/>
  <c r="BA3157" i="88"/>
  <c r="BA3158" i="88"/>
  <c r="BA3841" i="88"/>
  <c r="BA3842" i="88"/>
  <c r="BA2331" i="88"/>
  <c r="BA2332" i="88"/>
  <c r="BA2002" i="88"/>
  <c r="BA2003" i="88"/>
  <c r="BA2875" i="88"/>
  <c r="BA2876" i="88"/>
  <c r="BA2680" i="88"/>
  <c r="BA3617" i="88"/>
  <c r="BA3616" i="88"/>
  <c r="BA2206" i="88"/>
  <c r="BA2205" i="88"/>
  <c r="BA2473" i="88"/>
  <c r="BA2474" i="88"/>
  <c r="BA2803" i="88"/>
  <c r="BA2804" i="88"/>
  <c r="BA3449" i="88"/>
  <c r="BA3044" i="88"/>
  <c r="BA3045" i="88"/>
  <c r="BA2766" i="88"/>
  <c r="BA2767" i="88"/>
  <c r="BA2069" i="88"/>
  <c r="BA2068" i="88"/>
  <c r="BA2718" i="88"/>
  <c r="BA2717" i="88"/>
  <c r="BA2248" i="88"/>
  <c r="BA2249" i="88"/>
  <c r="BA3230" i="88"/>
  <c r="BA3229" i="88"/>
  <c r="BA3147" i="88"/>
  <c r="BA2327" i="88"/>
  <c r="BA2326" i="88"/>
  <c r="BA3429" i="88"/>
  <c r="BA2237" i="88"/>
  <c r="BA2236" i="88"/>
  <c r="BA2628" i="88"/>
  <c r="BA2627" i="88"/>
  <c r="BA3559" i="88"/>
  <c r="BA2367" i="88"/>
  <c r="BA2368" i="88"/>
  <c r="BA2038" i="88"/>
  <c r="BA2039" i="88"/>
  <c r="BA3877" i="88"/>
  <c r="BA3232" i="88"/>
  <c r="BA3231" i="88"/>
  <c r="BA3195" i="88"/>
  <c r="BA3196" i="88"/>
  <c r="BA3478" i="88"/>
  <c r="BA3851" i="88"/>
  <c r="BA3852" i="88"/>
  <c r="BA2922" i="88"/>
  <c r="BA2923" i="88"/>
  <c r="BA2254" i="88"/>
  <c r="BA2255" i="88"/>
  <c r="BA3815" i="88"/>
  <c r="BA3816" i="88"/>
  <c r="BA2219" i="88"/>
  <c r="BA2218" i="88"/>
  <c r="BA3267" i="88"/>
  <c r="BA3268" i="88"/>
  <c r="BA2349" i="88"/>
  <c r="BA2350" i="88"/>
  <c r="BA2321" i="88"/>
  <c r="BA2320" i="88"/>
  <c r="BA2528" i="88"/>
  <c r="BA2527" i="88"/>
  <c r="BA3402" i="88"/>
  <c r="BA2963" i="88"/>
  <c r="BA2964" i="88"/>
  <c r="BA2685" i="88"/>
  <c r="BA2686" i="88"/>
  <c r="BA3716" i="88"/>
  <c r="BA3715" i="88"/>
  <c r="BA2277" i="88"/>
  <c r="BA2278" i="88"/>
  <c r="BA2067" i="88"/>
  <c r="BA2439" i="88"/>
  <c r="BA2440" i="88"/>
  <c r="BA3496" i="88"/>
  <c r="BA3497" i="88"/>
  <c r="BA3711" i="88"/>
  <c r="BA3712" i="88"/>
  <c r="BA2467" i="88"/>
  <c r="BA2468" i="88"/>
  <c r="BA2572" i="88"/>
  <c r="BA3938" i="88"/>
  <c r="BA2574" i="88"/>
  <c r="BA2573" i="88"/>
  <c r="BA2642" i="88"/>
  <c r="BA2643" i="88"/>
  <c r="BA3675" i="88"/>
  <c r="BA3676" i="88"/>
  <c r="BA3226" i="88"/>
  <c r="BA3227" i="88"/>
  <c r="BA3891" i="88"/>
  <c r="BA3892" i="88"/>
  <c r="BA2446" i="88"/>
  <c r="BA2447" i="88"/>
  <c r="BA2582" i="88"/>
  <c r="BA2581" i="88"/>
  <c r="BA2429" i="88"/>
  <c r="BA2428" i="88"/>
  <c r="BA3301" i="88"/>
  <c r="BA3302" i="88"/>
  <c r="BA2380" i="88"/>
  <c r="BA2381" i="88"/>
  <c r="BA3237" i="88"/>
  <c r="BA2501" i="88"/>
  <c r="BA2502" i="88"/>
  <c r="BA2519" i="88"/>
  <c r="BA2520" i="88"/>
  <c r="BA2170" i="88"/>
  <c r="BA2169" i="88"/>
  <c r="BA2159" i="88"/>
  <c r="BA2158" i="88"/>
  <c r="BA3731" i="88"/>
  <c r="BA3732" i="88"/>
  <c r="BA3376" i="88"/>
  <c r="BA3442" i="88"/>
  <c r="BA3443" i="88"/>
  <c r="BA2230" i="88"/>
  <c r="BA2231" i="88"/>
  <c r="BA2285" i="88"/>
  <c r="BA2284" i="88"/>
  <c r="BA3292" i="88"/>
  <c r="BA3293" i="88"/>
  <c r="BA2976" i="88"/>
  <c r="BA2977" i="88"/>
  <c r="BA2510" i="88"/>
  <c r="BA2509" i="88"/>
  <c r="BA3796" i="88"/>
  <c r="BA3795" i="88"/>
  <c r="BA2103" i="88"/>
  <c r="BA3592" i="88"/>
  <c r="BA3593" i="88"/>
  <c r="BA2422" i="88"/>
  <c r="BA2421" i="88"/>
  <c r="BA2183" i="88"/>
  <c r="BA2182" i="88"/>
  <c r="BA3757" i="88"/>
  <c r="BA2093" i="88"/>
  <c r="BA2092" i="88"/>
  <c r="BA2075" i="88"/>
  <c r="BA2074" i="88"/>
  <c r="BA3728" i="88"/>
  <c r="BA3911" i="88"/>
  <c r="BA3912" i="88"/>
  <c r="BA2097" i="88"/>
  <c r="BA2098" i="88"/>
  <c r="BA2747" i="88"/>
  <c r="BA2748" i="88"/>
  <c r="BA3502" i="88"/>
  <c r="BA3503" i="88"/>
  <c r="BA3516" i="88"/>
  <c r="BA3517" i="88"/>
  <c r="BA3291" i="88"/>
  <c r="BA2912" i="88"/>
  <c r="BA2911" i="88"/>
  <c r="BA3618" i="88"/>
  <c r="BA3931" i="88"/>
  <c r="BA3932" i="88"/>
  <c r="BA2672" i="88"/>
  <c r="BA2673" i="88"/>
  <c r="BA3875" i="88"/>
  <c r="BA3876" i="88"/>
  <c r="BA3556" i="88"/>
  <c r="BA3557" i="88"/>
  <c r="BA2688" i="88"/>
  <c r="BA2687" i="88"/>
  <c r="BA2938" i="88"/>
  <c r="BA2939" i="88"/>
  <c r="BA3422" i="88"/>
  <c r="BA3423" i="88"/>
  <c r="BA3176" i="88"/>
  <c r="BA3175" i="88"/>
  <c r="BA3935" i="88"/>
  <c r="BA3936" i="88"/>
  <c r="BA3881" i="88"/>
  <c r="BA3882" i="88"/>
  <c r="BA2777" i="88"/>
  <c r="BA2410" i="88"/>
  <c r="BA2411" i="88"/>
  <c r="BA3208" i="88"/>
  <c r="BA3209" i="88"/>
  <c r="BA2056" i="88"/>
  <c r="BA2057" i="88"/>
  <c r="BA3155" i="88"/>
  <c r="BA3154" i="88"/>
  <c r="BA2776" i="88"/>
  <c r="BA2775" i="88"/>
  <c r="BA2885" i="88"/>
  <c r="BA2884" i="88"/>
  <c r="BA3572" i="88"/>
  <c r="BA3573" i="88"/>
  <c r="BA3831" i="88"/>
  <c r="BA3832" i="88"/>
  <c r="BA2128" i="88"/>
  <c r="BA2129" i="88"/>
  <c r="BA3756" i="88"/>
  <c r="BA3755" i="88"/>
  <c r="BA2434" i="88"/>
  <c r="BA2435" i="88"/>
  <c r="BA2110" i="88"/>
  <c r="BA2111" i="88"/>
  <c r="BA2546" i="88"/>
  <c r="BA2545" i="88"/>
  <c r="BA3066" i="88"/>
  <c r="BA3477" i="88"/>
  <c r="BA3476" i="88"/>
  <c r="BA2308" i="88"/>
  <c r="BA2309" i="88"/>
  <c r="BA2224" i="88"/>
  <c r="BA2223" i="88"/>
  <c r="BA3895" i="88"/>
  <c r="BA3896" i="88"/>
  <c r="BA3172" i="88"/>
  <c r="BA3173" i="88"/>
  <c r="BA3263" i="88"/>
  <c r="BA3262" i="88"/>
  <c r="BA3401" i="88"/>
  <c r="BA2597" i="88"/>
  <c r="BA2598" i="88"/>
  <c r="BA2303" i="88"/>
  <c r="BA2302" i="88"/>
  <c r="BA3039" i="88"/>
  <c r="BA3210" i="88"/>
  <c r="BA3167" i="88"/>
  <c r="BA3166" i="88"/>
  <c r="BA2187" i="88"/>
  <c r="BA2188" i="88"/>
  <c r="BA2295" i="88"/>
  <c r="BA2296" i="88"/>
  <c r="BA3319" i="88"/>
  <c r="BA3320" i="88"/>
  <c r="BA1989" i="88"/>
  <c r="BA1990" i="88"/>
  <c r="BA1979" i="88"/>
  <c r="BA1964" i="88"/>
  <c r="BA1949" i="88"/>
  <c r="BA1934" i="88"/>
  <c r="BA1919" i="88"/>
  <c r="BA1904" i="88"/>
  <c r="BA2417" i="88"/>
  <c r="BA2416" i="88"/>
  <c r="BA3695" i="88"/>
  <c r="BA3696" i="88"/>
  <c r="BA3159" i="88"/>
  <c r="BA3160" i="88"/>
  <c r="BA2909" i="88"/>
  <c r="BA2910" i="88"/>
  <c r="BA2123" i="88"/>
  <c r="BA2122" i="88"/>
  <c r="BA3775" i="88"/>
  <c r="BA3776" i="88"/>
  <c r="BA2356" i="88"/>
  <c r="BA2357" i="88"/>
  <c r="BA3579" i="88"/>
  <c r="BA3211" i="88"/>
  <c r="BA3212" i="88"/>
  <c r="BA2858" i="88"/>
  <c r="BA2857" i="88"/>
  <c r="BA2625" i="88"/>
  <c r="BA2626" i="88"/>
  <c r="BA3781" i="88"/>
  <c r="BA3782" i="88"/>
  <c r="BA2105" i="88"/>
  <c r="BA2104" i="88"/>
  <c r="BA3299" i="88"/>
  <c r="BA3298" i="88"/>
  <c r="BA3817" i="88"/>
  <c r="BA3838" i="88"/>
  <c r="BA2556" i="88"/>
  <c r="BA2555" i="88"/>
  <c r="BA3549" i="88"/>
  <c r="BA2877" i="88"/>
  <c r="BA3961" i="88"/>
  <c r="BA3962" i="88"/>
  <c r="BA2544" i="88"/>
  <c r="BA2543" i="88"/>
  <c r="BA3576" i="88"/>
  <c r="BA3577" i="88"/>
  <c r="BA3317" i="88"/>
  <c r="BA3316" i="88"/>
  <c r="BA2007" i="88"/>
  <c r="BA2008" i="88"/>
  <c r="BA3639" i="88"/>
  <c r="BA2855" i="88"/>
  <c r="BA2856" i="88"/>
  <c r="BA2272" i="88"/>
  <c r="BA2273" i="88"/>
  <c r="BA3128" i="88"/>
  <c r="BA3127" i="88"/>
  <c r="BA3777" i="88"/>
  <c r="BA3955" i="88"/>
  <c r="BA3956" i="88"/>
  <c r="BA2195" i="88"/>
  <c r="BA2194" i="88"/>
  <c r="BA2313" i="88"/>
  <c r="BA2314" i="88"/>
  <c r="BA2495" i="88"/>
  <c r="BA2494" i="88"/>
  <c r="BA3141" i="88"/>
  <c r="BA3142" i="88"/>
  <c r="BA2051" i="88"/>
  <c r="BA2050" i="88"/>
  <c r="BA3393" i="88"/>
  <c r="BA3915" i="88"/>
  <c r="BA3916" i="88"/>
  <c r="BA2043" i="88"/>
  <c r="BA2044" i="88"/>
  <c r="BA2339" i="88"/>
  <c r="BA2338" i="88"/>
  <c r="BA3958" i="88"/>
  <c r="BA2086" i="88"/>
  <c r="BA2087" i="88"/>
  <c r="BA3193" i="88"/>
  <c r="BA3194" i="88"/>
  <c r="BA2362" i="88"/>
  <c r="BA2363" i="88"/>
  <c r="BA2021" i="88"/>
  <c r="BA2020" i="88"/>
  <c r="BA1973" i="88"/>
  <c r="BA1958" i="88"/>
  <c r="BA1943" i="88"/>
  <c r="BA1928" i="88"/>
  <c r="BA1913" i="88"/>
  <c r="BA1898" i="88"/>
  <c r="BA1889" i="88"/>
  <c r="BA1874" i="88"/>
  <c r="BA1862" i="88"/>
  <c r="BA1850" i="88"/>
  <c r="BA1838" i="88"/>
  <c r="BA1826" i="88"/>
  <c r="BA1814" i="88"/>
  <c r="BA1802" i="88"/>
  <c r="BA1790" i="88"/>
  <c r="BA1778" i="88"/>
  <c r="BA1766" i="88"/>
  <c r="BA1754" i="88"/>
  <c r="BA1742" i="88"/>
  <c r="BA1730" i="88"/>
  <c r="BA1718" i="88"/>
  <c r="BA1694" i="88"/>
  <c r="BA1682" i="88"/>
  <c r="BA1670" i="88"/>
  <c r="BA1658" i="88"/>
  <c r="BA1646" i="88"/>
  <c r="BA1634" i="88"/>
  <c r="BA1622" i="88"/>
  <c r="BA1610" i="88"/>
  <c r="BA1595" i="88"/>
  <c r="BA1580" i="88"/>
  <c r="BA1565" i="88"/>
  <c r="BA1550" i="88"/>
  <c r="BA1535" i="88"/>
  <c r="BA1520" i="88"/>
  <c r="BA1505" i="88"/>
  <c r="BA1475" i="88"/>
  <c r="BA1460" i="88"/>
  <c r="BA1445" i="88"/>
  <c r="BA1430" i="88"/>
  <c r="BA1415" i="88"/>
  <c r="BA1400" i="88"/>
  <c r="BA1385" i="88"/>
  <c r="BA1370" i="88"/>
  <c r="BA1355" i="88"/>
  <c r="BA1340" i="88"/>
  <c r="BA1325" i="88"/>
  <c r="BA1310" i="88"/>
  <c r="BA1295" i="88"/>
  <c r="BA1280" i="88"/>
  <c r="BA1265" i="88"/>
  <c r="BA1250" i="88"/>
  <c r="BA1235" i="88"/>
  <c r="BA1220" i="88"/>
  <c r="BA1205" i="88"/>
  <c r="BA1995" i="88"/>
  <c r="BA1980" i="88"/>
  <c r="BA1965" i="88"/>
  <c r="BA1950" i="88"/>
  <c r="BA1935" i="88"/>
  <c r="BA1920" i="88"/>
  <c r="BA1905" i="88"/>
  <c r="BA1890" i="88"/>
  <c r="BA1881" i="88"/>
  <c r="BA1866" i="88"/>
  <c r="BA1854" i="88"/>
  <c r="BA1842" i="88"/>
  <c r="BA1830" i="88"/>
  <c r="BA1818" i="88"/>
  <c r="BA1806" i="88"/>
  <c r="BA1794" i="88"/>
  <c r="BA1782" i="88"/>
  <c r="BA1770" i="88"/>
  <c r="BA1758" i="88"/>
  <c r="BA1746" i="88"/>
  <c r="BA1734" i="88"/>
  <c r="BA1722" i="88"/>
  <c r="BA1686" i="88"/>
  <c r="BA1674" i="88"/>
  <c r="BA1662" i="88"/>
  <c r="BA1650" i="88"/>
  <c r="BA1638" i="88"/>
  <c r="BA1626" i="88"/>
  <c r="BA1614" i="88"/>
  <c r="BA1602" i="88"/>
  <c r="BA1587" i="88"/>
  <c r="BA1572" i="88"/>
  <c r="BA1557" i="88"/>
  <c r="BA1542" i="88"/>
  <c r="BA1527" i="88"/>
  <c r="BA1512" i="88"/>
  <c r="BA1497" i="88"/>
  <c r="BA1467" i="88"/>
  <c r="BA1452" i="88"/>
  <c r="BA1437" i="88"/>
  <c r="BA1422" i="88"/>
  <c r="BA1407" i="88"/>
  <c r="BA1392" i="88"/>
  <c r="BA1377" i="88"/>
  <c r="BA1362" i="88"/>
  <c r="BA1347" i="88"/>
  <c r="BA1332" i="88"/>
  <c r="BA1317" i="88"/>
  <c r="BA1302" i="88"/>
  <c r="BA1287" i="88"/>
  <c r="BA1272" i="88"/>
  <c r="BA1257" i="88"/>
  <c r="BA1242" i="88"/>
  <c r="BA1227" i="88"/>
  <c r="BA1212" i="88"/>
  <c r="BA2375" i="88"/>
  <c r="BA2374" i="88"/>
  <c r="BA3456" i="88"/>
  <c r="BA3457" i="88"/>
  <c r="BA2966" i="88"/>
  <c r="BA2965" i="88"/>
  <c r="BA3101" i="88"/>
  <c r="BA3100" i="88"/>
  <c r="BA1308" i="88"/>
  <c r="BA1293" i="88"/>
  <c r="BA1278" i="88"/>
  <c r="BA1263" i="88"/>
  <c r="BA1248" i="88"/>
  <c r="BA1233" i="88"/>
  <c r="BA1218" i="88"/>
  <c r="BA1203" i="88"/>
  <c r="BA1353" i="88"/>
  <c r="BA1338" i="88"/>
  <c r="BA1323" i="88"/>
  <c r="BA3074" i="88"/>
  <c r="BA3073" i="88"/>
  <c r="BA2403" i="88"/>
  <c r="BA2404" i="88"/>
  <c r="BA3256" i="88"/>
  <c r="BA3257" i="88"/>
  <c r="BA2399" i="88"/>
  <c r="BA2398" i="88"/>
  <c r="BA3798" i="88"/>
  <c r="BA2146" i="88"/>
  <c r="BA2147" i="88"/>
  <c r="BA3602" i="88"/>
  <c r="BA3603" i="88"/>
  <c r="BA2212" i="88"/>
  <c r="BA2213" i="88"/>
  <c r="BA3266" i="88"/>
  <c r="BA3265" i="88"/>
  <c r="BA3537" i="88"/>
  <c r="BA3536" i="88"/>
  <c r="BA3148" i="88"/>
  <c r="BA3149" i="88"/>
  <c r="BA1443" i="88"/>
  <c r="BA1428" i="88"/>
  <c r="BA1413" i="88"/>
  <c r="BA1398" i="88"/>
  <c r="BA1383" i="88"/>
  <c r="BA1368" i="88"/>
  <c r="BA3221" i="88"/>
  <c r="BA3220" i="88"/>
  <c r="BA1256" i="88"/>
  <c r="BA1241" i="88"/>
  <c r="BA1226" i="88"/>
  <c r="BA1211" i="88"/>
  <c r="BA1421" i="88"/>
  <c r="BA1406" i="88"/>
  <c r="BA1391" i="88"/>
  <c r="BA1376" i="88"/>
  <c r="BA1361" i="88"/>
  <c r="BA1346" i="88"/>
  <c r="BA1331" i="88"/>
  <c r="BA1316" i="88"/>
  <c r="BA1301" i="88"/>
  <c r="BA1286" i="88"/>
  <c r="BA1271" i="88"/>
  <c r="BA3637" i="88"/>
  <c r="BA3636" i="88"/>
  <c r="BA1996" i="88"/>
  <c r="BA1997" i="88"/>
  <c r="BA1986" i="88"/>
  <c r="BA1971" i="88"/>
  <c r="BA1956" i="88"/>
  <c r="BA1941" i="88"/>
  <c r="BA1926" i="88"/>
  <c r="BA1911" i="88"/>
  <c r="BA1896" i="88"/>
  <c r="BA1887" i="88"/>
  <c r="BA1872" i="88"/>
  <c r="BA1860" i="88"/>
  <c r="BA1848" i="88"/>
  <c r="BA1836" i="88"/>
  <c r="BA1824" i="88"/>
  <c r="BA1812" i="88"/>
  <c r="BA1800" i="88"/>
  <c r="BA1788" i="88"/>
  <c r="BA1776" i="88"/>
  <c r="BA1764" i="88"/>
  <c r="BA1752" i="88"/>
  <c r="BA1740" i="88"/>
  <c r="BA1728" i="88"/>
  <c r="BA1716" i="88"/>
  <c r="BA1692" i="88"/>
  <c r="BA1680" i="88"/>
  <c r="BA1668" i="88"/>
  <c r="BA1656" i="88"/>
  <c r="BA1644" i="88"/>
  <c r="BA1632" i="88"/>
  <c r="BA1620" i="88"/>
  <c r="BA1608" i="88"/>
  <c r="BA1593" i="88"/>
  <c r="BA1578" i="88"/>
  <c r="BA1563" i="88"/>
  <c r="BA1548" i="88"/>
  <c r="BA1533" i="88"/>
  <c r="BA1518" i="88"/>
  <c r="BA1503" i="88"/>
  <c r="BA1473" i="88"/>
  <c r="BA1458" i="88"/>
  <c r="BA1571" i="88"/>
  <c r="BA1556" i="88"/>
  <c r="BA1541" i="88"/>
  <c r="BA1526" i="88"/>
  <c r="BA1511" i="88"/>
  <c r="BA1496" i="88"/>
  <c r="BA1466" i="88"/>
  <c r="BA1451" i="88"/>
  <c r="BA1436" i="88"/>
  <c r="BA1879" i="88"/>
  <c r="BA1880" i="88"/>
  <c r="BA1865" i="88"/>
  <c r="BA1853" i="88"/>
  <c r="BA1841" i="88"/>
  <c r="BA1829" i="88"/>
  <c r="BA1817" i="88"/>
  <c r="BA1805" i="88"/>
  <c r="BA1793" i="88"/>
  <c r="BA1781" i="88"/>
  <c r="BA1769" i="88"/>
  <c r="BA1757" i="88"/>
  <c r="BA1745" i="88"/>
  <c r="BA1733" i="88"/>
  <c r="BA1721" i="88"/>
  <c r="BA1697" i="88"/>
  <c r="BA1685" i="88"/>
  <c r="BA1673" i="88"/>
  <c r="BA1661" i="88"/>
  <c r="BA1649" i="88"/>
  <c r="BA1637" i="88"/>
  <c r="BA1625" i="88"/>
  <c r="BA1613" i="88"/>
  <c r="BA1601" i="88"/>
  <c r="BA1586" i="88"/>
  <c r="BA2291" i="88"/>
  <c r="BA2290" i="88"/>
  <c r="BA2549" i="88"/>
  <c r="BA2548" i="88"/>
  <c r="BA2134" i="88"/>
  <c r="BA2133" i="88"/>
  <c r="BA2015" i="88"/>
  <c r="BA2014" i="88"/>
  <c r="BA2080" i="88"/>
  <c r="BA2079" i="88"/>
  <c r="BA1485" i="88"/>
  <c r="BA1482" i="88"/>
  <c r="BA1486" i="88"/>
  <c r="BA1489" i="88"/>
  <c r="BA1488" i="88"/>
  <c r="BA1477" i="88"/>
  <c r="BA1483" i="88"/>
  <c r="BA1487" i="88"/>
  <c r="BA1478" i="88"/>
  <c r="BA1481" i="88"/>
  <c r="BA1490" i="88"/>
  <c r="BA1480" i="88"/>
  <c r="BA1479" i="88"/>
  <c r="BA1484" i="88"/>
  <c r="BA1706" i="88"/>
  <c r="BA1701" i="88"/>
  <c r="BA1700" i="88"/>
  <c r="BA1698" i="88"/>
  <c r="BA1707" i="88"/>
  <c r="BA1699" i="88"/>
  <c r="BA1702" i="88"/>
  <c r="BA1710" i="88"/>
  <c r="BA1709" i="88"/>
  <c r="BA1711" i="88"/>
  <c r="BA1705" i="88"/>
  <c r="BA1704" i="88"/>
  <c r="BA1708" i="88"/>
  <c r="BA1703" i="88"/>
  <c r="BA3281" i="88"/>
  <c r="BA3277" i="88"/>
  <c r="BA3273" i="88"/>
  <c r="BA3283" i="88"/>
  <c r="BA3274" i="88"/>
  <c r="BA3282" i="88"/>
  <c r="BA3278" i="88"/>
  <c r="BA3272" i="88"/>
  <c r="BA3279" i="88"/>
  <c r="BA3280" i="88"/>
  <c r="BA3276" i="88"/>
  <c r="BA3271" i="88"/>
  <c r="BA3270" i="88"/>
  <c r="BA3275" i="88"/>
  <c r="BA2980" i="88"/>
  <c r="BA2985" i="88"/>
  <c r="BA2981" i="88"/>
  <c r="BA2979" i="88"/>
  <c r="BA2987" i="88"/>
  <c r="BA2982" i="88"/>
  <c r="BA2988" i="88"/>
  <c r="BA2986" i="88"/>
  <c r="BA2989" i="88"/>
  <c r="BA2984" i="88"/>
  <c r="BA2983" i="88"/>
  <c r="BA2978" i="88"/>
  <c r="BA2991" i="88"/>
  <c r="BA2990" i="88"/>
  <c r="BA3405" i="88"/>
  <c r="BA3408" i="88"/>
  <c r="BA3411" i="88"/>
  <c r="BA3416" i="88"/>
  <c r="BA3406" i="88"/>
  <c r="BA3413" i="88"/>
  <c r="BA3412" i="88"/>
  <c r="BA3414" i="88"/>
  <c r="BA3407" i="88"/>
  <c r="BA3418" i="88"/>
  <c r="BA3410" i="88"/>
  <c r="BA3415" i="88"/>
  <c r="BA3409" i="88"/>
  <c r="BA3417" i="88"/>
  <c r="BA3242" i="88"/>
  <c r="BA3238" i="88"/>
  <c r="BA3243" i="88"/>
  <c r="BA3245" i="88"/>
  <c r="BA3244" i="88"/>
  <c r="BA3251" i="88"/>
  <c r="BA3241" i="88"/>
  <c r="BA3246" i="88"/>
  <c r="BA3248" i="88"/>
  <c r="BA3239" i="88"/>
  <c r="BA3250" i="88"/>
  <c r="BA3240" i="88"/>
  <c r="BA3247" i="88"/>
  <c r="BA3249" i="88"/>
  <c r="BA3252" i="88"/>
  <c r="BA3253" i="88"/>
  <c r="BA3284" i="88"/>
  <c r="BA3285" i="88"/>
  <c r="BA2992" i="88"/>
  <c r="BA2993" i="88"/>
  <c r="BA3419" i="88"/>
  <c r="BA3420" i="88"/>
  <c r="BA1712" i="88"/>
  <c r="BA1713" i="88"/>
  <c r="BA1491" i="88"/>
  <c r="BA1492" i="88"/>
  <c r="BA3994" i="88"/>
  <c r="BA3991" i="88"/>
  <c r="BA3992" i="88"/>
  <c r="BA3987" i="88"/>
  <c r="BA3993" i="88"/>
  <c r="BA3996" i="88"/>
  <c r="BA3998" i="88"/>
  <c r="BA3988" i="88"/>
  <c r="BA3985" i="88"/>
  <c r="BA3989" i="88"/>
  <c r="BA3990" i="88"/>
  <c r="BA3986" i="88"/>
  <c r="BA3995" i="88"/>
  <c r="BA3997" i="88"/>
  <c r="BA3999" i="88"/>
  <c r="BA4000" i="88"/>
  <c r="BA1063" i="88"/>
  <c r="BA1062" i="88"/>
  <c r="BA1009" i="88"/>
  <c r="BA1008" i="88"/>
  <c r="BA1005" i="88"/>
  <c r="BA1006" i="88"/>
  <c r="BA1007" i="88"/>
  <c r="BA1084" i="88"/>
  <c r="BA1081" i="88"/>
  <c r="BA1087" i="88"/>
  <c r="BA1083" i="88"/>
  <c r="BA1086" i="88"/>
  <c r="BA1088" i="88"/>
  <c r="BA1082" i="88"/>
  <c r="BA1080" i="88"/>
  <c r="BA1085" i="88"/>
  <c r="BA1089" i="88"/>
  <c r="BA946" i="88"/>
  <c r="BA943" i="88"/>
  <c r="BA945" i="88"/>
  <c r="BA944" i="88"/>
  <c r="BA1123" i="88"/>
  <c r="BA1118" i="88"/>
  <c r="BA1120" i="88"/>
  <c r="BA1122" i="88"/>
  <c r="BA1121" i="88"/>
  <c r="BA1125" i="88"/>
  <c r="BA1117" i="88"/>
  <c r="BA1119" i="88"/>
  <c r="BA1124" i="88"/>
  <c r="BA1172" i="88"/>
  <c r="BA1173" i="88"/>
  <c r="BA1171" i="88"/>
  <c r="BA971" i="88"/>
  <c r="BA968" i="88"/>
  <c r="BA972" i="88"/>
  <c r="BA970" i="88"/>
  <c r="BA975" i="88"/>
  <c r="BA973" i="88"/>
  <c r="BA974" i="88"/>
  <c r="BA969" i="88"/>
  <c r="BA976" i="88"/>
  <c r="BA1031" i="88"/>
  <c r="BA1026" i="88"/>
  <c r="BA1029" i="88"/>
  <c r="BA1025" i="88"/>
  <c r="BA1030" i="88"/>
  <c r="BA1033" i="88"/>
  <c r="BA1028" i="88"/>
  <c r="BA1027" i="88"/>
  <c r="BA1032" i="88"/>
  <c r="BA1102" i="88"/>
  <c r="BA1105" i="88"/>
  <c r="BA1101" i="88"/>
  <c r="BA1100" i="88"/>
  <c r="BA1099" i="88"/>
  <c r="BA1107" i="88"/>
  <c r="BA1104" i="88"/>
  <c r="BA1103" i="88"/>
  <c r="BA1106" i="88"/>
  <c r="BA1068" i="88"/>
  <c r="BA1075" i="88"/>
  <c r="BA1071" i="88"/>
  <c r="BA1070" i="88"/>
  <c r="BA1067" i="88"/>
  <c r="BA1069" i="88"/>
  <c r="BA1074" i="88"/>
  <c r="BA1066" i="88"/>
  <c r="BA1077" i="88"/>
  <c r="BA1076" i="88"/>
  <c r="BA1072" i="88"/>
  <c r="BA1073" i="88"/>
  <c r="BA1065" i="88"/>
  <c r="BA1064" i="88"/>
  <c r="BA1166" i="88"/>
  <c r="BA1163" i="88"/>
  <c r="BA1164" i="88"/>
  <c r="BA1165" i="88"/>
  <c r="BA1167" i="88"/>
  <c r="BA1162" i="88"/>
  <c r="BA1000" i="88"/>
  <c r="BA993" i="88"/>
  <c r="BA999" i="88"/>
  <c r="BA997" i="88"/>
  <c r="BA995" i="88"/>
  <c r="BA998" i="88"/>
  <c r="BA1001" i="88"/>
  <c r="BA992" i="88"/>
  <c r="BA996" i="88"/>
  <c r="BA994" i="88"/>
  <c r="BA1019" i="88"/>
  <c r="BA1018" i="88"/>
  <c r="BA1020" i="88"/>
  <c r="BA1021" i="88"/>
  <c r="BA1058" i="88"/>
  <c r="BA1056" i="88"/>
  <c r="BA1057" i="88"/>
  <c r="BA1059" i="88"/>
  <c r="BA1111" i="88"/>
  <c r="BA1112" i="88"/>
  <c r="BA1110" i="88"/>
  <c r="BA1113" i="88"/>
  <c r="BA1050" i="88"/>
  <c r="BA1052" i="88"/>
  <c r="BA1053" i="88"/>
  <c r="BA1051" i="88"/>
  <c r="BA1045" i="88"/>
  <c r="BA1042" i="88"/>
  <c r="BA1043" i="88"/>
  <c r="BA1039" i="88"/>
  <c r="BA1044" i="88"/>
  <c r="BA1041" i="88"/>
  <c r="BA1046" i="88"/>
  <c r="BA1047" i="88"/>
  <c r="BA1040" i="88"/>
  <c r="BA1154" i="88"/>
  <c r="BA1157" i="88"/>
  <c r="BA1158" i="88"/>
  <c r="BA1155" i="88"/>
  <c r="BA1153" i="88"/>
  <c r="BA1156" i="88"/>
  <c r="BA1136" i="88"/>
  <c r="BA1129" i="88"/>
  <c r="BA1130" i="88"/>
  <c r="BA1131" i="88"/>
  <c r="BA1132" i="88"/>
  <c r="BA1137" i="88"/>
  <c r="BA1133" i="88"/>
  <c r="BA1135" i="88"/>
  <c r="BA1134" i="88"/>
  <c r="BA1180" i="88"/>
  <c r="BA1179" i="88"/>
  <c r="BA1182" i="88"/>
  <c r="BA1181" i="88"/>
  <c r="BA1177" i="88"/>
  <c r="BA1178" i="88"/>
  <c r="BA1022" i="88"/>
  <c r="BA1023" i="88"/>
  <c r="BA988" i="88"/>
  <c r="BA980" i="88"/>
  <c r="BA982" i="88"/>
  <c r="BA987" i="88"/>
  <c r="BA984" i="88"/>
  <c r="BA983" i="88"/>
  <c r="BA981" i="88"/>
  <c r="BA986" i="88"/>
  <c r="BA985" i="88"/>
  <c r="BA1013" i="88"/>
  <c r="BA1014" i="88"/>
  <c r="BA1015" i="88"/>
  <c r="BA1187" i="88"/>
  <c r="BA1188" i="88"/>
  <c r="BA1190" i="88"/>
  <c r="BA1189" i="88"/>
  <c r="BA1186" i="88"/>
  <c r="BA1191" i="88"/>
  <c r="BA991" i="88"/>
  <c r="BA1185" i="88"/>
  <c r="BA1149" i="88"/>
  <c r="BA1145" i="88"/>
  <c r="BA1142" i="88"/>
  <c r="BA1144" i="88"/>
  <c r="BA1147" i="88"/>
  <c r="BA1141" i="88"/>
  <c r="BA1146" i="88"/>
  <c r="BA1143" i="88"/>
  <c r="BA1148" i="88"/>
  <c r="BA1195" i="88"/>
  <c r="BA1197" i="88"/>
  <c r="BA1196" i="88"/>
  <c r="BA1054" i="88"/>
  <c r="BA1055" i="88"/>
  <c r="BA1094" i="88"/>
  <c r="BA1095" i="88"/>
  <c r="BA1093" i="88"/>
  <c r="BA1092" i="88"/>
  <c r="BA1170" i="88"/>
  <c r="BA1060" i="88"/>
  <c r="BA1061" i="88"/>
  <c r="BA1174" i="88"/>
  <c r="BA1175" i="88"/>
  <c r="BA1016" i="88"/>
  <c r="BA1017" i="88"/>
  <c r="BA1012" i="88"/>
  <c r="BA1114" i="88"/>
  <c r="BA1115" i="88"/>
  <c r="BA963" i="88"/>
  <c r="BA961" i="88"/>
  <c r="BA962" i="88"/>
  <c r="BA964" i="88"/>
  <c r="BA966" i="88"/>
  <c r="BA965" i="88"/>
  <c r="BA1192" i="88"/>
  <c r="BA1193" i="88"/>
  <c r="BA1096" i="88"/>
  <c r="BA1097" i="88"/>
  <c r="BA957" i="88"/>
  <c r="BA958" i="88"/>
  <c r="BA956" i="88"/>
  <c r="BA955" i="88"/>
  <c r="BA1037" i="88"/>
  <c r="BA1036" i="88"/>
  <c r="BA1108" i="88"/>
  <c r="BA1109" i="88"/>
  <c r="BA1098" i="88"/>
  <c r="BA1034" i="88"/>
  <c r="BA1035" i="88"/>
  <c r="BA1024" i="88"/>
  <c r="BA979" i="88"/>
  <c r="BA1176" i="88"/>
  <c r="BA977" i="88"/>
  <c r="BA978" i="88"/>
  <c r="BA967" i="88"/>
  <c r="BA1038" i="88"/>
  <c r="BA1126" i="88"/>
  <c r="BA1127" i="88"/>
  <c r="BA1116" i="88"/>
  <c r="BA1090" i="88"/>
  <c r="BA1091" i="88"/>
  <c r="BA1010" i="88"/>
  <c r="BA1011" i="88"/>
  <c r="BA1004" i="88"/>
  <c r="BA1138" i="88"/>
  <c r="BA1139" i="88"/>
  <c r="BA1128" i="88"/>
  <c r="BA1198" i="88"/>
  <c r="BA1199" i="88"/>
  <c r="BA1194" i="88"/>
  <c r="BA953" i="88"/>
  <c r="BA954" i="88"/>
  <c r="BA952" i="88"/>
  <c r="BA1078" i="88"/>
  <c r="BA1079" i="88"/>
  <c r="BA1183" i="88"/>
  <c r="BA1184" i="88"/>
  <c r="BA947" i="88"/>
  <c r="BA948" i="88"/>
  <c r="BA959" i="88"/>
  <c r="BA960" i="88"/>
  <c r="BA1168" i="88"/>
  <c r="BA1169" i="88"/>
  <c r="BA1161" i="88"/>
  <c r="BA1150" i="88"/>
  <c r="BA1151" i="88"/>
  <c r="BA1140" i="88"/>
  <c r="BA1159" i="88"/>
  <c r="BA1160" i="88"/>
  <c r="BA1152" i="88"/>
  <c r="BA949" i="88"/>
  <c r="BA951" i="88"/>
  <c r="BA950" i="88"/>
  <c r="BA1048" i="88"/>
  <c r="BA1049" i="88"/>
  <c r="BA989" i="88"/>
  <c r="BA990" i="88"/>
  <c r="BA1002" i="88"/>
  <c r="BA1003" i="88"/>
  <c r="B64" i="1048" l="1"/>
  <c r="A64" i="1048"/>
  <c r="B210" i="1048"/>
  <c r="A210" i="1048"/>
  <c r="C210" i="1048"/>
  <c r="A150" i="1048"/>
  <c r="C150" i="1048"/>
  <c r="B150" i="1048"/>
  <c r="A103" i="1048"/>
  <c r="B103" i="1048"/>
  <c r="B137" i="1048"/>
  <c r="A137" i="1048"/>
  <c r="C137" i="1048"/>
  <c r="A71" i="1048"/>
  <c r="B71" i="1048"/>
  <c r="C192" i="1048"/>
  <c r="B192" i="1048"/>
  <c r="A192" i="1048"/>
  <c r="A92" i="1048"/>
  <c r="B92" i="1048"/>
  <c r="C244" i="1048"/>
  <c r="B244" i="1048"/>
  <c r="A244" i="1048"/>
  <c r="B230" i="1048"/>
  <c r="A230" i="1048"/>
  <c r="C230" i="1048"/>
  <c r="A225" i="1048"/>
  <c r="C225" i="1048"/>
  <c r="B225" i="1048"/>
  <c r="B125" i="1048"/>
  <c r="A125" i="1048"/>
  <c r="C125" i="1048"/>
  <c r="A221" i="1048"/>
  <c r="C221" i="1048"/>
  <c r="B221" i="1048"/>
  <c r="B67" i="1048"/>
  <c r="A67" i="1048"/>
  <c r="C159" i="1048"/>
  <c r="B159" i="1048"/>
  <c r="A159" i="1048"/>
  <c r="B152" i="1048"/>
  <c r="C152" i="1048"/>
  <c r="A152" i="1048"/>
  <c r="B88" i="1048"/>
  <c r="A88" i="1048"/>
  <c r="A86" i="1048"/>
  <c r="B86" i="1048"/>
  <c r="B90" i="1048"/>
  <c r="A90" i="1048"/>
  <c r="A84" i="1048"/>
  <c r="B84" i="1048"/>
  <c r="C165" i="1048"/>
  <c r="B165" i="1048"/>
  <c r="A165" i="1048"/>
  <c r="B104" i="1048"/>
  <c r="A104" i="1048"/>
  <c r="A96" i="1048"/>
  <c r="B96" i="1048"/>
  <c r="A171" i="1048"/>
  <c r="C171" i="1048"/>
  <c r="B171" i="1048"/>
  <c r="A151" i="1048"/>
  <c r="B151" i="1048"/>
  <c r="C151" i="1048"/>
  <c r="C212" i="1048"/>
  <c r="B212" i="1048"/>
  <c r="A212" i="1048"/>
  <c r="A205" i="1048"/>
  <c r="C205" i="1048"/>
  <c r="B205" i="1048"/>
  <c r="B73" i="1048"/>
  <c r="A73" i="1048"/>
  <c r="A60" i="1048"/>
  <c r="B60" i="1048"/>
  <c r="B157" i="1048"/>
  <c r="A157" i="1048"/>
  <c r="C157" i="1048"/>
  <c r="A222" i="1048"/>
  <c r="B222" i="1048"/>
  <c r="C222" i="1048"/>
  <c r="B249" i="1048"/>
  <c r="A249" i="1048"/>
  <c r="C249" i="1048"/>
  <c r="C219" i="1048"/>
  <c r="A219" i="1048"/>
  <c r="B219" i="1048"/>
  <c r="B234" i="1048"/>
  <c r="A234" i="1048"/>
  <c r="C234" i="1048"/>
  <c r="B80" i="1048"/>
  <c r="A80" i="1048"/>
  <c r="B118" i="1048"/>
  <c r="A118" i="1048"/>
  <c r="B130" i="1048"/>
  <c r="A130" i="1048"/>
  <c r="C130" i="1048"/>
  <c r="A198" i="1048"/>
  <c r="C198" i="1048"/>
  <c r="B198" i="1048"/>
  <c r="C200" i="1048"/>
  <c r="B200" i="1048"/>
  <c r="A200" i="1048"/>
  <c r="A117" i="1048"/>
  <c r="B117" i="1048"/>
  <c r="A193" i="1048"/>
  <c r="C193" i="1048"/>
  <c r="B193" i="1048"/>
  <c r="A209" i="1048"/>
  <c r="C209" i="1048"/>
  <c r="B209" i="1048"/>
  <c r="A179" i="1048"/>
  <c r="C179" i="1048"/>
  <c r="B179" i="1048"/>
  <c r="B115" i="1048"/>
  <c r="A115" i="1048"/>
  <c r="B147" i="1048"/>
  <c r="C147" i="1048"/>
  <c r="A147" i="1048"/>
  <c r="B120" i="1048"/>
  <c r="A120" i="1048"/>
  <c r="A129" i="1048"/>
  <c r="C129" i="1048"/>
  <c r="B129" i="1048"/>
  <c r="A167" i="1048"/>
  <c r="B167" i="1048"/>
  <c r="C167" i="1048"/>
  <c r="A74" i="1048"/>
  <c r="B74" i="1048"/>
  <c r="A135" i="1048"/>
  <c r="B135" i="1048"/>
  <c r="C135" i="1048"/>
  <c r="C164" i="1048"/>
  <c r="B164" i="1048"/>
  <c r="A164" i="1048"/>
  <c r="A78" i="1048"/>
  <c r="B78" i="1048"/>
  <c r="B191" i="1048"/>
  <c r="A191" i="1048"/>
  <c r="C191" i="1048"/>
  <c r="A170" i="1048"/>
  <c r="C170" i="1048"/>
  <c r="B170" i="1048"/>
  <c r="B235" i="1048"/>
  <c r="A235" i="1048"/>
  <c r="C235" i="1048"/>
  <c r="A240" i="1048"/>
  <c r="B240" i="1048"/>
  <c r="C240" i="1048"/>
  <c r="B173" i="1048"/>
  <c r="A173" i="1048"/>
  <c r="C173" i="1048"/>
  <c r="B227" i="1048"/>
  <c r="A227" i="1048"/>
  <c r="C227" i="1048"/>
  <c r="B93" i="1048"/>
  <c r="A93" i="1048"/>
  <c r="A228" i="1048"/>
  <c r="B228" i="1048"/>
  <c r="C228" i="1048"/>
  <c r="C127" i="1048"/>
  <c r="B127" i="1048"/>
  <c r="A127" i="1048"/>
  <c r="A94" i="1048"/>
  <c r="B94" i="1048"/>
  <c r="A236" i="1048"/>
  <c r="C236" i="1048"/>
  <c r="B236" i="1048"/>
  <c r="C133" i="1048"/>
  <c r="B133" i="1048"/>
  <c r="A133" i="1048"/>
  <c r="C195" i="1048"/>
  <c r="B195" i="1048"/>
  <c r="A195" i="1048"/>
  <c r="C202" i="1048"/>
  <c r="B202" i="1048"/>
  <c r="A202" i="1048"/>
  <c r="C132" i="1048"/>
  <c r="B132" i="1048"/>
  <c r="A132" i="1048"/>
  <c r="B214" i="1048"/>
  <c r="A214" i="1048"/>
  <c r="C214" i="1048"/>
  <c r="B65" i="1048"/>
  <c r="A65" i="1048"/>
  <c r="C143" i="1048"/>
  <c r="B143" i="1048"/>
  <c r="A143" i="1048"/>
  <c r="A140" i="1048"/>
  <c r="B140" i="1048"/>
  <c r="C140" i="1048"/>
  <c r="B136" i="1048"/>
  <c r="A136" i="1048"/>
  <c r="C136" i="1048"/>
  <c r="C215" i="1048"/>
  <c r="A215" i="1048"/>
  <c r="B215" i="1048"/>
  <c r="B180" i="1048"/>
  <c r="A180" i="1048"/>
  <c r="C180" i="1048"/>
  <c r="C184" i="1048"/>
  <c r="B184" i="1048"/>
  <c r="A184" i="1048"/>
  <c r="C178" i="1048"/>
  <c r="B178" i="1048"/>
  <c r="A178" i="1048"/>
  <c r="A204" i="1048"/>
  <c r="C204" i="1048"/>
  <c r="B204" i="1048"/>
  <c r="C181" i="1048"/>
  <c r="B181" i="1048"/>
  <c r="A181" i="1048"/>
  <c r="B101" i="1048"/>
  <c r="A101" i="1048"/>
  <c r="C232" i="1048"/>
  <c r="B232" i="1048"/>
  <c r="A232" i="1048"/>
  <c r="A246" i="1048"/>
  <c r="B246" i="1048"/>
  <c r="C246" i="1048"/>
  <c r="B231" i="1048"/>
  <c r="C231" i="1048"/>
  <c r="A231" i="1048"/>
  <c r="A224" i="1048" l="1"/>
  <c r="B224" i="1048"/>
  <c r="C224" i="1048"/>
  <c r="A108" i="1048"/>
  <c r="B108" i="1048"/>
  <c r="A146" i="1048"/>
  <c r="C146" i="1048"/>
  <c r="B146" i="1048"/>
  <c r="C148" i="1048"/>
  <c r="B148" i="1048"/>
  <c r="A148" i="1048"/>
  <c r="B208" i="1048"/>
  <c r="A208" i="1048"/>
  <c r="C208" i="1048"/>
  <c r="B69" i="1048"/>
  <c r="A69" i="1048"/>
  <c r="B116" i="1048"/>
  <c r="A116" i="1048"/>
  <c r="B141" i="1048"/>
  <c r="A141" i="1048"/>
  <c r="C141" i="1048"/>
  <c r="C233" i="1048"/>
  <c r="A233" i="1048"/>
  <c r="B233" i="1048"/>
  <c r="C199" i="1048"/>
  <c r="B199" i="1048"/>
  <c r="A199" i="1048"/>
  <c r="A66" i="1048"/>
  <c r="B66" i="1048"/>
  <c r="B241" i="1048"/>
  <c r="A241" i="1048"/>
  <c r="C241" i="1048"/>
  <c r="C229" i="1048"/>
  <c r="A229" i="1048"/>
  <c r="B229" i="1048"/>
  <c r="B83" i="1048"/>
  <c r="A83" i="1048"/>
  <c r="A119" i="1048"/>
  <c r="B119" i="1048"/>
  <c r="B77" i="1048"/>
  <c r="A77" i="1048"/>
  <c r="A107" i="1048"/>
  <c r="B107" i="1048"/>
  <c r="A161" i="1048"/>
  <c r="C161" i="1048"/>
  <c r="B161" i="1048"/>
  <c r="B188" i="1048"/>
  <c r="A188" i="1048"/>
  <c r="C188" i="1048"/>
  <c r="A68" i="1048"/>
  <c r="B68" i="1048"/>
  <c r="B154" i="1048"/>
  <c r="A154" i="1048"/>
  <c r="C154" i="1048"/>
  <c r="B63" i="1048"/>
  <c r="A63" i="1048"/>
  <c r="C174" i="1048"/>
  <c r="B174" i="1048"/>
  <c r="A174" i="1048"/>
  <c r="B203" i="1048"/>
  <c r="A203" i="1048"/>
  <c r="C203" i="1048"/>
  <c r="A142" i="1048"/>
  <c r="C142" i="1048"/>
  <c r="B142" i="1048"/>
  <c r="A58" i="1048"/>
  <c r="B58" i="1048"/>
  <c r="B239" i="1048"/>
  <c r="C239" i="1048"/>
  <c r="A239" i="1048"/>
  <c r="B201" i="1048"/>
  <c r="A201" i="1048"/>
  <c r="C201" i="1048"/>
  <c r="C158" i="1048"/>
  <c r="A158" i="1048"/>
  <c r="B158" i="1048"/>
  <c r="B207" i="1048"/>
  <c r="A207" i="1048"/>
  <c r="C207" i="1048"/>
  <c r="B57" i="1048"/>
  <c r="A57" i="1048"/>
  <c r="B81" i="1048"/>
  <c r="A81" i="1048"/>
  <c r="B153" i="1048"/>
  <c r="A153" i="1048"/>
  <c r="C153" i="1048"/>
  <c r="C182" i="1048"/>
  <c r="B182" i="1048"/>
  <c r="A182" i="1048"/>
  <c r="C138" i="1048"/>
  <c r="B138" i="1048"/>
  <c r="A138" i="1048"/>
  <c r="B89" i="1048"/>
  <c r="A89" i="1048"/>
  <c r="C216" i="1048"/>
  <c r="B216" i="1048"/>
  <c r="A216" i="1048"/>
  <c r="A223" i="1048"/>
  <c r="B223" i="1048"/>
  <c r="C223" i="1048"/>
  <c r="A87" i="1048"/>
  <c r="B87" i="1048"/>
  <c r="A56" i="1048"/>
  <c r="B56" i="1048"/>
  <c r="C149" i="1048"/>
  <c r="B149" i="1048"/>
  <c r="A149" i="1048"/>
  <c r="B247" i="1048"/>
  <c r="A247" i="1048"/>
  <c r="C247" i="1048"/>
  <c r="B250" i="1048"/>
  <c r="A250" i="1048"/>
  <c r="C250" i="1048"/>
  <c r="A79" i="1048"/>
  <c r="B79" i="1048"/>
  <c r="C175" i="1048"/>
  <c r="B175" i="1048"/>
  <c r="A175" i="1048"/>
  <c r="B99" i="1048"/>
  <c r="A99" i="1048"/>
  <c r="A211" i="1048"/>
  <c r="C211" i="1048"/>
  <c r="B211" i="1048"/>
  <c r="C185" i="1048"/>
  <c r="B185" i="1048"/>
  <c r="A185" i="1048"/>
  <c r="B105" i="1048"/>
  <c r="A105" i="1048"/>
  <c r="A156" i="1048"/>
  <c r="B156" i="1048"/>
  <c r="C156" i="1048"/>
  <c r="A102" i="1048"/>
  <c r="B102" i="1048"/>
  <c r="A245" i="1048"/>
  <c r="C245" i="1048"/>
  <c r="B245" i="1048"/>
  <c r="B110" i="1048"/>
  <c r="A110" i="1048"/>
  <c r="B97" i="1048"/>
  <c r="A97" i="1048"/>
  <c r="C217" i="1048"/>
  <c r="B217" i="1048"/>
  <c r="A217" i="1048"/>
  <c r="C242" i="1048"/>
  <c r="B242" i="1048"/>
  <c r="A242" i="1048"/>
  <c r="C172" i="1048"/>
  <c r="B172" i="1048"/>
  <c r="A172" i="1048"/>
  <c r="B82" i="1048"/>
  <c r="A82" i="1048"/>
  <c r="A176" i="1048"/>
  <c r="C176" i="1048"/>
  <c r="B176" i="1048"/>
  <c r="B106" i="1048"/>
  <c r="A106" i="1048"/>
  <c r="B61" i="1048"/>
  <c r="A61" i="1048"/>
  <c r="B70" i="1048"/>
  <c r="A70" i="1048"/>
  <c r="B220" i="1048"/>
  <c r="A220" i="1048"/>
  <c r="C220" i="1048"/>
  <c r="B131" i="1048"/>
  <c r="C131" i="1048"/>
  <c r="A131" i="1048"/>
  <c r="B226" i="1048"/>
  <c r="A226" i="1048"/>
  <c r="C226" i="1048"/>
  <c r="A128" i="1048"/>
  <c r="C128" i="1048"/>
  <c r="B128" i="1048"/>
  <c r="A85" i="1048"/>
  <c r="B85" i="1048"/>
  <c r="A155" i="1048"/>
  <c r="C155" i="1048"/>
  <c r="B155" i="1048"/>
  <c r="B98" i="1048"/>
  <c r="A98" i="1048"/>
  <c r="B112" i="1048"/>
  <c r="A112" i="1048"/>
  <c r="B237" i="1048"/>
  <c r="C237" i="1048"/>
  <c r="A237" i="1048"/>
  <c r="B62" i="1048"/>
  <c r="A62" i="1048"/>
  <c r="C123" i="1048"/>
  <c r="B123" i="1048"/>
  <c r="A123" i="1048"/>
  <c r="A145" i="1048"/>
  <c r="C145" i="1048"/>
  <c r="B145" i="1048"/>
  <c r="B163" i="1048"/>
  <c r="A163" i="1048"/>
  <c r="C163" i="1048"/>
  <c r="B134" i="1048"/>
  <c r="A134" i="1048"/>
  <c r="C134" i="1048"/>
  <c r="A196" i="1048"/>
  <c r="C196" i="1048"/>
  <c r="B196" i="1048"/>
  <c r="B95" i="1048"/>
  <c r="A95" i="1048"/>
  <c r="A186" i="1048"/>
  <c r="C186" i="1048"/>
  <c r="B186" i="1048"/>
  <c r="A113" i="1048"/>
  <c r="B113" i="1048"/>
  <c r="A91" i="1048"/>
  <c r="B91" i="1048"/>
  <c r="B206" i="1048"/>
  <c r="A206" i="1048"/>
  <c r="C206" i="1048"/>
  <c r="C160" i="1048"/>
  <c r="B160" i="1048"/>
  <c r="A160" i="1048"/>
  <c r="A248" i="1048"/>
  <c r="C248" i="1048"/>
  <c r="B248" i="1048"/>
  <c r="A76" i="1048"/>
  <c r="B76" i="1048"/>
  <c r="A100" i="1048"/>
  <c r="B100" i="1048"/>
  <c r="A59" i="1048"/>
  <c r="B59" i="1048"/>
  <c r="B109" i="1048"/>
  <c r="A109" i="1048"/>
  <c r="C122" i="1048"/>
  <c r="B122" i="1048"/>
  <c r="A122" i="1048"/>
  <c r="B121" i="1048"/>
  <c r="A121" i="1048"/>
  <c r="B169" i="1048"/>
  <c r="A169" i="1048"/>
  <c r="C169" i="1048"/>
  <c r="C144" i="1048"/>
  <c r="B144" i="1048"/>
  <c r="A144" i="1048"/>
  <c r="A177" i="1048"/>
  <c r="C177" i="1048"/>
  <c r="B177" i="1048"/>
  <c r="C183" i="1048"/>
  <c r="B183" i="1048"/>
  <c r="A183" i="1048"/>
  <c r="B111" i="1048"/>
  <c r="A111" i="1048"/>
  <c r="B194" i="1048"/>
  <c r="A194" i="1048"/>
  <c r="C194" i="1048"/>
  <c r="B238" i="1048"/>
  <c r="C238" i="1048"/>
  <c r="A238" i="1048"/>
  <c r="C197" i="1048"/>
  <c r="B197" i="1048"/>
  <c r="A197" i="1048"/>
  <c r="B168" i="1048"/>
  <c r="C168" i="1048"/>
  <c r="A168" i="1048"/>
  <c r="B72" i="1048"/>
  <c r="A72" i="1048"/>
  <c r="B243" i="1048"/>
  <c r="A243" i="1048"/>
  <c r="C243" i="1048"/>
  <c r="A218" i="1048"/>
  <c r="B218" i="1048"/>
  <c r="C218" i="1048"/>
  <c r="B126" i="1048"/>
  <c r="A126" i="1048"/>
  <c r="C126" i="1048"/>
  <c r="C162" i="1048"/>
  <c r="B162" i="1048"/>
  <c r="A162" i="1048"/>
  <c r="A189" i="1048"/>
  <c r="C189" i="1048"/>
  <c r="B189" i="1048"/>
  <c r="C139" i="1048"/>
  <c r="B139" i="1048"/>
  <c r="A139" i="1048"/>
  <c r="B187" i="1048"/>
  <c r="A187" i="1048"/>
  <c r="C187" i="1048"/>
  <c r="B75" i="1048"/>
  <c r="A75" i="1048"/>
  <c r="A124" i="1048"/>
  <c r="B124" i="1048"/>
  <c r="C124" i="1048"/>
  <c r="C213" i="1048"/>
  <c r="B213" i="1048"/>
  <c r="A213" i="1048"/>
  <c r="B190" i="1048"/>
  <c r="A190" i="1048"/>
  <c r="C190" i="1048"/>
  <c r="A114" i="1048"/>
  <c r="B114" i="1048"/>
  <c r="C166" i="1048"/>
  <c r="B166" i="1048"/>
  <c r="A166" i="1048"/>
  <c r="BA891" i="88" l="1"/>
  <c r="BA848" i="88"/>
  <c r="BA805" i="88"/>
  <c r="BA900" i="88"/>
  <c r="BA897" i="88"/>
  <c r="BA845" i="88"/>
  <c r="BA940" i="88"/>
  <c r="BA808" i="88"/>
  <c r="BA861" i="88"/>
  <c r="BA876" i="88"/>
  <c r="BA793" i="88"/>
  <c r="BA792" i="88"/>
  <c r="BA768" i="88"/>
  <c r="BA765" i="88"/>
  <c r="BA786" i="88"/>
  <c r="BA783" i="88"/>
  <c r="BA882" i="88"/>
  <c r="BA799" i="88"/>
  <c r="BA873" i="88"/>
  <c r="BA888" i="88"/>
  <c r="BA774" i="88"/>
  <c r="BA864" i="88"/>
  <c r="BA847" i="88"/>
  <c r="BA789" i="88"/>
  <c r="BA796" i="88"/>
  <c r="BA775" i="88"/>
  <c r="BA776" i="88"/>
  <c r="BA800" i="88"/>
  <c r="BA801" i="88"/>
  <c r="BA817" i="88"/>
  <c r="BA918" i="88"/>
  <c r="BA838" i="88"/>
  <c r="BA851" i="88"/>
  <c r="BA867" i="88"/>
  <c r="BA777" i="88"/>
  <c r="BA858" i="88"/>
  <c r="BA846" i="88"/>
  <c r="BA844" i="88"/>
  <c r="BA855" i="88"/>
  <c r="BA856" i="88"/>
  <c r="BA854" i="88"/>
  <c r="BA925" i="88"/>
  <c r="BA879" i="88"/>
  <c r="BA901" i="88"/>
  <c r="BA902" i="88"/>
  <c r="BA762" i="88"/>
  <c r="BA764" i="88"/>
  <c r="BA763" i="88"/>
  <c r="BA857" i="88"/>
  <c r="BA937" i="88"/>
  <c r="BA939" i="88"/>
  <c r="BA938" i="88"/>
  <c r="BA831" i="88"/>
  <c r="BA926" i="88"/>
  <c r="BA927" i="88"/>
  <c r="BA824" i="88"/>
  <c r="BA823" i="88"/>
  <c r="BA932" i="88"/>
  <c r="BA933" i="88"/>
  <c r="BA931" i="88"/>
  <c r="BA941" i="88"/>
  <c r="BA942" i="88"/>
  <c r="BA928" i="88"/>
  <c r="BA907" i="88"/>
  <c r="BA908" i="88"/>
  <c r="BA906" i="88"/>
  <c r="BA757" i="88"/>
  <c r="BA758" i="88"/>
  <c r="BA898" i="88"/>
  <c r="BA899" i="88"/>
  <c r="BA797" i="88"/>
  <c r="BA798" i="88"/>
  <c r="BA803" i="88"/>
  <c r="BA804" i="88"/>
  <c r="BA802" i="88"/>
  <c r="BA909" i="88"/>
  <c r="BA877" i="88"/>
  <c r="BA878" i="88"/>
  <c r="BA772" i="88"/>
  <c r="BA773" i="88"/>
  <c r="BA771" i="88"/>
  <c r="BA859" i="88"/>
  <c r="BA860" i="88"/>
  <c r="BA853" i="88"/>
  <c r="BA852" i="88"/>
  <c r="BA821" i="88"/>
  <c r="BA822" i="88"/>
  <c r="BA826" i="88"/>
  <c r="BA825" i="88"/>
  <c r="BA894" i="88"/>
  <c r="BA912" i="88"/>
  <c r="BA885" i="88"/>
  <c r="BA887" i="88"/>
  <c r="BA886" i="88"/>
  <c r="BA811" i="88"/>
  <c r="BA813" i="88"/>
  <c r="BA812" i="88"/>
  <c r="BA915" i="88"/>
  <c r="BA917" i="88"/>
  <c r="BA916" i="88"/>
  <c r="BA849" i="88"/>
  <c r="BA850" i="88"/>
  <c r="BA794" i="88"/>
  <c r="BA795" i="88"/>
  <c r="BA921" i="88"/>
  <c r="BA922" i="88"/>
  <c r="BA806" i="88"/>
  <c r="BA807" i="88"/>
  <c r="BA929" i="88"/>
  <c r="BA930" i="88"/>
  <c r="BA870" i="88"/>
  <c r="BA872" i="88"/>
  <c r="BA871" i="88"/>
  <c r="BA923" i="88"/>
  <c r="BA924" i="88"/>
  <c r="BA880" i="88"/>
  <c r="BA881" i="88"/>
  <c r="BA910" i="88"/>
  <c r="BA911" i="88"/>
  <c r="BA904" i="88"/>
  <c r="BA905" i="88"/>
  <c r="BA903" i="88"/>
  <c r="BA835" i="88"/>
  <c r="BA834" i="88"/>
  <c r="BA819" i="88"/>
  <c r="BA820" i="88"/>
  <c r="BA781" i="88"/>
  <c r="BA782" i="88"/>
  <c r="BA780" i="88"/>
  <c r="BA935" i="88"/>
  <c r="BA936" i="88"/>
  <c r="BA934" i="88"/>
  <c r="BA759" i="88"/>
  <c r="BA761" i="88"/>
  <c r="BA760" i="88"/>
  <c r="BA814" i="88"/>
  <c r="BA816" i="88"/>
  <c r="BA815" i="88"/>
  <c r="BA836" i="88"/>
  <c r="BA809" i="88"/>
  <c r="BA810" i="88"/>
  <c r="BA862" i="88"/>
  <c r="BA863" i="88"/>
  <c r="BA892" i="88"/>
  <c r="BA893" i="88"/>
  <c r="BA832" i="88"/>
  <c r="BA833" i="88"/>
  <c r="BA769" i="88"/>
  <c r="BA770" i="88"/>
  <c r="BA766" i="88"/>
  <c r="BA767" i="88"/>
  <c r="BA818" i="88"/>
  <c r="BA787" i="88"/>
  <c r="BA788" i="88"/>
  <c r="BA784" i="88"/>
  <c r="BA785" i="88"/>
  <c r="BA874" i="88"/>
  <c r="BA875" i="88"/>
  <c r="BA843" i="88"/>
  <c r="BA889" i="88"/>
  <c r="BA890" i="88"/>
  <c r="BA865" i="88"/>
  <c r="BA866" i="88"/>
  <c r="BA790" i="88"/>
  <c r="BA791" i="88"/>
  <c r="BA841" i="88"/>
  <c r="BA828" i="88"/>
  <c r="BA827" i="88"/>
  <c r="BA842" i="88"/>
  <c r="BA919" i="88"/>
  <c r="BA920" i="88"/>
  <c r="BA839" i="88"/>
  <c r="BA840" i="88"/>
  <c r="BA883" i="88"/>
  <c r="BA884" i="88"/>
  <c r="BA868" i="88"/>
  <c r="BA869" i="88"/>
  <c r="BA778" i="88"/>
  <c r="BA779" i="88"/>
  <c r="BA829" i="88"/>
  <c r="BA830" i="88"/>
  <c r="BA837" i="88"/>
  <c r="BA895" i="88"/>
  <c r="BA896" i="88"/>
  <c r="BA913" i="88"/>
  <c r="BA914" i="88"/>
  <c r="B54" i="1048" l="1"/>
  <c r="A54" i="1048"/>
  <c r="B44" i="1048"/>
  <c r="A44" i="1048"/>
  <c r="C41" i="1048"/>
  <c r="B41" i="1048"/>
  <c r="A41" i="1048"/>
  <c r="C48" i="1048"/>
  <c r="B48" i="1048"/>
  <c r="A48" i="1048"/>
  <c r="A42" i="1048"/>
  <c r="B42" i="1048"/>
  <c r="B49" i="1048"/>
  <c r="A49" i="1048"/>
  <c r="A47" i="1048"/>
  <c r="B47" i="1048"/>
  <c r="B45" i="1048"/>
  <c r="A45" i="1048"/>
  <c r="A40" i="1048"/>
  <c r="B40" i="1048"/>
  <c r="C52" i="1048"/>
  <c r="A52" i="1048"/>
  <c r="B52" i="1048"/>
  <c r="C51" i="1048"/>
  <c r="A51" i="1048"/>
  <c r="B51" i="1048"/>
  <c r="C39" i="1048"/>
  <c r="A39" i="1048"/>
  <c r="B39" i="1048"/>
  <c r="C50" i="1048"/>
  <c r="A50" i="1048"/>
  <c r="B50" i="1048"/>
  <c r="A53" i="1048"/>
  <c r="B53" i="1048"/>
  <c r="A46" i="1048"/>
  <c r="B46" i="1048"/>
  <c r="A55" i="1048"/>
  <c r="B55" i="1048"/>
  <c r="C43" i="1048"/>
  <c r="C114" i="1048"/>
  <c r="C73" i="1048"/>
  <c r="C94" i="1048"/>
  <c r="C45" i="1048"/>
  <c r="C113" i="1048"/>
  <c r="C67" i="1048"/>
  <c r="C115" i="1048"/>
  <c r="C40" i="1048"/>
  <c r="C88" i="1048"/>
  <c r="C92" i="1048"/>
  <c r="C71" i="1048"/>
  <c r="C60" i="1048"/>
  <c r="C65" i="1048"/>
  <c r="C66" i="1048"/>
  <c r="C56" i="1048"/>
  <c r="C98" i="1048"/>
  <c r="C53" i="1048"/>
  <c r="C105" i="1048"/>
  <c r="C110" i="1048"/>
  <c r="C46" i="1048"/>
  <c r="C109" i="1048"/>
  <c r="C72" i="1048"/>
  <c r="C79" i="1048"/>
  <c r="C97" i="1048"/>
  <c r="C55" i="1048"/>
  <c r="C101" i="1048"/>
  <c r="C103" i="1048"/>
  <c r="C86" i="1048"/>
  <c r="C91" i="1048"/>
  <c r="C54" i="1048"/>
  <c r="C78" i="1048"/>
  <c r="C44" i="1048"/>
  <c r="C120" i="1048"/>
  <c r="C75" i="1048"/>
  <c r="C117" i="1048"/>
  <c r="C93" i="1048"/>
  <c r="C96" i="1048"/>
  <c r="C104" i="1048"/>
  <c r="C84" i="1048"/>
  <c r="C90" i="1048"/>
  <c r="C81" i="1048"/>
  <c r="C42" i="1048"/>
  <c r="C89" i="1048"/>
  <c r="C118" i="1048"/>
  <c r="C76" i="1048"/>
  <c r="C62" i="1048"/>
  <c r="C80" i="1048"/>
  <c r="C61" i="1048"/>
  <c r="C74" i="1048"/>
  <c r="C64" i="1048"/>
  <c r="C49" i="1048"/>
  <c r="C119" i="1048"/>
  <c r="C47" i="1048"/>
  <c r="C102" i="1048"/>
  <c r="C85" i="1048"/>
  <c r="C58" i="1048"/>
  <c r="C112" i="1048"/>
  <c r="C111" i="1048"/>
  <c r="C83" i="1048" l="1"/>
  <c r="C106" i="1048"/>
  <c r="C63" i="1048"/>
  <c r="C100" i="1048"/>
  <c r="C95" i="1048"/>
  <c r="C59" i="1048"/>
  <c r="C57" i="1048"/>
  <c r="C68" i="1048"/>
  <c r="C69" i="1048"/>
  <c r="C87" i="1048"/>
  <c r="C116" i="1048"/>
  <c r="C107" i="1048"/>
  <c r="C77" i="1048"/>
  <c r="C108" i="1048"/>
  <c r="C99" i="1048"/>
  <c r="C121" i="1048"/>
  <c r="C82" i="1048"/>
  <c r="C70" i="1048"/>
  <c r="AO22" i="88"/>
  <c r="J22" i="88"/>
  <c r="J17" i="88"/>
  <c r="AO17" i="88"/>
  <c r="L22" i="88"/>
  <c r="K22" i="88" s="1"/>
  <c r="L17" i="88"/>
  <c r="K17" i="88" l="1"/>
  <c r="M17" i="88"/>
  <c r="N17" i="88" s="1"/>
  <c r="M22" i="88"/>
  <c r="N22" i="88" s="1"/>
  <c r="AO6" i="88"/>
  <c r="J6" i="88"/>
  <c r="H207" i="1048"/>
  <c r="D207" i="1048" s="1"/>
  <c r="H128" i="1048"/>
  <c r="H163" i="1048"/>
  <c r="H203" i="1048"/>
  <c r="H247" i="1048"/>
  <c r="H74" i="1048"/>
  <c r="H182" i="1048"/>
  <c r="H119" i="1048"/>
  <c r="L6" i="88"/>
  <c r="M6" i="88" s="1"/>
  <c r="N6" i="88" s="1"/>
  <c r="H47" i="1048"/>
  <c r="H180" i="1048"/>
  <c r="E180" i="1048" s="1"/>
  <c r="H28" i="1048"/>
  <c r="H219" i="1048"/>
  <c r="H134" i="1048"/>
  <c r="H216" i="1048"/>
  <c r="H145" i="1048"/>
  <c r="H135" i="1048"/>
  <c r="H153" i="1048"/>
  <c r="H89" i="1048"/>
  <c r="H209" i="1048"/>
  <c r="H12" i="1048"/>
  <c r="H157" i="1048"/>
  <c r="H179" i="1048"/>
  <c r="H127" i="1048"/>
  <c r="H217" i="1048"/>
  <c r="H30" i="1048"/>
  <c r="H136" i="1048"/>
  <c r="H178" i="1048"/>
  <c r="H97" i="1048"/>
  <c r="H17" i="1048"/>
  <c r="H240" i="1048"/>
  <c r="H160" i="1048"/>
  <c r="H114" i="1048"/>
  <c r="H24" i="1048"/>
  <c r="H170" i="1048"/>
  <c r="H229" i="1048"/>
  <c r="H125" i="1048"/>
  <c r="H141" i="1048"/>
  <c r="H43" i="1048"/>
  <c r="A43" i="1048" s="1"/>
  <c r="T5" i="88"/>
  <c r="H2" i="1048" s="1"/>
  <c r="H59" i="1048"/>
  <c r="H248" i="1048"/>
  <c r="H93" i="1048"/>
  <c r="H11" i="1048"/>
  <c r="H7" i="1048"/>
  <c r="H21" i="1048"/>
  <c r="E21" i="1048" s="1"/>
  <c r="H236" i="1048"/>
  <c r="H116" i="1048"/>
  <c r="H110" i="1048"/>
  <c r="H133" i="1048"/>
  <c r="H68" i="1048"/>
  <c r="H138" i="1048"/>
  <c r="H146" i="1048"/>
  <c r="H10" i="1048"/>
  <c r="H8" i="1048"/>
  <c r="H132" i="1048"/>
  <c r="H5" i="1048"/>
  <c r="H176" i="1048"/>
  <c r="H205" i="1048"/>
  <c r="H150" i="1048"/>
  <c r="H83" i="1048"/>
  <c r="H173" i="1048"/>
  <c r="H190" i="1048"/>
  <c r="H115" i="1048"/>
  <c r="H38" i="1048"/>
  <c r="H227" i="1048"/>
  <c r="H244" i="1048"/>
  <c r="H54" i="1048"/>
  <c r="H52" i="1048"/>
  <c r="H100" i="1048"/>
  <c r="H206" i="1048"/>
  <c r="H246" i="1048"/>
  <c r="H140" i="1048"/>
  <c r="H108" i="1048"/>
  <c r="H131" i="1048"/>
  <c r="H245" i="1048"/>
  <c r="H243" i="1048"/>
  <c r="H195" i="1048"/>
  <c r="H239" i="1048"/>
  <c r="H242" i="1048"/>
  <c r="H36" i="1048"/>
  <c r="H124" i="1048"/>
  <c r="H72" i="1048"/>
  <c r="H95" i="1048"/>
  <c r="H6" i="1048"/>
  <c r="H9" i="1048"/>
  <c r="H73" i="1048"/>
  <c r="H122" i="1048"/>
  <c r="H154" i="1048"/>
  <c r="H196" i="1048"/>
  <c r="H69" i="1048"/>
  <c r="H165" i="1048"/>
  <c r="H185" i="1048"/>
  <c r="H77" i="1048"/>
  <c r="H101" i="1048"/>
  <c r="H129" i="1048"/>
  <c r="H220" i="1048"/>
  <c r="H50" i="1048"/>
  <c r="C30" i="1048" l="1"/>
  <c r="A30" i="1048"/>
  <c r="B30" i="1048"/>
  <c r="C28" i="1048"/>
  <c r="A28" i="1048"/>
  <c r="B28" i="1048"/>
  <c r="A36" i="1048"/>
  <c r="C36" i="1048"/>
  <c r="B36" i="1048"/>
  <c r="H222" i="1048"/>
  <c r="D222" i="1048" s="1"/>
  <c r="H159" i="1048"/>
  <c r="E159" i="1048" s="1"/>
  <c r="H137" i="1048"/>
  <c r="D137" i="1048" s="1"/>
  <c r="H152" i="1048"/>
  <c r="J152" i="1048" s="1"/>
  <c r="H166" i="1048"/>
  <c r="J166" i="1048" s="1"/>
  <c r="D12" i="1048"/>
  <c r="J12" i="1048" s="1"/>
  <c r="H151" i="1048"/>
  <c r="D151" i="1048" s="1"/>
  <c r="H64" i="1048"/>
  <c r="D64" i="1048" s="1"/>
  <c r="H235" i="1048"/>
  <c r="J235" i="1048" s="1"/>
  <c r="H76" i="1048"/>
  <c r="D76" i="1048" s="1"/>
  <c r="H66" i="1048"/>
  <c r="E66" i="1048" s="1"/>
  <c r="H13" i="1048"/>
  <c r="E13" i="1048" s="1"/>
  <c r="H44" i="1048"/>
  <c r="E44" i="1048" s="1"/>
  <c r="H126" i="1048"/>
  <c r="E126" i="1048" s="1"/>
  <c r="H186" i="1048"/>
  <c r="D186" i="1048" s="1"/>
  <c r="H143" i="1048"/>
  <c r="D143" i="1048" s="1"/>
  <c r="H48" i="1048"/>
  <c r="D48" i="1048" s="1"/>
  <c r="D6" i="1048"/>
  <c r="J6" i="1048" s="1"/>
  <c r="H139" i="1048"/>
  <c r="D139" i="1048" s="1"/>
  <c r="H168" i="1048"/>
  <c r="E168" i="1048" s="1"/>
  <c r="H188" i="1048"/>
  <c r="D188" i="1048" s="1"/>
  <c r="H183" i="1048"/>
  <c r="E183" i="1048" s="1"/>
  <c r="H15" i="1048"/>
  <c r="A15" i="1048" s="1"/>
  <c r="H172" i="1048"/>
  <c r="D172" i="1048" s="1"/>
  <c r="D7" i="1048"/>
  <c r="J7" i="1048" s="1"/>
  <c r="H202" i="1048"/>
  <c r="J202" i="1048" s="1"/>
  <c r="H200" i="1048"/>
  <c r="E200" i="1048" s="1"/>
  <c r="H224" i="1048"/>
  <c r="J224" i="1048" s="1"/>
  <c r="H55" i="1048"/>
  <c r="D55" i="1048" s="1"/>
  <c r="H53" i="1048"/>
  <c r="E53" i="1048" s="1"/>
  <c r="H199" i="1048"/>
  <c r="E199" i="1048" s="1"/>
  <c r="U5" i="88"/>
  <c r="D2" i="1048" s="1"/>
  <c r="J2" i="1048" s="1"/>
  <c r="H156" i="1048"/>
  <c r="J156" i="1048" s="1"/>
  <c r="H237" i="1048"/>
  <c r="D237" i="1048" s="1"/>
  <c r="H18" i="1048"/>
  <c r="D18" i="1048" s="1"/>
  <c r="H144" i="1048"/>
  <c r="J144" i="1048" s="1"/>
  <c r="H211" i="1048"/>
  <c r="J211" i="1048" s="1"/>
  <c r="H29" i="1048"/>
  <c r="H107" i="1048"/>
  <c r="J107" i="1048" s="1"/>
  <c r="H23" i="1048"/>
  <c r="A23" i="1048" s="1"/>
  <c r="H79" i="1048"/>
  <c r="J79" i="1048" s="1"/>
  <c r="H56" i="1048"/>
  <c r="D56" i="1048" s="1"/>
  <c r="H198" i="1048"/>
  <c r="E198" i="1048" s="1"/>
  <c r="H67" i="1048"/>
  <c r="D67" i="1048" s="1"/>
  <c r="H99" i="1048"/>
  <c r="D99" i="1048" s="1"/>
  <c r="H171" i="1048"/>
  <c r="D171" i="1048" s="1"/>
  <c r="H3" i="1048"/>
  <c r="E3" i="1048" s="1"/>
  <c r="E28" i="1048"/>
  <c r="J47" i="1048"/>
  <c r="E47" i="1048"/>
  <c r="J182" i="1048"/>
  <c r="E182" i="1048"/>
  <c r="D74" i="1048"/>
  <c r="J74" i="1048"/>
  <c r="D203" i="1048"/>
  <c r="E203" i="1048"/>
  <c r="J163" i="1048"/>
  <c r="D163" i="1048"/>
  <c r="H34" i="1048"/>
  <c r="H4" i="1048"/>
  <c r="A4" i="1048" s="1"/>
  <c r="H118" i="1048"/>
  <c r="D118" i="1048" s="1"/>
  <c r="H103" i="1048"/>
  <c r="D103" i="1048" s="1"/>
  <c r="H121" i="1048"/>
  <c r="E121" i="1048" s="1"/>
  <c r="H85" i="1048"/>
  <c r="D85" i="1048" s="1"/>
  <c r="H42" i="1048"/>
  <c r="J42" i="1048" s="1"/>
  <c r="D21" i="1048"/>
  <c r="J21" i="1048" s="1"/>
  <c r="H204" i="1048"/>
  <c r="J204" i="1048" s="1"/>
  <c r="H58" i="1048"/>
  <c r="J58" i="1048" s="1"/>
  <c r="H37" i="1048"/>
  <c r="H90" i="1048"/>
  <c r="E90" i="1048" s="1"/>
  <c r="H111" i="1048"/>
  <c r="D111" i="1048" s="1"/>
  <c r="H92" i="1048"/>
  <c r="J92" i="1048" s="1"/>
  <c r="K6" i="88"/>
  <c r="H45" i="1048"/>
  <c r="E45" i="1048" s="1"/>
  <c r="H230" i="1048"/>
  <c r="D230" i="1048" s="1"/>
  <c r="H120" i="1048"/>
  <c r="J120" i="1048" s="1"/>
  <c r="H226" i="1048"/>
  <c r="J226" i="1048" s="1"/>
  <c r="H212" i="1048"/>
  <c r="E212" i="1048" s="1"/>
  <c r="H88" i="1048"/>
  <c r="J88" i="1048" s="1"/>
  <c r="D196" i="1048"/>
  <c r="E196" i="1048"/>
  <c r="J196" i="1048"/>
  <c r="J242" i="1048"/>
  <c r="D242" i="1048"/>
  <c r="E242" i="1048"/>
  <c r="E95" i="1048"/>
  <c r="J95" i="1048"/>
  <c r="D95" i="1048"/>
  <c r="J124" i="1048"/>
  <c r="D124" i="1048"/>
  <c r="E124" i="1048"/>
  <c r="J52" i="1048"/>
  <c r="E52" i="1048"/>
  <c r="D52" i="1048"/>
  <c r="E54" i="1048"/>
  <c r="J54" i="1048"/>
  <c r="D54" i="1048"/>
  <c r="D244" i="1048"/>
  <c r="J244" i="1048"/>
  <c r="E244" i="1048"/>
  <c r="D227" i="1048"/>
  <c r="J227" i="1048"/>
  <c r="E227" i="1048"/>
  <c r="J173" i="1048"/>
  <c r="D173" i="1048"/>
  <c r="E173" i="1048"/>
  <c r="D83" i="1048"/>
  <c r="E83" i="1048"/>
  <c r="J83" i="1048"/>
  <c r="E176" i="1048"/>
  <c r="J176" i="1048"/>
  <c r="D176" i="1048"/>
  <c r="J138" i="1048"/>
  <c r="D138" i="1048"/>
  <c r="E138" i="1048"/>
  <c r="E68" i="1048"/>
  <c r="J68" i="1048"/>
  <c r="D68" i="1048"/>
  <c r="J110" i="1048"/>
  <c r="D110" i="1048"/>
  <c r="E110" i="1048"/>
  <c r="D236" i="1048"/>
  <c r="J236" i="1048"/>
  <c r="E236" i="1048"/>
  <c r="J129" i="1048"/>
  <c r="E129" i="1048"/>
  <c r="D129" i="1048"/>
  <c r="J77" i="1048"/>
  <c r="E77" i="1048"/>
  <c r="D77" i="1048"/>
  <c r="E165" i="1048"/>
  <c r="D165" i="1048"/>
  <c r="J165" i="1048"/>
  <c r="E154" i="1048"/>
  <c r="J154" i="1048"/>
  <c r="D154" i="1048"/>
  <c r="E122" i="1048"/>
  <c r="D122" i="1048"/>
  <c r="J122" i="1048"/>
  <c r="E9" i="1048"/>
  <c r="B9" i="1048"/>
  <c r="A9" i="1048"/>
  <c r="C9" i="1048"/>
  <c r="E108" i="1048"/>
  <c r="J108" i="1048"/>
  <c r="D108" i="1048"/>
  <c r="D246" i="1048"/>
  <c r="J246" i="1048"/>
  <c r="E246" i="1048"/>
  <c r="J132" i="1048"/>
  <c r="E132" i="1048"/>
  <c r="D132" i="1048"/>
  <c r="A8" i="1048"/>
  <c r="C8" i="1048"/>
  <c r="E8" i="1048"/>
  <c r="B8" i="1048"/>
  <c r="A10" i="1048"/>
  <c r="B10" i="1048"/>
  <c r="C10" i="1048"/>
  <c r="E10" i="1048"/>
  <c r="B11" i="1048"/>
  <c r="E11" i="1048"/>
  <c r="C11" i="1048"/>
  <c r="A11" i="1048"/>
  <c r="E93" i="1048"/>
  <c r="J93" i="1048"/>
  <c r="D93" i="1048"/>
  <c r="J125" i="1048"/>
  <c r="E125" i="1048"/>
  <c r="D125" i="1048"/>
  <c r="J170" i="1048"/>
  <c r="D170" i="1048"/>
  <c r="E170" i="1048"/>
  <c r="A24" i="1048"/>
  <c r="C24" i="1048"/>
  <c r="B24" i="1048"/>
  <c r="E24" i="1048"/>
  <c r="E17" i="1048"/>
  <c r="C17" i="1048"/>
  <c r="A17" i="1048"/>
  <c r="B17" i="1048"/>
  <c r="J178" i="1048"/>
  <c r="E178" i="1048"/>
  <c r="D178" i="1048"/>
  <c r="J136" i="1048"/>
  <c r="E136" i="1048"/>
  <c r="D136" i="1048"/>
  <c r="J50" i="1048"/>
  <c r="E50" i="1048"/>
  <c r="D50" i="1048"/>
  <c r="E101" i="1048"/>
  <c r="J101" i="1048"/>
  <c r="D101" i="1048"/>
  <c r="J69" i="1048"/>
  <c r="D69" i="1048"/>
  <c r="E69" i="1048"/>
  <c r="E73" i="1048"/>
  <c r="D73" i="1048"/>
  <c r="J73" i="1048"/>
  <c r="E243" i="1048"/>
  <c r="J243" i="1048"/>
  <c r="D243" i="1048"/>
  <c r="J131" i="1048"/>
  <c r="E131" i="1048"/>
  <c r="D131" i="1048"/>
  <c r="J206" i="1048"/>
  <c r="E206" i="1048"/>
  <c r="D206" i="1048"/>
  <c r="H187" i="1048"/>
  <c r="H62" i="1048"/>
  <c r="H80" i="1048"/>
  <c r="H71" i="1048"/>
  <c r="H117" i="1048"/>
  <c r="J157" i="1048"/>
  <c r="E157" i="1048"/>
  <c r="D157" i="1048"/>
  <c r="A12" i="1048"/>
  <c r="E12" i="1048"/>
  <c r="C12" i="1048"/>
  <c r="B12" i="1048"/>
  <c r="D209" i="1048"/>
  <c r="E209" i="1048"/>
  <c r="J209" i="1048"/>
  <c r="J89" i="1048"/>
  <c r="E89" i="1048"/>
  <c r="D89" i="1048"/>
  <c r="E153" i="1048"/>
  <c r="J153" i="1048"/>
  <c r="D153" i="1048"/>
  <c r="E135" i="1048"/>
  <c r="D135" i="1048"/>
  <c r="J135" i="1048"/>
  <c r="E145" i="1048"/>
  <c r="J145" i="1048"/>
  <c r="D145" i="1048"/>
  <c r="J216" i="1048"/>
  <c r="D216" i="1048"/>
  <c r="E216" i="1048"/>
  <c r="J134" i="1048"/>
  <c r="D134" i="1048"/>
  <c r="E134" i="1048"/>
  <c r="E219" i="1048"/>
  <c r="J219" i="1048"/>
  <c r="D219" i="1048"/>
  <c r="H213" i="1048"/>
  <c r="H201" i="1048"/>
  <c r="H16" i="1048"/>
  <c r="H148" i="1048"/>
  <c r="H181" i="1048"/>
  <c r="H20" i="1048"/>
  <c r="H231" i="1048"/>
  <c r="D8" i="1048"/>
  <c r="J8" i="1048" s="1"/>
  <c r="D10" i="1048"/>
  <c r="J10" i="1048" s="1"/>
  <c r="H33" i="1048"/>
  <c r="H87" i="1048"/>
  <c r="H232" i="1048"/>
  <c r="H149" i="1048"/>
  <c r="H94" i="1048"/>
  <c r="H194" i="1048"/>
  <c r="D11" i="1048"/>
  <c r="J11" i="1048" s="1"/>
  <c r="H22" i="1048"/>
  <c r="H39" i="1048"/>
  <c r="H14" i="1048"/>
  <c r="H214" i="1048"/>
  <c r="H164" i="1048"/>
  <c r="H155" i="1048"/>
  <c r="H70" i="1048"/>
  <c r="H161" i="1048"/>
  <c r="H82" i="1048"/>
  <c r="H223" i="1048"/>
  <c r="H215" i="1048"/>
  <c r="D24" i="1048"/>
  <c r="J24" i="1048" s="1"/>
  <c r="H46" i="1048"/>
  <c r="H105" i="1048"/>
  <c r="H250" i="1048"/>
  <c r="D17" i="1048"/>
  <c r="J17" i="1048" s="1"/>
  <c r="H189" i="1048"/>
  <c r="H106" i="1048"/>
  <c r="H234" i="1048"/>
  <c r="D220" i="1048"/>
  <c r="J220" i="1048"/>
  <c r="E220" i="1048"/>
  <c r="D185" i="1048"/>
  <c r="J185" i="1048"/>
  <c r="E185" i="1048"/>
  <c r="B6" i="1048"/>
  <c r="E6" i="1048"/>
  <c r="C6" i="1048"/>
  <c r="A6" i="1048"/>
  <c r="D72" i="1048"/>
  <c r="J72" i="1048"/>
  <c r="E72" i="1048"/>
  <c r="E36" i="1048"/>
  <c r="D36" i="1048"/>
  <c r="J36" i="1048"/>
  <c r="J239" i="1048"/>
  <c r="D239" i="1048"/>
  <c r="E239" i="1048"/>
  <c r="J195" i="1048"/>
  <c r="E195" i="1048"/>
  <c r="D195" i="1048"/>
  <c r="D245" i="1048"/>
  <c r="J245" i="1048"/>
  <c r="E245" i="1048"/>
  <c r="D140" i="1048"/>
  <c r="E140" i="1048"/>
  <c r="J140" i="1048"/>
  <c r="D100" i="1048"/>
  <c r="E100" i="1048"/>
  <c r="J100" i="1048"/>
  <c r="D38" i="1048"/>
  <c r="E38" i="1048"/>
  <c r="J38" i="1048"/>
  <c r="D115" i="1048"/>
  <c r="E115" i="1048"/>
  <c r="J115" i="1048"/>
  <c r="J190" i="1048"/>
  <c r="E190" i="1048"/>
  <c r="D190" i="1048"/>
  <c r="E150" i="1048"/>
  <c r="D150" i="1048"/>
  <c r="J150" i="1048"/>
  <c r="D205" i="1048"/>
  <c r="E205" i="1048"/>
  <c r="J205" i="1048"/>
  <c r="C5" i="1048"/>
  <c r="D5" i="1048"/>
  <c r="J5" i="1048" s="1"/>
  <c r="A5" i="1048"/>
  <c r="E5" i="1048"/>
  <c r="B5" i="1048"/>
  <c r="E146" i="1048"/>
  <c r="D146" i="1048"/>
  <c r="J146" i="1048"/>
  <c r="J133" i="1048"/>
  <c r="E133" i="1048"/>
  <c r="D133" i="1048"/>
  <c r="E116" i="1048"/>
  <c r="D116" i="1048"/>
  <c r="J116" i="1048"/>
  <c r="C21" i="1048"/>
  <c r="B21" i="1048"/>
  <c r="C7" i="1048"/>
  <c r="B7" i="1048"/>
  <c r="E7" i="1048"/>
  <c r="A7" i="1048"/>
  <c r="J248" i="1048"/>
  <c r="D248" i="1048"/>
  <c r="E248" i="1048"/>
  <c r="D59" i="1048"/>
  <c r="E59" i="1048"/>
  <c r="J59" i="1048"/>
  <c r="C2" i="1048"/>
  <c r="E2" i="1048"/>
  <c r="B2" i="1048"/>
  <c r="A2" i="1048"/>
  <c r="E43" i="1048"/>
  <c r="B43" i="1048"/>
  <c r="D43" i="1048"/>
  <c r="J141" i="1048"/>
  <c r="E141" i="1048"/>
  <c r="D141" i="1048"/>
  <c r="E229" i="1048"/>
  <c r="J229" i="1048"/>
  <c r="D229" i="1048"/>
  <c r="J114" i="1048"/>
  <c r="D114" i="1048"/>
  <c r="E114" i="1048"/>
  <c r="J160" i="1048"/>
  <c r="D160" i="1048"/>
  <c r="E160" i="1048"/>
  <c r="E240" i="1048"/>
  <c r="J240" i="1048"/>
  <c r="D240" i="1048"/>
  <c r="E97" i="1048"/>
  <c r="J97" i="1048"/>
  <c r="D97" i="1048"/>
  <c r="E30" i="1048"/>
  <c r="D30" i="1048"/>
  <c r="J30" i="1048" s="1"/>
  <c r="E217" i="1048"/>
  <c r="J217" i="1048"/>
  <c r="D217" i="1048"/>
  <c r="E127" i="1048"/>
  <c r="J127" i="1048"/>
  <c r="D127" i="1048"/>
  <c r="E179" i="1048"/>
  <c r="J179" i="1048"/>
  <c r="D179" i="1048"/>
  <c r="H57" i="1048"/>
  <c r="H158" i="1048"/>
  <c r="H174" i="1048"/>
  <c r="H238" i="1048"/>
  <c r="H192" i="1048"/>
  <c r="H169" i="1048"/>
  <c r="H65" i="1048"/>
  <c r="H221" i="1048"/>
  <c r="H208" i="1048"/>
  <c r="H218" i="1048"/>
  <c r="H197" i="1048"/>
  <c r="H84" i="1048"/>
  <c r="H184" i="1048"/>
  <c r="H193" i="1048"/>
  <c r="H142" i="1048"/>
  <c r="H81" i="1048"/>
  <c r="H32" i="1048"/>
  <c r="H75" i="1048"/>
  <c r="H123" i="1048"/>
  <c r="H63" i="1048"/>
  <c r="H26" i="1048"/>
  <c r="H191" i="1048"/>
  <c r="H19" i="1048"/>
  <c r="H175" i="1048"/>
  <c r="H249" i="1048"/>
  <c r="H233" i="1048"/>
  <c r="D9" i="1048"/>
  <c r="J9" i="1048" s="1"/>
  <c r="H104" i="1048"/>
  <c r="H51" i="1048"/>
  <c r="H210" i="1048"/>
  <c r="H167" i="1048"/>
  <c r="H130" i="1048"/>
  <c r="H60" i="1048"/>
  <c r="H40" i="1048"/>
  <c r="H109" i="1048"/>
  <c r="H25" i="1048"/>
  <c r="J43" i="1048"/>
  <c r="A21" i="1048"/>
  <c r="H49" i="1048"/>
  <c r="H225" i="1048"/>
  <c r="H61" i="1048"/>
  <c r="H177" i="1048"/>
  <c r="H102" i="1048"/>
  <c r="H241" i="1048"/>
  <c r="H112" i="1048"/>
  <c r="H86" i="1048"/>
  <c r="H113" i="1048"/>
  <c r="H91" i="1048"/>
  <c r="H35" i="1048"/>
  <c r="H41" i="1048"/>
  <c r="H96" i="1048"/>
  <c r="H27" i="1048"/>
  <c r="H147" i="1048"/>
  <c r="H78" i="1048"/>
  <c r="H228" i="1048"/>
  <c r="H98" i="1048"/>
  <c r="H162" i="1048"/>
  <c r="H31" i="1048"/>
  <c r="D180" i="1048"/>
  <c r="J180" i="1048"/>
  <c r="E119" i="1048"/>
  <c r="J119" i="1048"/>
  <c r="E247" i="1048"/>
  <c r="D247" i="1048"/>
  <c r="J128" i="1048"/>
  <c r="D128" i="1048"/>
  <c r="J207" i="1048"/>
  <c r="E207" i="1048"/>
  <c r="E128" i="1048"/>
  <c r="J247" i="1048"/>
  <c r="D28" i="1048"/>
  <c r="J28" i="1048" s="1"/>
  <c r="D182" i="1048"/>
  <c r="E74" i="1048"/>
  <c r="D119" i="1048"/>
  <c r="D47" i="1048"/>
  <c r="J203" i="1048"/>
  <c r="E163" i="1048"/>
  <c r="D200" i="1048" l="1"/>
  <c r="D166" i="1048"/>
  <c r="E85" i="1048"/>
  <c r="E58" i="1048"/>
  <c r="J103" i="1048"/>
  <c r="J76" i="1048"/>
  <c r="J64" i="1048"/>
  <c r="D226" i="1048"/>
  <c r="D202" i="1048"/>
  <c r="E67" i="1048"/>
  <c r="E230" i="1048"/>
  <c r="E23" i="1048"/>
  <c r="E144" i="1048"/>
  <c r="J237" i="1048"/>
  <c r="D42" i="1048"/>
  <c r="E171" i="1048"/>
  <c r="J56" i="1048"/>
  <c r="E226" i="1048"/>
  <c r="D53" i="1048"/>
  <c r="D224" i="1048"/>
  <c r="E202" i="1048"/>
  <c r="J172" i="1048"/>
  <c r="E42" i="1048"/>
  <c r="D121" i="1048"/>
  <c r="E118" i="1048"/>
  <c r="J183" i="1048"/>
  <c r="J171" i="1048"/>
  <c r="E56" i="1048"/>
  <c r="B23" i="1048"/>
  <c r="A13" i="1048"/>
  <c r="E64" i="1048"/>
  <c r="D152" i="1048"/>
  <c r="E143" i="1048"/>
  <c r="J126" i="1048"/>
  <c r="B35" i="1048"/>
  <c r="C35" i="1048"/>
  <c r="A35" i="1048"/>
  <c r="E37" i="1048"/>
  <c r="A37" i="1048"/>
  <c r="B37" i="1048"/>
  <c r="C37" i="1048"/>
  <c r="A34" i="1048"/>
  <c r="B34" i="1048"/>
  <c r="C34" i="1048"/>
  <c r="E29" i="1048"/>
  <c r="C29" i="1048"/>
  <c r="A29" i="1048"/>
  <c r="B29" i="1048"/>
  <c r="C31" i="1048"/>
  <c r="A31" i="1048"/>
  <c r="B31" i="1048"/>
  <c r="C27" i="1048"/>
  <c r="A27" i="1048"/>
  <c r="B27" i="1048"/>
  <c r="B32" i="1048"/>
  <c r="A32" i="1048"/>
  <c r="C32" i="1048"/>
  <c r="A33" i="1048"/>
  <c r="C33" i="1048"/>
  <c r="B33" i="1048"/>
  <c r="D34" i="1048"/>
  <c r="J34" i="1048" s="1"/>
  <c r="E48" i="1048"/>
  <c r="J222" i="1048"/>
  <c r="E92" i="1048"/>
  <c r="D211" i="1048"/>
  <c r="C18" i="1048"/>
  <c r="B4" i="1048"/>
  <c r="E99" i="1048"/>
  <c r="D198" i="1048"/>
  <c r="E137" i="1048"/>
  <c r="E235" i="1048"/>
  <c r="E139" i="1048"/>
  <c r="D92" i="1048"/>
  <c r="J45" i="1048"/>
  <c r="D45" i="1048"/>
  <c r="D90" i="1048"/>
  <c r="B15" i="1048"/>
  <c r="B18" i="1048"/>
  <c r="E211" i="1048"/>
  <c r="J18" i="1048"/>
  <c r="C15" i="1048"/>
  <c r="J188" i="1048"/>
  <c r="J137" i="1048"/>
  <c r="J66" i="1048"/>
  <c r="E151" i="1048"/>
  <c r="E222" i="1048"/>
  <c r="J139" i="1048"/>
  <c r="J230" i="1048"/>
  <c r="J90" i="1048"/>
  <c r="B13" i="1048"/>
  <c r="D37" i="1048"/>
  <c r="D58" i="1048"/>
  <c r="D204" i="1048"/>
  <c r="D107" i="1048"/>
  <c r="D29" i="1048"/>
  <c r="J29" i="1048" s="1"/>
  <c r="E237" i="1048"/>
  <c r="J199" i="1048"/>
  <c r="J53" i="1048"/>
  <c r="J55" i="1048"/>
  <c r="J200" i="1048"/>
  <c r="J67" i="1048"/>
  <c r="D79" i="1048"/>
  <c r="J48" i="1048"/>
  <c r="D44" i="1048"/>
  <c r="E76" i="1048"/>
  <c r="C13" i="1048"/>
  <c r="J151" i="1048"/>
  <c r="J159" i="1048"/>
  <c r="E152" i="1048"/>
  <c r="J168" i="1048"/>
  <c r="E34" i="1048"/>
  <c r="D144" i="1048"/>
  <c r="E224" i="1048"/>
  <c r="J118" i="1048"/>
  <c r="E166" i="1048"/>
  <c r="D66" i="1048"/>
  <c r="D235" i="1048"/>
  <c r="E172" i="1048"/>
  <c r="J121" i="1048"/>
  <c r="E4" i="1048"/>
  <c r="J111" i="1048"/>
  <c r="E111" i="1048"/>
  <c r="E107" i="1048"/>
  <c r="E156" i="1048"/>
  <c r="J85" i="1048"/>
  <c r="D183" i="1048"/>
  <c r="J99" i="1048"/>
  <c r="E79" i="1048"/>
  <c r="J186" i="1048"/>
  <c r="J44" i="1048"/>
  <c r="D13" i="1048"/>
  <c r="J13" i="1048" s="1"/>
  <c r="D159" i="1048"/>
  <c r="J37" i="1048"/>
  <c r="E204" i="1048"/>
  <c r="D156" i="1048"/>
  <c r="D199" i="1048"/>
  <c r="E55" i="1048"/>
  <c r="E103" i="1048"/>
  <c r="E186" i="1048"/>
  <c r="D168" i="1048"/>
  <c r="B3" i="1048"/>
  <c r="C3" i="1048"/>
  <c r="A3" i="1048"/>
  <c r="D15" i="1048"/>
  <c r="J15" i="1048" s="1"/>
  <c r="D3" i="1048"/>
  <c r="J3" i="1048" s="1"/>
  <c r="C23" i="1048"/>
  <c r="E18" i="1048"/>
  <c r="A18" i="1048"/>
  <c r="E15" i="1048"/>
  <c r="C4" i="1048"/>
  <c r="D4" i="1048"/>
  <c r="J4" i="1048" s="1"/>
  <c r="J198" i="1048"/>
  <c r="D23" i="1048"/>
  <c r="J23" i="1048" s="1"/>
  <c r="E188" i="1048"/>
  <c r="J143" i="1048"/>
  <c r="D126" i="1048"/>
  <c r="E88" i="1048"/>
  <c r="D88" i="1048"/>
  <c r="D212" i="1048"/>
  <c r="J212" i="1048"/>
  <c r="E120" i="1048"/>
  <c r="D120" i="1048"/>
  <c r="E96" i="1048"/>
  <c r="D96" i="1048"/>
  <c r="J96" i="1048"/>
  <c r="D35" i="1048"/>
  <c r="J35" i="1048" s="1"/>
  <c r="E35" i="1048"/>
  <c r="E112" i="1048"/>
  <c r="J112" i="1048"/>
  <c r="D112" i="1048"/>
  <c r="E241" i="1048"/>
  <c r="J241" i="1048"/>
  <c r="D241" i="1048"/>
  <c r="E177" i="1048"/>
  <c r="D177" i="1048"/>
  <c r="J177" i="1048"/>
  <c r="E225" i="1048"/>
  <c r="D225" i="1048"/>
  <c r="J225" i="1048"/>
  <c r="B25" i="1048"/>
  <c r="D25" i="1048"/>
  <c r="J25" i="1048" s="1"/>
  <c r="C25" i="1048"/>
  <c r="E25" i="1048"/>
  <c r="A25" i="1048"/>
  <c r="D130" i="1048"/>
  <c r="E130" i="1048"/>
  <c r="J130" i="1048"/>
  <c r="J210" i="1048"/>
  <c r="E210" i="1048"/>
  <c r="D210" i="1048"/>
  <c r="E104" i="1048"/>
  <c r="J104" i="1048"/>
  <c r="D104" i="1048"/>
  <c r="D233" i="1048"/>
  <c r="J233" i="1048"/>
  <c r="E233" i="1048"/>
  <c r="D249" i="1048"/>
  <c r="E249" i="1048"/>
  <c r="J249" i="1048"/>
  <c r="J175" i="1048"/>
  <c r="E175" i="1048"/>
  <c r="D175" i="1048"/>
  <c r="D19" i="1048"/>
  <c r="J19" i="1048" s="1"/>
  <c r="B19" i="1048"/>
  <c r="C19" i="1048"/>
  <c r="A19" i="1048"/>
  <c r="E19" i="1048"/>
  <c r="D32" i="1048"/>
  <c r="J32" i="1048" s="1"/>
  <c r="E32" i="1048"/>
  <c r="E142" i="1048"/>
  <c r="D142" i="1048"/>
  <c r="J142" i="1048"/>
  <c r="E218" i="1048"/>
  <c r="J218" i="1048"/>
  <c r="D218" i="1048"/>
  <c r="E208" i="1048"/>
  <c r="D208" i="1048"/>
  <c r="J208" i="1048"/>
  <c r="D221" i="1048"/>
  <c r="J221" i="1048"/>
  <c r="E221" i="1048"/>
  <c r="J238" i="1048"/>
  <c r="E238" i="1048"/>
  <c r="D238" i="1048"/>
  <c r="D158" i="1048"/>
  <c r="E158" i="1048"/>
  <c r="J158" i="1048"/>
  <c r="D57" i="1048"/>
  <c r="E57" i="1048"/>
  <c r="J57" i="1048"/>
  <c r="E234" i="1048"/>
  <c r="J234" i="1048"/>
  <c r="D234" i="1048"/>
  <c r="D189" i="1048"/>
  <c r="E189" i="1048"/>
  <c r="J189" i="1048"/>
  <c r="J250" i="1048"/>
  <c r="D250" i="1048"/>
  <c r="E250" i="1048"/>
  <c r="E46" i="1048"/>
  <c r="D46" i="1048"/>
  <c r="J46" i="1048"/>
  <c r="J223" i="1048"/>
  <c r="D223" i="1048"/>
  <c r="E223" i="1048"/>
  <c r="J82" i="1048"/>
  <c r="E82" i="1048"/>
  <c r="D82" i="1048"/>
  <c r="E70" i="1048"/>
  <c r="J70" i="1048"/>
  <c r="D70" i="1048"/>
  <c r="D164" i="1048"/>
  <c r="J164" i="1048"/>
  <c r="E164" i="1048"/>
  <c r="D14" i="1048"/>
  <c r="J14" i="1048" s="1"/>
  <c r="E14" i="1048"/>
  <c r="A14" i="1048"/>
  <c r="B14" i="1048"/>
  <c r="C14" i="1048"/>
  <c r="D22" i="1048"/>
  <c r="J22" i="1048" s="1"/>
  <c r="A22" i="1048"/>
  <c r="C22" i="1048"/>
  <c r="B22" i="1048"/>
  <c r="E22" i="1048"/>
  <c r="D94" i="1048"/>
  <c r="E94" i="1048"/>
  <c r="J94" i="1048"/>
  <c r="J232" i="1048"/>
  <c r="E232" i="1048"/>
  <c r="D232" i="1048"/>
  <c r="E87" i="1048"/>
  <c r="D87" i="1048"/>
  <c r="J87" i="1048"/>
  <c r="E20" i="1048"/>
  <c r="D20" i="1048"/>
  <c r="J20" i="1048" s="1"/>
  <c r="B20" i="1048"/>
  <c r="C20" i="1048"/>
  <c r="A20" i="1048"/>
  <c r="E148" i="1048"/>
  <c r="J148" i="1048"/>
  <c r="D148" i="1048"/>
  <c r="E16" i="1048"/>
  <c r="B16" i="1048"/>
  <c r="C16" i="1048"/>
  <c r="A16" i="1048"/>
  <c r="D16" i="1048"/>
  <c r="J16" i="1048" s="1"/>
  <c r="E117" i="1048"/>
  <c r="D117" i="1048"/>
  <c r="J117" i="1048"/>
  <c r="D71" i="1048"/>
  <c r="E71" i="1048"/>
  <c r="J71" i="1048"/>
  <c r="E78" i="1048"/>
  <c r="J78" i="1048"/>
  <c r="D78" i="1048"/>
  <c r="D27" i="1048"/>
  <c r="J27" i="1048" s="1"/>
  <c r="E27" i="1048"/>
  <c r="E31" i="1048"/>
  <c r="D31" i="1048"/>
  <c r="J31" i="1048" s="1"/>
  <c r="D162" i="1048"/>
  <c r="E162" i="1048"/>
  <c r="J162" i="1048"/>
  <c r="E98" i="1048"/>
  <c r="J98" i="1048"/>
  <c r="D98" i="1048"/>
  <c r="D228" i="1048"/>
  <c r="E228" i="1048"/>
  <c r="J228" i="1048"/>
  <c r="D147" i="1048"/>
  <c r="J147" i="1048"/>
  <c r="E147" i="1048"/>
  <c r="E41" i="1048"/>
  <c r="D41" i="1048"/>
  <c r="J41" i="1048"/>
  <c r="J91" i="1048"/>
  <c r="D91" i="1048"/>
  <c r="E91" i="1048"/>
  <c r="E113" i="1048"/>
  <c r="J113" i="1048"/>
  <c r="D113" i="1048"/>
  <c r="J86" i="1048"/>
  <c r="E86" i="1048"/>
  <c r="D86" i="1048"/>
  <c r="E102" i="1048"/>
  <c r="J102" i="1048"/>
  <c r="D102" i="1048"/>
  <c r="D61" i="1048"/>
  <c r="J61" i="1048"/>
  <c r="E61" i="1048"/>
  <c r="J49" i="1048"/>
  <c r="E49" i="1048"/>
  <c r="D49" i="1048"/>
  <c r="D109" i="1048"/>
  <c r="E109" i="1048"/>
  <c r="J109" i="1048"/>
  <c r="E40" i="1048"/>
  <c r="J40" i="1048"/>
  <c r="D40" i="1048"/>
  <c r="E60" i="1048"/>
  <c r="J60" i="1048"/>
  <c r="D60" i="1048"/>
  <c r="E167" i="1048"/>
  <c r="J167" i="1048"/>
  <c r="D167" i="1048"/>
  <c r="J51" i="1048"/>
  <c r="E51" i="1048"/>
  <c r="D51" i="1048"/>
  <c r="J191" i="1048"/>
  <c r="D191" i="1048"/>
  <c r="E191" i="1048"/>
  <c r="A26" i="1048"/>
  <c r="E26" i="1048"/>
  <c r="D26" i="1048"/>
  <c r="J26" i="1048" s="1"/>
  <c r="C26" i="1048"/>
  <c r="B26" i="1048"/>
  <c r="J63" i="1048"/>
  <c r="D63" i="1048"/>
  <c r="E63" i="1048"/>
  <c r="J123" i="1048"/>
  <c r="D123" i="1048"/>
  <c r="E123" i="1048"/>
  <c r="D75" i="1048"/>
  <c r="J75" i="1048"/>
  <c r="E75" i="1048"/>
  <c r="D81" i="1048"/>
  <c r="J81" i="1048"/>
  <c r="E81" i="1048"/>
  <c r="E193" i="1048"/>
  <c r="D193" i="1048"/>
  <c r="J193" i="1048"/>
  <c r="D184" i="1048"/>
  <c r="J184" i="1048"/>
  <c r="E184" i="1048"/>
  <c r="E84" i="1048"/>
  <c r="J84" i="1048"/>
  <c r="D84" i="1048"/>
  <c r="J197" i="1048"/>
  <c r="D197" i="1048"/>
  <c r="E197" i="1048"/>
  <c r="E65" i="1048"/>
  <c r="J65" i="1048"/>
  <c r="D65" i="1048"/>
  <c r="E169" i="1048"/>
  <c r="J169" i="1048"/>
  <c r="D169" i="1048"/>
  <c r="J192" i="1048"/>
  <c r="E192" i="1048"/>
  <c r="D192" i="1048"/>
  <c r="J174" i="1048"/>
  <c r="E174" i="1048"/>
  <c r="D174" i="1048"/>
  <c r="J106" i="1048"/>
  <c r="D106" i="1048"/>
  <c r="E106" i="1048"/>
  <c r="D105" i="1048"/>
  <c r="J105" i="1048"/>
  <c r="E105" i="1048"/>
  <c r="D215" i="1048"/>
  <c r="E215" i="1048"/>
  <c r="J215" i="1048"/>
  <c r="J161" i="1048"/>
  <c r="E161" i="1048"/>
  <c r="D161" i="1048"/>
  <c r="J155" i="1048"/>
  <c r="E155" i="1048"/>
  <c r="D155" i="1048"/>
  <c r="D214" i="1048"/>
  <c r="E214" i="1048"/>
  <c r="J214" i="1048"/>
  <c r="J39" i="1048"/>
  <c r="E39" i="1048"/>
  <c r="D39" i="1048"/>
  <c r="J194" i="1048"/>
  <c r="D194" i="1048"/>
  <c r="E194" i="1048"/>
  <c r="J149" i="1048"/>
  <c r="E149" i="1048"/>
  <c r="D149" i="1048"/>
  <c r="D33" i="1048"/>
  <c r="J33" i="1048" s="1"/>
  <c r="E33" i="1048"/>
  <c r="E231" i="1048"/>
  <c r="J231" i="1048"/>
  <c r="D231" i="1048"/>
  <c r="J181" i="1048"/>
  <c r="E181" i="1048"/>
  <c r="D181" i="1048"/>
  <c r="E201" i="1048"/>
  <c r="D201" i="1048"/>
  <c r="J201" i="1048"/>
  <c r="D213" i="1048"/>
  <c r="E213" i="1048"/>
  <c r="J213" i="1048"/>
  <c r="D80" i="1048"/>
  <c r="J80" i="1048"/>
  <c r="E80" i="1048"/>
  <c r="J62" i="1048"/>
  <c r="E62" i="1048"/>
  <c r="D62" i="1048"/>
  <c r="E187" i="1048"/>
  <c r="D187" i="1048"/>
  <c r="J187" i="1048"/>
  <c r="J251" i="1048" l="1"/>
  <c r="Y30" i="88"/>
  <c r="Y32" i="88"/>
  <c r="Y12" i="88"/>
  <c r="Y5" i="88"/>
  <c r="Y10" i="88"/>
  <c r="Y29" i="88"/>
  <c r="Y36" i="88"/>
  <c r="Y35" i="88"/>
  <c r="Y19" i="88"/>
  <c r="Y31" i="88"/>
  <c r="Y14" i="88"/>
  <c r="Y9" i="88"/>
  <c r="Y15" i="88"/>
  <c r="Y17" i="88"/>
  <c r="BA603" i="88"/>
  <c r="BA678" i="88"/>
  <c r="Y20" i="88" s="1"/>
  <c r="BA477" i="88"/>
  <c r="Y21" i="88"/>
  <c r="Y13" i="88"/>
  <c r="BA605" i="88"/>
  <c r="BA604" i="88"/>
  <c r="BA606" i="88"/>
  <c r="BA607" i="88"/>
  <c r="BA476" i="88"/>
  <c r="BA660" i="88"/>
  <c r="Y22" i="88" s="1"/>
  <c r="BA661" i="88"/>
  <c r="BA478" i="88"/>
  <c r="BA479" i="88"/>
  <c r="Y16" i="88"/>
  <c r="Y25" i="88"/>
  <c r="BA474" i="88"/>
  <c r="Y6" i="88" s="1"/>
  <c r="BA475" i="88"/>
  <c r="BA679" i="88"/>
  <c r="Y28" i="88"/>
  <c r="BA682" i="88"/>
  <c r="BA685" i="88"/>
  <c r="BA693" i="88"/>
  <c r="BA684" i="88"/>
  <c r="BA680" i="88"/>
  <c r="BA692" i="88"/>
  <c r="BA688" i="88"/>
  <c r="BA689" i="88"/>
  <c r="BA683" i="88"/>
  <c r="BA686" i="88"/>
  <c r="BA687" i="88"/>
  <c r="BA681" i="88"/>
  <c r="BA690" i="88"/>
  <c r="BA691" i="88"/>
  <c r="BA401" i="88"/>
  <c r="BA404" i="88"/>
  <c r="BA402" i="88"/>
  <c r="BA403" i="88"/>
  <c r="BA638" i="88"/>
  <c r="BA650" i="88"/>
  <c r="BA649" i="88"/>
  <c r="BA645" i="88"/>
  <c r="BA651" i="88"/>
  <c r="BA648" i="88"/>
  <c r="BA647" i="88"/>
  <c r="BA646" i="88"/>
  <c r="BA436" i="88"/>
  <c r="BA438" i="88"/>
  <c r="BA437" i="88"/>
  <c r="BA435" i="88"/>
  <c r="BA439" i="88"/>
  <c r="BA701" i="88"/>
  <c r="BA699" i="88"/>
  <c r="BA696" i="88"/>
  <c r="BA703" i="88"/>
  <c r="BA704" i="88"/>
  <c r="BA697" i="88"/>
  <c r="BA698" i="88"/>
  <c r="BA700" i="88"/>
  <c r="BA705" i="88"/>
  <c r="BA702" i="88"/>
  <c r="BA488" i="88"/>
  <c r="BA481" i="88"/>
  <c r="BA490" i="88"/>
  <c r="BA486" i="88"/>
  <c r="BA492" i="88"/>
  <c r="BA487" i="88"/>
  <c r="BA482" i="88"/>
  <c r="BA493" i="88"/>
  <c r="BA480" i="88"/>
  <c r="BA484" i="88"/>
  <c r="BA483" i="88"/>
  <c r="BA491" i="88"/>
  <c r="BA489" i="88"/>
  <c r="BA485" i="88"/>
  <c r="BA425" i="88"/>
  <c r="BA427" i="88"/>
  <c r="BA423" i="88"/>
  <c r="BA424" i="88"/>
  <c r="BA426" i="88"/>
  <c r="BA422" i="88"/>
  <c r="BA576" i="88"/>
  <c r="BA588" i="88"/>
  <c r="BA585" i="88"/>
  <c r="BA579" i="88"/>
  <c r="BA582" i="88"/>
  <c r="BA583" i="88"/>
  <c r="BA584" i="88"/>
  <c r="BA589" i="88"/>
  <c r="BA591" i="88"/>
  <c r="BA590" i="88"/>
  <c r="BA581" i="88"/>
  <c r="BA587" i="88"/>
  <c r="BA580" i="88"/>
  <c r="BA586" i="88"/>
  <c r="BA570" i="88"/>
  <c r="BA712" i="88"/>
  <c r="BA720" i="88"/>
  <c r="BA714" i="88"/>
  <c r="BA719" i="88"/>
  <c r="BA713" i="88"/>
  <c r="BA717" i="88"/>
  <c r="BA718" i="88"/>
  <c r="BA715" i="88"/>
  <c r="BA716" i="88"/>
  <c r="BA711" i="88"/>
  <c r="BA517" i="88"/>
  <c r="BA392" i="88"/>
  <c r="BA391" i="88"/>
  <c r="BA390" i="88"/>
  <c r="BA388" i="88"/>
  <c r="BA389" i="88"/>
  <c r="BA462" i="88"/>
  <c r="BA460" i="88"/>
  <c r="BA461" i="88"/>
  <c r="BA463" i="88"/>
  <c r="BA561" i="88"/>
  <c r="BA558" i="88"/>
  <c r="BA559" i="88"/>
  <c r="BA560" i="88"/>
  <c r="BA724" i="88"/>
  <c r="BA723" i="88"/>
  <c r="BA725" i="88"/>
  <c r="BA733" i="88"/>
  <c r="BA736" i="88"/>
  <c r="BA732" i="88"/>
  <c r="BA731" i="88"/>
  <c r="BA734" i="88"/>
  <c r="BA737" i="88"/>
  <c r="BA735" i="88"/>
  <c r="BA430" i="88"/>
  <c r="BA721" i="88"/>
  <c r="BA722" i="88"/>
  <c r="BA553" i="88"/>
  <c r="BA554" i="88"/>
  <c r="BA552" i="88"/>
  <c r="BA555" i="88"/>
  <c r="BA549" i="88"/>
  <c r="BA615" i="88"/>
  <c r="BA618" i="88"/>
  <c r="BA619" i="88"/>
  <c r="BA621" i="88"/>
  <c r="BA608" i="88"/>
  <c r="BA609" i="88"/>
  <c r="BA610" i="88"/>
  <c r="BA617" i="88"/>
  <c r="BA614" i="88"/>
  <c r="BA611" i="88"/>
  <c r="BA616" i="88"/>
  <c r="BA612" i="88"/>
  <c r="BA613" i="88"/>
  <c r="BA620" i="88"/>
  <c r="BA413" i="88"/>
  <c r="BA675" i="88"/>
  <c r="BA668" i="88"/>
  <c r="BA670" i="88"/>
  <c r="BA674" i="88"/>
  <c r="BA672" i="88"/>
  <c r="BA665" i="88"/>
  <c r="BA671" i="88"/>
  <c r="BA667" i="88"/>
  <c r="BA662" i="88"/>
  <c r="BA663" i="88"/>
  <c r="BA673" i="88"/>
  <c r="BA664" i="88"/>
  <c r="BA669" i="88"/>
  <c r="BA666" i="88"/>
  <c r="BA501" i="88"/>
  <c r="BA506" i="88"/>
  <c r="BA511" i="88"/>
  <c r="BA510" i="88"/>
  <c r="BA499" i="88"/>
  <c r="BA500" i="88"/>
  <c r="BA504" i="88"/>
  <c r="BA508" i="88"/>
  <c r="BA502" i="88"/>
  <c r="BA505" i="88"/>
  <c r="BA503" i="88"/>
  <c r="BA509" i="88"/>
  <c r="BA507" i="88"/>
  <c r="BA470" i="88"/>
  <c r="BA523" i="88"/>
  <c r="BA526" i="88"/>
  <c r="BA524" i="88"/>
  <c r="BA521" i="88"/>
  <c r="BA520" i="88"/>
  <c r="BA522" i="88"/>
  <c r="BA525" i="88"/>
  <c r="BA749" i="88"/>
  <c r="BA748" i="88"/>
  <c r="BA750" i="88"/>
  <c r="BA754" i="88"/>
  <c r="BA751" i="88"/>
  <c r="BA752" i="88"/>
  <c r="BA753" i="88"/>
  <c r="BA431" i="88"/>
  <c r="BA432" i="88"/>
  <c r="BA395" i="88"/>
  <c r="BA656" i="88"/>
  <c r="BA655" i="88"/>
  <c r="BA654" i="88"/>
  <c r="BA657" i="88"/>
  <c r="BA562" i="88"/>
  <c r="BA563" i="88"/>
  <c r="BA459" i="88"/>
  <c r="BA494" i="88"/>
  <c r="BA495" i="88"/>
  <c r="BA676" i="88"/>
  <c r="BA677" i="88"/>
  <c r="BA456" i="88"/>
  <c r="BA571" i="88"/>
  <c r="BA572" i="88"/>
  <c r="BA592" i="88"/>
  <c r="BA593" i="88"/>
  <c r="BA449" i="88"/>
  <c r="BA708" i="88"/>
  <c r="BA419" i="88"/>
  <c r="BA471" i="88"/>
  <c r="BA472" i="88"/>
  <c r="BA405" i="88"/>
  <c r="BA406" i="88"/>
  <c r="BA398" i="88"/>
  <c r="Y27" i="88"/>
  <c r="BA694" i="88"/>
  <c r="BA695" i="88"/>
  <c r="BA743" i="88"/>
  <c r="BA600" i="88"/>
  <c r="BA433" i="88"/>
  <c r="BA514" i="88"/>
  <c r="Y7" i="88"/>
  <c r="BA632" i="88"/>
  <c r="BA407" i="88"/>
  <c r="BA409" i="88"/>
  <c r="BA408" i="88"/>
  <c r="BA642" i="88"/>
  <c r="BA538" i="88"/>
  <c r="BA535" i="88"/>
  <c r="BA537" i="88"/>
  <c r="BA536" i="88"/>
  <c r="BA639" i="88"/>
  <c r="BA640" i="88"/>
  <c r="BA496" i="88"/>
  <c r="BA573" i="88"/>
  <c r="BA627" i="88"/>
  <c r="BA628" i="88"/>
  <c r="BA453" i="88"/>
  <c r="BA420" i="88"/>
  <c r="BA421" i="88"/>
  <c r="BA399" i="88"/>
  <c r="BA400" i="88"/>
  <c r="BA527" i="88"/>
  <c r="BA528" i="88"/>
  <c r="BA744" i="88"/>
  <c r="BA745" i="88"/>
  <c r="BA434" i="88"/>
  <c r="Y18" i="88"/>
  <c r="BA601" i="88"/>
  <c r="BA602" i="88"/>
  <c r="BA544" i="88"/>
  <c r="BA545" i="88"/>
  <c r="BA546" i="88"/>
  <c r="BA515" i="88"/>
  <c r="BA516" i="88"/>
  <c r="BA473" i="88"/>
  <c r="BA541" i="88"/>
  <c r="BA564" i="88"/>
  <c r="BA643" i="88"/>
  <c r="BA644" i="88"/>
  <c r="BA448" i="88"/>
  <c r="BA529" i="88"/>
  <c r="BA635" i="88"/>
  <c r="Y24" i="88"/>
  <c r="BA497" i="88"/>
  <c r="BA498" i="88"/>
  <c r="BA414" i="88"/>
  <c r="BA415" i="88"/>
  <c r="BA641" i="88"/>
  <c r="BA532" i="88"/>
  <c r="BA396" i="88"/>
  <c r="BA397" i="88"/>
  <c r="BA658" i="88"/>
  <c r="BA659" i="88"/>
  <c r="BA594" i="88"/>
  <c r="BA577" i="88"/>
  <c r="BA578" i="88"/>
  <c r="BA542" i="88"/>
  <c r="BA543" i="88"/>
  <c r="BA454" i="88"/>
  <c r="BA455" i="88"/>
  <c r="BA728" i="88"/>
  <c r="BA444" i="88"/>
  <c r="BA567" i="88"/>
  <c r="BA622" i="88"/>
  <c r="BA623" i="88"/>
  <c r="BA457" i="88"/>
  <c r="BA458" i="88"/>
  <c r="BA629" i="88"/>
  <c r="BA636" i="88"/>
  <c r="BA637" i="88"/>
  <c r="BA738" i="88"/>
  <c r="BA739" i="88"/>
  <c r="BA417" i="88"/>
  <c r="BA418" i="88"/>
  <c r="BA416" i="88"/>
  <c r="BA595" i="88"/>
  <c r="BA596" i="88"/>
  <c r="BA533" i="88"/>
  <c r="BA534" i="88"/>
  <c r="BA726" i="88"/>
  <c r="BA727" i="88"/>
  <c r="BA440" i="88"/>
  <c r="BA441" i="88"/>
  <c r="BA550" i="88"/>
  <c r="BA551" i="88"/>
  <c r="BA466" i="88"/>
  <c r="BA410" i="88"/>
  <c r="BA539" i="88"/>
  <c r="BA540" i="88"/>
  <c r="BA512" i="88"/>
  <c r="BA513" i="88"/>
  <c r="BA633" i="88"/>
  <c r="BA634" i="88"/>
  <c r="BA652" i="88"/>
  <c r="BA653" i="88"/>
  <c r="BA574" i="88"/>
  <c r="BA575" i="88"/>
  <c r="BA709" i="88"/>
  <c r="BA710" i="88"/>
  <c r="BA447" i="88"/>
  <c r="BA464" i="88"/>
  <c r="BA465" i="88"/>
  <c r="BA452" i="88"/>
  <c r="BA597" i="88"/>
  <c r="BA599" i="88"/>
  <c r="BA598" i="88"/>
  <c r="BA624" i="88"/>
  <c r="BA626" i="88"/>
  <c r="BA625" i="88"/>
  <c r="BA530" i="88"/>
  <c r="BA531" i="88"/>
  <c r="BA383" i="88"/>
  <c r="BA382" i="88"/>
  <c r="BA411" i="88"/>
  <c r="BA412" i="88"/>
  <c r="BA468" i="88"/>
  <c r="BA469" i="88"/>
  <c r="BA467" i="88"/>
  <c r="Y8" i="88"/>
  <c r="BA729" i="88"/>
  <c r="BA730" i="88"/>
  <c r="BA385" i="88"/>
  <c r="BA386" i="88"/>
  <c r="BA384" i="88"/>
  <c r="Y26" i="88"/>
  <c r="BA706" i="88"/>
  <c r="BA707" i="88"/>
  <c r="BA547" i="88"/>
  <c r="BA548" i="88"/>
  <c r="BA556" i="88"/>
  <c r="BA557" i="88"/>
  <c r="BA518" i="88"/>
  <c r="BA519" i="88"/>
  <c r="BA746" i="88"/>
  <c r="BA747" i="88"/>
  <c r="BA393" i="88"/>
  <c r="BA394" i="88"/>
  <c r="BA387" i="88"/>
  <c r="Y23" i="88"/>
  <c r="BA445" i="88"/>
  <c r="BA446" i="88"/>
  <c r="BA568" i="88"/>
  <c r="BA569" i="88"/>
  <c r="BA755" i="88"/>
  <c r="BA756" i="88"/>
  <c r="BA442" i="88"/>
  <c r="BA443" i="88"/>
  <c r="BA565" i="88"/>
  <c r="BA566" i="88"/>
  <c r="BA630" i="88"/>
  <c r="BA631" i="88"/>
  <c r="BA741" i="88"/>
  <c r="BA742" i="88"/>
  <c r="BA740" i="88"/>
  <c r="BA428" i="88"/>
  <c r="BA429" i="88"/>
  <c r="BA450" i="88"/>
  <c r="BA451" i="88"/>
</calcChain>
</file>

<file path=xl/comments1.xml><?xml version="1.0" encoding="utf-8"?>
<comments xmlns="http://schemas.openxmlformats.org/spreadsheetml/2006/main">
  <authors>
    <author>Author</author>
  </authors>
  <commentList>
    <comment ref="AE5175" authorId="0" shapeId="0">
      <text>
        <r>
          <rPr>
            <b/>
            <sz val="8"/>
            <color indexed="81"/>
            <rFont val="Tahoma"/>
            <family val="2"/>
          </rPr>
          <t>Author:</t>
        </r>
        <r>
          <rPr>
            <sz val="8"/>
            <color indexed="81"/>
            <rFont val="Tahoma"/>
            <family val="2"/>
          </rPr>
          <t xml:space="preserve">
Mobilink Shared.
Repeator ID HGW0299
</t>
        </r>
      </text>
    </comment>
  </commentList>
</comments>
</file>

<file path=xl/sharedStrings.xml><?xml version="1.0" encoding="utf-8"?>
<sst xmlns="http://schemas.openxmlformats.org/spreadsheetml/2006/main" count="52389" uniqueCount="8684">
  <si>
    <t>BSC</t>
  </si>
  <si>
    <t>SITE ID</t>
  </si>
  <si>
    <t>MN4318</t>
  </si>
  <si>
    <t>Micro Sites</t>
  </si>
  <si>
    <t>Sites / TT #</t>
  </si>
  <si>
    <t>LH1649</t>
  </si>
  <si>
    <t>LH1392</t>
  </si>
  <si>
    <t>LH1140</t>
  </si>
  <si>
    <t>LH1256</t>
  </si>
  <si>
    <t>LH1226</t>
  </si>
  <si>
    <t>LH1379</t>
  </si>
  <si>
    <t>LH1313</t>
  </si>
  <si>
    <t>LH1141</t>
  </si>
  <si>
    <t>FB3873</t>
  </si>
  <si>
    <t>LH1258</t>
  </si>
  <si>
    <t>2I3760</t>
  </si>
  <si>
    <t>1N3555</t>
  </si>
  <si>
    <t>1B2726</t>
  </si>
  <si>
    <t>LH1287</t>
  </si>
  <si>
    <t>LH1311</t>
  </si>
  <si>
    <t>LH1393</t>
  </si>
  <si>
    <t>IB3117</t>
  </si>
  <si>
    <t>DOWN TIME</t>
  </si>
  <si>
    <t>IB0099</t>
  </si>
  <si>
    <t>LH1306</t>
  </si>
  <si>
    <t>1Q3565</t>
  </si>
  <si>
    <t>SH1435</t>
  </si>
  <si>
    <t>LH0148</t>
  </si>
  <si>
    <t>LH0261</t>
  </si>
  <si>
    <t>LH0015</t>
  </si>
  <si>
    <t>NR4139</t>
  </si>
  <si>
    <t>LH1298</t>
  </si>
  <si>
    <t>LH1323</t>
  </si>
  <si>
    <t>EM4294</t>
  </si>
  <si>
    <t>SH1453</t>
  </si>
  <si>
    <t>LH1906</t>
  </si>
  <si>
    <t>CJ1917</t>
  </si>
  <si>
    <t>LH0155</t>
  </si>
  <si>
    <t>LH0011</t>
  </si>
  <si>
    <t>SH1885</t>
  </si>
  <si>
    <t>LH0004</t>
  </si>
  <si>
    <t>LH0003</t>
  </si>
  <si>
    <t>LH0008</t>
  </si>
  <si>
    <t>FB4007</t>
  </si>
  <si>
    <t>MU0177</t>
  </si>
  <si>
    <t>KY1468</t>
  </si>
  <si>
    <t>PB1542</t>
  </si>
  <si>
    <t>PB1543</t>
  </si>
  <si>
    <t>SM1908</t>
  </si>
  <si>
    <t>CJ5518</t>
  </si>
  <si>
    <t>CJ1916</t>
  </si>
  <si>
    <t>CJ1918</t>
  </si>
  <si>
    <t>MA1427</t>
  </si>
  <si>
    <t>BC1428</t>
  </si>
  <si>
    <t>BC1551</t>
  </si>
  <si>
    <t>FB4127</t>
  </si>
  <si>
    <t>CT4118</t>
  </si>
  <si>
    <t>CT1454</t>
  </si>
  <si>
    <t>SM4037</t>
  </si>
  <si>
    <t>SM4038</t>
  </si>
  <si>
    <t>SM1580</t>
  </si>
  <si>
    <t>SM1907</t>
  </si>
  <si>
    <t>SM1509</t>
  </si>
  <si>
    <t>JW5534</t>
  </si>
  <si>
    <t>JW5535</t>
  </si>
  <si>
    <t>JW5761</t>
  </si>
  <si>
    <t>JW5760</t>
  </si>
  <si>
    <t>SG1500</t>
  </si>
  <si>
    <t>SG1503</t>
  </si>
  <si>
    <t>SG1507</t>
  </si>
  <si>
    <t>SG1986</t>
  </si>
  <si>
    <t>BH5515</t>
  </si>
  <si>
    <t>BH5751</t>
  </si>
  <si>
    <t>BH5752</t>
  </si>
  <si>
    <t>BH1585</t>
  </si>
  <si>
    <t>BH1586</t>
  </si>
  <si>
    <t>BH1915</t>
  </si>
  <si>
    <t>BH1911</t>
  </si>
  <si>
    <t>BH1913</t>
  </si>
  <si>
    <t>BE1548</t>
  </si>
  <si>
    <t>KB1525</t>
  </si>
  <si>
    <t>SP1974</t>
  </si>
  <si>
    <t>CK2832</t>
  </si>
  <si>
    <t>SW1494</t>
  </si>
  <si>
    <t>DP1965</t>
  </si>
  <si>
    <t>MU4403</t>
  </si>
  <si>
    <t>MU4404</t>
  </si>
  <si>
    <t>MU4405</t>
  </si>
  <si>
    <t>MU4406</t>
  </si>
  <si>
    <t>MU4409</t>
  </si>
  <si>
    <t>MU4414</t>
  </si>
  <si>
    <t>MU4416</t>
  </si>
  <si>
    <t>MU4417</t>
  </si>
  <si>
    <t>MU4418</t>
  </si>
  <si>
    <t>MU4422</t>
  </si>
  <si>
    <t>MU4424</t>
  </si>
  <si>
    <t>MU4427</t>
  </si>
  <si>
    <t>MU4429</t>
  </si>
  <si>
    <t>MU4432</t>
  </si>
  <si>
    <t>MU4433</t>
  </si>
  <si>
    <t>MU4436</t>
  </si>
  <si>
    <t>MU4439</t>
  </si>
  <si>
    <t>MU4445</t>
  </si>
  <si>
    <t>MU4447</t>
  </si>
  <si>
    <t>MU4448</t>
  </si>
  <si>
    <t>MU4451</t>
  </si>
  <si>
    <t>MU4446</t>
  </si>
  <si>
    <t>MU1849</t>
  </si>
  <si>
    <t>MU4430</t>
  </si>
  <si>
    <t>MU4435</t>
  </si>
  <si>
    <t>1B2724</t>
  </si>
  <si>
    <t>1B2727</t>
  </si>
  <si>
    <t>1B2728</t>
  </si>
  <si>
    <t>1C3443</t>
  </si>
  <si>
    <t>1C3444</t>
  </si>
  <si>
    <t>1C3445</t>
  </si>
  <si>
    <t>1C3446</t>
  </si>
  <si>
    <t>1C3447</t>
  </si>
  <si>
    <t>1G3480</t>
  </si>
  <si>
    <t>1I3519</t>
  </si>
  <si>
    <t>1I3520</t>
  </si>
  <si>
    <t>1M3550</t>
  </si>
  <si>
    <t>1M3551</t>
  </si>
  <si>
    <t>1N3554</t>
  </si>
  <si>
    <t>1R3577</t>
  </si>
  <si>
    <t>1V3640</t>
  </si>
  <si>
    <t>1W3641</t>
  </si>
  <si>
    <t>1Z3701</t>
  </si>
  <si>
    <t>1Z3702</t>
  </si>
  <si>
    <t>2I3758</t>
  </si>
  <si>
    <t>2R3409</t>
  </si>
  <si>
    <t>AH1979</t>
  </si>
  <si>
    <t>BP1545</t>
  </si>
  <si>
    <t>BP1546</t>
  </si>
  <si>
    <t>BP1547</t>
  </si>
  <si>
    <t>CN1919</t>
  </si>
  <si>
    <t>CN5756</t>
  </si>
  <si>
    <t>DK1610</t>
  </si>
  <si>
    <t>EM1526</t>
  </si>
  <si>
    <t>EM1527</t>
  </si>
  <si>
    <t>EM1528</t>
  </si>
  <si>
    <t>EM1529</t>
  </si>
  <si>
    <t>EM1530</t>
  </si>
  <si>
    <t>EM4363</t>
  </si>
  <si>
    <t>EM4364</t>
  </si>
  <si>
    <t>ES1538</t>
  </si>
  <si>
    <t>FA1552</t>
  </si>
  <si>
    <t>GJ1537</t>
  </si>
  <si>
    <t>GJ1554</t>
  </si>
  <si>
    <t>GJ1832</t>
  </si>
  <si>
    <t>GJ4120</t>
  </si>
  <si>
    <t>GJ4129</t>
  </si>
  <si>
    <t>GJ4155</t>
  </si>
  <si>
    <t>GJ4159</t>
  </si>
  <si>
    <t>GJ4161</t>
  </si>
  <si>
    <t>GJ4166</t>
  </si>
  <si>
    <t>GJ4198</t>
  </si>
  <si>
    <t>GJ4199</t>
  </si>
  <si>
    <t>GJ4202</t>
  </si>
  <si>
    <t>GJ4210</t>
  </si>
  <si>
    <t>GJ4213</t>
  </si>
  <si>
    <t>GJ4216</t>
  </si>
  <si>
    <t>GJ4233</t>
  </si>
  <si>
    <t>GJ4234</t>
  </si>
  <si>
    <t>GJ4236</t>
  </si>
  <si>
    <t>GU4168</t>
  </si>
  <si>
    <t>GU4169</t>
  </si>
  <si>
    <t>GU4170</t>
  </si>
  <si>
    <t>GU4241</t>
  </si>
  <si>
    <t>GU4246</t>
  </si>
  <si>
    <t>GU4247</t>
  </si>
  <si>
    <t>HF1466</t>
  </si>
  <si>
    <t>IK1566</t>
  </si>
  <si>
    <t>IK1569</t>
  </si>
  <si>
    <t>IK1570</t>
  </si>
  <si>
    <t>IK4147</t>
  </si>
  <si>
    <t>JJ1558</t>
  </si>
  <si>
    <t>JJ1559</t>
  </si>
  <si>
    <t>JL1608</t>
  </si>
  <si>
    <t>JL1609</t>
  </si>
  <si>
    <t>KD1541</t>
  </si>
  <si>
    <t>KD1612</t>
  </si>
  <si>
    <t>KS1112</t>
  </si>
  <si>
    <t>KS1113</t>
  </si>
  <si>
    <t>KS1216</t>
  </si>
  <si>
    <t>KS1217</t>
  </si>
  <si>
    <t>KS1218</t>
  </si>
  <si>
    <t>KS1219</t>
  </si>
  <si>
    <t>KS1220</t>
  </si>
  <si>
    <t>KS1221</t>
  </si>
  <si>
    <t>KS1418</t>
  </si>
  <si>
    <t>KS1419</t>
  </si>
  <si>
    <t>KS1420</t>
  </si>
  <si>
    <t>KS1421</t>
  </si>
  <si>
    <t>KS1422</t>
  </si>
  <si>
    <t>KS1423</t>
  </si>
  <si>
    <t>KS1424</t>
  </si>
  <si>
    <t>KS1604</t>
  </si>
  <si>
    <t>KS1840</t>
  </si>
  <si>
    <t>KS1841</t>
  </si>
  <si>
    <t>KS1842</t>
  </si>
  <si>
    <t>KS1843</t>
  </si>
  <si>
    <t>KS1844</t>
  </si>
  <si>
    <t>LH0005</t>
  </si>
  <si>
    <t>LH0006</t>
  </si>
  <si>
    <t>LH0007</t>
  </si>
  <si>
    <t>LH0010</t>
  </si>
  <si>
    <t>LH0012</t>
  </si>
  <si>
    <t>LH0014</t>
  </si>
  <si>
    <t>LH0046</t>
  </si>
  <si>
    <t>LH0047</t>
  </si>
  <si>
    <t>LH0048</t>
  </si>
  <si>
    <t>LH0049</t>
  </si>
  <si>
    <t>LH0050</t>
  </si>
  <si>
    <t>LH0056</t>
  </si>
  <si>
    <t>LH0060</t>
  </si>
  <si>
    <t>LH0061</t>
  </si>
  <si>
    <t>LH0068</t>
  </si>
  <si>
    <t>LH0069</t>
  </si>
  <si>
    <t>LH0087</t>
  </si>
  <si>
    <t>LH0091</t>
  </si>
  <si>
    <t>LH0093</t>
  </si>
  <si>
    <t>LH0149</t>
  </si>
  <si>
    <t>LH0163</t>
  </si>
  <si>
    <t>LH0164</t>
  </si>
  <si>
    <t>LH0259</t>
  </si>
  <si>
    <t>LH1000</t>
  </si>
  <si>
    <t>LH1001</t>
  </si>
  <si>
    <t>LH1005</t>
  </si>
  <si>
    <t>LH1007</t>
  </si>
  <si>
    <t>LH1009</t>
  </si>
  <si>
    <t>LH1010</t>
  </si>
  <si>
    <t>LH1011</t>
  </si>
  <si>
    <t>LH1012</t>
  </si>
  <si>
    <t>LH1013</t>
  </si>
  <si>
    <t>LH1014</t>
  </si>
  <si>
    <t>LH1016</t>
  </si>
  <si>
    <t>LH1017</t>
  </si>
  <si>
    <t>LH1018</t>
  </si>
  <si>
    <t>LH1019</t>
  </si>
  <si>
    <t>LH1020</t>
  </si>
  <si>
    <t>LH1021</t>
  </si>
  <si>
    <t>LH1022</t>
  </si>
  <si>
    <t>LH1023</t>
  </si>
  <si>
    <t>LH1024</t>
  </si>
  <si>
    <t>LH1026</t>
  </si>
  <si>
    <t>LH1027</t>
  </si>
  <si>
    <t>LH1028</t>
  </si>
  <si>
    <t>LH1029</t>
  </si>
  <si>
    <t>LH1030</t>
  </si>
  <si>
    <t>LH1031</t>
  </si>
  <si>
    <t>LH1032</t>
  </si>
  <si>
    <t>LH1034</t>
  </si>
  <si>
    <t>LH1035</t>
  </si>
  <si>
    <t>LH1037</t>
  </si>
  <si>
    <t>LH1039</t>
  </si>
  <si>
    <t>LH1041</t>
  </si>
  <si>
    <t>LH1042</t>
  </si>
  <si>
    <t>LH1043</t>
  </si>
  <si>
    <t>LH1044</t>
  </si>
  <si>
    <t>LH1045</t>
  </si>
  <si>
    <t>LH1046</t>
  </si>
  <si>
    <t>LH1047</t>
  </si>
  <si>
    <t>LH1048</t>
  </si>
  <si>
    <t>LH1049</t>
  </si>
  <si>
    <t>LH1051</t>
  </si>
  <si>
    <t>LH1053</t>
  </si>
  <si>
    <t>LH1055</t>
  </si>
  <si>
    <t>LH1056</t>
  </si>
  <si>
    <t>LH1057</t>
  </si>
  <si>
    <t>LH1058</t>
  </si>
  <si>
    <t>LH1060</t>
  </si>
  <si>
    <t>LH1061</t>
  </si>
  <si>
    <t>LH1063</t>
  </si>
  <si>
    <t>LH1064</t>
  </si>
  <si>
    <t>LH1065</t>
  </si>
  <si>
    <t>LH1066</t>
  </si>
  <si>
    <t>LH1070</t>
  </si>
  <si>
    <t>LH1071</t>
  </si>
  <si>
    <t>LH1072</t>
  </si>
  <si>
    <t>LH1073</t>
  </si>
  <si>
    <t>LH1074</t>
  </si>
  <si>
    <t>LH1075</t>
  </si>
  <si>
    <t>LH1076</t>
  </si>
  <si>
    <t>LH1077</t>
  </si>
  <si>
    <t>LH1078</t>
  </si>
  <si>
    <t>LH1079</t>
  </si>
  <si>
    <t>LH1080</t>
  </si>
  <si>
    <t>LH1081</t>
  </si>
  <si>
    <t>LH1082</t>
  </si>
  <si>
    <t>LH1083</t>
  </si>
  <si>
    <t>LH1084</t>
  </si>
  <si>
    <t>LH1085</t>
  </si>
  <si>
    <t>LH1086</t>
  </si>
  <si>
    <t>LH1087</t>
  </si>
  <si>
    <t>LH1088</t>
  </si>
  <si>
    <t>LH1091</t>
  </si>
  <si>
    <t>LH1093</t>
  </si>
  <si>
    <t>LH1094</t>
  </si>
  <si>
    <t>LH1095</t>
  </si>
  <si>
    <t>LH1096</t>
  </si>
  <si>
    <t>LH1097</t>
  </si>
  <si>
    <t>LH1098</t>
  </si>
  <si>
    <t>LH1099</t>
  </si>
  <si>
    <t>LH1100</t>
  </si>
  <si>
    <t>LH1101</t>
  </si>
  <si>
    <t>LH1102</t>
  </si>
  <si>
    <t>LH1103</t>
  </si>
  <si>
    <t>LH1104</t>
  </si>
  <si>
    <t>LH1105</t>
  </si>
  <si>
    <t>LH1106</t>
  </si>
  <si>
    <t>LH1108</t>
  </si>
  <si>
    <t>LH1109</t>
  </si>
  <si>
    <t>LH1115</t>
  </si>
  <si>
    <t>LH1116</t>
  </si>
  <si>
    <t>LH1118</t>
  </si>
  <si>
    <t>LH1119</t>
  </si>
  <si>
    <t>LH1120</t>
  </si>
  <si>
    <t>LH1121</t>
  </si>
  <si>
    <t>LH1122</t>
  </si>
  <si>
    <t>LH1123</t>
  </si>
  <si>
    <t>LH1125</t>
  </si>
  <si>
    <t>LH1126</t>
  </si>
  <si>
    <t>LH1127</t>
  </si>
  <si>
    <t>LH1128</t>
  </si>
  <si>
    <t>LH1129</t>
  </si>
  <si>
    <t>LH1130</t>
  </si>
  <si>
    <t>LH1131</t>
  </si>
  <si>
    <t>LH1132</t>
  </si>
  <si>
    <t>LH1133</t>
  </si>
  <si>
    <t>LH1134</t>
  </si>
  <si>
    <t>LH1135</t>
  </si>
  <si>
    <t>LH1136</t>
  </si>
  <si>
    <t>LH1137</t>
  </si>
  <si>
    <t>LH1139</t>
  </si>
  <si>
    <t>LH1142</t>
  </si>
  <si>
    <t>LH1143</t>
  </si>
  <si>
    <t>LH1144</t>
  </si>
  <si>
    <t>LH1146</t>
  </si>
  <si>
    <t>LH1147</t>
  </si>
  <si>
    <t>LH1148</t>
  </si>
  <si>
    <t>LH1149</t>
  </si>
  <si>
    <t>LH1150</t>
  </si>
  <si>
    <t>LH1151</t>
  </si>
  <si>
    <t>LH1152</t>
  </si>
  <si>
    <t>LH1153</t>
  </si>
  <si>
    <t>LH1154</t>
  </si>
  <si>
    <t>LH1155</t>
  </si>
  <si>
    <t>LH1156</t>
  </si>
  <si>
    <t>LH1157</t>
  </si>
  <si>
    <t>LH1158</t>
  </si>
  <si>
    <t>LH1159</t>
  </si>
  <si>
    <t>LH1160</t>
  </si>
  <si>
    <t>LH1164</t>
  </si>
  <si>
    <t>LH1165</t>
  </si>
  <si>
    <t>LH1166</t>
  </si>
  <si>
    <t>LH1167</t>
  </si>
  <si>
    <t>LH1168</t>
  </si>
  <si>
    <t>LH1169</t>
  </si>
  <si>
    <t>LH1170</t>
  </si>
  <si>
    <t>LH1171</t>
  </si>
  <si>
    <t>LH1172</t>
  </si>
  <si>
    <t>LH1174</t>
  </si>
  <si>
    <t>LH1175</t>
  </si>
  <si>
    <t>LH1176</t>
  </si>
  <si>
    <t>LH1177</t>
  </si>
  <si>
    <t>LH1178</t>
  </si>
  <si>
    <t>LH1179</t>
  </si>
  <si>
    <t>LH1180</t>
  </si>
  <si>
    <t>LH1181</t>
  </si>
  <si>
    <t>LH1183</t>
  </si>
  <si>
    <t>LH1184</t>
  </si>
  <si>
    <t>LH1185</t>
  </si>
  <si>
    <t>LH1186</t>
  </si>
  <si>
    <t>LH1188</t>
  </si>
  <si>
    <t>LH1189</t>
  </si>
  <si>
    <t>LH1190</t>
  </si>
  <si>
    <t>LH1191</t>
  </si>
  <si>
    <t>LH1194</t>
  </si>
  <si>
    <t>LH1195</t>
  </si>
  <si>
    <t>LH1196</t>
  </si>
  <si>
    <t>LH1197</t>
  </si>
  <si>
    <t>LH1198</t>
  </si>
  <si>
    <t>LH1199</t>
  </si>
  <si>
    <t>LH1200</t>
  </si>
  <si>
    <t>LH1201</t>
  </si>
  <si>
    <t>LH1202</t>
  </si>
  <si>
    <t>LH1203</t>
  </si>
  <si>
    <t>LH1204</t>
  </si>
  <si>
    <t>LH1211</t>
  </si>
  <si>
    <t>LH1212</t>
  </si>
  <si>
    <t>LH1213</t>
  </si>
  <si>
    <t>LH1214</t>
  </si>
  <si>
    <t>LH1215</t>
  </si>
  <si>
    <t>LH1222</t>
  </si>
  <si>
    <t>LH1224</t>
  </si>
  <si>
    <t>LH1225</t>
  </si>
  <si>
    <t>LH1227</t>
  </si>
  <si>
    <t>LH1231</t>
  </si>
  <si>
    <t>LH1233</t>
  </si>
  <si>
    <t>LH1234</t>
  </si>
  <si>
    <t>LH1235</t>
  </si>
  <si>
    <t>LH1236</t>
  </si>
  <si>
    <t>LH1237</t>
  </si>
  <si>
    <t>LH1238</t>
  </si>
  <si>
    <t>LH1239</t>
  </si>
  <si>
    <t>LH1240</t>
  </si>
  <si>
    <t>LH1245</t>
  </si>
  <si>
    <t>LH1247</t>
  </si>
  <si>
    <t>LH1248</t>
  </si>
  <si>
    <t>LH1250</t>
  </si>
  <si>
    <t>LH1251</t>
  </si>
  <si>
    <t>LH1252</t>
  </si>
  <si>
    <t>LH1253</t>
  </si>
  <si>
    <t>LH1254</t>
  </si>
  <si>
    <t>LH1255</t>
  </si>
  <si>
    <t>LH1257</t>
  </si>
  <si>
    <t>LH1261</t>
  </si>
  <si>
    <t>LH1262</t>
  </si>
  <si>
    <t>LH1263</t>
  </si>
  <si>
    <t>LH1264</t>
  </si>
  <si>
    <t>LH1265</t>
  </si>
  <si>
    <t>LH1266</t>
  </si>
  <si>
    <t>LH1267</t>
  </si>
  <si>
    <t>LH1269</t>
  </si>
  <si>
    <t>LH1271</t>
  </si>
  <si>
    <t>LH1272</t>
  </si>
  <si>
    <t>LH1273</t>
  </si>
  <si>
    <t>LH1275</t>
  </si>
  <si>
    <t>LH1288</t>
  </si>
  <si>
    <t>LH1290</t>
  </si>
  <si>
    <t>LH1292</t>
  </si>
  <si>
    <t>LH1294</t>
  </si>
  <si>
    <t>LH1297</t>
  </si>
  <si>
    <t>LH1299</t>
  </si>
  <si>
    <t>LH1300</t>
  </si>
  <si>
    <t>LH1301</t>
  </si>
  <si>
    <t>LH1309</t>
  </si>
  <si>
    <t>LH1314</t>
  </si>
  <si>
    <t>LH1315</t>
  </si>
  <si>
    <t>LH1316</t>
  </si>
  <si>
    <t>LH1317</t>
  </si>
  <si>
    <t>LH1318</t>
  </si>
  <si>
    <t>LH1319</t>
  </si>
  <si>
    <t>LH1320</t>
  </si>
  <si>
    <t>LH1321</t>
  </si>
  <si>
    <t>LH1322</t>
  </si>
  <si>
    <t>LH1324</t>
  </si>
  <si>
    <t>LH1325</t>
  </si>
  <si>
    <t>LH1326</t>
  </si>
  <si>
    <t>LH1327</t>
  </si>
  <si>
    <t>LH1331</t>
  </si>
  <si>
    <t>LH1332</t>
  </si>
  <si>
    <t>LH1333</t>
  </si>
  <si>
    <t>LH1336</t>
  </si>
  <si>
    <t>LH1337</t>
  </si>
  <si>
    <t>LH1338</t>
  </si>
  <si>
    <t>LH1339</t>
  </si>
  <si>
    <t>LH1340</t>
  </si>
  <si>
    <t>LH1341</t>
  </si>
  <si>
    <t>LH1343</t>
  </si>
  <si>
    <t>LH1345</t>
  </si>
  <si>
    <t>LH1346</t>
  </si>
  <si>
    <t>LH1351</t>
  </si>
  <si>
    <t>LH1353</t>
  </si>
  <si>
    <t>LH1354</t>
  </si>
  <si>
    <t>LH1356</t>
  </si>
  <si>
    <t>LH1357</t>
  </si>
  <si>
    <t>LH1358</t>
  </si>
  <si>
    <t>LH1360</t>
  </si>
  <si>
    <t>LH1361</t>
  </si>
  <si>
    <t>LH1362</t>
  </si>
  <si>
    <t>LH1363</t>
  </si>
  <si>
    <t>LH1364</t>
  </si>
  <si>
    <t>LH1366</t>
  </si>
  <si>
    <t>LH1368</t>
  </si>
  <si>
    <t>LH1369</t>
  </si>
  <si>
    <t>LH1370</t>
  </si>
  <si>
    <t>LH1371</t>
  </si>
  <si>
    <t>LH1372</t>
  </si>
  <si>
    <t>LH1374</t>
  </si>
  <si>
    <t>LH1376</t>
  </si>
  <si>
    <t>LH1377</t>
  </si>
  <si>
    <t>LH1378</t>
  </si>
  <si>
    <t>LH1380</t>
  </si>
  <si>
    <t>LH1381</t>
  </si>
  <si>
    <t>LH1382</t>
  </si>
  <si>
    <t>LH1383</t>
  </si>
  <si>
    <t>LH1384</t>
  </si>
  <si>
    <t>LH1385</t>
  </si>
  <si>
    <t>LH1386</t>
  </si>
  <si>
    <t>LH1387</t>
  </si>
  <si>
    <t>LH1388</t>
  </si>
  <si>
    <t>LH1390</t>
  </si>
  <si>
    <t>LH1391</t>
  </si>
  <si>
    <t>LH1394</t>
  </si>
  <si>
    <t>LH1395</t>
  </si>
  <si>
    <t>LH1396</t>
  </si>
  <si>
    <t>LH1397</t>
  </si>
  <si>
    <t>LH1398</t>
  </si>
  <si>
    <t>LH1399</t>
  </si>
  <si>
    <t>LH1400</t>
  </si>
  <si>
    <t>LH1401</t>
  </si>
  <si>
    <t>LH1402</t>
  </si>
  <si>
    <t>LH1403</t>
  </si>
  <si>
    <t>LH1404</t>
  </si>
  <si>
    <t>LH1405</t>
  </si>
  <si>
    <t>LH1411</t>
  </si>
  <si>
    <t>LH1412</t>
  </si>
  <si>
    <t>LH1413</t>
  </si>
  <si>
    <t>LH1414</t>
  </si>
  <si>
    <t>LH1415</t>
  </si>
  <si>
    <t>LH1416</t>
  </si>
  <si>
    <t>LH1417</t>
  </si>
  <si>
    <t>LH1563</t>
  </si>
  <si>
    <t>LH1599</t>
  </si>
  <si>
    <t>LH1602</t>
  </si>
  <si>
    <t>LH1603</t>
  </si>
  <si>
    <t>LH1616</t>
  </si>
  <si>
    <t>LH1617</t>
  </si>
  <si>
    <t>LH1627</t>
  </si>
  <si>
    <t>LH1638</t>
  </si>
  <si>
    <t>LH1639</t>
  </si>
  <si>
    <t>LH1643</t>
  </si>
  <si>
    <t>LH1644</t>
  </si>
  <si>
    <t>LH1647</t>
  </si>
  <si>
    <t>LH1648</t>
  </si>
  <si>
    <t>LH1652</t>
  </si>
  <si>
    <t>LH1654</t>
  </si>
  <si>
    <t>LH1655</t>
  </si>
  <si>
    <t>LH1656</t>
  </si>
  <si>
    <t>LH1658</t>
  </si>
  <si>
    <t>LH1659</t>
  </si>
  <si>
    <t>LH1661</t>
  </si>
  <si>
    <t>LH1662</t>
  </si>
  <si>
    <t>LH1666</t>
  </si>
  <si>
    <t>LH1669</t>
  </si>
  <si>
    <t>LH1673</t>
  </si>
  <si>
    <t>LH1675</t>
  </si>
  <si>
    <t>LH1676</t>
  </si>
  <si>
    <t>LH1678</t>
  </si>
  <si>
    <t>LH1679</t>
  </si>
  <si>
    <t>LH1683</t>
  </si>
  <si>
    <t>LH1688</t>
  </si>
  <si>
    <t>LH1689</t>
  </si>
  <si>
    <t>LH1690</t>
  </si>
  <si>
    <t>LH1691</t>
  </si>
  <si>
    <t>LH1692</t>
  </si>
  <si>
    <t>LH1694</t>
  </si>
  <si>
    <t>LH1695</t>
  </si>
  <si>
    <t>LH1696</t>
  </si>
  <si>
    <t>LH1699</t>
  </si>
  <si>
    <t>LH1700</t>
  </si>
  <si>
    <t>LH1701</t>
  </si>
  <si>
    <t>LH1702</t>
  </si>
  <si>
    <t>LH1703</t>
  </si>
  <si>
    <t>LH1704</t>
  </si>
  <si>
    <t>LH1705</t>
  </si>
  <si>
    <t>LH1706</t>
  </si>
  <si>
    <t>LH1708</t>
  </si>
  <si>
    <t>LH1711</t>
  </si>
  <si>
    <t>LH1712</t>
  </si>
  <si>
    <t>LH1721</t>
  </si>
  <si>
    <t>LH1722</t>
  </si>
  <si>
    <t>LH1723</t>
  </si>
  <si>
    <t>LH1724</t>
  </si>
  <si>
    <t>LH1730</t>
  </si>
  <si>
    <t>LH1732</t>
  </si>
  <si>
    <t>LH1733</t>
  </si>
  <si>
    <t>LH1735</t>
  </si>
  <si>
    <t>LH1738</t>
  </si>
  <si>
    <t>LH1739</t>
  </si>
  <si>
    <t>LH1742</t>
  </si>
  <si>
    <t>LH1749</t>
  </si>
  <si>
    <t>LH1752</t>
  </si>
  <si>
    <t>LH1753</t>
  </si>
  <si>
    <t>LH1754</t>
  </si>
  <si>
    <t>LH1755</t>
  </si>
  <si>
    <t>LH1767</t>
  </si>
  <si>
    <t>LH1770</t>
  </si>
  <si>
    <t>LH1775</t>
  </si>
  <si>
    <t>LH1776</t>
  </si>
  <si>
    <t>LH1777</t>
  </si>
  <si>
    <t>LH1778</t>
  </si>
  <si>
    <t>LH1779</t>
  </si>
  <si>
    <t>LH1780</t>
  </si>
  <si>
    <t>LH1781</t>
  </si>
  <si>
    <t>LH1782</t>
  </si>
  <si>
    <t>LH1783</t>
  </si>
  <si>
    <t>LH1784</t>
  </si>
  <si>
    <t>LH1785</t>
  </si>
  <si>
    <t>LH1786</t>
  </si>
  <si>
    <t>LH1976</t>
  </si>
  <si>
    <t>LH1977</t>
  </si>
  <si>
    <t>LH3781</t>
  </si>
  <si>
    <t>LH3786</t>
  </si>
  <si>
    <t>LH3792</t>
  </si>
  <si>
    <t>LH3795</t>
  </si>
  <si>
    <t>LH3814</t>
  </si>
  <si>
    <t>LM3308</t>
  </si>
  <si>
    <t>LM3309</t>
  </si>
  <si>
    <t>LM3311</t>
  </si>
  <si>
    <t>LM4189</t>
  </si>
  <si>
    <t>LM4190</t>
  </si>
  <si>
    <t>MB2835</t>
  </si>
  <si>
    <t>MB3283</t>
  </si>
  <si>
    <t>MB3286</t>
  </si>
  <si>
    <t>MF1426</t>
  </si>
  <si>
    <t>MF1521</t>
  </si>
  <si>
    <t>MF1522</t>
  </si>
  <si>
    <t>NR1589</t>
  </si>
  <si>
    <t>NR1590</t>
  </si>
  <si>
    <t>NR1972</t>
  </si>
  <si>
    <t>NR4137</t>
  </si>
  <si>
    <t>NR4138</t>
  </si>
  <si>
    <t>NR5560</t>
  </si>
  <si>
    <t>NR5774</t>
  </si>
  <si>
    <t>NR5775</t>
  </si>
  <si>
    <t>PH1531</t>
  </si>
  <si>
    <t>PH1532</t>
  </si>
  <si>
    <t>PH1591</t>
  </si>
  <si>
    <t>PR1486</t>
  </si>
  <si>
    <t>PR1954</t>
  </si>
  <si>
    <t>PR4148</t>
  </si>
  <si>
    <t>PR5563</t>
  </si>
  <si>
    <t>PT1573</t>
  </si>
  <si>
    <t>PT1574</t>
  </si>
  <si>
    <t>PT1943</t>
  </si>
  <si>
    <t>QD1535</t>
  </si>
  <si>
    <t>QH1593</t>
  </si>
  <si>
    <t>QH4295</t>
  </si>
  <si>
    <t>RH1425</t>
  </si>
  <si>
    <t>RH1578</t>
  </si>
  <si>
    <t>SH1110</t>
  </si>
  <si>
    <t>SH1111</t>
  </si>
  <si>
    <t>SH1208</t>
  </si>
  <si>
    <t>SH1209</t>
  </si>
  <si>
    <t>SH1430</t>
  </si>
  <si>
    <t>SH1432</t>
  </si>
  <si>
    <t>SH1433</t>
  </si>
  <si>
    <t>SH1434</t>
  </si>
  <si>
    <t>SH1436</t>
  </si>
  <si>
    <t>SH1437</t>
  </si>
  <si>
    <t>SH1438</t>
  </si>
  <si>
    <t>SH1452</t>
  </si>
  <si>
    <t>SH1877</t>
  </si>
  <si>
    <t>SH1878</t>
  </si>
  <si>
    <t>SH1879</t>
  </si>
  <si>
    <t>SH1880</t>
  </si>
  <si>
    <t>SH1881</t>
  </si>
  <si>
    <t>SH1882</t>
  </si>
  <si>
    <t>SH1883</t>
  </si>
  <si>
    <t>SK1581</t>
  </si>
  <si>
    <t>SK1582</t>
  </si>
  <si>
    <t>SK1583</t>
  </si>
  <si>
    <t>SK1584</t>
  </si>
  <si>
    <t>SK1887</t>
  </si>
  <si>
    <t>SK1889</t>
  </si>
  <si>
    <t>SK1890</t>
  </si>
  <si>
    <t>SK1984</t>
  </si>
  <si>
    <t>SK1991</t>
  </si>
  <si>
    <t>SK4187</t>
  </si>
  <si>
    <t>SK4188</t>
  </si>
  <si>
    <t>SK4209</t>
  </si>
  <si>
    <t>SK4263</t>
  </si>
  <si>
    <t>SK4265</t>
  </si>
  <si>
    <t>SK4273</t>
  </si>
  <si>
    <t>SK4274</t>
  </si>
  <si>
    <t>SK4275</t>
  </si>
  <si>
    <t>SK4278</t>
  </si>
  <si>
    <t>SK4281</t>
  </si>
  <si>
    <t>SK4286</t>
  </si>
  <si>
    <t>SK4288</t>
  </si>
  <si>
    <t>SK4289</t>
  </si>
  <si>
    <t>SK4290</t>
  </si>
  <si>
    <t>VT4299</t>
  </si>
  <si>
    <t>WA1512</t>
  </si>
  <si>
    <t>WA1579</t>
  </si>
  <si>
    <t>P1</t>
  </si>
  <si>
    <t>P2</t>
  </si>
  <si>
    <t>PS4968</t>
  </si>
  <si>
    <t>IB3127</t>
  </si>
  <si>
    <t>PS4916</t>
  </si>
  <si>
    <t>PS2741</t>
  </si>
  <si>
    <t>IB0103</t>
  </si>
  <si>
    <t>IB3200</t>
  </si>
  <si>
    <t>IB0242</t>
  </si>
  <si>
    <t>IB3029</t>
  </si>
  <si>
    <t>IB0236</t>
  </si>
  <si>
    <t>IB0102</t>
  </si>
  <si>
    <t>IB0108</t>
  </si>
  <si>
    <t>IB3241</t>
  </si>
  <si>
    <t>IB0017</t>
  </si>
  <si>
    <t>IB0106</t>
  </si>
  <si>
    <t>IB0109</t>
  </si>
  <si>
    <t>IB0110</t>
  </si>
  <si>
    <t>IB0111</t>
  </si>
  <si>
    <t>IB0112</t>
  </si>
  <si>
    <t>IB0114</t>
  </si>
  <si>
    <t>IB0233</t>
  </si>
  <si>
    <t>IB0234</t>
  </si>
  <si>
    <t>IB0235</t>
  </si>
  <si>
    <t>IB0239</t>
  </si>
  <si>
    <t>IB0240</t>
  </si>
  <si>
    <t>IB0241</t>
  </si>
  <si>
    <t>IB0245</t>
  </si>
  <si>
    <t>IB0251</t>
  </si>
  <si>
    <t>IB2932</t>
  </si>
  <si>
    <t>IB2938</t>
  </si>
  <si>
    <t>IB2939</t>
  </si>
  <si>
    <t>IB2940</t>
  </si>
  <si>
    <t>IB2941</t>
  </si>
  <si>
    <t>IB2942</t>
  </si>
  <si>
    <t>IB2943</t>
  </si>
  <si>
    <t>IB2944</t>
  </si>
  <si>
    <t>IB2946</t>
  </si>
  <si>
    <t>IB2947</t>
  </si>
  <si>
    <t>IB2949</t>
  </si>
  <si>
    <t>IB2950</t>
  </si>
  <si>
    <t>IB2951</t>
  </si>
  <si>
    <t>IB2954</t>
  </si>
  <si>
    <t>IB2958</t>
  </si>
  <si>
    <t>IB2963</t>
  </si>
  <si>
    <t>IB2964</t>
  </si>
  <si>
    <t>IB2968</t>
  </si>
  <si>
    <t>IB2971</t>
  </si>
  <si>
    <t>IB2972</t>
  </si>
  <si>
    <t>IB2975</t>
  </si>
  <si>
    <t>IB2978</t>
  </si>
  <si>
    <t>IB2979</t>
  </si>
  <si>
    <t>IB2980</t>
  </si>
  <si>
    <t>IB2982</t>
  </si>
  <si>
    <t>IB2983</t>
  </si>
  <si>
    <t>IB2986</t>
  </si>
  <si>
    <t>IB2987</t>
  </si>
  <si>
    <t>IB2989</t>
  </si>
  <si>
    <t>IB2991</t>
  </si>
  <si>
    <t>IB2996</t>
  </si>
  <si>
    <t>IB2997</t>
  </si>
  <si>
    <t>IB3012</t>
  </si>
  <si>
    <t>IB3024</t>
  </si>
  <si>
    <t>IB3025</t>
  </si>
  <si>
    <t>IB3028</t>
  </si>
  <si>
    <t>IB3031</t>
  </si>
  <si>
    <t>IB3032</t>
  </si>
  <si>
    <t>IB3033</t>
  </si>
  <si>
    <t>IB3034</t>
  </si>
  <si>
    <t>IB3035</t>
  </si>
  <si>
    <t>IB3036</t>
  </si>
  <si>
    <t>IB3037</t>
  </si>
  <si>
    <t>IB3038</t>
  </si>
  <si>
    <t>IB3039</t>
  </si>
  <si>
    <t>IB3040</t>
  </si>
  <si>
    <t>IB3042</t>
  </si>
  <si>
    <t>IB3043</t>
  </si>
  <si>
    <t>IB3044</t>
  </si>
  <si>
    <t>IB3045</t>
  </si>
  <si>
    <t>IB3046</t>
  </si>
  <si>
    <t>IB3047</t>
  </si>
  <si>
    <t>IB3048</t>
  </si>
  <si>
    <t>IB3049</t>
  </si>
  <si>
    <t>IB3050</t>
  </si>
  <si>
    <t>IB3051</t>
  </si>
  <si>
    <t>IB3052</t>
  </si>
  <si>
    <t>IB3053</t>
  </si>
  <si>
    <t>IB3054</t>
  </si>
  <si>
    <t>IB3055</t>
  </si>
  <si>
    <t>IB3056</t>
  </si>
  <si>
    <t>IB3057</t>
  </si>
  <si>
    <t>IB3058</t>
  </si>
  <si>
    <t>IB3059</t>
  </si>
  <si>
    <t>IB3060</t>
  </si>
  <si>
    <t>IB3061</t>
  </si>
  <si>
    <t>IB3062</t>
  </si>
  <si>
    <t>IB3063</t>
  </si>
  <si>
    <t>IB3067</t>
  </si>
  <si>
    <t>IB3068</t>
  </si>
  <si>
    <t>IB3069</t>
  </si>
  <si>
    <t>IB3092</t>
  </si>
  <si>
    <t>IB3104</t>
  </si>
  <si>
    <t>IB3106</t>
  </si>
  <si>
    <t>IB3111</t>
  </si>
  <si>
    <t>IB3112</t>
  </si>
  <si>
    <t>IB3113</t>
  </si>
  <si>
    <t>IB3114</t>
  </si>
  <si>
    <t>IB3115</t>
  </si>
  <si>
    <t>IB3122</t>
  </si>
  <si>
    <t>IB3123</t>
  </si>
  <si>
    <t>IB3124</t>
  </si>
  <si>
    <t>IB3125</t>
  </si>
  <si>
    <t>IB3126</t>
  </si>
  <si>
    <t>IB3129</t>
  </si>
  <si>
    <t>IB3130</t>
  </si>
  <si>
    <t>IB3132</t>
  </si>
  <si>
    <t>IB3141</t>
  </si>
  <si>
    <t>IB3144</t>
  </si>
  <si>
    <t>IB3146</t>
  </si>
  <si>
    <t>IB3151</t>
  </si>
  <si>
    <t>IB3153</t>
  </si>
  <si>
    <t>IB3156</t>
  </si>
  <si>
    <t>IB3161</t>
  </si>
  <si>
    <t>IB3162</t>
  </si>
  <si>
    <t>IB3164</t>
  </si>
  <si>
    <t>IB3165</t>
  </si>
  <si>
    <t>IB3166</t>
  </si>
  <si>
    <t>IB3167</t>
  </si>
  <si>
    <t>IB3168</t>
  </si>
  <si>
    <t>IB3169</t>
  </si>
  <si>
    <t>IB3170</t>
  </si>
  <si>
    <t>IB3171</t>
  </si>
  <si>
    <t>IB3172</t>
  </si>
  <si>
    <t>IB3173</t>
  </si>
  <si>
    <t>IB3174</t>
  </si>
  <si>
    <t>IB3183</t>
  </si>
  <si>
    <t>IB3184</t>
  </si>
  <si>
    <t>IB3190</t>
  </si>
  <si>
    <t>IB3192</t>
  </si>
  <si>
    <t>IB3194</t>
  </si>
  <si>
    <t>IB3201</t>
  </si>
  <si>
    <t>IB3210</t>
  </si>
  <si>
    <t>IB3211</t>
  </si>
  <si>
    <t>IB3212</t>
  </si>
  <si>
    <t>IB3213</t>
  </si>
  <si>
    <t>IB3214</t>
  </si>
  <si>
    <t>IB3215</t>
  </si>
  <si>
    <t>IB3216</t>
  </si>
  <si>
    <t>IB3217</t>
  </si>
  <si>
    <t>IB3218</t>
  </si>
  <si>
    <t>IB3221</t>
  </si>
  <si>
    <t>IB3223</t>
  </si>
  <si>
    <t>IB3224</t>
  </si>
  <si>
    <t>IB3225</t>
  </si>
  <si>
    <t>IB3226</t>
  </si>
  <si>
    <t>IB3227</t>
  </si>
  <si>
    <t>IB3228</t>
  </si>
  <si>
    <t>IB3229</t>
  </si>
  <si>
    <t>IB3230</t>
  </si>
  <si>
    <t>IB3231</t>
  </si>
  <si>
    <t>IB3232</t>
  </si>
  <si>
    <t>IB3234</t>
  </si>
  <si>
    <t>IB3236</t>
  </si>
  <si>
    <t>IB3237</t>
  </si>
  <si>
    <t>IB3238</t>
  </si>
  <si>
    <t>IB3239</t>
  </si>
  <si>
    <t>IB3240</t>
  </si>
  <si>
    <t>IB3242</t>
  </si>
  <si>
    <t>IB3243</t>
  </si>
  <si>
    <t>IB3244</t>
  </si>
  <si>
    <t>IB3245</t>
  </si>
  <si>
    <t>IB3246</t>
  </si>
  <si>
    <t>IB3247</t>
  </si>
  <si>
    <t>IB3248</t>
  </si>
  <si>
    <t>IB3249</t>
  </si>
  <si>
    <t>IB3251</t>
  </si>
  <si>
    <t>PS0173</t>
  </si>
  <si>
    <t>PS0178</t>
  </si>
  <si>
    <t>PS0179</t>
  </si>
  <si>
    <t>PS0228</t>
  </si>
  <si>
    <t>PS0229</t>
  </si>
  <si>
    <t>PS0231</t>
  </si>
  <si>
    <t>PS0249</t>
  </si>
  <si>
    <t>PS2739</t>
  </si>
  <si>
    <t>PS2740</t>
  </si>
  <si>
    <t>PS2742</t>
  </si>
  <si>
    <t>PS2743</t>
  </si>
  <si>
    <t>PS2744</t>
  </si>
  <si>
    <t>PS2746</t>
  </si>
  <si>
    <t>PS2747</t>
  </si>
  <si>
    <t>PS2748</t>
  </si>
  <si>
    <t>PS2749</t>
  </si>
  <si>
    <t>PS2751</t>
  </si>
  <si>
    <t>PS2752</t>
  </si>
  <si>
    <t>PS2753</t>
  </si>
  <si>
    <t>PS4324</t>
  </si>
  <si>
    <t>PS4901</t>
  </si>
  <si>
    <t>PS4902</t>
  </si>
  <si>
    <t>PS4903</t>
  </si>
  <si>
    <t>PS4904</t>
  </si>
  <si>
    <t>PS4905</t>
  </si>
  <si>
    <t>PS4906</t>
  </si>
  <si>
    <t>PS4907</t>
  </si>
  <si>
    <t>PS4908</t>
  </si>
  <si>
    <t>PS4909</t>
  </si>
  <si>
    <t>PS4910</t>
  </si>
  <si>
    <t>PS4911</t>
  </si>
  <si>
    <t>PS4912</t>
  </si>
  <si>
    <t>PS4913</t>
  </si>
  <si>
    <t>PS4914</t>
  </si>
  <si>
    <t>PS4915</t>
  </si>
  <si>
    <t>PS4917</t>
  </si>
  <si>
    <t>PS4918</t>
  </si>
  <si>
    <t>PS4919</t>
  </si>
  <si>
    <t>PS4920</t>
  </si>
  <si>
    <t>PS4921</t>
  </si>
  <si>
    <t>PS4922</t>
  </si>
  <si>
    <t>PS4923</t>
  </si>
  <si>
    <t>PS4924</t>
  </si>
  <si>
    <t>PS4925</t>
  </si>
  <si>
    <t>PS4926</t>
  </si>
  <si>
    <t>PS4927</t>
  </si>
  <si>
    <t>PS4933</t>
  </si>
  <si>
    <t>PS4934</t>
  </si>
  <si>
    <t>PS4935</t>
  </si>
  <si>
    <t>PS4936</t>
  </si>
  <si>
    <t>PS4937</t>
  </si>
  <si>
    <t>PS4938</t>
  </si>
  <si>
    <t>PS4939</t>
  </si>
  <si>
    <t>PS4940</t>
  </si>
  <si>
    <t>PS4941</t>
  </si>
  <si>
    <t>PS4942</t>
  </si>
  <si>
    <t>PS4943</t>
  </si>
  <si>
    <t>PS4944</t>
  </si>
  <si>
    <t>PS4946</t>
  </si>
  <si>
    <t>PS4947</t>
  </si>
  <si>
    <t>PS4948</t>
  </si>
  <si>
    <t>PS4949</t>
  </si>
  <si>
    <t>PS4950</t>
  </si>
  <si>
    <t>PS4951</t>
  </si>
  <si>
    <t>PS4952</t>
  </si>
  <si>
    <t>PS4953</t>
  </si>
  <si>
    <t>PS4954</t>
  </si>
  <si>
    <t>PS4955</t>
  </si>
  <si>
    <t>PS4957</t>
  </si>
  <si>
    <t>PS4959</t>
  </si>
  <si>
    <t>PS4960</t>
  </si>
  <si>
    <t>PS4961</t>
  </si>
  <si>
    <t>PS4962</t>
  </si>
  <si>
    <t>PS4964</t>
  </si>
  <si>
    <t>PS4965</t>
  </si>
  <si>
    <t>PS4966</t>
  </si>
  <si>
    <t>PS4967</t>
  </si>
  <si>
    <t>PS4969</t>
  </si>
  <si>
    <t>PS4970</t>
  </si>
  <si>
    <t>PS4971</t>
  </si>
  <si>
    <t>WW5479</t>
  </si>
  <si>
    <t>BU3417</t>
  </si>
  <si>
    <t>LH1342</t>
  </si>
  <si>
    <t>1T3590</t>
  </si>
  <si>
    <t>FB1805</t>
  </si>
  <si>
    <t>LH1335</t>
  </si>
  <si>
    <t>FB1818</t>
  </si>
  <si>
    <t>MU3789</t>
  </si>
  <si>
    <t>LH1664</t>
  </si>
  <si>
    <t>LH1687</t>
  </si>
  <si>
    <t>LH1665</t>
  </si>
  <si>
    <t>LH1229</t>
  </si>
  <si>
    <t>LH1645</t>
  </si>
  <si>
    <t>LH1640</t>
  </si>
  <si>
    <t>IB2998</t>
  </si>
  <si>
    <t>IB3163</t>
  </si>
  <si>
    <t>LH1719</t>
  </si>
  <si>
    <t>LH1628</t>
  </si>
  <si>
    <t>LH3824</t>
  </si>
  <si>
    <t>LH3819</t>
  </si>
  <si>
    <t>LH1709</t>
  </si>
  <si>
    <t>LH1634</t>
  </si>
  <si>
    <t>LH1667</t>
  </si>
  <si>
    <t>LH1731</t>
  </si>
  <si>
    <t>LM3310</t>
  </si>
  <si>
    <t>GJ1835</t>
  </si>
  <si>
    <t>LH1672</t>
  </si>
  <si>
    <t>LH1280</t>
  </si>
  <si>
    <t>LH3816</t>
  </si>
  <si>
    <t>GJ1827</t>
  </si>
  <si>
    <t>SG4124</t>
  </si>
  <si>
    <t>NB1902</t>
  </si>
  <si>
    <t>LH1714</t>
  </si>
  <si>
    <t>LH3875</t>
  </si>
  <si>
    <t>CT4117</t>
  </si>
  <si>
    <t>LH3815</t>
  </si>
  <si>
    <t>LH0311</t>
  </si>
  <si>
    <t>LH4377</t>
  </si>
  <si>
    <t>LH1717</t>
  </si>
  <si>
    <t>LH1746</t>
  </si>
  <si>
    <t>LH0095</t>
  </si>
  <si>
    <t>LH3838</t>
  </si>
  <si>
    <t>LH3879</t>
  </si>
  <si>
    <t>SH3783</t>
  </si>
  <si>
    <t>4T4337</t>
  </si>
  <si>
    <t>SH3728</t>
  </si>
  <si>
    <t>SH3561</t>
  </si>
  <si>
    <t>FA1553</t>
  </si>
  <si>
    <t>LH3884</t>
  </si>
  <si>
    <t>LH1747</t>
  </si>
  <si>
    <t>LH3820</t>
  </si>
  <si>
    <t>LH0296</t>
  </si>
  <si>
    <t>LH1707</t>
  </si>
  <si>
    <t>LH0297</t>
  </si>
  <si>
    <t>BH5514</t>
  </si>
  <si>
    <t>GJ0002</t>
  </si>
  <si>
    <t>GJ4235</t>
  </si>
  <si>
    <t>KB2898</t>
  </si>
  <si>
    <t>GJ4219</t>
  </si>
  <si>
    <t>GJ1905</t>
  </si>
  <si>
    <t>LH9900</t>
  </si>
  <si>
    <t>LH9903</t>
  </si>
  <si>
    <t>LH0016</t>
  </si>
  <si>
    <t>LH0222</t>
  </si>
  <si>
    <t>LH0223</t>
  </si>
  <si>
    <t>LH0224</t>
  </si>
  <si>
    <t>LH0225</t>
  </si>
  <si>
    <t>AH1990</t>
  </si>
  <si>
    <t>BE2837</t>
  </si>
  <si>
    <t>BE2838</t>
  </si>
  <si>
    <t>BE2905</t>
  </si>
  <si>
    <t>BH1914</t>
  </si>
  <si>
    <t>FB4078</t>
  </si>
  <si>
    <t>FB4126</t>
  </si>
  <si>
    <t>GJ1601</t>
  </si>
  <si>
    <t>GJ1836</t>
  </si>
  <si>
    <t>GJ3803</t>
  </si>
  <si>
    <t>GJ3916</t>
  </si>
  <si>
    <t>GU4260</t>
  </si>
  <si>
    <t>HF1969</t>
  </si>
  <si>
    <t>IB2948</t>
  </si>
  <si>
    <t>IB2955</t>
  </si>
  <si>
    <t>IB2956</t>
  </si>
  <si>
    <t>IB2988</t>
  </si>
  <si>
    <t>IB2994</t>
  </si>
  <si>
    <t>IB3000</t>
  </si>
  <si>
    <t>IB3128</t>
  </si>
  <si>
    <t>IB3220</t>
  </si>
  <si>
    <t>IB3684</t>
  </si>
  <si>
    <t>IB3932</t>
  </si>
  <si>
    <t>IB3933</t>
  </si>
  <si>
    <t>IB3934</t>
  </si>
  <si>
    <t>IB3935</t>
  </si>
  <si>
    <t>IB4310</t>
  </si>
  <si>
    <t>IB4327</t>
  </si>
  <si>
    <t>JJ1560</t>
  </si>
  <si>
    <t>KS1928</t>
  </si>
  <si>
    <t>KS1929</t>
  </si>
  <si>
    <t>LH1223</t>
  </si>
  <si>
    <t>LH1230</t>
  </si>
  <si>
    <t>LH1246</t>
  </si>
  <si>
    <t>LH1289</t>
  </si>
  <si>
    <t>LH1293</t>
  </si>
  <si>
    <t>LH1296</t>
  </si>
  <si>
    <t>LH1302</t>
  </si>
  <si>
    <t>LH1305</t>
  </si>
  <si>
    <t>LH1330</t>
  </si>
  <si>
    <t>LH1365</t>
  </si>
  <si>
    <t>LH1373</t>
  </si>
  <si>
    <t>LH1375</t>
  </si>
  <si>
    <t>LH1410</t>
  </si>
  <si>
    <t>LH1626</t>
  </si>
  <si>
    <t>LH1629</t>
  </si>
  <si>
    <t>LH1633</t>
  </si>
  <si>
    <t>LH1641</t>
  </si>
  <si>
    <t>LH1642</t>
  </si>
  <si>
    <t>LH1650</t>
  </si>
  <si>
    <t>LH1651</t>
  </si>
  <si>
    <t>LH1653</t>
  </si>
  <si>
    <t>LH1660</t>
  </si>
  <si>
    <t>LH1663</t>
  </si>
  <si>
    <t>LH1670</t>
  </si>
  <si>
    <t>LH1671</t>
  </si>
  <si>
    <t>LH1677</t>
  </si>
  <si>
    <t>LH1680</t>
  </si>
  <si>
    <t>LH1684</t>
  </si>
  <si>
    <t>LH1686</t>
  </si>
  <si>
    <t>LH1715</t>
  </si>
  <si>
    <t>LH1716</t>
  </si>
  <si>
    <t>LH1718</t>
  </si>
  <si>
    <t>LH1720</t>
  </si>
  <si>
    <t>LH1729</t>
  </si>
  <si>
    <t>LH1745</t>
  </si>
  <si>
    <t>LH1751</t>
  </si>
  <si>
    <t>LH1765</t>
  </si>
  <si>
    <t>LH2876</t>
  </si>
  <si>
    <t>LH2879</t>
  </si>
  <si>
    <t>LH2883</t>
  </si>
  <si>
    <t>LH3676</t>
  </si>
  <si>
    <t>LH3683</t>
  </si>
  <si>
    <t>LH3686</t>
  </si>
  <si>
    <t>LH3784</t>
  </si>
  <si>
    <t>LH3791</t>
  </si>
  <si>
    <t>LH3796</t>
  </si>
  <si>
    <t>LH3797</t>
  </si>
  <si>
    <t>LH3798</t>
  </si>
  <si>
    <t>LH3799</t>
  </si>
  <si>
    <t>LH3800</t>
  </si>
  <si>
    <t>LH3809</t>
  </si>
  <si>
    <t>LH3811</t>
  </si>
  <si>
    <t>LH3812</t>
  </si>
  <si>
    <t>LH3813</t>
  </si>
  <si>
    <t>LH3821</t>
  </si>
  <si>
    <t>LH3828</t>
  </si>
  <si>
    <t>LH3830</t>
  </si>
  <si>
    <t>LH3832</t>
  </si>
  <si>
    <t>LH3835</t>
  </si>
  <si>
    <t>LH3836</t>
  </si>
  <si>
    <t>LH3837</t>
  </si>
  <si>
    <t>LH3877</t>
  </si>
  <si>
    <t>LH3878</t>
  </si>
  <si>
    <t>LH3883</t>
  </si>
  <si>
    <t>LH3885</t>
  </si>
  <si>
    <t>LH3891</t>
  </si>
  <si>
    <t>LH3895</t>
  </si>
  <si>
    <t>LH3903</t>
  </si>
  <si>
    <t>LH3906</t>
  </si>
  <si>
    <t>LH3910</t>
  </si>
  <si>
    <t>LH3911</t>
  </si>
  <si>
    <t>LH3927</t>
  </si>
  <si>
    <t>LH3951</t>
  </si>
  <si>
    <t>LH4150</t>
  </si>
  <si>
    <t>LM1920</t>
  </si>
  <si>
    <t>LM4309</t>
  </si>
  <si>
    <t>MB1989</t>
  </si>
  <si>
    <t>MU1848</t>
  </si>
  <si>
    <t>MU3787</t>
  </si>
  <si>
    <t>MU3788</t>
  </si>
  <si>
    <t>OK1443</t>
  </si>
  <si>
    <t>OK1446</t>
  </si>
  <si>
    <t>OK1449</t>
  </si>
  <si>
    <t>PS2738</t>
  </si>
  <si>
    <t>PS3936</t>
  </si>
  <si>
    <t>PS4945</t>
  </si>
  <si>
    <t>PS4956</t>
  </si>
  <si>
    <t>QB1597</t>
  </si>
  <si>
    <t>QB1598</t>
  </si>
  <si>
    <t>SG1505</t>
  </si>
  <si>
    <t>SG4125</t>
  </si>
  <si>
    <t>SH1884</t>
  </si>
  <si>
    <t>SK1886</t>
  </si>
  <si>
    <t>SK1968</t>
  </si>
  <si>
    <t>SM1909</t>
  </si>
  <si>
    <t>SW1857</t>
  </si>
  <si>
    <t>1I3518</t>
  </si>
  <si>
    <t>1I3521</t>
  </si>
  <si>
    <t>1I3522</t>
  </si>
  <si>
    <t>1I3523</t>
  </si>
  <si>
    <t>1K3527</t>
  </si>
  <si>
    <t>1K3528</t>
  </si>
  <si>
    <t>1M3552</t>
  </si>
  <si>
    <t>1P3564</t>
  </si>
  <si>
    <t>1R2703</t>
  </si>
  <si>
    <t>1R3578</t>
  </si>
  <si>
    <t>1R3579</t>
  </si>
  <si>
    <t>1R3580</t>
  </si>
  <si>
    <t>1U3592</t>
  </si>
  <si>
    <t>1U3595</t>
  </si>
  <si>
    <t>1U3596</t>
  </si>
  <si>
    <t>1V3636</t>
  </si>
  <si>
    <t>1V3637</t>
  </si>
  <si>
    <t>1V3639</t>
  </si>
  <si>
    <t>2B3708</t>
  </si>
  <si>
    <t>2C3723</t>
  </si>
  <si>
    <t>2D3725</t>
  </si>
  <si>
    <t>2G3755</t>
  </si>
  <si>
    <t>2O3457</t>
  </si>
  <si>
    <t>2R3408</t>
  </si>
  <si>
    <t>4S4335</t>
  </si>
  <si>
    <t>4S4336</t>
  </si>
  <si>
    <t>4V4340</t>
  </si>
  <si>
    <t>4V4341</t>
  </si>
  <si>
    <t>4W4343</t>
  </si>
  <si>
    <t>4W4344</t>
  </si>
  <si>
    <t>4Y3863</t>
  </si>
  <si>
    <t>5A3864</t>
  </si>
  <si>
    <t>IB0104</t>
  </si>
  <si>
    <t>IB0107</t>
  </si>
  <si>
    <t>IB0238</t>
  </si>
  <si>
    <t>IB0243</t>
  </si>
  <si>
    <t>LH0086</t>
  </si>
  <si>
    <t>LH0092</t>
  </si>
  <si>
    <t>LH0154</t>
  </si>
  <si>
    <t>LH0165</t>
  </si>
  <si>
    <t>LH0166</t>
  </si>
  <si>
    <t>LH0257</t>
  </si>
  <si>
    <t>LH0258</t>
  </si>
  <si>
    <t>LH0260</t>
  </si>
  <si>
    <t>LH0263</t>
  </si>
  <si>
    <t>LH0264</t>
  </si>
  <si>
    <t>LH0267</t>
  </si>
  <si>
    <t>LH0284</t>
  </si>
  <si>
    <t>LH0290</t>
  </si>
  <si>
    <t>LH0291</t>
  </si>
  <si>
    <t>LH0293</t>
  </si>
  <si>
    <t>LH0294</t>
  </si>
  <si>
    <t>LH0295</t>
  </si>
  <si>
    <t>LH0298</t>
  </si>
  <si>
    <t>LH0306</t>
  </si>
  <si>
    <t>LH0308</t>
  </si>
  <si>
    <t>LH0309</t>
  </si>
  <si>
    <t>PS0248</t>
  </si>
  <si>
    <t>LH3908</t>
  </si>
  <si>
    <t>PR3956</t>
  </si>
  <si>
    <t>LH3827</t>
  </si>
  <si>
    <t>LH3785</t>
  </si>
  <si>
    <t>LH3979</t>
  </si>
  <si>
    <t>OK3966</t>
  </si>
  <si>
    <t>LH3801</t>
  </si>
  <si>
    <t>LH1295</t>
  </si>
  <si>
    <t>KS3964</t>
  </si>
  <si>
    <t>LH3415</t>
  </si>
  <si>
    <t>LH1685</t>
  </si>
  <si>
    <t>LH3959</t>
  </si>
  <si>
    <t>BH3994</t>
  </si>
  <si>
    <t>BE1992</t>
  </si>
  <si>
    <t>GU3997</t>
  </si>
  <si>
    <t>LH3974</t>
  </si>
  <si>
    <t>LH0079</t>
  </si>
  <si>
    <t>RR0921</t>
  </si>
  <si>
    <t>RR0994</t>
  </si>
  <si>
    <t>LH1278</t>
  </si>
  <si>
    <t>HM1556</t>
  </si>
  <si>
    <t>LH1763</t>
  </si>
  <si>
    <t>MU1845</t>
  </si>
  <si>
    <t>Multan</t>
  </si>
  <si>
    <t>OK1850</t>
  </si>
  <si>
    <t>KU1994</t>
  </si>
  <si>
    <t>KA2064</t>
  </si>
  <si>
    <t>KA2066</t>
  </si>
  <si>
    <t>KA2116</t>
  </si>
  <si>
    <t>KA2241</t>
  </si>
  <si>
    <t>KA2282</t>
  </si>
  <si>
    <t>KA2337</t>
  </si>
  <si>
    <t>KA2429</t>
  </si>
  <si>
    <t>KA2441</t>
  </si>
  <si>
    <t>KA2465</t>
  </si>
  <si>
    <t>KA2466</t>
  </si>
  <si>
    <t>KA2473</t>
  </si>
  <si>
    <t>KA2487</t>
  </si>
  <si>
    <t>KA2518</t>
  </si>
  <si>
    <t>KA2521</t>
  </si>
  <si>
    <t>KA2537</t>
  </si>
  <si>
    <t>KA2550</t>
  </si>
  <si>
    <t>KA2559</t>
  </si>
  <si>
    <t>KA2572</t>
  </si>
  <si>
    <t>KA2584</t>
  </si>
  <si>
    <t>KA2590</t>
  </si>
  <si>
    <t>KA2596</t>
  </si>
  <si>
    <t>KA2608</t>
  </si>
  <si>
    <t>HY2628</t>
  </si>
  <si>
    <t>HY2634</t>
  </si>
  <si>
    <t>IS2646</t>
  </si>
  <si>
    <t>BD2651</t>
  </si>
  <si>
    <t>IS2654</t>
  </si>
  <si>
    <t>TT2662</t>
  </si>
  <si>
    <t>IS2677</t>
  </si>
  <si>
    <t>MP2680</t>
  </si>
  <si>
    <t>HY2691</t>
  </si>
  <si>
    <t>BN2786</t>
  </si>
  <si>
    <t>NO2851</t>
  </si>
  <si>
    <t>LW2871</t>
  </si>
  <si>
    <t>MW2875</t>
  </si>
  <si>
    <t>LH2882</t>
  </si>
  <si>
    <t>GM2889</t>
  </si>
  <si>
    <t>BO2897</t>
  </si>
  <si>
    <t>DI2902</t>
  </si>
  <si>
    <t>DI2919</t>
  </si>
  <si>
    <t>CA2927</t>
  </si>
  <si>
    <t>IB2962</t>
  </si>
  <si>
    <t>IB2985</t>
  </si>
  <si>
    <t>IB2992</t>
  </si>
  <si>
    <t>IB3001</t>
  </si>
  <si>
    <t>IB3152</t>
  </si>
  <si>
    <t>IB3182</t>
  </si>
  <si>
    <t>IB3189</t>
  </si>
  <si>
    <t>IB3208</t>
  </si>
  <si>
    <t>IB3219</t>
  </si>
  <si>
    <t>3I3512</t>
  </si>
  <si>
    <t>3J3567</t>
  </si>
  <si>
    <t>3J3571</t>
  </si>
  <si>
    <t>4I3573</t>
  </si>
  <si>
    <t>3K3650</t>
  </si>
  <si>
    <t>3K3652</t>
  </si>
  <si>
    <t>3B3660</t>
  </si>
  <si>
    <t>3B3664</t>
  </si>
  <si>
    <t>NF3765</t>
  </si>
  <si>
    <t>KA3851</t>
  </si>
  <si>
    <t>KA3853</t>
  </si>
  <si>
    <t>KA3858</t>
  </si>
  <si>
    <t>LH3861</t>
  </si>
  <si>
    <t>LH3876</t>
  </si>
  <si>
    <t>LH3893</t>
  </si>
  <si>
    <t>TT3894</t>
  </si>
  <si>
    <t>KX3900</t>
  </si>
  <si>
    <t>LH3912</t>
  </si>
  <si>
    <t>IB3930</t>
  </si>
  <si>
    <t>IB3938</t>
  </si>
  <si>
    <t>CK3968</t>
  </si>
  <si>
    <t>SB3969</t>
  </si>
  <si>
    <t>GM4315</t>
  </si>
  <si>
    <t>4R4334</t>
  </si>
  <si>
    <t>KA4366</t>
  </si>
  <si>
    <t>KA4370</t>
  </si>
  <si>
    <t>KA4380</t>
  </si>
  <si>
    <t>SW4458</t>
  </si>
  <si>
    <t>IM4694</t>
  </si>
  <si>
    <t>MJ4821</t>
  </si>
  <si>
    <t>BR5754</t>
  </si>
  <si>
    <t>BR6028</t>
  </si>
  <si>
    <t>LD6068</t>
  </si>
  <si>
    <t>JG6104</t>
  </si>
  <si>
    <t>LD6119</t>
  </si>
  <si>
    <t>LD6120</t>
  </si>
  <si>
    <t>VH6311</t>
  </si>
  <si>
    <t>Vehari</t>
  </si>
  <si>
    <t>QU6322</t>
  </si>
  <si>
    <t>Ziarat</t>
  </si>
  <si>
    <t>DD6373</t>
  </si>
  <si>
    <t>4L6388</t>
  </si>
  <si>
    <t>4N6392</t>
  </si>
  <si>
    <t>4K6479</t>
  </si>
  <si>
    <t>NF6491</t>
  </si>
  <si>
    <t>NS6492</t>
  </si>
  <si>
    <t>NF6531</t>
  </si>
  <si>
    <t>MU6762</t>
  </si>
  <si>
    <t>LK6773</t>
  </si>
  <si>
    <t>LK6780</t>
  </si>
  <si>
    <t>BD6787</t>
  </si>
  <si>
    <t>BW6798</t>
  </si>
  <si>
    <t>P3</t>
  </si>
  <si>
    <t>LH0013</t>
  </si>
  <si>
    <t>SK0032</t>
  </si>
  <si>
    <t>LH0063</t>
  </si>
  <si>
    <t>LH0080</t>
  </si>
  <si>
    <t>LH0081</t>
  </si>
  <si>
    <t>LH0088</t>
  </si>
  <si>
    <t>LH0089</t>
  </si>
  <si>
    <t>LH0090</t>
  </si>
  <si>
    <t>LH0094</t>
  </si>
  <si>
    <t>LH0147</t>
  </si>
  <si>
    <t>LH0150</t>
  </si>
  <si>
    <t>LH0151</t>
  </si>
  <si>
    <t>LH0152</t>
  </si>
  <si>
    <t>LH0153</t>
  </si>
  <si>
    <t>LH0156</t>
  </si>
  <si>
    <t>LH0167</t>
  </si>
  <si>
    <t>LH0226</t>
  </si>
  <si>
    <t>LH0227</t>
  </si>
  <si>
    <t>MB0247</t>
  </si>
  <si>
    <t>LH0262</t>
  </si>
  <si>
    <t>LH0265</t>
  </si>
  <si>
    <t>LH0266</t>
  </si>
  <si>
    <t>LH0269</t>
  </si>
  <si>
    <t>LH0281</t>
  </si>
  <si>
    <t>LH0282</t>
  </si>
  <si>
    <t>LH0283</t>
  </si>
  <si>
    <t>LH0292</t>
  </si>
  <si>
    <t>LH1002</t>
  </si>
  <si>
    <t>LH1003</t>
  </si>
  <si>
    <t>LH1004</t>
  </si>
  <si>
    <t>LH1006</t>
  </si>
  <si>
    <t>LH1008</t>
  </si>
  <si>
    <t>LH1015</t>
  </si>
  <si>
    <t>LH1025</t>
  </si>
  <si>
    <t>LH1033</t>
  </si>
  <si>
    <t>LH1036</t>
  </si>
  <si>
    <t>LH1038</t>
  </si>
  <si>
    <t>LH1040</t>
  </si>
  <si>
    <t>LH1050</t>
  </si>
  <si>
    <t>LH1052</t>
  </si>
  <si>
    <t>LH1054</t>
  </si>
  <si>
    <t>LH1059</t>
  </si>
  <si>
    <t>LH1062</t>
  </si>
  <si>
    <t>LH1067</t>
  </si>
  <si>
    <t>LH1068</t>
  </si>
  <si>
    <t>LH1069</t>
  </si>
  <si>
    <t>LH1089</t>
  </si>
  <si>
    <t>LH1090</t>
  </si>
  <si>
    <t>LH1092</t>
  </si>
  <si>
    <t>LH1107</t>
  </si>
  <si>
    <t>LH1117</t>
  </si>
  <si>
    <t>LH1124</t>
  </si>
  <si>
    <t>LH1138</t>
  </si>
  <si>
    <t>LH1145</t>
  </si>
  <si>
    <t>LH1161</t>
  </si>
  <si>
    <t>LH1162</t>
  </si>
  <si>
    <t>LH1163</t>
  </si>
  <si>
    <t>LH1173</t>
  </si>
  <si>
    <t>LH1182</t>
  </si>
  <si>
    <t>LH1187</t>
  </si>
  <si>
    <t>LH1192</t>
  </si>
  <si>
    <t>LH1193</t>
  </si>
  <si>
    <t>LH1205</t>
  </si>
  <si>
    <t>LH1210</t>
  </si>
  <si>
    <t>LH1242</t>
  </si>
  <si>
    <t>LH1243</t>
  </si>
  <si>
    <t>LH1244</t>
  </si>
  <si>
    <t>LH1249</t>
  </si>
  <si>
    <t>LH1259</t>
  </si>
  <si>
    <t>LH1260</t>
  </si>
  <si>
    <t>LH1268</t>
  </si>
  <si>
    <t>LH1270</t>
  </si>
  <si>
    <t>LH1276</t>
  </si>
  <si>
    <t>LH1277</t>
  </si>
  <si>
    <t>LH1279</t>
  </si>
  <si>
    <t>LH1281</t>
  </si>
  <si>
    <t>LH1282</t>
  </si>
  <si>
    <t>LH1284</t>
  </si>
  <si>
    <t>LH1285</t>
  </si>
  <si>
    <t>LH1286</t>
  </si>
  <si>
    <t>LH1291</t>
  </si>
  <si>
    <t>LH1303</t>
  </si>
  <si>
    <t>LH1304</t>
  </si>
  <si>
    <t>LH1307</t>
  </si>
  <si>
    <t>LH1308</t>
  </si>
  <si>
    <t>LH1312</t>
  </si>
  <si>
    <t>LH1329</t>
  </si>
  <si>
    <t>LH1334</t>
  </si>
  <si>
    <t>LH1344</t>
  </si>
  <si>
    <t>LH1347</t>
  </si>
  <si>
    <t>LH1348</t>
  </si>
  <si>
    <t>LH1349</t>
  </si>
  <si>
    <t>LH1350</t>
  </si>
  <si>
    <t>LH1352</t>
  </si>
  <si>
    <t>LH1359</t>
  </si>
  <si>
    <t>LH1389</t>
  </si>
  <si>
    <t>LH1406</t>
  </si>
  <si>
    <t>LH1407</t>
  </si>
  <si>
    <t>LH1408</t>
  </si>
  <si>
    <t>LH1409</t>
  </si>
  <si>
    <t>SH1431</t>
  </si>
  <si>
    <t>HF1464</t>
  </si>
  <si>
    <t>HF1465</t>
  </si>
  <si>
    <t>HF1467</t>
  </si>
  <si>
    <t>LH1488</t>
  </si>
  <si>
    <t>WA1510</t>
  </si>
  <si>
    <t>WA1511</t>
  </si>
  <si>
    <t>QD1536</t>
  </si>
  <si>
    <t>GJ1555</t>
  </si>
  <si>
    <t>Gujrat</t>
  </si>
  <si>
    <t>JJ1561</t>
  </si>
  <si>
    <t>IK1567</t>
  </si>
  <si>
    <t>IK1568</t>
  </si>
  <si>
    <t>IK1571</t>
  </si>
  <si>
    <t>GU1588</t>
  </si>
  <si>
    <t>WA1592</t>
  </si>
  <si>
    <t>AH1594</t>
  </si>
  <si>
    <t>QD1595</t>
  </si>
  <si>
    <t>DK1605</t>
  </si>
  <si>
    <t>SK1623</t>
  </si>
  <si>
    <t>LH1635</t>
  </si>
  <si>
    <t>LH1646</t>
  </si>
  <si>
    <t>LH1657</t>
  </si>
  <si>
    <t>LH1668</t>
  </si>
  <si>
    <t>LH1674</t>
  </si>
  <si>
    <t>LH1697</t>
  </si>
  <si>
    <t>LH1698</t>
  </si>
  <si>
    <t>LH1710</t>
  </si>
  <si>
    <t>LH1713</t>
  </si>
  <si>
    <t>LH1734</t>
  </si>
  <si>
    <t>LH1736</t>
  </si>
  <si>
    <t>LH1737</t>
  </si>
  <si>
    <t>LH1743</t>
  </si>
  <si>
    <t>LH1748</t>
  </si>
  <si>
    <t>LH1750</t>
  </si>
  <si>
    <t>LH1757</t>
  </si>
  <si>
    <t>LH1758</t>
  </si>
  <si>
    <t>LH1759</t>
  </si>
  <si>
    <t>LH1760</t>
  </si>
  <si>
    <t>LH1761</t>
  </si>
  <si>
    <t>LH1762</t>
  </si>
  <si>
    <t>LH1764</t>
  </si>
  <si>
    <t>LH1766</t>
  </si>
  <si>
    <t>LH1774</t>
  </si>
  <si>
    <t>GJ1825</t>
  </si>
  <si>
    <t>GJ1826</t>
  </si>
  <si>
    <t>GJ1828</t>
  </si>
  <si>
    <t>GJ1829</t>
  </si>
  <si>
    <t>GJ1830</t>
  </si>
  <si>
    <t>GJ1831</t>
  </si>
  <si>
    <t>GJ1833</t>
  </si>
  <si>
    <t>GJ1834</t>
  </si>
  <si>
    <t>GJ1837</t>
  </si>
  <si>
    <t>HF1838</t>
  </si>
  <si>
    <t>HF1839</t>
  </si>
  <si>
    <t>LH1903</t>
  </si>
  <si>
    <t>LH1904</t>
  </si>
  <si>
    <t>CN1922</t>
  </si>
  <si>
    <t>PT1940</t>
  </si>
  <si>
    <t>PT1942</t>
  </si>
  <si>
    <t>HF1947</t>
  </si>
  <si>
    <t>HF1948</t>
  </si>
  <si>
    <t>WA1952</t>
  </si>
  <si>
    <t>GJ1960</t>
  </si>
  <si>
    <t>WA1971</t>
  </si>
  <si>
    <t>EM1978</t>
  </si>
  <si>
    <t>WA1981</t>
  </si>
  <si>
    <t>HF1983</t>
  </si>
  <si>
    <t>MB1988</t>
  </si>
  <si>
    <t>EM1995</t>
  </si>
  <si>
    <t>EM1996</t>
  </si>
  <si>
    <t>GJ2000</t>
  </si>
  <si>
    <t>2X2707</t>
  </si>
  <si>
    <t>MB2841</t>
  </si>
  <si>
    <t>LM2861</t>
  </si>
  <si>
    <t>LM2862</t>
  </si>
  <si>
    <t>LH2886</t>
  </si>
  <si>
    <t>LS3275</t>
  </si>
  <si>
    <t>MB3284</t>
  </si>
  <si>
    <t>MB3285</t>
  </si>
  <si>
    <t>MB3287</t>
  </si>
  <si>
    <t>1M3546</t>
  </si>
  <si>
    <t>1M3547</t>
  </si>
  <si>
    <t>1M3548</t>
  </si>
  <si>
    <t>1M3549</t>
  </si>
  <si>
    <t>1N3553</t>
  </si>
  <si>
    <t>1O3562</t>
  </si>
  <si>
    <t>1P3563</t>
  </si>
  <si>
    <t>2X3603</t>
  </si>
  <si>
    <t>2X3604</t>
  </si>
  <si>
    <t>2X3605</t>
  </si>
  <si>
    <t>233700</t>
  </si>
  <si>
    <t>2E3726</t>
  </si>
  <si>
    <t>2E3727</t>
  </si>
  <si>
    <t>2I3759</t>
  </si>
  <si>
    <t>2I3761</t>
  </si>
  <si>
    <t>2J3776</t>
  </si>
  <si>
    <t>2J3777</t>
  </si>
  <si>
    <t>2J3778</t>
  </si>
  <si>
    <t>2J3779</t>
  </si>
  <si>
    <t>2K3780</t>
  </si>
  <si>
    <t>GJ3790</t>
  </si>
  <si>
    <t>LH3793</t>
  </si>
  <si>
    <t>LH3794</t>
  </si>
  <si>
    <t>GJ3805</t>
  </si>
  <si>
    <t>LH3807</t>
  </si>
  <si>
    <t>LH3808</t>
  </si>
  <si>
    <t>LH3829</t>
  </si>
  <si>
    <t>LH3833</t>
  </si>
  <si>
    <t>LH3881</t>
  </si>
  <si>
    <t>LH3882</t>
  </si>
  <si>
    <t>NB4039</t>
  </si>
  <si>
    <t>SK4112</t>
  </si>
  <si>
    <t>LH4122</t>
  </si>
  <si>
    <t>HF4123</t>
  </si>
  <si>
    <t>GJ4141</t>
  </si>
  <si>
    <t>GJ4142</t>
  </si>
  <si>
    <t>VT4146</t>
  </si>
  <si>
    <t>GJ4151</t>
  </si>
  <si>
    <t>GJ4152</t>
  </si>
  <si>
    <t>GJ4153</t>
  </si>
  <si>
    <t>GJ4154</t>
  </si>
  <si>
    <t>GJ4156</t>
  </si>
  <si>
    <t>GJ4157</t>
  </si>
  <si>
    <t>GJ4158</t>
  </si>
  <si>
    <t>GJ4160</t>
  </si>
  <si>
    <t>GJ4162</t>
  </si>
  <si>
    <t>GJ4163</t>
  </si>
  <si>
    <t>GJ4164</t>
  </si>
  <si>
    <t>GJ4165</t>
  </si>
  <si>
    <t>GU4167</t>
  </si>
  <si>
    <t>GU4171</t>
  </si>
  <si>
    <t>HF4172</t>
  </si>
  <si>
    <t>MB4173</t>
  </si>
  <si>
    <t>SK4174</t>
  </si>
  <si>
    <t>SK4175</t>
  </si>
  <si>
    <t>SK4176</t>
  </si>
  <si>
    <t>SK4177</t>
  </si>
  <si>
    <t>SK4178</t>
  </si>
  <si>
    <t>SK4179</t>
  </si>
  <si>
    <t>SK4180</t>
  </si>
  <si>
    <t>SK4181</t>
  </si>
  <si>
    <t>SK4182</t>
  </si>
  <si>
    <t>SK4183</t>
  </si>
  <si>
    <t>SK4184</t>
  </si>
  <si>
    <t>SK4185</t>
  </si>
  <si>
    <t>SK4186</t>
  </si>
  <si>
    <t>WA4191</t>
  </si>
  <si>
    <t>WA4192</t>
  </si>
  <si>
    <t>WA4193</t>
  </si>
  <si>
    <t>GJ4197</t>
  </si>
  <si>
    <t>GJ4200</t>
  </si>
  <si>
    <t>GJ4201</t>
  </si>
  <si>
    <t>GU4203</t>
  </si>
  <si>
    <t>SK4204</t>
  </si>
  <si>
    <t>SK4205</t>
  </si>
  <si>
    <t>MB4206</t>
  </si>
  <si>
    <t>GJ4207</t>
  </si>
  <si>
    <t>GU4208</t>
  </si>
  <si>
    <t>GJ4211</t>
  </si>
  <si>
    <t>GJ4212</t>
  </si>
  <si>
    <t>GJ4214</t>
  </si>
  <si>
    <t>GJ4215</t>
  </si>
  <si>
    <t>GJ4217</t>
  </si>
  <si>
    <t>GJ4218</t>
  </si>
  <si>
    <t>GJ4220</t>
  </si>
  <si>
    <t>GJ4221</t>
  </si>
  <si>
    <t>GJ4222</t>
  </si>
  <si>
    <t>GJ4223</t>
  </si>
  <si>
    <t>GJ4224</t>
  </si>
  <si>
    <t>GJ4225</t>
  </si>
  <si>
    <t>GJ4226</t>
  </si>
  <si>
    <t>GJ4227</t>
  </si>
  <si>
    <t>GJ4229</t>
  </si>
  <si>
    <t>GJ4230</t>
  </si>
  <si>
    <t>GJ4231</t>
  </si>
  <si>
    <t>GJ4232</t>
  </si>
  <si>
    <t>GJ4237</t>
  </si>
  <si>
    <t>GJ4238</t>
  </si>
  <si>
    <t>GJ4239</t>
  </si>
  <si>
    <t>GU4240</t>
  </si>
  <si>
    <t>GU4242</t>
  </si>
  <si>
    <t>GU4243</t>
  </si>
  <si>
    <t>GU4244</t>
  </si>
  <si>
    <t>GU4245</t>
  </si>
  <si>
    <t>GU4248</t>
  </si>
  <si>
    <t>GU4249</t>
  </si>
  <si>
    <t>GU4250</t>
  </si>
  <si>
    <t>GU4251</t>
  </si>
  <si>
    <t>GU4252</t>
  </si>
  <si>
    <t>GU4253</t>
  </si>
  <si>
    <t>GU4254</t>
  </si>
  <si>
    <t>GU4255</t>
  </si>
  <si>
    <t>GU4256</t>
  </si>
  <si>
    <t>GU4257</t>
  </si>
  <si>
    <t>GU4258</t>
  </si>
  <si>
    <t>GU4259</t>
  </si>
  <si>
    <t>GU4261</t>
  </si>
  <si>
    <t>GU4262</t>
  </si>
  <si>
    <t>SK4264</t>
  </si>
  <si>
    <t>SK4266</t>
  </si>
  <si>
    <t>SK4267</t>
  </si>
  <si>
    <t>SK4268</t>
  </si>
  <si>
    <t>SK4269</t>
  </si>
  <si>
    <t>SK4270</t>
  </si>
  <si>
    <t>SK4271</t>
  </si>
  <si>
    <t>SK4272</t>
  </si>
  <si>
    <t>SK4276</t>
  </si>
  <si>
    <t>SK4277</t>
  </si>
  <si>
    <t>SK4279</t>
  </si>
  <si>
    <t>SK4280</t>
  </si>
  <si>
    <t>SK4282</t>
  </si>
  <si>
    <t>SK4283</t>
  </si>
  <si>
    <t>SK4284</t>
  </si>
  <si>
    <t>SK4285</t>
  </si>
  <si>
    <t>SK4287</t>
  </si>
  <si>
    <t>SK4291</t>
  </si>
  <si>
    <t>IK4292</t>
  </si>
  <si>
    <t>ES4293</t>
  </si>
  <si>
    <t>FP4296</t>
  </si>
  <si>
    <t>HF4297</t>
  </si>
  <si>
    <t>HF4298</t>
  </si>
  <si>
    <t>MB4303</t>
  </si>
  <si>
    <t>MB4304</t>
  </si>
  <si>
    <t>MB4307</t>
  </si>
  <si>
    <t>MB4326</t>
  </si>
  <si>
    <t>295297</t>
  </si>
  <si>
    <t>315321</t>
  </si>
  <si>
    <t>025413</t>
  </si>
  <si>
    <t>CN5526</t>
  </si>
  <si>
    <t>DK5527</t>
  </si>
  <si>
    <t>PT5564</t>
  </si>
  <si>
    <t>PT5565</t>
  </si>
  <si>
    <t>DK5730</t>
  </si>
  <si>
    <t>DK5757</t>
  </si>
  <si>
    <t>PT5776</t>
  </si>
  <si>
    <t>LH3825</t>
  </si>
  <si>
    <t>LH3905</t>
  </si>
  <si>
    <t>LH3904</t>
  </si>
  <si>
    <t>LH4149</t>
  </si>
  <si>
    <t>LH3902</t>
  </si>
  <si>
    <t>LH0286</t>
  </si>
  <si>
    <t>DK1993</t>
  </si>
  <si>
    <t>2X4325</t>
  </si>
  <si>
    <t>LH0160</t>
  </si>
  <si>
    <t>LH3907</t>
  </si>
  <si>
    <t>LH0307</t>
  </si>
  <si>
    <t>LH3914</t>
  </si>
  <si>
    <t>LH3818</t>
  </si>
  <si>
    <t>GJ3804</t>
  </si>
  <si>
    <t>LH3924</t>
  </si>
  <si>
    <t>DK3955</t>
  </si>
  <si>
    <t>LH3913</t>
  </si>
  <si>
    <t>LH3917</t>
  </si>
  <si>
    <t>GJ3976</t>
  </si>
  <si>
    <t>LH4339</t>
  </si>
  <si>
    <t>anwala</t>
  </si>
  <si>
    <t xml:space="preserve"> Kasur</t>
  </si>
  <si>
    <t>arowal</t>
  </si>
  <si>
    <t>ialkot</t>
  </si>
  <si>
    <t xml:space="preserve"> B Din</t>
  </si>
  <si>
    <t>attoki</t>
  </si>
  <si>
    <t>aiwind</t>
  </si>
  <si>
    <t>RR0984</t>
  </si>
  <si>
    <t>4Z6374</t>
  </si>
  <si>
    <t>4Z6419</t>
  </si>
  <si>
    <t>343696</t>
  </si>
  <si>
    <t>XY6709</t>
  </si>
  <si>
    <t>hakkar</t>
  </si>
  <si>
    <t>awatni</t>
  </si>
  <si>
    <t>hiniot</t>
  </si>
  <si>
    <t>I Khan</t>
  </si>
  <si>
    <t xml:space="preserve"> gojra</t>
  </si>
  <si>
    <t xml:space="preserve"> Jhang</t>
  </si>
  <si>
    <t>hushab</t>
  </si>
  <si>
    <t>anwali</t>
  </si>
  <si>
    <t xml:space="preserve"> Okara</t>
  </si>
  <si>
    <t>pattan</t>
  </si>
  <si>
    <t>ahiwal</t>
  </si>
  <si>
    <t>rgodha</t>
  </si>
  <si>
    <t xml:space="preserve"> singh</t>
  </si>
  <si>
    <t>ifwala</t>
  </si>
  <si>
    <t>walpur</t>
  </si>
  <si>
    <t>rewala</t>
  </si>
  <si>
    <t>g Khan</t>
  </si>
  <si>
    <t>anewal</t>
  </si>
  <si>
    <t>t Addu</t>
  </si>
  <si>
    <t>Layyah</t>
  </si>
  <si>
    <t>at pur</t>
  </si>
  <si>
    <t>odhran</t>
  </si>
  <si>
    <t>Mailsi</t>
  </si>
  <si>
    <t>argarh</t>
  </si>
  <si>
    <t xml:space="preserve"> Nagar</t>
  </si>
  <si>
    <t>. Khan</t>
  </si>
  <si>
    <t>slabad</t>
  </si>
  <si>
    <t>alabad</t>
  </si>
  <si>
    <t xml:space="preserve">Gharr </t>
  </si>
  <si>
    <t>rghoda</t>
  </si>
  <si>
    <t>IB0027</t>
  </si>
  <si>
    <t>BU0028</t>
  </si>
  <si>
    <t>ME0096</t>
  </si>
  <si>
    <t>IB0097</t>
  </si>
  <si>
    <t>ME0098</t>
  </si>
  <si>
    <t>IB0113</t>
  </si>
  <si>
    <t>ME0115</t>
  </si>
  <si>
    <t>IB0237</t>
  </si>
  <si>
    <t>ME0250</t>
  </si>
  <si>
    <t>ME0252</t>
  </si>
  <si>
    <t>AB0312</t>
  </si>
  <si>
    <t>ME0313</t>
  </si>
  <si>
    <t>Taxila</t>
  </si>
  <si>
    <t>2T2697</t>
  </si>
  <si>
    <t>2T2698</t>
  </si>
  <si>
    <t>2T2700</t>
  </si>
  <si>
    <t>2T2701</t>
  </si>
  <si>
    <t>2V2702</t>
  </si>
  <si>
    <t>2W2704</t>
  </si>
  <si>
    <t>2W2705</t>
  </si>
  <si>
    <t>2W2706</t>
  </si>
  <si>
    <t>3H2709</t>
  </si>
  <si>
    <t>3H2710</t>
  </si>
  <si>
    <t>AT2729</t>
  </si>
  <si>
    <t>AT2730</t>
  </si>
  <si>
    <t>AT2731</t>
  </si>
  <si>
    <t>AT2732</t>
  </si>
  <si>
    <t>NO2733</t>
  </si>
  <si>
    <t>NO2734</t>
  </si>
  <si>
    <t>NO2735</t>
  </si>
  <si>
    <t>NO2736</t>
  </si>
  <si>
    <t>PS2745</t>
  </si>
  <si>
    <t>PS2750</t>
  </si>
  <si>
    <t>CD2754</t>
  </si>
  <si>
    <t>Mardan</t>
  </si>
  <si>
    <t>CD2755</t>
  </si>
  <si>
    <t>CD2757</t>
  </si>
  <si>
    <t>CD2758</t>
  </si>
  <si>
    <t>DN2759</t>
  </si>
  <si>
    <t>Jhelum</t>
  </si>
  <si>
    <t>DN2760</t>
  </si>
  <si>
    <t>FJ2761</t>
  </si>
  <si>
    <t>GK2762</t>
  </si>
  <si>
    <t>GK2763</t>
  </si>
  <si>
    <t>HS2764</t>
  </si>
  <si>
    <t>HS2766</t>
  </si>
  <si>
    <t>MK2768</t>
  </si>
  <si>
    <t>KN2769</t>
  </si>
  <si>
    <t>MN2772</t>
  </si>
  <si>
    <t>MN2773</t>
  </si>
  <si>
    <t>ME2774</t>
  </si>
  <si>
    <t>ME2775</t>
  </si>
  <si>
    <t>ME2776</t>
  </si>
  <si>
    <t>ME2777</t>
  </si>
  <si>
    <t>SA2778</t>
  </si>
  <si>
    <t>SA2779</t>
  </si>
  <si>
    <t>SA2780</t>
  </si>
  <si>
    <t>TX2781</t>
  </si>
  <si>
    <t>TX2782</t>
  </si>
  <si>
    <t>TP2783</t>
  </si>
  <si>
    <t>TP2784</t>
  </si>
  <si>
    <t>TP2785</t>
  </si>
  <si>
    <t>BN2787</t>
  </si>
  <si>
    <t>BN2788</t>
  </si>
  <si>
    <t>CK2789</t>
  </si>
  <si>
    <t>CK2792</t>
  </si>
  <si>
    <t>CK2793</t>
  </si>
  <si>
    <t>CK2795</t>
  </si>
  <si>
    <t>KO2796</t>
  </si>
  <si>
    <t>KO2797</t>
  </si>
  <si>
    <t>KO2798</t>
  </si>
  <si>
    <t>KO2800</t>
  </si>
  <si>
    <t>MS2805</t>
  </si>
  <si>
    <t>MS2806</t>
  </si>
  <si>
    <t>MS2807</t>
  </si>
  <si>
    <t>MS2808</t>
  </si>
  <si>
    <t>MS2809</t>
  </si>
  <si>
    <t>MS2810</t>
  </si>
  <si>
    <t>SB2816</t>
  </si>
  <si>
    <t>SB2817</t>
  </si>
  <si>
    <t>SB2818</t>
  </si>
  <si>
    <t>MJ2820</t>
  </si>
  <si>
    <t>TP2821</t>
  </si>
  <si>
    <t>TX2822</t>
  </si>
  <si>
    <t>TX2823</t>
  </si>
  <si>
    <t>TX2824</t>
  </si>
  <si>
    <t>MP2825</t>
  </si>
  <si>
    <t>MP2826</t>
  </si>
  <si>
    <t>MP2827</t>
  </si>
  <si>
    <t>NO2829</t>
  </si>
  <si>
    <t>RT2830</t>
  </si>
  <si>
    <t>HP2831</t>
  </si>
  <si>
    <t>MQ2833</t>
  </si>
  <si>
    <t>SB2834</t>
  </si>
  <si>
    <t>SA2839</t>
  </si>
  <si>
    <t>GK2840</t>
  </si>
  <si>
    <t>GK2843</t>
  </si>
  <si>
    <t>TP2844</t>
  </si>
  <si>
    <t>GK2845</t>
  </si>
  <si>
    <t>GM2848</t>
  </si>
  <si>
    <t>BT2849</t>
  </si>
  <si>
    <t>GK2850</t>
  </si>
  <si>
    <t>NO2852</t>
  </si>
  <si>
    <t>CK2855</t>
  </si>
  <si>
    <t>CK2856</t>
  </si>
  <si>
    <t>CK2857</t>
  </si>
  <si>
    <t>GM2858</t>
  </si>
  <si>
    <t>GK2860</t>
  </si>
  <si>
    <t>CA2863</t>
  </si>
  <si>
    <t>CA2864</t>
  </si>
  <si>
    <t>CA2865</t>
  </si>
  <si>
    <t>TP2867</t>
  </si>
  <si>
    <t>KO2873</t>
  </si>
  <si>
    <t>MN2884</t>
  </si>
  <si>
    <t>MN2885</t>
  </si>
  <si>
    <t>GM2888</t>
  </si>
  <si>
    <t>GM2890</t>
  </si>
  <si>
    <t>GM2891</t>
  </si>
  <si>
    <t>TG2906</t>
  </si>
  <si>
    <t>GK2908</t>
  </si>
  <si>
    <t>NO2909</t>
  </si>
  <si>
    <t>NO2911</t>
  </si>
  <si>
    <t>GM2912</t>
  </si>
  <si>
    <t>PS2913</t>
  </si>
  <si>
    <t>PS2914</t>
  </si>
  <si>
    <t>PS2915</t>
  </si>
  <si>
    <t>MN2916</t>
  </si>
  <si>
    <t>MN2917</t>
  </si>
  <si>
    <t>MN2918</t>
  </si>
  <si>
    <t>TG2920</t>
  </si>
  <si>
    <t>CD2921</t>
  </si>
  <si>
    <t>TP2924</t>
  </si>
  <si>
    <t>GM2926</t>
  </si>
  <si>
    <t>NO2928</t>
  </si>
  <si>
    <t>CD2929</t>
  </si>
  <si>
    <t>IB2959</t>
  </si>
  <si>
    <t>IB2960</t>
  </si>
  <si>
    <t>IB2961</t>
  </si>
  <si>
    <t>IB2969</t>
  </si>
  <si>
    <t>IB2973</t>
  </si>
  <si>
    <t>IB2974</t>
  </si>
  <si>
    <t>IB2976</t>
  </si>
  <si>
    <t>IB2981</t>
  </si>
  <si>
    <t>IB2984</t>
  </si>
  <si>
    <t>IB2990</t>
  </si>
  <si>
    <t>IB2999</t>
  </si>
  <si>
    <t>IB3002</t>
  </si>
  <si>
    <t>IB3003</t>
  </si>
  <si>
    <t>IB3004</t>
  </si>
  <si>
    <t>IB3005</t>
  </si>
  <si>
    <t>IB3006</t>
  </si>
  <si>
    <t>IB3007</t>
  </si>
  <si>
    <t>IB3008</t>
  </si>
  <si>
    <t>IB3009</t>
  </si>
  <si>
    <t>IB3010</t>
  </si>
  <si>
    <t>IB3011</t>
  </si>
  <si>
    <t>IB3013</t>
  </si>
  <si>
    <t>IB3014</t>
  </si>
  <si>
    <t>IB3015</t>
  </si>
  <si>
    <t>IB3016</t>
  </si>
  <si>
    <t>IB3017</t>
  </si>
  <si>
    <t>IB3018</t>
  </si>
  <si>
    <t>IB3019</t>
  </si>
  <si>
    <t>IB3020</t>
  </si>
  <si>
    <t>IB3021</t>
  </si>
  <si>
    <t>IB3022</t>
  </si>
  <si>
    <t>IB3023</t>
  </si>
  <si>
    <t>IB3026</t>
  </si>
  <si>
    <t>IB3027</t>
  </si>
  <si>
    <t>IB3030</t>
  </si>
  <si>
    <t>IB3064</t>
  </si>
  <si>
    <t>IB3065</t>
  </si>
  <si>
    <t>IB3066</t>
  </si>
  <si>
    <t>AT3070</t>
  </si>
  <si>
    <t>AT3071</t>
  </si>
  <si>
    <t>JH3072</t>
  </si>
  <si>
    <t>JH3073</t>
  </si>
  <si>
    <t>JH3074</t>
  </si>
  <si>
    <t>JH3075</t>
  </si>
  <si>
    <t>RT3076</t>
  </si>
  <si>
    <t>RT3077</t>
  </si>
  <si>
    <t>GK3078</t>
  </si>
  <si>
    <t>GK3079</t>
  </si>
  <si>
    <t>GK3080</t>
  </si>
  <si>
    <t>FJ3081</t>
  </si>
  <si>
    <t>DN3082</t>
  </si>
  <si>
    <t>DN3083</t>
  </si>
  <si>
    <t>SO3084</t>
  </si>
  <si>
    <t>SA3085</t>
  </si>
  <si>
    <t>SA3086</t>
  </si>
  <si>
    <t>TX3087</t>
  </si>
  <si>
    <t>TX3088</t>
  </si>
  <si>
    <t>TX3089</t>
  </si>
  <si>
    <t>ME3090</t>
  </si>
  <si>
    <t>ME3091</t>
  </si>
  <si>
    <t>IB3093</t>
  </si>
  <si>
    <t>IB3094</t>
  </si>
  <si>
    <t>BU3097</t>
  </si>
  <si>
    <t>BU3098</t>
  </si>
  <si>
    <t>TR3099</t>
  </si>
  <si>
    <t>MK3100</t>
  </si>
  <si>
    <t>WH3101</t>
  </si>
  <si>
    <t>WH3102</t>
  </si>
  <si>
    <t>HS3103</t>
  </si>
  <si>
    <t>WH3105</t>
  </si>
  <si>
    <t>IB3107</t>
  </si>
  <si>
    <t>IB3108</t>
  </si>
  <si>
    <t>IB3109</t>
  </si>
  <si>
    <t>IB3110</t>
  </si>
  <si>
    <t>IB3116</t>
  </si>
  <si>
    <t>JH3118</t>
  </si>
  <si>
    <t>JH3119</t>
  </si>
  <si>
    <t>AT3120</t>
  </si>
  <si>
    <t>GK3121</t>
  </si>
  <si>
    <t>IB3147</t>
  </si>
  <si>
    <t>IB3149</t>
  </si>
  <si>
    <t>IB3154</t>
  </si>
  <si>
    <t>IB3157</t>
  </si>
  <si>
    <t>IB3158</t>
  </si>
  <si>
    <t>IB3159</t>
  </si>
  <si>
    <t>IB3160</t>
  </si>
  <si>
    <t>IB3176</t>
  </si>
  <si>
    <t>IB3177</t>
  </si>
  <si>
    <t>IB3178</t>
  </si>
  <si>
    <t>IB3180</t>
  </si>
  <si>
    <t>IB3181</t>
  </si>
  <si>
    <t>IB3185</t>
  </si>
  <si>
    <t>IB3193</t>
  </si>
  <si>
    <t>IB3195</t>
  </si>
  <si>
    <t>IB3198</t>
  </si>
  <si>
    <t>IB3199</t>
  </si>
  <si>
    <t>IB3202</t>
  </si>
  <si>
    <t>IB3203</t>
  </si>
  <si>
    <t>IB3204</t>
  </si>
  <si>
    <t>IB3205</t>
  </si>
  <si>
    <t>IB3206</t>
  </si>
  <si>
    <t>IB3207</t>
  </si>
  <si>
    <t>IB3209</t>
  </si>
  <si>
    <t>AT3252</t>
  </si>
  <si>
    <t>AT3253</t>
  </si>
  <si>
    <t>AT3254</t>
  </si>
  <si>
    <t>AT3256</t>
  </si>
  <si>
    <t>AT3257</t>
  </si>
  <si>
    <t>TX3258</t>
  </si>
  <si>
    <t>TX3259</t>
  </si>
  <si>
    <t>TX3260</t>
  </si>
  <si>
    <t>TX3261</t>
  </si>
  <si>
    <t>TX3262</t>
  </si>
  <si>
    <t>CG3263</t>
  </si>
  <si>
    <t>AY3264</t>
  </si>
  <si>
    <t>NG3265</t>
  </si>
  <si>
    <t>SL3266</t>
  </si>
  <si>
    <t>LT3267</t>
  </si>
  <si>
    <t>TG3268</t>
  </si>
  <si>
    <t>TG3269</t>
  </si>
  <si>
    <t>TG3270</t>
  </si>
  <si>
    <t>BA3271</t>
  </si>
  <si>
    <t>MG3272</t>
  </si>
  <si>
    <t>IB3273</t>
  </si>
  <si>
    <t>IB3274</t>
  </si>
  <si>
    <t>ME3276</t>
  </si>
  <si>
    <t>IB3277</t>
  </si>
  <si>
    <t>JH3278</t>
  </si>
  <si>
    <t>JH3279</t>
  </si>
  <si>
    <t>FJ3280</t>
  </si>
  <si>
    <t>FJ3281</t>
  </si>
  <si>
    <t>FJ3282</t>
  </si>
  <si>
    <t>SA3288</t>
  </si>
  <si>
    <t>MK3290</t>
  </si>
  <si>
    <t>JH3291</t>
  </si>
  <si>
    <t>JH3292</t>
  </si>
  <si>
    <t>JH3293</t>
  </si>
  <si>
    <t>JH3295</t>
  </si>
  <si>
    <t>JH3296</t>
  </si>
  <si>
    <t>JH3297</t>
  </si>
  <si>
    <t>JH3298</t>
  </si>
  <si>
    <t>JH3299</t>
  </si>
  <si>
    <t>DN3300</t>
  </si>
  <si>
    <t>DN3301</t>
  </si>
  <si>
    <t>GK3302</t>
  </si>
  <si>
    <t>GK3303</t>
  </si>
  <si>
    <t>GK3304</t>
  </si>
  <si>
    <t>KN3305</t>
  </si>
  <si>
    <t>KN3306</t>
  </si>
  <si>
    <t>KN3307</t>
  </si>
  <si>
    <t>SO3312</t>
  </si>
  <si>
    <t>SO3313</t>
  </si>
  <si>
    <t>CA3314</t>
  </si>
  <si>
    <t>CA3315</t>
  </si>
  <si>
    <t>IB3316</t>
  </si>
  <si>
    <t>IB3317</t>
  </si>
  <si>
    <t>CK3318</t>
  </si>
  <si>
    <t>CK3319</t>
  </si>
  <si>
    <t>TG3320</t>
  </si>
  <si>
    <t>TG3321</t>
  </si>
  <si>
    <t>TG3322</t>
  </si>
  <si>
    <t>MN3327</t>
  </si>
  <si>
    <t>MN3328</t>
  </si>
  <si>
    <t>MN3329</t>
  </si>
  <si>
    <t>NO3330</t>
  </si>
  <si>
    <t>NO3331</t>
  </si>
  <si>
    <t>NO3333</t>
  </si>
  <si>
    <t>NO3334</t>
  </si>
  <si>
    <t>NO3335</t>
  </si>
  <si>
    <t>NO3336</t>
  </si>
  <si>
    <t>NO3337</t>
  </si>
  <si>
    <t>NO3338</t>
  </si>
  <si>
    <t>NO3339</t>
  </si>
  <si>
    <t>UK3340</t>
  </si>
  <si>
    <t>Gilgit</t>
  </si>
  <si>
    <t>KX3341</t>
  </si>
  <si>
    <t>KX3342</t>
  </si>
  <si>
    <t>AE3344</t>
  </si>
  <si>
    <t>GR3345</t>
  </si>
  <si>
    <t>CL3346</t>
  </si>
  <si>
    <t>CL3347</t>
  </si>
  <si>
    <t>CL3348</t>
  </si>
  <si>
    <t>NO3349</t>
  </si>
  <si>
    <t>SB3351</t>
  </si>
  <si>
    <t>SB3352</t>
  </si>
  <si>
    <t>GG3353</t>
  </si>
  <si>
    <t>GG3354</t>
  </si>
  <si>
    <t>GG3355</t>
  </si>
  <si>
    <t>GG3356</t>
  </si>
  <si>
    <t>GG3357</t>
  </si>
  <si>
    <t>GG3358</t>
  </si>
  <si>
    <t>GG3359</t>
  </si>
  <si>
    <t>US3360</t>
  </si>
  <si>
    <t>Skardu</t>
  </si>
  <si>
    <t>US3362</t>
  </si>
  <si>
    <t>US3363</t>
  </si>
  <si>
    <t>US3364</t>
  </si>
  <si>
    <t>US3365</t>
  </si>
  <si>
    <t>US3366</t>
  </si>
  <si>
    <t>AB3367</t>
  </si>
  <si>
    <t>AB3368</t>
  </si>
  <si>
    <t>AB3369</t>
  </si>
  <si>
    <t>AB3370</t>
  </si>
  <si>
    <t>AB3371</t>
  </si>
  <si>
    <t>AB3372</t>
  </si>
  <si>
    <t>MS3373</t>
  </si>
  <si>
    <t>BT3374</t>
  </si>
  <si>
    <t>GB3375</t>
  </si>
  <si>
    <t>ME3376</t>
  </si>
  <si>
    <t>HP3377</t>
  </si>
  <si>
    <t>HP3378</t>
  </si>
  <si>
    <t>HP3379</t>
  </si>
  <si>
    <t>HP3380</t>
  </si>
  <si>
    <t>HS3381</t>
  </si>
  <si>
    <t>HS3382</t>
  </si>
  <si>
    <t>HV3383</t>
  </si>
  <si>
    <t>HV3384</t>
  </si>
  <si>
    <t>HV3385</t>
  </si>
  <si>
    <t>LT3386</t>
  </si>
  <si>
    <t>ME3387</t>
  </si>
  <si>
    <t>ME3389</t>
  </si>
  <si>
    <t>NG3390</t>
  </si>
  <si>
    <t>AB3391</t>
  </si>
  <si>
    <t>RT3392</t>
  </si>
  <si>
    <t>RT3393</t>
  </si>
  <si>
    <t>RT3394</t>
  </si>
  <si>
    <t>HP3395</t>
  </si>
  <si>
    <t>TR3396</t>
  </si>
  <si>
    <t>TN3397</t>
  </si>
  <si>
    <t>WH3398</t>
  </si>
  <si>
    <t>WH3400</t>
  </si>
  <si>
    <t>WH3401</t>
  </si>
  <si>
    <t>WH3402</t>
  </si>
  <si>
    <t>2Q3404</t>
  </si>
  <si>
    <t>2Q3405</t>
  </si>
  <si>
    <t>2Q3406</t>
  </si>
  <si>
    <t>2R3407</t>
  </si>
  <si>
    <t>2R3410</t>
  </si>
  <si>
    <t>2L3411</t>
  </si>
  <si>
    <t>2L3412</t>
  </si>
  <si>
    <t>2L3413</t>
  </si>
  <si>
    <t>2L3414</t>
  </si>
  <si>
    <t>2L3416</t>
  </si>
  <si>
    <t>2N3425</t>
  </si>
  <si>
    <t>2N3426</t>
  </si>
  <si>
    <t>2N3427</t>
  </si>
  <si>
    <t>2N3435</t>
  </si>
  <si>
    <t>2N3436</t>
  </si>
  <si>
    <t>2N3437</t>
  </si>
  <si>
    <t>2N3438</t>
  </si>
  <si>
    <t>2N3440</t>
  </si>
  <si>
    <t>2N3441</t>
  </si>
  <si>
    <t>2N3442</t>
  </si>
  <si>
    <t>2O3458</t>
  </si>
  <si>
    <t>2O3459</t>
  </si>
  <si>
    <t>2O3460</t>
  </si>
  <si>
    <t>2O3461</t>
  </si>
  <si>
    <t>2P3464</t>
  </si>
  <si>
    <t>2P3465</t>
  </si>
  <si>
    <t>2Q3466</t>
  </si>
  <si>
    <t>2Q3467</t>
  </si>
  <si>
    <t>2R3468</t>
  </si>
  <si>
    <t>2T3530</t>
  </si>
  <si>
    <t>2T3532</t>
  </si>
  <si>
    <t>2T3533</t>
  </si>
  <si>
    <t>2T3534</t>
  </si>
  <si>
    <t>2U3544</t>
  </si>
  <si>
    <t>2V3574</t>
  </si>
  <si>
    <t>2V3575</t>
  </si>
  <si>
    <t>2V3576</t>
  </si>
  <si>
    <t>2Y3606</t>
  </si>
  <si>
    <t>2Y3607</t>
  </si>
  <si>
    <t>2Y3623</t>
  </si>
  <si>
    <t>3A3642</t>
  </si>
  <si>
    <t>3A3643</t>
  </si>
  <si>
    <t>3A3644</t>
  </si>
  <si>
    <t>3A3645</t>
  </si>
  <si>
    <t>3A3646</t>
  </si>
  <si>
    <t>3A3647</t>
  </si>
  <si>
    <t>3A3648</t>
  </si>
  <si>
    <t>3A3649</t>
  </si>
  <si>
    <t>3B3655</t>
  </si>
  <si>
    <t>3B3656</t>
  </si>
  <si>
    <t>3B3657</t>
  </si>
  <si>
    <t>3D3713</t>
  </si>
  <si>
    <t>3F3718</t>
  </si>
  <si>
    <t>3F3719</t>
  </si>
  <si>
    <t>3F3720</t>
  </si>
  <si>
    <t>3F3721</t>
  </si>
  <si>
    <t>3F3722</t>
  </si>
  <si>
    <t>3G3729</t>
  </si>
  <si>
    <t>3G3730</t>
  </si>
  <si>
    <t>3G3731</t>
  </si>
  <si>
    <t>3G3732</t>
  </si>
  <si>
    <t>3G3733</t>
  </si>
  <si>
    <t>3G3734</t>
  </si>
  <si>
    <t>3G3735</t>
  </si>
  <si>
    <t>3G3736</t>
  </si>
  <si>
    <t>3G3737</t>
  </si>
  <si>
    <t>3G3738</t>
  </si>
  <si>
    <t>3H3739</t>
  </si>
  <si>
    <t>3H3740</t>
  </si>
  <si>
    <t>KN3890</t>
  </si>
  <si>
    <t>TX3897</t>
  </si>
  <si>
    <t>KN4194</t>
  </si>
  <si>
    <t>KN4195</t>
  </si>
  <si>
    <t>KN4196</t>
  </si>
  <si>
    <t>RW4300</t>
  </si>
  <si>
    <t>BJ4302</t>
  </si>
  <si>
    <t>HJ4305</t>
  </si>
  <si>
    <t>MQ4306</t>
  </si>
  <si>
    <t>AB4308</t>
  </si>
  <si>
    <t>CD4312</t>
  </si>
  <si>
    <t>GM4316</t>
  </si>
  <si>
    <t>GM4317</t>
  </si>
  <si>
    <t>ME4321</t>
  </si>
  <si>
    <t>AB4323</t>
  </si>
  <si>
    <t>ZM4328</t>
  </si>
  <si>
    <t>ZM4329</t>
  </si>
  <si>
    <t>ZM4330</t>
  </si>
  <si>
    <t>ZM4331</t>
  </si>
  <si>
    <t>ZM4332</t>
  </si>
  <si>
    <t>WN4359</t>
  </si>
  <si>
    <t>DA4360</t>
  </si>
  <si>
    <t>BG4801</t>
  </si>
  <si>
    <t>BJ4802</t>
  </si>
  <si>
    <t>BB4803</t>
  </si>
  <si>
    <t>BB4804</t>
  </si>
  <si>
    <t>DY4805</t>
  </si>
  <si>
    <t>DY4806</t>
  </si>
  <si>
    <t>DY4807</t>
  </si>
  <si>
    <t>DY4808</t>
  </si>
  <si>
    <t>HJ4809</t>
  </si>
  <si>
    <t>KJ4810</t>
  </si>
  <si>
    <t>KJ4811</t>
  </si>
  <si>
    <t>KJ4812</t>
  </si>
  <si>
    <t>KJ4813</t>
  </si>
  <si>
    <t>MQ4814</t>
  </si>
  <si>
    <t>MV4815</t>
  </si>
  <si>
    <t>MJ4816</t>
  </si>
  <si>
    <t>MJ4817</t>
  </si>
  <si>
    <t>MJ4818</t>
  </si>
  <si>
    <t>MJ4819</t>
  </si>
  <si>
    <t>MJ4820</t>
  </si>
  <si>
    <t>MJ4822</t>
  </si>
  <si>
    <t>PL4823</t>
  </si>
  <si>
    <t>RW4824</t>
  </si>
  <si>
    <t>BO4825</t>
  </si>
  <si>
    <t>BT4826</t>
  </si>
  <si>
    <t>CA4827</t>
  </si>
  <si>
    <t>GT4828</t>
  </si>
  <si>
    <t>HD4829</t>
  </si>
  <si>
    <t>ZM4830</t>
  </si>
  <si>
    <t>ZM4831</t>
  </si>
  <si>
    <t>ZM4832</t>
  </si>
  <si>
    <t>TN4833</t>
  </si>
  <si>
    <t>ZM4834</t>
  </si>
  <si>
    <t>NO4928</t>
  </si>
  <si>
    <t>NO4929</t>
  </si>
  <si>
    <t>CD4930</t>
  </si>
  <si>
    <t>CD4931</t>
  </si>
  <si>
    <t>NO4932</t>
  </si>
  <si>
    <t>PS4963</t>
  </si>
  <si>
    <t>AK4972</t>
  </si>
  <si>
    <t>LN4977</t>
  </si>
  <si>
    <t>TK4982</t>
  </si>
  <si>
    <t>AB5051</t>
  </si>
  <si>
    <t>AB5052</t>
  </si>
  <si>
    <t>AB5053</t>
  </si>
  <si>
    <t>AB5054</t>
  </si>
  <si>
    <t>HP5055</t>
  </si>
  <si>
    <t>HP5056</t>
  </si>
  <si>
    <t>HP5057</t>
  </si>
  <si>
    <t>AB5059</t>
  </si>
  <si>
    <t>AB5067</t>
  </si>
  <si>
    <t>MN5201</t>
  </si>
  <si>
    <t>MN5202</t>
  </si>
  <si>
    <t>MN5203</t>
  </si>
  <si>
    <t>MN5204</t>
  </si>
  <si>
    <t>TP5205</t>
  </si>
  <si>
    <t>035327</t>
  </si>
  <si>
    <t>715448</t>
  </si>
  <si>
    <t>WW5468</t>
  </si>
  <si>
    <t>WW5477</t>
  </si>
  <si>
    <t>WW5480</t>
  </si>
  <si>
    <t>WW5485</t>
  </si>
  <si>
    <t>WW5494</t>
  </si>
  <si>
    <t>WW5495</t>
  </si>
  <si>
    <t>SB5506</t>
  </si>
  <si>
    <t>BN5511</t>
  </si>
  <si>
    <t>CK5519</t>
  </si>
  <si>
    <t>CK5520</t>
  </si>
  <si>
    <t>CK5521</t>
  </si>
  <si>
    <t>KO5545</t>
  </si>
  <si>
    <t>KO5546</t>
  </si>
  <si>
    <t>LW5549</t>
  </si>
  <si>
    <t>MS5554</t>
  </si>
  <si>
    <t>MS5555</t>
  </si>
  <si>
    <t>KO5644</t>
  </si>
  <si>
    <t>BN5749</t>
  </si>
  <si>
    <t>CK5755</t>
  </si>
  <si>
    <t>KO5769</t>
  </si>
  <si>
    <t>LW5770</t>
  </si>
  <si>
    <t>MS5771</t>
  </si>
  <si>
    <t>BG5800</t>
  </si>
  <si>
    <t>BO5801</t>
  </si>
  <si>
    <t>BO5802</t>
  </si>
  <si>
    <t>BT5804</t>
  </si>
  <si>
    <t>ZM5805</t>
  </si>
  <si>
    <t>ZM5806</t>
  </si>
  <si>
    <t>RW5807</t>
  </si>
  <si>
    <t>RW5808</t>
  </si>
  <si>
    <t>IB3095</t>
  </si>
  <si>
    <t>IB0025</t>
  </si>
  <si>
    <t>MV3840</t>
  </si>
  <si>
    <t>MN3937</t>
  </si>
  <si>
    <t>2N3428</t>
  </si>
  <si>
    <t>3B3666</t>
  </si>
  <si>
    <t>BN2877</t>
  </si>
  <si>
    <t>2Y3620</t>
  </si>
  <si>
    <t>2Y3619</t>
  </si>
  <si>
    <t>BN2878</t>
  </si>
  <si>
    <t>2M3421</t>
  </si>
  <si>
    <t>2M3420</t>
  </si>
  <si>
    <t>2M3419</t>
  </si>
  <si>
    <t>2Y3621</t>
  </si>
  <si>
    <t>2Y3622</t>
  </si>
  <si>
    <t>782451</t>
  </si>
  <si>
    <t>BO2874</t>
  </si>
  <si>
    <t>GM2892</t>
  </si>
  <si>
    <t>WW5496</t>
  </si>
  <si>
    <t>RR0910</t>
  </si>
  <si>
    <t>RR5326</t>
  </si>
  <si>
    <t>RR0903</t>
  </si>
  <si>
    <t>RR0935</t>
  </si>
  <si>
    <t>RR0900</t>
  </si>
  <si>
    <t>RR0929</t>
  </si>
  <si>
    <t>RR0930</t>
  </si>
  <si>
    <t>RR5327</t>
  </si>
  <si>
    <t>RR0914</t>
  </si>
  <si>
    <t>RR0902</t>
  </si>
  <si>
    <t>RR0906</t>
  </si>
  <si>
    <t>RR0919</t>
  </si>
  <si>
    <t>RR0920</t>
  </si>
  <si>
    <t>RR0907</t>
  </si>
  <si>
    <t>RR0901</t>
  </si>
  <si>
    <t>RR5342</t>
  </si>
  <si>
    <t>RR0904</t>
  </si>
  <si>
    <t>RR0905</t>
  </si>
  <si>
    <t>RR0917</t>
  </si>
  <si>
    <t>RR0918</t>
  </si>
  <si>
    <t>otabad</t>
  </si>
  <si>
    <t>Attock</t>
  </si>
  <si>
    <t xml:space="preserve"> Bannu</t>
  </si>
  <si>
    <t>isryal</t>
  </si>
  <si>
    <t xml:space="preserve"> Kohat</t>
  </si>
  <si>
    <t>ingora</t>
  </si>
  <si>
    <t>wshera</t>
  </si>
  <si>
    <t>shawar</t>
  </si>
  <si>
    <t>d IBA1</t>
  </si>
  <si>
    <t>d S/TN</t>
  </si>
  <si>
    <t>r Khan</t>
  </si>
  <si>
    <t>harian</t>
  </si>
  <si>
    <t>HY2630</t>
  </si>
  <si>
    <t>HY2631</t>
  </si>
  <si>
    <t>HY2632</t>
  </si>
  <si>
    <t>KT2635</t>
  </si>
  <si>
    <t>KT2637</t>
  </si>
  <si>
    <t>KT2639</t>
  </si>
  <si>
    <t>IM2640</t>
  </si>
  <si>
    <t>Thatta</t>
  </si>
  <si>
    <t>BD2642</t>
  </si>
  <si>
    <t>TT2648</t>
  </si>
  <si>
    <t>MP2649</t>
  </si>
  <si>
    <t>DB2652</t>
  </si>
  <si>
    <t>BD2653</t>
  </si>
  <si>
    <t>TT2656</t>
  </si>
  <si>
    <t>NF2657</t>
  </si>
  <si>
    <t>Sukkur</t>
  </si>
  <si>
    <t>BD2658</t>
  </si>
  <si>
    <t>BD2659</t>
  </si>
  <si>
    <t>BD2663</t>
  </si>
  <si>
    <t>MP2664</t>
  </si>
  <si>
    <t>MP2665</t>
  </si>
  <si>
    <t>MP2666</t>
  </si>
  <si>
    <t>MP2667</t>
  </si>
  <si>
    <t>HY2668</t>
  </si>
  <si>
    <t>HY2670</t>
  </si>
  <si>
    <t>TT2671</t>
  </si>
  <si>
    <t>KA2673</t>
  </si>
  <si>
    <t>KA2674</t>
  </si>
  <si>
    <t>TT2682</t>
  </si>
  <si>
    <t>TT2683</t>
  </si>
  <si>
    <t>BD2684</t>
  </si>
  <si>
    <t>BD2685</t>
  </si>
  <si>
    <t>BD2687</t>
  </si>
  <si>
    <t>MP2689</t>
  </si>
  <si>
    <t>MP2690</t>
  </si>
  <si>
    <t>HY2694</t>
  </si>
  <si>
    <t>TT2696</t>
  </si>
  <si>
    <t>3J3568</t>
  </si>
  <si>
    <t>3J3569</t>
  </si>
  <si>
    <t>3J3570</t>
  </si>
  <si>
    <t>3L3572</t>
  </si>
  <si>
    <t>3K3651</t>
  </si>
  <si>
    <t>3K3653</t>
  </si>
  <si>
    <t>3L3687</t>
  </si>
  <si>
    <t>3L3689</t>
  </si>
  <si>
    <t>3L3690</t>
  </si>
  <si>
    <t>3L3691</t>
  </si>
  <si>
    <t>3L3692</t>
  </si>
  <si>
    <t>3L3694</t>
  </si>
  <si>
    <t>3M3762</t>
  </si>
  <si>
    <t>3M3764</t>
  </si>
  <si>
    <t>3M3767</t>
  </si>
  <si>
    <t>3N3770</t>
  </si>
  <si>
    <t>3N3771</t>
  </si>
  <si>
    <t>3N3772</t>
  </si>
  <si>
    <t>3N3773</t>
  </si>
  <si>
    <t>3N3774</t>
  </si>
  <si>
    <t>063855</t>
  </si>
  <si>
    <t>HY3857</t>
  </si>
  <si>
    <t>RY4553</t>
  </si>
  <si>
    <t>RY4554</t>
  </si>
  <si>
    <t>RY4556</t>
  </si>
  <si>
    <t>SU4601</t>
  </si>
  <si>
    <t>SU4602</t>
  </si>
  <si>
    <t>SU4603</t>
  </si>
  <si>
    <t>SU4604</t>
  </si>
  <si>
    <t>SU4605</t>
  </si>
  <si>
    <t>SU4606</t>
  </si>
  <si>
    <t>SU4607</t>
  </si>
  <si>
    <t>CO4608</t>
  </si>
  <si>
    <t>LO4609</t>
  </si>
  <si>
    <t>LO4610</t>
  </si>
  <si>
    <t>SU4611</t>
  </si>
  <si>
    <t>HY4651</t>
  </si>
  <si>
    <t>HY4652</t>
  </si>
  <si>
    <t>HY4653</t>
  </si>
  <si>
    <t>HY4654</t>
  </si>
  <si>
    <t>HY4655</t>
  </si>
  <si>
    <t>HY4656</t>
  </si>
  <si>
    <t>HY4657</t>
  </si>
  <si>
    <t>HY4658</t>
  </si>
  <si>
    <t>HY4659</t>
  </si>
  <si>
    <t>HY4660</t>
  </si>
  <si>
    <t>HY4661</t>
  </si>
  <si>
    <t>HY4662</t>
  </si>
  <si>
    <t>HY4663</t>
  </si>
  <si>
    <t>KT4664</t>
  </si>
  <si>
    <t>TT4665</t>
  </si>
  <si>
    <t>HY4666</t>
  </si>
  <si>
    <t>HY4667</t>
  </si>
  <si>
    <t>HY4668</t>
  </si>
  <si>
    <t>HY4669</t>
  </si>
  <si>
    <t>HY4670</t>
  </si>
  <si>
    <t>HY4671</t>
  </si>
  <si>
    <t>HY4672</t>
  </si>
  <si>
    <t>HY4673</t>
  </si>
  <si>
    <t>HY4674</t>
  </si>
  <si>
    <t>HY4675</t>
  </si>
  <si>
    <t>HY4676</t>
  </si>
  <si>
    <t>HY4677</t>
  </si>
  <si>
    <t>HY4678</t>
  </si>
  <si>
    <t>HY4679</t>
  </si>
  <si>
    <t>HY4680</t>
  </si>
  <si>
    <t>HY4681</t>
  </si>
  <si>
    <t>HY4682</t>
  </si>
  <si>
    <t>HY4684</t>
  </si>
  <si>
    <t>HY4685</t>
  </si>
  <si>
    <t>HY4686</t>
  </si>
  <si>
    <t>HY4687</t>
  </si>
  <si>
    <t>HY4688</t>
  </si>
  <si>
    <t>HY4689</t>
  </si>
  <si>
    <t>HY4690</t>
  </si>
  <si>
    <t>HY4691</t>
  </si>
  <si>
    <t>HY4692</t>
  </si>
  <si>
    <t>TT4693</t>
  </si>
  <si>
    <t>QU4751</t>
  </si>
  <si>
    <t>Quetta</t>
  </si>
  <si>
    <t>QU4752</t>
  </si>
  <si>
    <t>QU4753</t>
  </si>
  <si>
    <t>QU4754</t>
  </si>
  <si>
    <t>QU4755</t>
  </si>
  <si>
    <t>QU4756</t>
  </si>
  <si>
    <t>QU4757</t>
  </si>
  <si>
    <t>QU4758</t>
  </si>
  <si>
    <t>QU4759</t>
  </si>
  <si>
    <t>QU4760</t>
  </si>
  <si>
    <t>QU4761</t>
  </si>
  <si>
    <t>QU4762</t>
  </si>
  <si>
    <t>QU4763</t>
  </si>
  <si>
    <t>QU4764</t>
  </si>
  <si>
    <t>QU4765</t>
  </si>
  <si>
    <t>QU4766</t>
  </si>
  <si>
    <t>QU4767</t>
  </si>
  <si>
    <t>QU4768</t>
  </si>
  <si>
    <t>QU4769</t>
  </si>
  <si>
    <t>QU4770</t>
  </si>
  <si>
    <t>QU4771</t>
  </si>
  <si>
    <t>QU4772</t>
  </si>
  <si>
    <t>QU4773</t>
  </si>
  <si>
    <t>QU4774</t>
  </si>
  <si>
    <t>QU4775</t>
  </si>
  <si>
    <t>QU4776</t>
  </si>
  <si>
    <t>QU4777</t>
  </si>
  <si>
    <t>QU4778</t>
  </si>
  <si>
    <t>QU4779</t>
  </si>
  <si>
    <t>QU4780</t>
  </si>
  <si>
    <t>QU4781</t>
  </si>
  <si>
    <t>QU4782</t>
  </si>
  <si>
    <t>QU4783</t>
  </si>
  <si>
    <t>QU4784</t>
  </si>
  <si>
    <t>QU4785</t>
  </si>
  <si>
    <t>QU4786</t>
  </si>
  <si>
    <t>QU4787</t>
  </si>
  <si>
    <t>QU4788</t>
  </si>
  <si>
    <t>QU4789</t>
  </si>
  <si>
    <t>QU4790</t>
  </si>
  <si>
    <t>QU4791</t>
  </si>
  <si>
    <t>QU4792</t>
  </si>
  <si>
    <t>QU4793</t>
  </si>
  <si>
    <t>QU4794</t>
  </si>
  <si>
    <t>TT5155</t>
  </si>
  <si>
    <t>TT5157</t>
  </si>
  <si>
    <t>O65237</t>
  </si>
  <si>
    <t>THATTA</t>
  </si>
  <si>
    <t>O65331</t>
  </si>
  <si>
    <t>BD5646</t>
  </si>
  <si>
    <t>BD5647</t>
  </si>
  <si>
    <t>CM5648</t>
  </si>
  <si>
    <t>CM5649</t>
  </si>
  <si>
    <t>DD5650</t>
  </si>
  <si>
    <t>DH5652</t>
  </si>
  <si>
    <t>DO5666</t>
  </si>
  <si>
    <t>GY5668</t>
  </si>
  <si>
    <t>GH5669</t>
  </si>
  <si>
    <t>GD5675</t>
  </si>
  <si>
    <t>GD5676</t>
  </si>
  <si>
    <t>JB5684</t>
  </si>
  <si>
    <t>KE5686</t>
  </si>
  <si>
    <t>KP5687</t>
  </si>
  <si>
    <t>KP5688</t>
  </si>
  <si>
    <t>KH5689</t>
  </si>
  <si>
    <t>KH5690</t>
  </si>
  <si>
    <t>KL5691</t>
  </si>
  <si>
    <t>LK5692</t>
  </si>
  <si>
    <t>LK5693</t>
  </si>
  <si>
    <t>LK5694</t>
  </si>
  <si>
    <t>MP5695</t>
  </si>
  <si>
    <t>MP5696</t>
  </si>
  <si>
    <t>MP5697</t>
  </si>
  <si>
    <t>NF5698</t>
  </si>
  <si>
    <t>NS5699</t>
  </si>
  <si>
    <t>NS5700</t>
  </si>
  <si>
    <t>NS5701</t>
  </si>
  <si>
    <t>PA5702</t>
  </si>
  <si>
    <t>PN5703</t>
  </si>
  <si>
    <t>PI5704</t>
  </si>
  <si>
    <t>425709</t>
  </si>
  <si>
    <t>QS5710</t>
  </si>
  <si>
    <t>RD5711</t>
  </si>
  <si>
    <t>SQ5712</t>
  </si>
  <si>
    <t>SQ5713</t>
  </si>
  <si>
    <t>SQ5714</t>
  </si>
  <si>
    <t>SN5715</t>
  </si>
  <si>
    <t>SD5716</t>
  </si>
  <si>
    <t>SR5717</t>
  </si>
  <si>
    <t>SR5718</t>
  </si>
  <si>
    <t>TY5719</t>
  </si>
  <si>
    <t>KK5720</t>
  </si>
  <si>
    <t>TH5721</t>
  </si>
  <si>
    <t>TB5722</t>
  </si>
  <si>
    <t>TB5723</t>
  </si>
  <si>
    <t>KZ5724</t>
  </si>
  <si>
    <t>DR5725</t>
  </si>
  <si>
    <t>MO5726</t>
  </si>
  <si>
    <t>KI5727</t>
  </si>
  <si>
    <t>HG5728</t>
  </si>
  <si>
    <t>RP5729</t>
  </si>
  <si>
    <t>MM5732</t>
  </si>
  <si>
    <t>UB5733</t>
  </si>
  <si>
    <t>TA5734</t>
  </si>
  <si>
    <t>RS5735</t>
  </si>
  <si>
    <t>HA5736</t>
  </si>
  <si>
    <t>TM5737</t>
  </si>
  <si>
    <t>DD5780</t>
  </si>
  <si>
    <t>JB5781</t>
  </si>
  <si>
    <t>KK5782</t>
  </si>
  <si>
    <t>NF5783</t>
  </si>
  <si>
    <t>NS5784</t>
  </si>
  <si>
    <t>PA5785</t>
  </si>
  <si>
    <t>SQ5786</t>
  </si>
  <si>
    <t>SN5787</t>
  </si>
  <si>
    <t>SR5788</t>
  </si>
  <si>
    <t>TY5789</t>
  </si>
  <si>
    <t>MI5792</t>
  </si>
  <si>
    <t>HA5793</t>
  </si>
  <si>
    <t>SE5794</t>
  </si>
  <si>
    <t>RS5795</t>
  </si>
  <si>
    <t>BM5828</t>
  </si>
  <si>
    <t>AS5829</t>
  </si>
  <si>
    <t>JA5830</t>
  </si>
  <si>
    <t>JE5831</t>
  </si>
  <si>
    <t>AA5844</t>
  </si>
  <si>
    <t>RO5845</t>
  </si>
  <si>
    <t>UD5848</t>
  </si>
  <si>
    <t>TB5855</t>
  </si>
  <si>
    <t>TB5856</t>
  </si>
  <si>
    <t>PN5857</t>
  </si>
  <si>
    <t>GD5858</t>
  </si>
  <si>
    <t>GD5859</t>
  </si>
  <si>
    <t>GH5876</t>
  </si>
  <si>
    <t>GD5878</t>
  </si>
  <si>
    <t>GD5879</t>
  </si>
  <si>
    <t>GD5880</t>
  </si>
  <si>
    <t>GD5881</t>
  </si>
  <si>
    <t>GD5882</t>
  </si>
  <si>
    <t>PN5906</t>
  </si>
  <si>
    <t>PN5907</t>
  </si>
  <si>
    <t>PN5908</t>
  </si>
  <si>
    <t>QS5909</t>
  </si>
  <si>
    <t>QS5910</t>
  </si>
  <si>
    <t>RY5911</t>
  </si>
  <si>
    <t>RY5912</t>
  </si>
  <si>
    <t>RY5913</t>
  </si>
  <si>
    <t>RY5914</t>
  </si>
  <si>
    <t>SQ5915</t>
  </si>
  <si>
    <t>TB5921</t>
  </si>
  <si>
    <t>TB5922</t>
  </si>
  <si>
    <t>TB5923</t>
  </si>
  <si>
    <t>TB5924</t>
  </si>
  <si>
    <t>TB5925</t>
  </si>
  <si>
    <t>NF5941</t>
  </si>
  <si>
    <t>HA5942</t>
  </si>
  <si>
    <t>KK5946</t>
  </si>
  <si>
    <t>KL5947</t>
  </si>
  <si>
    <t>SR5952</t>
  </si>
  <si>
    <t>NK5954</t>
  </si>
  <si>
    <t>KJ5960</t>
  </si>
  <si>
    <t>BM5962</t>
  </si>
  <si>
    <t>KJ5963</t>
  </si>
  <si>
    <t>KJ5964</t>
  </si>
  <si>
    <t>SR5965</t>
  </si>
  <si>
    <t>SR5966</t>
  </si>
  <si>
    <t>MR5969</t>
  </si>
  <si>
    <t>MR5970</t>
  </si>
  <si>
    <t>ND5971</t>
  </si>
  <si>
    <t>ND5972</t>
  </si>
  <si>
    <t>ND5973</t>
  </si>
  <si>
    <t>ND5974</t>
  </si>
  <si>
    <t>ND5975</t>
  </si>
  <si>
    <t>DD5976</t>
  </si>
  <si>
    <t>SU5983</t>
  </si>
  <si>
    <t>SU5984</t>
  </si>
  <si>
    <t>SU5985</t>
  </si>
  <si>
    <t>HA5986</t>
  </si>
  <si>
    <t>HA5987</t>
  </si>
  <si>
    <t>NS5988</t>
  </si>
  <si>
    <t>NS5990</t>
  </si>
  <si>
    <t>SQ5993</t>
  </si>
  <si>
    <t>RY6002</t>
  </si>
  <si>
    <t>SU6003</t>
  </si>
  <si>
    <t>SU6010</t>
  </si>
  <si>
    <t>MO6022</t>
  </si>
  <si>
    <t>TA6024</t>
  </si>
  <si>
    <t>DD6026</t>
  </si>
  <si>
    <t>KH6035</t>
  </si>
  <si>
    <t>KH6036</t>
  </si>
  <si>
    <t>SR6037</t>
  </si>
  <si>
    <t>CM6038</t>
  </si>
  <si>
    <t>CM6039</t>
  </si>
  <si>
    <t>CM6040</t>
  </si>
  <si>
    <t>DD6050</t>
  </si>
  <si>
    <t>DD6052</t>
  </si>
  <si>
    <t>DH6054</t>
  </si>
  <si>
    <t>NS6061</t>
  </si>
  <si>
    <t>RP6078</t>
  </si>
  <si>
    <t>TB6081</t>
  </si>
  <si>
    <t>TB6082</t>
  </si>
  <si>
    <t>TB6083</t>
  </si>
  <si>
    <t>KA6084</t>
  </si>
  <si>
    <t>KA6085</t>
  </si>
  <si>
    <t>HA6087</t>
  </si>
  <si>
    <t>SN6092</t>
  </si>
  <si>
    <t>JB6094</t>
  </si>
  <si>
    <t>JB6095</t>
  </si>
  <si>
    <t>JB6096</t>
  </si>
  <si>
    <t>NS6097</t>
  </si>
  <si>
    <t>LP6101</t>
  </si>
  <si>
    <t>JB6103</t>
  </si>
  <si>
    <t>GD6115</t>
  </si>
  <si>
    <t>DD6116</t>
  </si>
  <si>
    <t>QU6121</t>
  </si>
  <si>
    <t>LK6122</t>
  </si>
  <si>
    <t>LK6123</t>
  </si>
  <si>
    <t>LK6124</t>
  </si>
  <si>
    <t>KK6125</t>
  </si>
  <si>
    <t>SN6128</t>
  </si>
  <si>
    <t>KE6130</t>
  </si>
  <si>
    <t>KP6134</t>
  </si>
  <si>
    <t>KP6135</t>
  </si>
  <si>
    <t>KH6138</t>
  </si>
  <si>
    <t>QU6139</t>
  </si>
  <si>
    <t>QU6140</t>
  </si>
  <si>
    <t>QU6143</t>
  </si>
  <si>
    <t>QU6145</t>
  </si>
  <si>
    <t>QU6146</t>
  </si>
  <si>
    <t>QU6147</t>
  </si>
  <si>
    <t>QU6148</t>
  </si>
  <si>
    <t>QU6149</t>
  </si>
  <si>
    <t>QU6150</t>
  </si>
  <si>
    <t>LK6155</t>
  </si>
  <si>
    <t>LK6157</t>
  </si>
  <si>
    <t>LL6158</t>
  </si>
  <si>
    <t>LL6159</t>
  </si>
  <si>
    <t>LL6160</t>
  </si>
  <si>
    <t>LL6161</t>
  </si>
  <si>
    <t>LL6162</t>
  </si>
  <si>
    <t>PN6164</t>
  </si>
  <si>
    <t>QU6168</t>
  </si>
  <si>
    <t>QU6169</t>
  </si>
  <si>
    <t>QU6170</t>
  </si>
  <si>
    <t>LK6171</t>
  </si>
  <si>
    <t>LK6172</t>
  </si>
  <si>
    <t>RD6175</t>
  </si>
  <si>
    <t>MP6176</t>
  </si>
  <si>
    <t>MP6177</t>
  </si>
  <si>
    <t>MP6178</t>
  </si>
  <si>
    <t>DO6180</t>
  </si>
  <si>
    <t>MO6182</t>
  </si>
  <si>
    <t>QS6185</t>
  </si>
  <si>
    <t>TY6186</t>
  </si>
  <si>
    <t>LK6187</t>
  </si>
  <si>
    <t>NS6189</t>
  </si>
  <si>
    <t>NS6191</t>
  </si>
  <si>
    <t>NS6192</t>
  </si>
  <si>
    <t>QU6195</t>
  </si>
  <si>
    <t>QU6196</t>
  </si>
  <si>
    <t>QU6197</t>
  </si>
  <si>
    <t>NF6200</t>
  </si>
  <si>
    <t>NF6201</t>
  </si>
  <si>
    <t>PA6205</t>
  </si>
  <si>
    <t>KP6208</t>
  </si>
  <si>
    <t>PI6211</t>
  </si>
  <si>
    <t>GD6212</t>
  </si>
  <si>
    <t>GD6213</t>
  </si>
  <si>
    <t>UT6214</t>
  </si>
  <si>
    <t>LL6215</t>
  </si>
  <si>
    <t>QU6218</t>
  </si>
  <si>
    <t>QU6219</t>
  </si>
  <si>
    <t>QU6220</t>
  </si>
  <si>
    <t>QU6221</t>
  </si>
  <si>
    <t>QU6224</t>
  </si>
  <si>
    <t>QU6225</t>
  </si>
  <si>
    <t>QU6226</t>
  </si>
  <si>
    <t>QU6227</t>
  </si>
  <si>
    <t>ND6228</t>
  </si>
  <si>
    <t>RD6232</t>
  </si>
  <si>
    <t>RJ6233</t>
  </si>
  <si>
    <t>RJ6234</t>
  </si>
  <si>
    <t>SR6235</t>
  </si>
  <si>
    <t>SQ6236</t>
  </si>
  <si>
    <t>SQ6237</t>
  </si>
  <si>
    <t>SQ6238</t>
  </si>
  <si>
    <t>SQ6239</t>
  </si>
  <si>
    <t>SN6242</t>
  </si>
  <si>
    <t>SN6243</t>
  </si>
  <si>
    <t>NS6244</t>
  </si>
  <si>
    <t>SE6246</t>
  </si>
  <si>
    <t>RS6248</t>
  </si>
  <si>
    <t>SR6251</t>
  </si>
  <si>
    <t>SR6253</t>
  </si>
  <si>
    <t>QU6261</t>
  </si>
  <si>
    <t>QU6262</t>
  </si>
  <si>
    <t>QU6263</t>
  </si>
  <si>
    <t>QU6265</t>
  </si>
  <si>
    <t>SN6267</t>
  </si>
  <si>
    <t>SN6268</t>
  </si>
  <si>
    <t>LL6270</t>
  </si>
  <si>
    <t>LL6271</t>
  </si>
  <si>
    <t>RP6272</t>
  </si>
  <si>
    <t>SU6273</t>
  </si>
  <si>
    <t>SU6274</t>
  </si>
  <si>
    <t>SU6275</t>
  </si>
  <si>
    <t>SU6276</t>
  </si>
  <si>
    <t>SU6277</t>
  </si>
  <si>
    <t>SU6278</t>
  </si>
  <si>
    <t>SU6279</t>
  </si>
  <si>
    <t>QU6280</t>
  </si>
  <si>
    <t>QU6281</t>
  </si>
  <si>
    <t>TA6284</t>
  </si>
  <si>
    <t>TA6285</t>
  </si>
  <si>
    <t>TY6286</t>
  </si>
  <si>
    <t>TJ6289</t>
  </si>
  <si>
    <t>TM6291</t>
  </si>
  <si>
    <t>RO6292</t>
  </si>
  <si>
    <t>HG6294</t>
  </si>
  <si>
    <t>NF6295</t>
  </si>
  <si>
    <t>UT6300</t>
  </si>
  <si>
    <t>UT6301</t>
  </si>
  <si>
    <t>GA6302</t>
  </si>
  <si>
    <t>GA6303</t>
  </si>
  <si>
    <t>KA6313</t>
  </si>
  <si>
    <t>KH6315</t>
  </si>
  <si>
    <t>KH6316</t>
  </si>
  <si>
    <t>QS6317</t>
  </si>
  <si>
    <t>QS6318</t>
  </si>
  <si>
    <t>KP6450</t>
  </si>
  <si>
    <t>3T6480</t>
  </si>
  <si>
    <t>3T6482</t>
  </si>
  <si>
    <t>3T6483</t>
  </si>
  <si>
    <t>3T6484</t>
  </si>
  <si>
    <t>3T6485</t>
  </si>
  <si>
    <t>3T6486</t>
  </si>
  <si>
    <t>3T6487</t>
  </si>
  <si>
    <t>3T6488</t>
  </si>
  <si>
    <t>3U6490</t>
  </si>
  <si>
    <t>3U6494</t>
  </si>
  <si>
    <t>3U6495</t>
  </si>
  <si>
    <t>3U6496</t>
  </si>
  <si>
    <t>3U6497</t>
  </si>
  <si>
    <t>3U6498</t>
  </si>
  <si>
    <t>3U6499</t>
  </si>
  <si>
    <t>3P6529</t>
  </si>
  <si>
    <t>3P6530</t>
  </si>
  <si>
    <t>TB6607</t>
  </si>
  <si>
    <t>TB6608</t>
  </si>
  <si>
    <t>TB6609</t>
  </si>
  <si>
    <t>QU6611</t>
  </si>
  <si>
    <t>TB6619</t>
  </si>
  <si>
    <t>TB6620</t>
  </si>
  <si>
    <t>RY6668</t>
  </si>
  <si>
    <t>XY6704</t>
  </si>
  <si>
    <t>XY6705</t>
  </si>
  <si>
    <t>XY6706</t>
  </si>
  <si>
    <t>XY6729</t>
  </si>
  <si>
    <t>MM6778</t>
  </si>
  <si>
    <t>SU6779</t>
  </si>
  <si>
    <t>MM6783</t>
  </si>
  <si>
    <t>DH6784</t>
  </si>
  <si>
    <t>GH6800</t>
  </si>
  <si>
    <t>3L3688</t>
  </si>
  <si>
    <t>3I3509</t>
  </si>
  <si>
    <t>HY3953</t>
  </si>
  <si>
    <t>3I3508</t>
  </si>
  <si>
    <t>IS2678</t>
  </si>
  <si>
    <t>HY2647</t>
  </si>
  <si>
    <t>3M3763</t>
  </si>
  <si>
    <t>NF6782</t>
  </si>
  <si>
    <t>MP2676</t>
  </si>
  <si>
    <t>ND6785</t>
  </si>
  <si>
    <t>MP2655</t>
  </si>
  <si>
    <t>DH6775</t>
  </si>
  <si>
    <t>3L3693</t>
  </si>
  <si>
    <t>HY3954</t>
  </si>
  <si>
    <t>SU6489</t>
  </si>
  <si>
    <t>SU6455</t>
  </si>
  <si>
    <t>MM6788</t>
  </si>
  <si>
    <t>826341</t>
  </si>
  <si>
    <t>KK6293</t>
  </si>
  <si>
    <t>TT6774</t>
  </si>
  <si>
    <t>KE6772</t>
  </si>
  <si>
    <t>3I3510</t>
  </si>
  <si>
    <t>3I3511</t>
  </si>
  <si>
    <t>KI6532</t>
  </si>
  <si>
    <t>JB6113</t>
  </si>
  <si>
    <t>3I3513</t>
  </si>
  <si>
    <t>3I3514</t>
  </si>
  <si>
    <t>TB6204</t>
  </si>
  <si>
    <t>TB6202</t>
  </si>
  <si>
    <t>TB6203</t>
  </si>
  <si>
    <t>DD5651</t>
  </si>
  <si>
    <t>3I3515</t>
  </si>
  <si>
    <t>3I3516</t>
  </si>
  <si>
    <t>3I3517</t>
  </si>
  <si>
    <t>IS2645</t>
  </si>
  <si>
    <t>4I3775</t>
  </si>
  <si>
    <t>UT6193</t>
  </si>
  <si>
    <t>3N3769</t>
  </si>
  <si>
    <t>4N6395</t>
  </si>
  <si>
    <t>DH5653</t>
  </si>
  <si>
    <t>GA5667</t>
  </si>
  <si>
    <t>UB5790</t>
  </si>
  <si>
    <t>GH5877</t>
  </si>
  <si>
    <t>NS5989</t>
  </si>
  <si>
    <t>DD6051</t>
  </si>
  <si>
    <t>DH6053</t>
  </si>
  <si>
    <t>DR6060</t>
  </si>
  <si>
    <t>DO6065</t>
  </si>
  <si>
    <t>GY6080</t>
  </si>
  <si>
    <t>JB6114</t>
  </si>
  <si>
    <t>KK6126</t>
  </si>
  <si>
    <t>KI6127</t>
  </si>
  <si>
    <t>KZ6133</t>
  </si>
  <si>
    <t>QU6144</t>
  </si>
  <si>
    <t>NF6188</t>
  </si>
  <si>
    <t>KP6209</t>
  </si>
  <si>
    <t>PI6210</t>
  </si>
  <si>
    <t>SD6247</t>
  </si>
  <si>
    <t>RS6249</t>
  </si>
  <si>
    <t>SR6252</t>
  </si>
  <si>
    <t>TY6287</t>
  </si>
  <si>
    <t>TY6288</t>
  </si>
  <si>
    <t>TJ6290</t>
  </si>
  <si>
    <t>KA3939</t>
  </si>
  <si>
    <t>KA2001</t>
  </si>
  <si>
    <t>KA2002</t>
  </si>
  <si>
    <t>KA2004</t>
  </si>
  <si>
    <t>KA2005</t>
  </si>
  <si>
    <t>KA2006</t>
  </si>
  <si>
    <t>KA2007</t>
  </si>
  <si>
    <t>KA2008</t>
  </si>
  <si>
    <t>KA2009</t>
  </si>
  <si>
    <t>KA2010</t>
  </si>
  <si>
    <t>KA2011</t>
  </si>
  <si>
    <t>KA2012</t>
  </si>
  <si>
    <t>KA2013</t>
  </si>
  <si>
    <t>KA2014</t>
  </si>
  <si>
    <t>KA2015</t>
  </si>
  <si>
    <t>KA2016</t>
  </si>
  <si>
    <t>KA2017</t>
  </si>
  <si>
    <t>KA2018</t>
  </si>
  <si>
    <t>KA2019</t>
  </si>
  <si>
    <t>KA2020</t>
  </si>
  <si>
    <t>KA2021</t>
  </si>
  <si>
    <t>KA2022</t>
  </si>
  <si>
    <t>KA2023</t>
  </si>
  <si>
    <t>KA2024</t>
  </si>
  <si>
    <t>KA2025</t>
  </si>
  <si>
    <t>KA2026</t>
  </si>
  <si>
    <t>KA2027</t>
  </si>
  <si>
    <t>KA2028</t>
  </si>
  <si>
    <t>KA2029</t>
  </si>
  <si>
    <t>KA2030</t>
  </si>
  <si>
    <t>KA2031</t>
  </si>
  <si>
    <t>KA2032</t>
  </si>
  <si>
    <t>KA2033</t>
  </si>
  <si>
    <t>KA2034</t>
  </si>
  <si>
    <t>KA2035</t>
  </si>
  <si>
    <t>KA2036</t>
  </si>
  <si>
    <t>KA2037</t>
  </si>
  <si>
    <t>KA2038</t>
  </si>
  <si>
    <t>KA2039</t>
  </si>
  <si>
    <t>KA2040</t>
  </si>
  <si>
    <t>KA2041</t>
  </si>
  <si>
    <t>KA2042</t>
  </si>
  <si>
    <t>KA2043</t>
  </si>
  <si>
    <t>KA2044</t>
  </si>
  <si>
    <t>KA2045</t>
  </si>
  <si>
    <t>KA2046</t>
  </si>
  <si>
    <t>KA2047</t>
  </si>
  <si>
    <t>KA2048</t>
  </si>
  <si>
    <t>KA2049</t>
  </si>
  <si>
    <t>KA2050</t>
  </si>
  <si>
    <t>KA2051</t>
  </si>
  <si>
    <t>KA2052</t>
  </si>
  <si>
    <t>KA2053</t>
  </si>
  <si>
    <t>KA2054</t>
  </si>
  <si>
    <t>KA2055</t>
  </si>
  <si>
    <t>KA2056</t>
  </si>
  <si>
    <t>KA2057</t>
  </si>
  <si>
    <t>KA2058</t>
  </si>
  <si>
    <t>KA2059</t>
  </si>
  <si>
    <t>KA2060</t>
  </si>
  <si>
    <t>KA2061</t>
  </si>
  <si>
    <t>KA2062</t>
  </si>
  <si>
    <t>KA2063</t>
  </si>
  <si>
    <t>KA2065</t>
  </si>
  <si>
    <t>KA2067</t>
  </si>
  <si>
    <t>KA2068</t>
  </si>
  <si>
    <t>KA2069</t>
  </si>
  <si>
    <t>KA2070</t>
  </si>
  <si>
    <t>KA2071</t>
  </si>
  <si>
    <t>KA2072</t>
  </si>
  <si>
    <t>KA2073</t>
  </si>
  <si>
    <t>KA2074</t>
  </si>
  <si>
    <t>KA2075</t>
  </si>
  <si>
    <t>KA2076</t>
  </si>
  <si>
    <t>KA2077</t>
  </si>
  <si>
    <t>KA2078</t>
  </si>
  <si>
    <t>KA2079</t>
  </si>
  <si>
    <t>KA2080</t>
  </si>
  <si>
    <t>KA2081</t>
  </si>
  <si>
    <t>KA2083</t>
  </si>
  <si>
    <t>KA2084</t>
  </si>
  <si>
    <t>KA2085</t>
  </si>
  <si>
    <t>KA2086</t>
  </si>
  <si>
    <t>KA2087</t>
  </si>
  <si>
    <t>KA2088</t>
  </si>
  <si>
    <t>KA2089</t>
  </si>
  <si>
    <t>KA2090</t>
  </si>
  <si>
    <t>KA2091</t>
  </si>
  <si>
    <t>KA2092</t>
  </si>
  <si>
    <t>KA2093</t>
  </si>
  <si>
    <t>KA2094</t>
  </si>
  <si>
    <t>KA2095</t>
  </si>
  <si>
    <t>KA2096</t>
  </si>
  <si>
    <t>KA2097</t>
  </si>
  <si>
    <t>KA2098</t>
  </si>
  <si>
    <t>KA2099</t>
  </si>
  <si>
    <t>KA2100</t>
  </si>
  <si>
    <t>KA2101</t>
  </si>
  <si>
    <t>KA2102</t>
  </si>
  <si>
    <t>KA2103</t>
  </si>
  <si>
    <t>KA2104</t>
  </si>
  <si>
    <t>KA2105</t>
  </si>
  <si>
    <t>KA2106</t>
  </si>
  <si>
    <t>KA2107</t>
  </si>
  <si>
    <t>KA2108</t>
  </si>
  <si>
    <t>KA2109</t>
  </si>
  <si>
    <t>KA2110</t>
  </si>
  <si>
    <t>KA2111</t>
  </si>
  <si>
    <t>KA2112</t>
  </si>
  <si>
    <t>KA2113</t>
  </si>
  <si>
    <t>KA2114</t>
  </si>
  <si>
    <t>KA2115</t>
  </si>
  <si>
    <t>KA2117</t>
  </si>
  <si>
    <t>KA2118</t>
  </si>
  <si>
    <t>KA2119</t>
  </si>
  <si>
    <t>KA2120</t>
  </si>
  <si>
    <t>KA2121</t>
  </si>
  <si>
    <t>KA2122</t>
  </si>
  <si>
    <t>KA2123</t>
  </si>
  <si>
    <t>KA2124</t>
  </si>
  <si>
    <t>KA2125</t>
  </si>
  <si>
    <t>KA2126</t>
  </si>
  <si>
    <t>KA2127</t>
  </si>
  <si>
    <t>KA2128</t>
  </si>
  <si>
    <t>KA2129</t>
  </si>
  <si>
    <t>KA2130</t>
  </si>
  <si>
    <t>KA2131</t>
  </si>
  <si>
    <t>KA2132</t>
  </si>
  <si>
    <t>KA2133</t>
  </si>
  <si>
    <t>KA2134</t>
  </si>
  <si>
    <t>KA2135</t>
  </si>
  <si>
    <t>KA2136</t>
  </si>
  <si>
    <t>KA2137</t>
  </si>
  <si>
    <t>KA2138</t>
  </si>
  <si>
    <t>KA2139</t>
  </si>
  <si>
    <t>KA2140</t>
  </si>
  <si>
    <t>KA2141</t>
  </si>
  <si>
    <t>KA2142</t>
  </si>
  <si>
    <t>KA2143</t>
  </si>
  <si>
    <t>KA2144</t>
  </si>
  <si>
    <t>KA2145</t>
  </si>
  <si>
    <t>KA2146</t>
  </si>
  <si>
    <t>KA2147</t>
  </si>
  <si>
    <t>KA2148</t>
  </si>
  <si>
    <t>KA2149</t>
  </si>
  <si>
    <t>KA2150</t>
  </si>
  <si>
    <t>KA2151</t>
  </si>
  <si>
    <t>KA2152</t>
  </si>
  <si>
    <t>KA2153</t>
  </si>
  <si>
    <t>KA2154</t>
  </si>
  <si>
    <t>KA2155</t>
  </si>
  <si>
    <t>KA2156</t>
  </si>
  <si>
    <t>KA2157</t>
  </si>
  <si>
    <t>KA2158</t>
  </si>
  <si>
    <t>KA2159</t>
  </si>
  <si>
    <t>KA2160</t>
  </si>
  <si>
    <t>KA2161</t>
  </si>
  <si>
    <t>KA2162</t>
  </si>
  <si>
    <t>KA2163</t>
  </si>
  <si>
    <t>KA2164</t>
  </si>
  <si>
    <t>KA2165</t>
  </si>
  <si>
    <t>KA2166</t>
  </si>
  <si>
    <t>KA2167</t>
  </si>
  <si>
    <t>KA2168</t>
  </si>
  <si>
    <t>KA2169</t>
  </si>
  <si>
    <t>KA2170</t>
  </si>
  <si>
    <t>KA2171</t>
  </si>
  <si>
    <t>KA2172</t>
  </si>
  <si>
    <t>KA2173</t>
  </si>
  <si>
    <t>KA2174</t>
  </si>
  <si>
    <t>KA2175</t>
  </si>
  <si>
    <t>KA2176</t>
  </si>
  <si>
    <t>KA2177</t>
  </si>
  <si>
    <t>KA2178</t>
  </si>
  <si>
    <t>KA2179</t>
  </si>
  <si>
    <t>KA2180</t>
  </si>
  <si>
    <t>KA2181</t>
  </si>
  <si>
    <t>KA2182</t>
  </si>
  <si>
    <t>KA2183</t>
  </si>
  <si>
    <t>KA2184</t>
  </si>
  <si>
    <t>KA2185</t>
  </si>
  <si>
    <t>KA2186</t>
  </si>
  <si>
    <t>KA2187</t>
  </si>
  <si>
    <t>KA2188</t>
  </si>
  <si>
    <t>KA2189</t>
  </si>
  <si>
    <t>KA2190</t>
  </si>
  <si>
    <t>KA2191</t>
  </si>
  <si>
    <t>KA2192</t>
  </si>
  <si>
    <t>KA2193</t>
  </si>
  <si>
    <t>KA2194</t>
  </si>
  <si>
    <t>KA2195</t>
  </si>
  <si>
    <t>KA2196</t>
  </si>
  <si>
    <t>KA2197</t>
  </si>
  <si>
    <t>KA2198</t>
  </si>
  <si>
    <t>KA2199</t>
  </si>
  <si>
    <t>KA2200</t>
  </si>
  <si>
    <t>KA2201</t>
  </si>
  <si>
    <t>KA2202</t>
  </si>
  <si>
    <t>KA2203</t>
  </si>
  <si>
    <t>KA2204</t>
  </si>
  <si>
    <t>KA2205</t>
  </si>
  <si>
    <t>KA2206</t>
  </si>
  <si>
    <t>KA2207</t>
  </si>
  <si>
    <t>KA2208</t>
  </si>
  <si>
    <t>KA2209</t>
  </si>
  <si>
    <t>KA2210</t>
  </si>
  <si>
    <t>KA2211</t>
  </si>
  <si>
    <t>KA2212</t>
  </si>
  <si>
    <t>KA2213</t>
  </si>
  <si>
    <t>KA2214</t>
  </si>
  <si>
    <t>KA2215</t>
  </si>
  <si>
    <t>KA2216</t>
  </si>
  <si>
    <t>KA2217</t>
  </si>
  <si>
    <t>KA2218</t>
  </si>
  <si>
    <t>KA2219</t>
  </si>
  <si>
    <t>KA2220</t>
  </si>
  <si>
    <t>KA2221</t>
  </si>
  <si>
    <t>KA2222</t>
  </si>
  <si>
    <t>KA2223</t>
  </si>
  <si>
    <t>KA2224</t>
  </si>
  <si>
    <t>KA2225</t>
  </si>
  <si>
    <t>KA2226</t>
  </si>
  <si>
    <t>KA2227</t>
  </si>
  <si>
    <t>KA2228</t>
  </si>
  <si>
    <t>KA2229</t>
  </si>
  <si>
    <t>KA2230</t>
  </si>
  <si>
    <t>KA2231</t>
  </si>
  <si>
    <t>KA2232</t>
  </si>
  <si>
    <t>KA2233</t>
  </si>
  <si>
    <t>KA2234</t>
  </si>
  <si>
    <t>KA2235</t>
  </si>
  <si>
    <t>KA2236</t>
  </si>
  <si>
    <t>KA2237</t>
  </si>
  <si>
    <t>KA2238</t>
  </si>
  <si>
    <t>KA2239</t>
  </si>
  <si>
    <t>KA2240</t>
  </si>
  <si>
    <t>KA2242</t>
  </si>
  <si>
    <t>KA2243</t>
  </si>
  <si>
    <t>KA2244</t>
  </si>
  <si>
    <t>KA2245</t>
  </si>
  <si>
    <t>KA2246</t>
  </si>
  <si>
    <t>KA2247</t>
  </si>
  <si>
    <t>KA2248</t>
  </si>
  <si>
    <t>KA2249</t>
  </si>
  <si>
    <t>KA2250</t>
  </si>
  <si>
    <t>KA2251</t>
  </si>
  <si>
    <t>KA2252</t>
  </si>
  <si>
    <t>KA2253</t>
  </si>
  <si>
    <t>KA2254</t>
  </si>
  <si>
    <t>KA2255</t>
  </si>
  <si>
    <t>KA2256</t>
  </si>
  <si>
    <t>KA2257</t>
  </si>
  <si>
    <t>KA2258</t>
  </si>
  <si>
    <t>KA2259</t>
  </si>
  <si>
    <t>KA2260</t>
  </si>
  <si>
    <t>KA2261</t>
  </si>
  <si>
    <t>KA2262</t>
  </si>
  <si>
    <t>KA2263</t>
  </si>
  <si>
    <t>KA2264</t>
  </si>
  <si>
    <t>KA2265</t>
  </si>
  <si>
    <t>KA2266</t>
  </si>
  <si>
    <t>KA2267</t>
  </si>
  <si>
    <t>KA2268</t>
  </si>
  <si>
    <t>KA2269</t>
  </si>
  <si>
    <t>KA2270</t>
  </si>
  <si>
    <t>KA2271</t>
  </si>
  <si>
    <t>KA2272</t>
  </si>
  <si>
    <t>KA2273</t>
  </si>
  <si>
    <t>KA2274</t>
  </si>
  <si>
    <t>KA2275</t>
  </si>
  <si>
    <t>KA2276</t>
  </si>
  <si>
    <t>KA2277</t>
  </si>
  <si>
    <t>KA2278</t>
  </si>
  <si>
    <t>KA2279</t>
  </si>
  <si>
    <t>KA2280</t>
  </si>
  <si>
    <t>KA2281</t>
  </si>
  <si>
    <t>KA2283</t>
  </si>
  <si>
    <t>KA2284</t>
  </si>
  <si>
    <t>KA2285</t>
  </si>
  <si>
    <t>KA2286</t>
  </si>
  <si>
    <t>KA2287</t>
  </si>
  <si>
    <t>KA2288</t>
  </si>
  <si>
    <t>KA2289</t>
  </si>
  <si>
    <t>KA2290</t>
  </si>
  <si>
    <t>KA2291</t>
  </si>
  <si>
    <t>KA2292</t>
  </si>
  <si>
    <t>KA2293</t>
  </si>
  <si>
    <t>KA2295</t>
  </si>
  <si>
    <t>KA2296</t>
  </si>
  <si>
    <t>KA2297</t>
  </si>
  <si>
    <t>KA2298</t>
  </si>
  <si>
    <t>KA2299</t>
  </si>
  <si>
    <t>KA2300</t>
  </si>
  <si>
    <t>KA2301</t>
  </si>
  <si>
    <t>KA2302</t>
  </si>
  <si>
    <t>KA2303</t>
  </si>
  <si>
    <t>KA2304</t>
  </si>
  <si>
    <t>KA2305</t>
  </si>
  <si>
    <t>KA2307</t>
  </si>
  <si>
    <t>KA2308</t>
  </si>
  <si>
    <t>KA2309</t>
  </si>
  <si>
    <t>KA2310</t>
  </si>
  <si>
    <t>KA2313</t>
  </si>
  <si>
    <t>KA2314</t>
  </si>
  <si>
    <t>KA2315</t>
  </si>
  <si>
    <t>KA2317</t>
  </si>
  <si>
    <t>KA2318</t>
  </si>
  <si>
    <t>KA2319</t>
  </si>
  <si>
    <t>KA2320</t>
  </si>
  <si>
    <t>KA2322</t>
  </si>
  <si>
    <t>KA2323</t>
  </si>
  <si>
    <t>KA2324</t>
  </si>
  <si>
    <t>KA2325</t>
  </si>
  <si>
    <t>KA2326</t>
  </si>
  <si>
    <t>KA2327</t>
  </si>
  <si>
    <t>KA2328</t>
  </si>
  <si>
    <t>KA2329</t>
  </si>
  <si>
    <t>KA2330</t>
  </si>
  <si>
    <t>KA2331</t>
  </si>
  <si>
    <t>KA2332</t>
  </si>
  <si>
    <t>KA2333</t>
  </si>
  <si>
    <t>KA2334</t>
  </si>
  <si>
    <t>KA2335</t>
  </si>
  <si>
    <t>KA2336</t>
  </si>
  <si>
    <t>KA2338</t>
  </si>
  <si>
    <t>KA2339</t>
  </si>
  <si>
    <t>KA2340</t>
  </si>
  <si>
    <t>KA2341</t>
  </si>
  <si>
    <t>KA2342</t>
  </si>
  <si>
    <t>KA2343</t>
  </si>
  <si>
    <t>KA2345</t>
  </si>
  <si>
    <t>KA2346</t>
  </si>
  <si>
    <t>KA2347</t>
  </si>
  <si>
    <t>KA2349</t>
  </si>
  <si>
    <t>KA2351</t>
  </si>
  <si>
    <t>KA2352</t>
  </si>
  <si>
    <t>KA2353</t>
  </si>
  <si>
    <t>KA2354</t>
  </si>
  <si>
    <t>KA2355</t>
  </si>
  <si>
    <t>KA2356</t>
  </si>
  <si>
    <t>KA2357</t>
  </si>
  <si>
    <t>KA2358</t>
  </si>
  <si>
    <t>KA2359</t>
  </si>
  <si>
    <t>KA2360</t>
  </si>
  <si>
    <t>KA2361</t>
  </si>
  <si>
    <t>KA2362</t>
  </si>
  <si>
    <t>KA2363</t>
  </si>
  <si>
    <t>KA2364</t>
  </si>
  <si>
    <t>KA2365</t>
  </si>
  <si>
    <t>KA2366</t>
  </si>
  <si>
    <t>KA2367</t>
  </si>
  <si>
    <t>KA2368</t>
  </si>
  <si>
    <t>KA2369</t>
  </si>
  <si>
    <t>KA2370</t>
  </si>
  <si>
    <t>KA2371</t>
  </si>
  <si>
    <t>KA2372</t>
  </si>
  <si>
    <t>KA2373</t>
  </si>
  <si>
    <t>KA2374</t>
  </si>
  <si>
    <t>KA2375</t>
  </si>
  <si>
    <t>KA2377</t>
  </si>
  <si>
    <t>KA2378</t>
  </si>
  <si>
    <t>KA2379</t>
  </si>
  <si>
    <t>KA2380</t>
  </si>
  <si>
    <t>KA2381</t>
  </si>
  <si>
    <t>KA2383</t>
  </si>
  <si>
    <t>KA2384</t>
  </si>
  <si>
    <t>KA2385</t>
  </si>
  <si>
    <t>KA2386</t>
  </si>
  <si>
    <t>KA2387</t>
  </si>
  <si>
    <t>KA2388</t>
  </si>
  <si>
    <t>KA2389</t>
  </si>
  <si>
    <t>KA2390</t>
  </si>
  <si>
    <t>KA2391</t>
  </si>
  <si>
    <t>KA2392</t>
  </si>
  <si>
    <t>KA2393</t>
  </si>
  <si>
    <t>KA2394</t>
  </si>
  <si>
    <t>KA2395</t>
  </si>
  <si>
    <t>KA2396</t>
  </si>
  <si>
    <t>KA2397</t>
  </si>
  <si>
    <t>KA2398</t>
  </si>
  <si>
    <t>KA2399</t>
  </si>
  <si>
    <t>KA2400</t>
  </si>
  <si>
    <t>KA2401</t>
  </si>
  <si>
    <t>KA2402</t>
  </si>
  <si>
    <t>KA2403</t>
  </si>
  <si>
    <t>KA2404</t>
  </si>
  <si>
    <t>KA2405</t>
  </si>
  <si>
    <t>KA2406</t>
  </si>
  <si>
    <t>KA2407</t>
  </si>
  <si>
    <t>KA2408</t>
  </si>
  <si>
    <t>KA2409</t>
  </si>
  <si>
    <t>KA2410</t>
  </si>
  <si>
    <t>KA2411</t>
  </si>
  <si>
    <t>KA2412</t>
  </si>
  <si>
    <t>KA2413</t>
  </si>
  <si>
    <t>KA2414</t>
  </si>
  <si>
    <t>KA2415</t>
  </si>
  <si>
    <t>KA2416</t>
  </si>
  <si>
    <t>KA2417</t>
  </si>
  <si>
    <t>KA2418</t>
  </si>
  <si>
    <t>KA2419</t>
  </si>
  <si>
    <t>KA2421</t>
  </si>
  <si>
    <t>KA2422</t>
  </si>
  <si>
    <t>KA2424</t>
  </si>
  <si>
    <t>KA2426</t>
  </si>
  <si>
    <t>KA2427</t>
  </si>
  <si>
    <t>KA2428</t>
  </si>
  <si>
    <t>KA2430</t>
  </si>
  <si>
    <t>KA2431</t>
  </si>
  <si>
    <t>KA2432</t>
  </si>
  <si>
    <t>KA2434</t>
  </si>
  <si>
    <t>KA2435</t>
  </si>
  <si>
    <t>KA2436</t>
  </si>
  <si>
    <t>KA2437</t>
  </si>
  <si>
    <t>KA2438</t>
  </si>
  <si>
    <t>KA2439</t>
  </si>
  <si>
    <t>KA2442</t>
  </si>
  <si>
    <t>KA2443</t>
  </si>
  <si>
    <t>KA2444</t>
  </si>
  <si>
    <t>KA2445</t>
  </si>
  <si>
    <t>KA2446</t>
  </si>
  <si>
    <t>KA2447</t>
  </si>
  <si>
    <t>KA2448</t>
  </si>
  <si>
    <t>KA2455</t>
  </si>
  <si>
    <t>KA2456</t>
  </si>
  <si>
    <t>KA2457</t>
  </si>
  <si>
    <t>KA2459</t>
  </si>
  <si>
    <t>KA2462</t>
  </si>
  <si>
    <t>KA2463</t>
  </si>
  <si>
    <t>KA2464</t>
  </si>
  <si>
    <t>KA2467</t>
  </si>
  <si>
    <t>KA2468</t>
  </si>
  <si>
    <t>KA2469</t>
  </si>
  <si>
    <t>KA2470</t>
  </si>
  <si>
    <t>KA2471</t>
  </si>
  <si>
    <t>KA2472</t>
  </si>
  <si>
    <t>KA2474</t>
  </si>
  <si>
    <t>KA2475</t>
  </si>
  <si>
    <t>KA2476</t>
  </si>
  <si>
    <t>KA2478</t>
  </si>
  <si>
    <t>KA2479</t>
  </si>
  <si>
    <t>KA2480</t>
  </si>
  <si>
    <t>KA2481</t>
  </si>
  <si>
    <t>KA2482</t>
  </si>
  <si>
    <t>KA2483</t>
  </si>
  <si>
    <t>KA2484</t>
  </si>
  <si>
    <t>KA2485</t>
  </si>
  <si>
    <t>KA2486</t>
  </si>
  <si>
    <t>KA2489</t>
  </si>
  <si>
    <t>KA2491</t>
  </si>
  <si>
    <t>KA2492</t>
  </si>
  <si>
    <t>KA2493</t>
  </si>
  <si>
    <t>KA2494</t>
  </si>
  <si>
    <t>KA2495</t>
  </si>
  <si>
    <t>KA2496</t>
  </si>
  <si>
    <t>KA2498</t>
  </si>
  <si>
    <t>KA2504</t>
  </si>
  <si>
    <t>KA2505</t>
  </si>
  <si>
    <t>KA2506</t>
  </si>
  <si>
    <t>KA2507</t>
  </si>
  <si>
    <t>KA2508</t>
  </si>
  <si>
    <t>KA2509</t>
  </si>
  <si>
    <t>KA2511</t>
  </si>
  <si>
    <t>KA2513</t>
  </si>
  <si>
    <t>KA2515</t>
  </si>
  <si>
    <t>KA2522</t>
  </si>
  <si>
    <t>KA2523</t>
  </si>
  <si>
    <t>KA2524</t>
  </si>
  <si>
    <t>KA2527</t>
  </si>
  <si>
    <t>KA2530</t>
  </si>
  <si>
    <t>KA2531</t>
  </si>
  <si>
    <t>KA2532</t>
  </si>
  <si>
    <t>KA2533</t>
  </si>
  <si>
    <t>KA2536</t>
  </si>
  <si>
    <t>KA2538</t>
  </si>
  <si>
    <t>KA2539</t>
  </si>
  <si>
    <t>KA2540</t>
  </si>
  <si>
    <t>KA2541</t>
  </si>
  <si>
    <t>KA2542</t>
  </si>
  <si>
    <t>KA2545</t>
  </si>
  <si>
    <t>KA2547</t>
  </si>
  <si>
    <t>KA2548</t>
  </si>
  <si>
    <t>KA2549</t>
  </si>
  <si>
    <t>KA2551</t>
  </si>
  <si>
    <t>KA2552</t>
  </si>
  <si>
    <t>KA2553</t>
  </si>
  <si>
    <t>KA2554</t>
  </si>
  <si>
    <t>KA2555</t>
  </si>
  <si>
    <t>KA2556</t>
  </si>
  <si>
    <t>KA2557</t>
  </si>
  <si>
    <t>KA2558</t>
  </si>
  <si>
    <t>KA2560</t>
  </si>
  <si>
    <t>KA2561</t>
  </si>
  <si>
    <t>KA2563</t>
  </si>
  <si>
    <t>KA2564</t>
  </si>
  <si>
    <t>KA2565</t>
  </si>
  <si>
    <t>KA2566</t>
  </si>
  <si>
    <t>KA2567</t>
  </si>
  <si>
    <t>KA2571</t>
  </si>
  <si>
    <t>KA2576</t>
  </si>
  <si>
    <t>KA2578</t>
  </si>
  <si>
    <t>KA2579</t>
  </si>
  <si>
    <t>KA2582</t>
  </si>
  <si>
    <t>KA2583</t>
  </si>
  <si>
    <t>KA2587</t>
  </si>
  <si>
    <t>KA2594</t>
  </si>
  <si>
    <t>KA2595</t>
  </si>
  <si>
    <t>KA2597</t>
  </si>
  <si>
    <t>KA2598</t>
  </si>
  <si>
    <t>KA2599</t>
  </si>
  <si>
    <t>KA2600</t>
  </si>
  <si>
    <t>KA2601</t>
  </si>
  <si>
    <t>KA2602</t>
  </si>
  <si>
    <t>KA2603</t>
  </si>
  <si>
    <t>KA2604</t>
  </si>
  <si>
    <t>KA2606</t>
  </si>
  <si>
    <t>KA2607</t>
  </si>
  <si>
    <t>KA2609</t>
  </si>
  <si>
    <t>KA2610</t>
  </si>
  <si>
    <t>KA2612</t>
  </si>
  <si>
    <t>KA2613</t>
  </si>
  <si>
    <t>KA2614</t>
  </si>
  <si>
    <t>KA2616</t>
  </si>
  <si>
    <t>KA2617</t>
  </si>
  <si>
    <t>KA2622</t>
  </si>
  <si>
    <t>KA2623</t>
  </si>
  <si>
    <t>KA2624</t>
  </si>
  <si>
    <t>KA2625</t>
  </si>
  <si>
    <t>KA2626</t>
  </si>
  <si>
    <t>KA2627</t>
  </si>
  <si>
    <t>KA3843</t>
  </si>
  <si>
    <t>KA3844</t>
  </si>
  <si>
    <t>KA3845</t>
  </si>
  <si>
    <t>KA3846</t>
  </si>
  <si>
    <t>KA3847</t>
  </si>
  <si>
    <t>KA3849</t>
  </si>
  <si>
    <t>KA3850</t>
  </si>
  <si>
    <t>053854</t>
  </si>
  <si>
    <t>KA3860</t>
  </si>
  <si>
    <t>KA3898</t>
  </si>
  <si>
    <t>KA4346</t>
  </si>
  <si>
    <t>KA4373</t>
  </si>
  <si>
    <t>KA4374</t>
  </si>
  <si>
    <t>KA4382</t>
  </si>
  <si>
    <t>KA4385</t>
  </si>
  <si>
    <t>KA4391</t>
  </si>
  <si>
    <t>KA4394</t>
  </si>
  <si>
    <t>KA4395</t>
  </si>
  <si>
    <t>KA4396</t>
  </si>
  <si>
    <t>KA4397</t>
  </si>
  <si>
    <t>KA4400</t>
  </si>
  <si>
    <t>HB5151</t>
  </si>
  <si>
    <t>HB5152</t>
  </si>
  <si>
    <t>HB5153</t>
  </si>
  <si>
    <t>HB5154</t>
  </si>
  <si>
    <t>SI5797</t>
  </si>
  <si>
    <t>KA6023</t>
  </si>
  <si>
    <t>KA6304</t>
  </si>
  <si>
    <t>KA6305</t>
  </si>
  <si>
    <t>KA4368</t>
  </si>
  <si>
    <t>KA2514</t>
  </si>
  <si>
    <t>KA4367</t>
  </si>
  <si>
    <t>KA2382</t>
  </si>
  <si>
    <t>KA3941</t>
  </si>
  <si>
    <t>KA3944</t>
  </si>
  <si>
    <t>KA3945</t>
  </si>
  <si>
    <t>KA3942</t>
  </si>
  <si>
    <t>KA3946</t>
  </si>
  <si>
    <t>KA3678</t>
  </si>
  <si>
    <t>KA4390</t>
  </si>
  <si>
    <t>KA2517</t>
  </si>
  <si>
    <t>KA4369</t>
  </si>
  <si>
    <t>KA4376</t>
  </si>
  <si>
    <t>KA2499</t>
  </si>
  <si>
    <t>KA2082</t>
  </si>
  <si>
    <t>KA3948</t>
  </si>
  <si>
    <t>KA2569</t>
  </si>
  <si>
    <t>KA3940</t>
  </si>
  <si>
    <t>KA3949</t>
  </si>
  <si>
    <t>KA2525</t>
  </si>
  <si>
    <t>KA3710</t>
  </si>
  <si>
    <t>KA3947</t>
  </si>
  <si>
    <t>KA3925</t>
  </si>
  <si>
    <t>KA2591</t>
  </si>
  <si>
    <t>KA4555</t>
  </si>
  <si>
    <t>KA3952</t>
  </si>
  <si>
    <t>KA4393</t>
  </si>
  <si>
    <t>KA3943</t>
  </si>
  <si>
    <t>KA2847</t>
  </si>
  <si>
    <t>KA4389</t>
  </si>
  <si>
    <t>KA2592</t>
  </si>
  <si>
    <t>KA4349</t>
  </si>
  <si>
    <t>KA3915</t>
  </si>
  <si>
    <t>KA3984</t>
  </si>
  <si>
    <t>KA3981</t>
  </si>
  <si>
    <t>KA2344</t>
  </si>
  <si>
    <t>KA4398</t>
  </si>
  <si>
    <t>KA3983</t>
  </si>
  <si>
    <t>KA2321</t>
  </si>
  <si>
    <t>RY0059</t>
  </si>
  <si>
    <t>QU0116</t>
  </si>
  <si>
    <t>TT0319</t>
  </si>
  <si>
    <t>TT0320</t>
  </si>
  <si>
    <t>TT0321</t>
  </si>
  <si>
    <t>QU0040</t>
  </si>
  <si>
    <t>KA0029</t>
  </si>
  <si>
    <t>KA0030</t>
  </si>
  <si>
    <t>KA0031</t>
  </si>
  <si>
    <t>KA0033</t>
  </si>
  <si>
    <t>KA0034</t>
  </si>
  <si>
    <t>KA0036</t>
  </si>
  <si>
    <t>KA0039</t>
  </si>
  <si>
    <t>KA0041</t>
  </si>
  <si>
    <t>KA0042</t>
  </si>
  <si>
    <t>KA0043</t>
  </si>
  <si>
    <t>KA0064</t>
  </si>
  <si>
    <t>KA0117</t>
  </si>
  <si>
    <t>KA0119</t>
  </si>
  <si>
    <t>KA0122</t>
  </si>
  <si>
    <t>KA0123</t>
  </si>
  <si>
    <t>KA0124</t>
  </si>
  <si>
    <t>KA0125</t>
  </si>
  <si>
    <t>KA0126</t>
  </si>
  <si>
    <t>KA0127</t>
  </si>
  <si>
    <t>KA0129</t>
  </si>
  <si>
    <t>KA0130</t>
  </si>
  <si>
    <t>KA0132</t>
  </si>
  <si>
    <t>KA0133</t>
  </si>
  <si>
    <t>KA0134</t>
  </si>
  <si>
    <t>KA0135</t>
  </si>
  <si>
    <t>KA0136</t>
  </si>
  <si>
    <t>KA0139</t>
  </si>
  <si>
    <t>KA0140</t>
  </si>
  <si>
    <t>KA0141</t>
  </si>
  <si>
    <t>KA0142</t>
  </si>
  <si>
    <t>KA0206</t>
  </si>
  <si>
    <t>KA0212</t>
  </si>
  <si>
    <t>KA0253</t>
  </si>
  <si>
    <t>KA0254</t>
  </si>
  <si>
    <t>KA0255</t>
  </si>
  <si>
    <t>KA0256</t>
  </si>
  <si>
    <t>KA0270</t>
  </si>
  <si>
    <t>KA0271</t>
  </si>
  <si>
    <t>KA0272</t>
  </si>
  <si>
    <t>KA0273</t>
  </si>
  <si>
    <t>KA0274</t>
  </si>
  <si>
    <t>KA0275</t>
  </si>
  <si>
    <t>KA0277</t>
  </si>
  <si>
    <t>KA0278</t>
  </si>
  <si>
    <t>KA0279</t>
  </si>
  <si>
    <t>KA0280</t>
  </si>
  <si>
    <t>KA0287</t>
  </si>
  <si>
    <t>KA0288</t>
  </si>
  <si>
    <t>KA0289</t>
  </si>
  <si>
    <t>KA0300</t>
  </si>
  <si>
    <t>KA0301</t>
  </si>
  <si>
    <t>KA0302</t>
  </si>
  <si>
    <t>KA0303</t>
  </si>
  <si>
    <t>KA0304</t>
  </si>
  <si>
    <t>KA0305</t>
  </si>
  <si>
    <t>KA0314</t>
  </si>
  <si>
    <t>KA0316</t>
  </si>
  <si>
    <t>KA0318</t>
  </si>
  <si>
    <t>KA0322</t>
  </si>
  <si>
    <t>KA0324</t>
  </si>
  <si>
    <t>KA0325</t>
  </si>
  <si>
    <t>KA0326</t>
  </si>
  <si>
    <t>erabad</t>
  </si>
  <si>
    <t xml:space="preserve"> Magsi</t>
  </si>
  <si>
    <t xml:space="preserve"> Kalat</t>
  </si>
  <si>
    <t>haraan</t>
  </si>
  <si>
    <t>uzadar</t>
  </si>
  <si>
    <t>arkana</t>
  </si>
  <si>
    <t>ra Lai</t>
  </si>
  <si>
    <t>astung</t>
  </si>
  <si>
    <t xml:space="preserve"> Khail</t>
  </si>
  <si>
    <t>Noshki</t>
  </si>
  <si>
    <t>fullah</t>
  </si>
  <si>
    <t>himyar</t>
  </si>
  <si>
    <t xml:space="preserve"> Surab</t>
  </si>
  <si>
    <t>T Bela</t>
  </si>
  <si>
    <t>rn KHI</t>
  </si>
  <si>
    <t>al KHI</t>
  </si>
  <si>
    <t xml:space="preserve"> Uthal</t>
  </si>
  <si>
    <t>Winder</t>
  </si>
  <si>
    <t>RR0943</t>
  </si>
  <si>
    <t>RP0957</t>
  </si>
  <si>
    <t>RR0982</t>
  </si>
  <si>
    <t>RR0983</t>
  </si>
  <si>
    <t>obabad</t>
  </si>
  <si>
    <t>washah</t>
  </si>
  <si>
    <t>karpur</t>
  </si>
  <si>
    <t xml:space="preserve"> Sibbi</t>
  </si>
  <si>
    <t>r khan</t>
  </si>
  <si>
    <t>1S3581</t>
  </si>
  <si>
    <t>1F3474</t>
  </si>
  <si>
    <t>1F3473</t>
  </si>
  <si>
    <t>Site ID</t>
  </si>
  <si>
    <t>FB0161</t>
  </si>
  <si>
    <t>FB0162</t>
  </si>
  <si>
    <t>MU0054</t>
  </si>
  <si>
    <t>AD5837</t>
  </si>
  <si>
    <t>AD5838</t>
  </si>
  <si>
    <t>AD5935</t>
  </si>
  <si>
    <t>AD5936</t>
  </si>
  <si>
    <t>AD5937</t>
  </si>
  <si>
    <t>AD5938</t>
  </si>
  <si>
    <t>AL5842</t>
  </si>
  <si>
    <t>AP5939</t>
  </si>
  <si>
    <t>AP5940</t>
  </si>
  <si>
    <t>AP6269</t>
  </si>
  <si>
    <t>AS5828</t>
  </si>
  <si>
    <t>AW5507</t>
  </si>
  <si>
    <t>AW5508</t>
  </si>
  <si>
    <t>AW5538</t>
  </si>
  <si>
    <t>AW5850</t>
  </si>
  <si>
    <t>AW5851</t>
  </si>
  <si>
    <t>AW5951</t>
  </si>
  <si>
    <t>AW5977</t>
  </si>
  <si>
    <t>AW5978</t>
  </si>
  <si>
    <t>BD2652</t>
  </si>
  <si>
    <t>BD2679</t>
  </si>
  <si>
    <t>BE1549</t>
  </si>
  <si>
    <t>BE1550</t>
  </si>
  <si>
    <t>BK1564</t>
  </si>
  <si>
    <t>BK1565</t>
  </si>
  <si>
    <t>BK1596</t>
  </si>
  <si>
    <t>BK1792</t>
  </si>
  <si>
    <t>BK1793</t>
  </si>
  <si>
    <t>BK1956</t>
  </si>
  <si>
    <t>BK1957</t>
  </si>
  <si>
    <t>BK1959</t>
  </si>
  <si>
    <t>BK1962</t>
  </si>
  <si>
    <t>BK5512</t>
  </si>
  <si>
    <t>BK5513</t>
  </si>
  <si>
    <t>BK5750</t>
  </si>
  <si>
    <t>BL5509</t>
  </si>
  <si>
    <t>BL5510</t>
  </si>
  <si>
    <t>BL5853</t>
  </si>
  <si>
    <t>BL5854</t>
  </si>
  <si>
    <t>BL6174</t>
  </si>
  <si>
    <t>BM5827</t>
  </si>
  <si>
    <t>BR5516</t>
  </si>
  <si>
    <t>BR5517</t>
  </si>
  <si>
    <t>BR5753</t>
  </si>
  <si>
    <t>BR5944</t>
  </si>
  <si>
    <t>BR5945</t>
  </si>
  <si>
    <t>BR6030</t>
  </si>
  <si>
    <t>BR6032</t>
  </si>
  <si>
    <t>BR6033</t>
  </si>
  <si>
    <t>BR6034</t>
  </si>
  <si>
    <t>BW4551</t>
  </si>
  <si>
    <t>BW4552</t>
  </si>
  <si>
    <t>BW4557</t>
  </si>
  <si>
    <t>BW4558</t>
  </si>
  <si>
    <t>BW4559</t>
  </si>
  <si>
    <t>BW5860</t>
  </si>
  <si>
    <t>BW5861</t>
  </si>
  <si>
    <t>BW5862</t>
  </si>
  <si>
    <t>BW5863</t>
  </si>
  <si>
    <t>BW5864</t>
  </si>
  <si>
    <t>BW5865</t>
  </si>
  <si>
    <t>BW5866</t>
  </si>
  <si>
    <t>BW5867</t>
  </si>
  <si>
    <t>BW6015</t>
  </si>
  <si>
    <t>BW6017</t>
  </si>
  <si>
    <t>BW6018</t>
  </si>
  <si>
    <t>BW6021</t>
  </si>
  <si>
    <t>CA2853</t>
  </si>
  <si>
    <t>CA2854</t>
  </si>
  <si>
    <t>CH5524</t>
  </si>
  <si>
    <t>CH5525</t>
  </si>
  <si>
    <t>CH5872</t>
  </si>
  <si>
    <t>CH5874</t>
  </si>
  <si>
    <t>CH5875</t>
  </si>
  <si>
    <t>CH6006</t>
  </si>
  <si>
    <t>CH6007</t>
  </si>
  <si>
    <t>CH6055</t>
  </si>
  <si>
    <t>CH6056</t>
  </si>
  <si>
    <t>CT1455</t>
  </si>
  <si>
    <t>CT1456</t>
  </si>
  <si>
    <t>CT1624</t>
  </si>
  <si>
    <t>CT1892</t>
  </si>
  <si>
    <t>CT1893</t>
  </si>
  <si>
    <t>CT1894</t>
  </si>
  <si>
    <t>CT1895</t>
  </si>
  <si>
    <t>CT1896</t>
  </si>
  <si>
    <t>CT1897</t>
  </si>
  <si>
    <t>CT1912</t>
  </si>
  <si>
    <t>CT1938</t>
  </si>
  <si>
    <t>CT1953</t>
  </si>
  <si>
    <t>CT1987</t>
  </si>
  <si>
    <t>CT4034</t>
  </si>
  <si>
    <t>CT4035</t>
  </si>
  <si>
    <t>CT4036</t>
  </si>
  <si>
    <t>CU5835</t>
  </si>
  <si>
    <t>CW5522</t>
  </si>
  <si>
    <t>CW5523</t>
  </si>
  <si>
    <t>CW5868</t>
  </si>
  <si>
    <t>CW5869</t>
  </si>
  <si>
    <t>CW5870</t>
  </si>
  <si>
    <t>CW5871</t>
  </si>
  <si>
    <t>CW5948</t>
  </si>
  <si>
    <t>CW5953</t>
  </si>
  <si>
    <t>CW6042</t>
  </si>
  <si>
    <t>CW6044</t>
  </si>
  <si>
    <t>CW6088</t>
  </si>
  <si>
    <t>DG1457</t>
  </si>
  <si>
    <t>DG1458</t>
  </si>
  <si>
    <t>DG1459</t>
  </si>
  <si>
    <t>DG1900</t>
  </si>
  <si>
    <t>DG1901</t>
  </si>
  <si>
    <t>DG4114</t>
  </si>
  <si>
    <t>DG4115</t>
  </si>
  <si>
    <t>DG4132</t>
  </si>
  <si>
    <t>DG4502</t>
  </si>
  <si>
    <t>DG4503</t>
  </si>
  <si>
    <t>DG4504</t>
  </si>
  <si>
    <t>DG4505</t>
  </si>
  <si>
    <t>DG4506</t>
  </si>
  <si>
    <t>DG6049</t>
  </si>
  <si>
    <t>DG6151</t>
  </si>
  <si>
    <t>DG6152</t>
  </si>
  <si>
    <t>DG6240</t>
  </si>
  <si>
    <t>DG6554</t>
  </si>
  <si>
    <t>DI3323</t>
  </si>
  <si>
    <t>DI3325</t>
  </si>
  <si>
    <t>DI4111</t>
  </si>
  <si>
    <t>DI5101</t>
  </si>
  <si>
    <t>DI5102</t>
  </si>
  <si>
    <t>DI5103</t>
  </si>
  <si>
    <t>DI5104</t>
  </si>
  <si>
    <t>DP1924</t>
  </si>
  <si>
    <t>DP1925</t>
  </si>
  <si>
    <t>DP1926</t>
  </si>
  <si>
    <t>DP1950</t>
  </si>
  <si>
    <t>DP1951</t>
  </si>
  <si>
    <t>DP1964</t>
  </si>
  <si>
    <t>DP1966</t>
  </si>
  <si>
    <t>DP1967</t>
  </si>
  <si>
    <t>DP5528</t>
  </si>
  <si>
    <t>DP5529</t>
  </si>
  <si>
    <t>DU4796</t>
  </si>
  <si>
    <t>FB1794</t>
  </si>
  <si>
    <t>FB1795</t>
  </si>
  <si>
    <t>FB1796</t>
  </si>
  <si>
    <t>FB1798</t>
  </si>
  <si>
    <t>FB1799</t>
  </si>
  <si>
    <t>FB1800</t>
  </si>
  <si>
    <t>FB1801</t>
  </si>
  <si>
    <t>FB1802</t>
  </si>
  <si>
    <t>FB1803</t>
  </si>
  <si>
    <t>FB1804</t>
  </si>
  <si>
    <t>FB1806</t>
  </si>
  <si>
    <t>FB1807</t>
  </si>
  <si>
    <t>FB1808</t>
  </si>
  <si>
    <t>FB1809</t>
  </si>
  <si>
    <t>FB1810</t>
  </si>
  <si>
    <t>FB1812</t>
  </si>
  <si>
    <t>FB1813</t>
  </si>
  <si>
    <t>FB1814</t>
  </si>
  <si>
    <t>FB1815</t>
  </si>
  <si>
    <t>FB1816</t>
  </si>
  <si>
    <t>FB1817</t>
  </si>
  <si>
    <t>FB1819</t>
  </si>
  <si>
    <t>FB1820</t>
  </si>
  <si>
    <t>FB1821</t>
  </si>
  <si>
    <t>FB1822</t>
  </si>
  <si>
    <t>FB1824</t>
  </si>
  <si>
    <t>FB1958</t>
  </si>
  <si>
    <t>FB1998</t>
  </si>
  <si>
    <t>FB2887</t>
  </si>
  <si>
    <t>FB3867</t>
  </si>
  <si>
    <t>FB3868</t>
  </si>
  <si>
    <t>FB3870</t>
  </si>
  <si>
    <t>FB3923</t>
  </si>
  <si>
    <t>FB4001</t>
  </si>
  <si>
    <t>FB4002</t>
  </si>
  <si>
    <t>FB4003</t>
  </si>
  <si>
    <t>FB4004</t>
  </si>
  <si>
    <t>FB4005</t>
  </si>
  <si>
    <t>FB4006</t>
  </si>
  <si>
    <t>FB4008</t>
  </si>
  <si>
    <t>FB4009</t>
  </si>
  <si>
    <t>FB4010</t>
  </si>
  <si>
    <t>FB4011</t>
  </si>
  <si>
    <t>FB4012</t>
  </si>
  <si>
    <t>FB4013</t>
  </si>
  <si>
    <t>FB4014</t>
  </si>
  <si>
    <t>FB4015</t>
  </si>
  <si>
    <t>FB4016</t>
  </si>
  <si>
    <t>FB4017</t>
  </si>
  <si>
    <t>FB4018</t>
  </si>
  <si>
    <t>FB4019</t>
  </si>
  <si>
    <t>FB4020</t>
  </si>
  <si>
    <t>FB4021</t>
  </si>
  <si>
    <t>FB4022</t>
  </si>
  <si>
    <t>FB4023</t>
  </si>
  <si>
    <t>FB4024</t>
  </si>
  <si>
    <t>FB4025</t>
  </si>
  <si>
    <t>FB4026</t>
  </si>
  <si>
    <t>FB4027</t>
  </si>
  <si>
    <t>FB4028</t>
  </si>
  <si>
    <t>FB4029</t>
  </si>
  <si>
    <t>FB4030</t>
  </si>
  <si>
    <t>FB4031</t>
  </si>
  <si>
    <t>FB4032</t>
  </si>
  <si>
    <t>FB4033</t>
  </si>
  <si>
    <t>FB4040</t>
  </si>
  <si>
    <t>FB4041</t>
  </si>
  <si>
    <t>FB4042</t>
  </si>
  <si>
    <t>FB4043</t>
  </si>
  <si>
    <t>FB4044</t>
  </si>
  <si>
    <t>FB4045</t>
  </si>
  <si>
    <t>FB4046</t>
  </si>
  <si>
    <t>FB4047</t>
  </si>
  <si>
    <t>FB4048</t>
  </si>
  <si>
    <t>FB4050</t>
  </si>
  <si>
    <t>FB4051</t>
  </si>
  <si>
    <t>FB4052</t>
  </si>
  <si>
    <t>FB4053</t>
  </si>
  <si>
    <t>FB4054</t>
  </si>
  <si>
    <t>FB4055</t>
  </si>
  <si>
    <t>FB4056</t>
  </si>
  <si>
    <t>FB4057</t>
  </si>
  <si>
    <t>FB4058</t>
  </si>
  <si>
    <t>FB4059</t>
  </si>
  <si>
    <t>FB4060</t>
  </si>
  <si>
    <t>FB4061</t>
  </si>
  <si>
    <t>FB4062</t>
  </si>
  <si>
    <t>FB4063</t>
  </si>
  <si>
    <t>FB4065</t>
  </si>
  <si>
    <t>FB4066</t>
  </si>
  <si>
    <t>FB4067</t>
  </si>
  <si>
    <t>FB4068</t>
  </si>
  <si>
    <t>FB4069</t>
  </si>
  <si>
    <t>FB4070</t>
  </si>
  <si>
    <t>FB4071</t>
  </si>
  <si>
    <t>FB4072</t>
  </si>
  <si>
    <t>FB4073</t>
  </si>
  <si>
    <t>FB4074</t>
  </si>
  <si>
    <t>FB4075</t>
  </si>
  <si>
    <t>FB4076</t>
  </si>
  <si>
    <t>FB4077</t>
  </si>
  <si>
    <t>FB4079</t>
  </si>
  <si>
    <t>FB4080</t>
  </si>
  <si>
    <t>FB4081</t>
  </si>
  <si>
    <t>FB4082</t>
  </si>
  <si>
    <t>FB4083</t>
  </si>
  <si>
    <t>FB4084</t>
  </si>
  <si>
    <t>FB4085</t>
  </si>
  <si>
    <t>FB4086</t>
  </si>
  <si>
    <t>FB4087</t>
  </si>
  <si>
    <t>FB4088</t>
  </si>
  <si>
    <t>FB4089</t>
  </si>
  <si>
    <t>FB4090</t>
  </si>
  <si>
    <t>FB4091</t>
  </si>
  <si>
    <t>FB4092</t>
  </si>
  <si>
    <t>FB4093</t>
  </si>
  <si>
    <t>FB4094</t>
  </si>
  <si>
    <t>FB4095</t>
  </si>
  <si>
    <t>FB4096</t>
  </si>
  <si>
    <t>FB4097</t>
  </si>
  <si>
    <t>FB4098</t>
  </si>
  <si>
    <t>FB4099</t>
  </si>
  <si>
    <t>FB4100</t>
  </si>
  <si>
    <t>FB4101</t>
  </si>
  <si>
    <t>FB4102</t>
  </si>
  <si>
    <t>FB4103</t>
  </si>
  <si>
    <t>FB4104</t>
  </si>
  <si>
    <t>FB4105</t>
  </si>
  <si>
    <t>FB4106</t>
  </si>
  <si>
    <t>FB4107</t>
  </si>
  <si>
    <t>FB4108</t>
  </si>
  <si>
    <t>FB4128</t>
  </si>
  <si>
    <t>FB4135</t>
  </si>
  <si>
    <t>FB4136</t>
  </si>
  <si>
    <t>GD6809</t>
  </si>
  <si>
    <t>GJ4228</t>
  </si>
  <si>
    <t>GO1461</t>
  </si>
  <si>
    <t>GO1462</t>
  </si>
  <si>
    <t>GO1463</t>
  </si>
  <si>
    <t>GO5530</t>
  </si>
  <si>
    <t>GO5645</t>
  </si>
  <si>
    <t>GZ5810</t>
  </si>
  <si>
    <t>HL5532</t>
  </si>
  <si>
    <t>HL5758</t>
  </si>
  <si>
    <t>HL5886</t>
  </si>
  <si>
    <t>HL5887</t>
  </si>
  <si>
    <t>HL5955</t>
  </si>
  <si>
    <t>HL5981</t>
  </si>
  <si>
    <t>HL5982</t>
  </si>
  <si>
    <t>HL6163</t>
  </si>
  <si>
    <t>HM1557</t>
  </si>
  <si>
    <t>HN5531</t>
  </si>
  <si>
    <t>HN5883</t>
  </si>
  <si>
    <t>HN5884</t>
  </si>
  <si>
    <t>HN6066</t>
  </si>
  <si>
    <t>HN6071</t>
  </si>
  <si>
    <t>HN6072</t>
  </si>
  <si>
    <t>HN6075</t>
  </si>
  <si>
    <t>HN6076</t>
  </si>
  <si>
    <t>HY2695</t>
  </si>
  <si>
    <t>IB3222</t>
  </si>
  <si>
    <t>IB3250</t>
  </si>
  <si>
    <t>IB3931</t>
  </si>
  <si>
    <t>JA5829</t>
  </si>
  <si>
    <t>JE5830</t>
  </si>
  <si>
    <t>JG1949</t>
  </si>
  <si>
    <t>JG5536</t>
  </si>
  <si>
    <t>JG5537</t>
  </si>
  <si>
    <t>JG5642</t>
  </si>
  <si>
    <t>JG5762</t>
  </si>
  <si>
    <t>JG5763</t>
  </si>
  <si>
    <t>JG5764</t>
  </si>
  <si>
    <t>JG5765</t>
  </si>
  <si>
    <t>JG6107</t>
  </si>
  <si>
    <t>JG6108</t>
  </si>
  <si>
    <t>JG6109</t>
  </si>
  <si>
    <t>JG6111</t>
  </si>
  <si>
    <t>JG6112</t>
  </si>
  <si>
    <t>JM6098</t>
  </si>
  <si>
    <t>JM6099</t>
  </si>
  <si>
    <t>JM6153</t>
  </si>
  <si>
    <t>JM6154</t>
  </si>
  <si>
    <t>JM6183</t>
  </si>
  <si>
    <t>JN5533</t>
  </si>
  <si>
    <t>JN5759</t>
  </si>
  <si>
    <t>JN5928</t>
  </si>
  <si>
    <t>JN5929</t>
  </si>
  <si>
    <t>JP5798</t>
  </si>
  <si>
    <t>JP5799</t>
  </si>
  <si>
    <t>KA2440</t>
  </si>
  <si>
    <t>KA2461</t>
  </si>
  <si>
    <t>KA2512</t>
  </si>
  <si>
    <t>KA2534</t>
  </si>
  <si>
    <t>KA2544</t>
  </si>
  <si>
    <t>KA2581</t>
  </si>
  <si>
    <t>KA2588</t>
  </si>
  <si>
    <t>KA2611</t>
  </si>
  <si>
    <t>KA2618</t>
  </si>
  <si>
    <t>KA3709</t>
  </si>
  <si>
    <t>KA3841</t>
  </si>
  <si>
    <t>KA3842</t>
  </si>
  <si>
    <t>KA4386</t>
  </si>
  <si>
    <t>KA4387</t>
  </si>
  <si>
    <t>KA5149</t>
  </si>
  <si>
    <t>KA5150</t>
  </si>
  <si>
    <t>KB1469</t>
  </si>
  <si>
    <t>KB1470</t>
  </si>
  <si>
    <t>KB1471</t>
  </si>
  <si>
    <t>KB1472</t>
  </si>
  <si>
    <t>KB1473</t>
  </si>
  <si>
    <t>KB1562</t>
  </si>
  <si>
    <t>KB1973</t>
  </si>
  <si>
    <t>KB2899</t>
  </si>
  <si>
    <t>KB5543</t>
  </si>
  <si>
    <t>KB5544</t>
  </si>
  <si>
    <t>KB5768</t>
  </si>
  <si>
    <t>KG5816</t>
  </si>
  <si>
    <t>KG5956</t>
  </si>
  <si>
    <t>KG5957</t>
  </si>
  <si>
    <t>KM5540</t>
  </si>
  <si>
    <t>KM5643</t>
  </si>
  <si>
    <t>KM5888</t>
  </si>
  <si>
    <t>KM5889</t>
  </si>
  <si>
    <t>KM5890</t>
  </si>
  <si>
    <t>KM6166</t>
  </si>
  <si>
    <t>KM6206</t>
  </si>
  <si>
    <t>KM6207</t>
  </si>
  <si>
    <t>KR5539</t>
  </si>
  <si>
    <t>KR6118</t>
  </si>
  <si>
    <t>KR6245</t>
  </si>
  <si>
    <t>KU1474</t>
  </si>
  <si>
    <t>KU1475</t>
  </si>
  <si>
    <t>KU1476</t>
  </si>
  <si>
    <t>KU1539</t>
  </si>
  <si>
    <t>KU1540</t>
  </si>
  <si>
    <t>KU1606</t>
  </si>
  <si>
    <t>KU1607</t>
  </si>
  <si>
    <t>KU4130</t>
  </si>
  <si>
    <t>KU4131</t>
  </si>
  <si>
    <t>KU4143</t>
  </si>
  <si>
    <t>KU4144</t>
  </si>
  <si>
    <t>KU5547</t>
  </si>
  <si>
    <t>KU5548</t>
  </si>
  <si>
    <t>KW5541</t>
  </si>
  <si>
    <t>KW5542</t>
  </si>
  <si>
    <t>KW5766</t>
  </si>
  <si>
    <t>KW5767</t>
  </si>
  <si>
    <t>KW5891</t>
  </si>
  <si>
    <t>KW5893</t>
  </si>
  <si>
    <t>KW5894</t>
  </si>
  <si>
    <t>KW5895</t>
  </si>
  <si>
    <t>KW5949</t>
  </si>
  <si>
    <t>KW5950</t>
  </si>
  <si>
    <t>KW6100</t>
  </si>
  <si>
    <t>KW6136</t>
  </si>
  <si>
    <t>KW6165</t>
  </si>
  <si>
    <t>KY4049</t>
  </si>
  <si>
    <t>LD5550</t>
  </si>
  <si>
    <t>LD5551</t>
  </si>
  <si>
    <t>LD5896</t>
  </si>
  <si>
    <t>LD5897</t>
  </si>
  <si>
    <t>LD5898</t>
  </si>
  <si>
    <t>LD6063</t>
  </si>
  <si>
    <t>LD6069</t>
  </si>
  <si>
    <t>LE1513</t>
  </si>
  <si>
    <t>LE1514</t>
  </si>
  <si>
    <t>LE1515</t>
  </si>
  <si>
    <t>LE1516</t>
  </si>
  <si>
    <t>LE1517</t>
  </si>
  <si>
    <t>LE1518</t>
  </si>
  <si>
    <t>LE1519</t>
  </si>
  <si>
    <t>LE1572</t>
  </si>
  <si>
    <t>LE1575</t>
  </si>
  <si>
    <t>LE1955</t>
  </si>
  <si>
    <t>LE1961</t>
  </si>
  <si>
    <t>LH1232</t>
  </si>
  <si>
    <t>LH1625</t>
  </si>
  <si>
    <t>LH1631</t>
  </si>
  <si>
    <t>LH1632</t>
  </si>
  <si>
    <t>LH1636</t>
  </si>
  <si>
    <t>LH1727</t>
  </si>
  <si>
    <t>LH3834</t>
  </si>
  <si>
    <t>LH4342</t>
  </si>
  <si>
    <t>LK6156</t>
  </si>
  <si>
    <t>LP5832</t>
  </si>
  <si>
    <t>LP5833</t>
  </si>
  <si>
    <t>LP5943</t>
  </si>
  <si>
    <t>LP5967</t>
  </si>
  <si>
    <t>MC5556</t>
  </si>
  <si>
    <t>MC5557</t>
  </si>
  <si>
    <t>MC5902</t>
  </si>
  <si>
    <t>MC5903</t>
  </si>
  <si>
    <t>MC5904</t>
  </si>
  <si>
    <t>MC5905</t>
  </si>
  <si>
    <t>MC6004</t>
  </si>
  <si>
    <t>MC6005</t>
  </si>
  <si>
    <t>MC6009</t>
  </si>
  <si>
    <t>MC6282</t>
  </si>
  <si>
    <t>MC6283</t>
  </si>
  <si>
    <t>MH4795</t>
  </si>
  <si>
    <t>ML5552</t>
  </si>
  <si>
    <t>ML5553</t>
  </si>
  <si>
    <t>ML5899</t>
  </si>
  <si>
    <t>ML5901</t>
  </si>
  <si>
    <t>MT5831</t>
  </si>
  <si>
    <t>MU1847</t>
  </si>
  <si>
    <t>MU1945</t>
  </si>
  <si>
    <t>MU4401</t>
  </si>
  <si>
    <t>MU4402</t>
  </si>
  <si>
    <t>MU4407</t>
  </si>
  <si>
    <t>MU4408</t>
  </si>
  <si>
    <t>MU4410</t>
  </si>
  <si>
    <t>MU4411</t>
  </si>
  <si>
    <t>MU4412</t>
  </si>
  <si>
    <t>MU4413</t>
  </si>
  <si>
    <t>MU4415</t>
  </si>
  <si>
    <t>MU4423</t>
  </si>
  <si>
    <t>MU4425</t>
  </si>
  <si>
    <t>MU4426</t>
  </si>
  <si>
    <t>MU4431</t>
  </si>
  <si>
    <t>MU4434</t>
  </si>
  <si>
    <t>MU4437</t>
  </si>
  <si>
    <t>MU4438</t>
  </si>
  <si>
    <t>MU4440</t>
  </si>
  <si>
    <t>MU4441</t>
  </si>
  <si>
    <t>MU4442</t>
  </si>
  <si>
    <t>MU4443</t>
  </si>
  <si>
    <t>MU4444</t>
  </si>
  <si>
    <t>MU4449</t>
  </si>
  <si>
    <t>MU4450</t>
  </si>
  <si>
    <t>MU4452</t>
  </si>
  <si>
    <t>MU4453</t>
  </si>
  <si>
    <t>MU4454</t>
  </si>
  <si>
    <t>MU4455</t>
  </si>
  <si>
    <t>MU4456</t>
  </si>
  <si>
    <t>MU5934</t>
  </si>
  <si>
    <t>MU5979</t>
  </si>
  <si>
    <t>MU5980</t>
  </si>
  <si>
    <t>MU6266</t>
  </si>
  <si>
    <t>MW1533</t>
  </si>
  <si>
    <t>MW1534</t>
  </si>
  <si>
    <t>MW1576</t>
  </si>
  <si>
    <t>MW1577</t>
  </si>
  <si>
    <t>MW1963</t>
  </si>
  <si>
    <t>MW1985</t>
  </si>
  <si>
    <t>MW1997</t>
  </si>
  <si>
    <t>MW2812</t>
  </si>
  <si>
    <t>MW2842</t>
  </si>
  <si>
    <t>MW2859</t>
  </si>
  <si>
    <t>MW5558</t>
  </si>
  <si>
    <t>MW5559</t>
  </si>
  <si>
    <t>MW5772</t>
  </si>
  <si>
    <t>MW5773</t>
  </si>
  <si>
    <t>MZ1477</t>
  </si>
  <si>
    <t>MZ1478</t>
  </si>
  <si>
    <t>MZ1479</t>
  </si>
  <si>
    <t>MZ1480</t>
  </si>
  <si>
    <t>MZ1523</t>
  </si>
  <si>
    <t>MZ1524</t>
  </si>
  <si>
    <t>MZ4501</t>
  </si>
  <si>
    <t>MZ4507</t>
  </si>
  <si>
    <t>MZ4508</t>
  </si>
  <si>
    <t>NB1520</t>
  </si>
  <si>
    <t>OB5809</t>
  </si>
  <si>
    <t>OB6198</t>
  </si>
  <si>
    <t>OK1114</t>
  </si>
  <si>
    <t>OK1206</t>
  </si>
  <si>
    <t>OK1207</t>
  </si>
  <si>
    <t>OK1439</t>
  </si>
  <si>
    <t>OK1440</t>
  </si>
  <si>
    <t>OK1441</t>
  </si>
  <si>
    <t>OK1442</t>
  </si>
  <si>
    <t>OK1444</t>
  </si>
  <si>
    <t>OK1445</t>
  </si>
  <si>
    <t>OK1447</t>
  </si>
  <si>
    <t>OK1448</t>
  </si>
  <si>
    <t>OK1851</t>
  </si>
  <si>
    <t>OK1852</t>
  </si>
  <si>
    <t>OK1853</t>
  </si>
  <si>
    <t>OK4110</t>
  </si>
  <si>
    <t>OT5926</t>
  </si>
  <si>
    <t>OT5927</t>
  </si>
  <si>
    <t>OT6254</t>
  </si>
  <si>
    <t>OT6255</t>
  </si>
  <si>
    <t>OT6256</t>
  </si>
  <si>
    <t>PM5843</t>
  </si>
  <si>
    <t>PP1483</t>
  </si>
  <si>
    <t>PP1484</t>
  </si>
  <si>
    <t>PP1485</t>
  </si>
  <si>
    <t>PP5561</t>
  </si>
  <si>
    <t>PP5562</t>
  </si>
  <si>
    <t>RJ6073</t>
  </si>
  <si>
    <t>RJ6074</t>
  </si>
  <si>
    <t>RJ6229</t>
  </si>
  <si>
    <t>RJ6230</t>
  </si>
  <si>
    <t>RJ6231</t>
  </si>
  <si>
    <t>RK1489</t>
  </si>
  <si>
    <t>RK1490</t>
  </si>
  <si>
    <t>RK1944</t>
  </si>
  <si>
    <t>RK5566</t>
  </si>
  <si>
    <t>SF5811</t>
  </si>
  <si>
    <t>SF5916</t>
  </si>
  <si>
    <t>SF5917</t>
  </si>
  <si>
    <t>SF6250</t>
  </si>
  <si>
    <t>SG1499</t>
  </si>
  <si>
    <t>SG1501</t>
  </si>
  <si>
    <t>SG1502</t>
  </si>
  <si>
    <t>SG1504</t>
  </si>
  <si>
    <t>SG1506</t>
  </si>
  <si>
    <t>SG1544</t>
  </si>
  <si>
    <t>SG1861</t>
  </si>
  <si>
    <t>SG1862</t>
  </si>
  <si>
    <t>SG1863</t>
  </si>
  <si>
    <t>SG1864</t>
  </si>
  <si>
    <t>SG1865</t>
  </si>
  <si>
    <t>SG1869</t>
  </si>
  <si>
    <t>SG1870</t>
  </si>
  <si>
    <t>SG1871</t>
  </si>
  <si>
    <t>SG1872</t>
  </si>
  <si>
    <t>SG1873</t>
  </si>
  <si>
    <t>SG1874</t>
  </si>
  <si>
    <t>SG1876</t>
  </si>
  <si>
    <t>SG1946</t>
  </si>
  <si>
    <t>SG1999</t>
  </si>
  <si>
    <t>SG3782</t>
  </si>
  <si>
    <t>SG4134</t>
  </si>
  <si>
    <t>SG4140</t>
  </si>
  <si>
    <t>SG4351</t>
  </si>
  <si>
    <t>SG4352</t>
  </si>
  <si>
    <t>SG4353</t>
  </si>
  <si>
    <t>SG4354</t>
  </si>
  <si>
    <t>SG4355</t>
  </si>
  <si>
    <t>SG4356</t>
  </si>
  <si>
    <t>SG4358</t>
  </si>
  <si>
    <t>SG4361</t>
  </si>
  <si>
    <t>SG4362</t>
  </si>
  <si>
    <t>SG4365</t>
  </si>
  <si>
    <t>SJ5568</t>
  </si>
  <si>
    <t>SJ5569</t>
  </si>
  <si>
    <t>SJ6257</t>
  </si>
  <si>
    <t>SP5567</t>
  </si>
  <si>
    <t>SP5748</t>
  </si>
  <si>
    <t>SS5820</t>
  </si>
  <si>
    <t>SS5933</t>
  </si>
  <si>
    <t>SS6102</t>
  </si>
  <si>
    <t>ST5841</t>
  </si>
  <si>
    <t>ST5958</t>
  </si>
  <si>
    <t>ST5959</t>
  </si>
  <si>
    <t>ST5991</t>
  </si>
  <si>
    <t>ST5992</t>
  </si>
  <si>
    <t>SW1491</t>
  </si>
  <si>
    <t>SW1492</t>
  </si>
  <si>
    <t>SW1493</t>
  </si>
  <si>
    <t>SW1495</t>
  </si>
  <si>
    <t>SW1496</t>
  </si>
  <si>
    <t>SW1497</t>
  </si>
  <si>
    <t>SW1498</t>
  </si>
  <si>
    <t>SW1854</t>
  </si>
  <si>
    <t>SW1855</t>
  </si>
  <si>
    <t>SW1858</t>
  </si>
  <si>
    <t>SW1859</t>
  </si>
  <si>
    <t>SW1860</t>
  </si>
  <si>
    <t>SW4419</t>
  </si>
  <si>
    <t>SW4420</t>
  </si>
  <si>
    <t>SW4421</t>
  </si>
  <si>
    <t>SW4428</t>
  </si>
  <si>
    <t>SW4457</t>
  </si>
  <si>
    <t>SW4459</t>
  </si>
  <si>
    <t>TS5505</t>
  </si>
  <si>
    <t>TS5777</t>
  </si>
  <si>
    <t>TS5918</t>
  </si>
  <si>
    <t>TS5919</t>
  </si>
  <si>
    <t>TS5920</t>
  </si>
  <si>
    <t>TS6297</t>
  </si>
  <si>
    <t>TS6298</t>
  </si>
  <si>
    <t>TT5156</t>
  </si>
  <si>
    <t>UC5931</t>
  </si>
  <si>
    <t>VH5500</t>
  </si>
  <si>
    <t>VH5501</t>
  </si>
  <si>
    <t>VH5502</t>
  </si>
  <si>
    <t>VH5778</t>
  </si>
  <si>
    <t>VH6129</t>
  </si>
  <si>
    <t>VH6308</t>
  </si>
  <si>
    <t>WB1429</t>
  </si>
  <si>
    <t>WB1587</t>
  </si>
  <si>
    <t>XY6669</t>
  </si>
  <si>
    <t>XY6670</t>
  </si>
  <si>
    <t>XY6671</t>
  </si>
  <si>
    <t>XY6673</t>
  </si>
  <si>
    <t>XY6674</t>
  </si>
  <si>
    <t>XY6675</t>
  </si>
  <si>
    <t>XY6676</t>
  </si>
  <si>
    <t>XY6677</t>
  </si>
  <si>
    <t>XY6678</t>
  </si>
  <si>
    <t>XY6679</t>
  </si>
  <si>
    <t>XY6680</t>
  </si>
  <si>
    <t>XY6681</t>
  </si>
  <si>
    <t>XY6682</t>
  </si>
  <si>
    <t>XY6683</t>
  </si>
  <si>
    <t>XY6684</t>
  </si>
  <si>
    <t>XY6686</t>
  </si>
  <si>
    <t>XY6687</t>
  </si>
  <si>
    <t>XY6688</t>
  </si>
  <si>
    <t>XY6689</t>
  </si>
  <si>
    <t>XY6690</t>
  </si>
  <si>
    <t>XY6691</t>
  </si>
  <si>
    <t>XY6692</t>
  </si>
  <si>
    <t>XY6693</t>
  </si>
  <si>
    <t>XY6694</t>
  </si>
  <si>
    <t>XY6695</t>
  </si>
  <si>
    <t>XY6697</t>
  </si>
  <si>
    <t>XY6698</t>
  </si>
  <si>
    <t>XY6699</t>
  </si>
  <si>
    <t>XY6700</t>
  </si>
  <si>
    <t>XY6702</t>
  </si>
  <si>
    <t>XY6707</t>
  </si>
  <si>
    <t>XY6708</t>
  </si>
  <si>
    <t>XY6710</t>
  </si>
  <si>
    <t>XY6711</t>
  </si>
  <si>
    <t>XY6712</t>
  </si>
  <si>
    <t>XY6713</t>
  </si>
  <si>
    <t>XY6714</t>
  </si>
  <si>
    <t>XY6715</t>
  </si>
  <si>
    <t>XY6716</t>
  </si>
  <si>
    <t>XY6717</t>
  </si>
  <si>
    <t>XY6718</t>
  </si>
  <si>
    <t>XY6719</t>
  </si>
  <si>
    <t>XY6720</t>
  </si>
  <si>
    <t>XY6721</t>
  </si>
  <si>
    <t>XY6722</t>
  </si>
  <si>
    <t>XY6723</t>
  </si>
  <si>
    <t>XY6725</t>
  </si>
  <si>
    <t>XY6726</t>
  </si>
  <si>
    <t>XY6727</t>
  </si>
  <si>
    <t>XY6728</t>
  </si>
  <si>
    <t>XY6730</t>
  </si>
  <si>
    <t>XY6732</t>
  </si>
  <si>
    <t>XY6733</t>
  </si>
  <si>
    <t>XY6734</t>
  </si>
  <si>
    <t>XY6735</t>
  </si>
  <si>
    <t>XY6736</t>
  </si>
  <si>
    <t>XY6737</t>
  </si>
  <si>
    <t>XY6739</t>
  </si>
  <si>
    <t>XY6740</t>
  </si>
  <si>
    <t>XY6743</t>
  </si>
  <si>
    <t>XY6744</t>
  </si>
  <si>
    <t>YA5503</t>
  </si>
  <si>
    <t>YA5779</t>
  </si>
  <si>
    <t>YA6547</t>
  </si>
  <si>
    <t>1A2711</t>
  </si>
  <si>
    <t>1A2712</t>
  </si>
  <si>
    <t>1A2713</t>
  </si>
  <si>
    <t>1A2714</t>
  </si>
  <si>
    <t>1A2716</t>
  </si>
  <si>
    <t>1A2717</t>
  </si>
  <si>
    <t>1A2718</t>
  </si>
  <si>
    <t>1A2719</t>
  </si>
  <si>
    <t>1A2720</t>
  </si>
  <si>
    <t>1A2721</t>
  </si>
  <si>
    <t>1A2722</t>
  </si>
  <si>
    <t>1A2723</t>
  </si>
  <si>
    <t>1D3448</t>
  </si>
  <si>
    <t>1D3449</t>
  </si>
  <si>
    <t>1D3450</t>
  </si>
  <si>
    <t>1D3451</t>
  </si>
  <si>
    <t>1D3452</t>
  </si>
  <si>
    <t>1D3453</t>
  </si>
  <si>
    <t>1D3454</t>
  </si>
  <si>
    <t>1E3469</t>
  </si>
  <si>
    <t>1E3470</t>
  </si>
  <si>
    <t>1F3472</t>
  </si>
  <si>
    <t>1F3475</t>
  </si>
  <si>
    <t>1F3476</t>
  </si>
  <si>
    <t>1F3477</t>
  </si>
  <si>
    <t>1F3478</t>
  </si>
  <si>
    <t>1F3479</t>
  </si>
  <si>
    <t>1G3481</t>
  </si>
  <si>
    <t>1G3482</t>
  </si>
  <si>
    <t>1G3483</t>
  </si>
  <si>
    <t>1H3485</t>
  </si>
  <si>
    <t>1H3486</t>
  </si>
  <si>
    <t>1H3487</t>
  </si>
  <si>
    <t>1H3488</t>
  </si>
  <si>
    <t>1H3489</t>
  </si>
  <si>
    <t>1H3491</t>
  </si>
  <si>
    <t>1H3492</t>
  </si>
  <si>
    <t>1H3493</t>
  </si>
  <si>
    <t>1H3494</t>
  </si>
  <si>
    <t>1H3495</t>
  </si>
  <si>
    <t>1H3496</t>
  </si>
  <si>
    <t>1H3497</t>
  </si>
  <si>
    <t>1H3498</t>
  </si>
  <si>
    <t>1H3499</t>
  </si>
  <si>
    <t>1H3500</t>
  </si>
  <si>
    <t>1H3501</t>
  </si>
  <si>
    <t>1H6555</t>
  </si>
  <si>
    <t>1H6556</t>
  </si>
  <si>
    <t>1H6557</t>
  </si>
  <si>
    <t>1I3524</t>
  </si>
  <si>
    <t>1J3525</t>
  </si>
  <si>
    <t>1J3526</t>
  </si>
  <si>
    <t>1L3536</t>
  </si>
  <si>
    <t>1L3537</t>
  </si>
  <si>
    <t>1L3538</t>
  </si>
  <si>
    <t>1L3539</t>
  </si>
  <si>
    <t>1L3542</t>
  </si>
  <si>
    <t>1L3543</t>
  </si>
  <si>
    <t>1S3582</t>
  </si>
  <si>
    <t>1S3583</t>
  </si>
  <si>
    <t>1S3584</t>
  </si>
  <si>
    <t>1S3585</t>
  </si>
  <si>
    <t>1S3586</t>
  </si>
  <si>
    <t>1T3587</t>
  </si>
  <si>
    <t>1T3588</t>
  </si>
  <si>
    <t>1T3589</t>
  </si>
  <si>
    <t>1U3593</t>
  </si>
  <si>
    <t>1U3594</t>
  </si>
  <si>
    <t>1U3597</t>
  </si>
  <si>
    <t>1V3638</t>
  </si>
  <si>
    <t>1X3667</t>
  </si>
  <si>
    <t>1X3668</t>
  </si>
  <si>
    <t>1X3669</t>
  </si>
  <si>
    <t>1X3670</t>
  </si>
  <si>
    <t>1X3671</t>
  </si>
  <si>
    <t>1X3672</t>
  </si>
  <si>
    <t>1X3673</t>
  </si>
  <si>
    <t>1X3674</t>
  </si>
  <si>
    <t>1X3675</t>
  </si>
  <si>
    <t>2A3703</t>
  </si>
  <si>
    <t>2A3704</t>
  </si>
  <si>
    <t>2A3705</t>
  </si>
  <si>
    <t>2A3706</t>
  </si>
  <si>
    <t>2F3742</t>
  </si>
  <si>
    <t>2F3743</t>
  </si>
  <si>
    <t>2F3744</t>
  </si>
  <si>
    <t>2F3745</t>
  </si>
  <si>
    <t>2F3746</t>
  </si>
  <si>
    <t>2F3747</t>
  </si>
  <si>
    <t>2F3749</t>
  </si>
  <si>
    <t>2F3750</t>
  </si>
  <si>
    <t>2F3751</t>
  </si>
  <si>
    <t>2F3752</t>
  </si>
  <si>
    <t>2F3753</t>
  </si>
  <si>
    <t>2G3754</t>
  </si>
  <si>
    <t>2H3756</t>
  </si>
  <si>
    <t>2H3757</t>
  </si>
  <si>
    <t>2N3429</t>
  </si>
  <si>
    <t>2N3430</t>
  </si>
  <si>
    <t>2N3431</t>
  </si>
  <si>
    <t>2N3432</t>
  </si>
  <si>
    <t>2N3434</t>
  </si>
  <si>
    <t>2N3439</t>
  </si>
  <si>
    <t>2S3505</t>
  </si>
  <si>
    <t>2S3506</t>
  </si>
  <si>
    <t>2S3507</t>
  </si>
  <si>
    <t>2Y3608</t>
  </si>
  <si>
    <t>2Y3609</t>
  </si>
  <si>
    <t>2Y3610</t>
  </si>
  <si>
    <t>2Y3611</t>
  </si>
  <si>
    <t>2Y3612</t>
  </si>
  <si>
    <t>2Y3613</t>
  </si>
  <si>
    <t>2Y3614</t>
  </si>
  <si>
    <t>2Y3617</t>
  </si>
  <si>
    <t>2Y3618</t>
  </si>
  <si>
    <t>3B3654</t>
  </si>
  <si>
    <t>3B3659</t>
  </si>
  <si>
    <t>3B3661</t>
  </si>
  <si>
    <t>3B3662</t>
  </si>
  <si>
    <t>3B3663</t>
  </si>
  <si>
    <t>3M3768</t>
  </si>
  <si>
    <t>3O6526</t>
  </si>
  <si>
    <t>3O6527</t>
  </si>
  <si>
    <t>3O6528</t>
  </si>
  <si>
    <t>3Q6533</t>
  </si>
  <si>
    <t>3Q6534</t>
  </si>
  <si>
    <t>3Q6535</t>
  </si>
  <si>
    <t>3Q6536</t>
  </si>
  <si>
    <t>3Q6537</t>
  </si>
  <si>
    <t>3R6538</t>
  </si>
  <si>
    <t>3R6539</t>
  </si>
  <si>
    <t>3R6540</t>
  </si>
  <si>
    <t>3S6542</t>
  </si>
  <si>
    <t>3S6543</t>
  </si>
  <si>
    <t>3S6544</t>
  </si>
  <si>
    <t>3S6545</t>
  </si>
  <si>
    <t>3S6546</t>
  </si>
  <si>
    <t>3U6493</t>
  </si>
  <si>
    <t>3V6548</t>
  </si>
  <si>
    <t>3V6549</t>
  </si>
  <si>
    <t>3V6550</t>
  </si>
  <si>
    <t>3W6552</t>
  </si>
  <si>
    <t>3W6553</t>
  </si>
  <si>
    <t>4H6561</t>
  </si>
  <si>
    <t>4H6562</t>
  </si>
  <si>
    <t>4U6012</t>
  </si>
  <si>
    <t>4U6013</t>
  </si>
  <si>
    <t>4U6014</t>
  </si>
  <si>
    <t>4U6043</t>
  </si>
  <si>
    <t>4Z6375</t>
  </si>
  <si>
    <t>4Z6551</t>
  </si>
  <si>
    <t>5A3865</t>
  </si>
  <si>
    <t>5B6048</t>
  </si>
  <si>
    <t>5B6091</t>
  </si>
  <si>
    <t>5B6376</t>
  </si>
  <si>
    <t>FB0070</t>
  </si>
  <si>
    <t>FB0071</t>
  </si>
  <si>
    <t>FB0072</t>
  </si>
  <si>
    <t>FB0073</t>
  </si>
  <si>
    <t>FB0074</t>
  </si>
  <si>
    <t>FB0075</t>
  </si>
  <si>
    <t>FB0076</t>
  </si>
  <si>
    <t>FB0077</t>
  </si>
  <si>
    <t>FB0078</t>
  </si>
  <si>
    <t>GJ3996</t>
  </si>
  <si>
    <t>EM3992</t>
  </si>
  <si>
    <t>SK3989</t>
  </si>
  <si>
    <t>Status</t>
  </si>
  <si>
    <t>Up Time</t>
  </si>
  <si>
    <t>BT5803</t>
  </si>
  <si>
    <t>CO3980</t>
  </si>
  <si>
    <t>KA2605</t>
  </si>
  <si>
    <t>HY2629</t>
  </si>
  <si>
    <t>KA2433</t>
  </si>
  <si>
    <t>KA4379</t>
  </si>
  <si>
    <t>HY4542</t>
  </si>
  <si>
    <t>KA2488</t>
  </si>
  <si>
    <t>KA4548</t>
  </si>
  <si>
    <t>KA4549</t>
  </si>
  <si>
    <t>HY4544</t>
  </si>
  <si>
    <t>HY4545</t>
  </si>
  <si>
    <t>KA4541</t>
  </si>
  <si>
    <t>KA2528</t>
  </si>
  <si>
    <t>KA4562</t>
  </si>
  <si>
    <t>SU6823</t>
  </si>
  <si>
    <t>KA0192</t>
  </si>
  <si>
    <t>WW5487</t>
  </si>
  <si>
    <t>KA4550</t>
  </si>
  <si>
    <t>LH3991</t>
  </si>
  <si>
    <t>SH4480</t>
  </si>
  <si>
    <t>SH4494</t>
  </si>
  <si>
    <t>PT4483</t>
  </si>
  <si>
    <t>NB4479</t>
  </si>
  <si>
    <t>NB4499</t>
  </si>
  <si>
    <t>GJ4481</t>
  </si>
  <si>
    <t>GJ4482</t>
  </si>
  <si>
    <t>GU4460</t>
  </si>
  <si>
    <t>GJ4465</t>
  </si>
  <si>
    <t>SK3985</t>
  </si>
  <si>
    <t>GJ3993</t>
  </si>
  <si>
    <t>NR3995</t>
  </si>
  <si>
    <t>MB4510</t>
  </si>
  <si>
    <t>LM4461</t>
  </si>
  <si>
    <t>GJ4493</t>
  </si>
  <si>
    <t>PT4509</t>
  </si>
  <si>
    <t>KS4476</t>
  </si>
  <si>
    <t>KS4560</t>
  </si>
  <si>
    <t>LH4477</t>
  </si>
  <si>
    <t>WW5499</t>
  </si>
  <si>
    <t>PR4466</t>
  </si>
  <si>
    <t>SK3990</t>
  </si>
  <si>
    <t>SK4000</t>
  </si>
  <si>
    <t>JJ3987</t>
  </si>
  <si>
    <t>GO1927</t>
  </si>
  <si>
    <t>PP1937</t>
  </si>
  <si>
    <t>OK3958</t>
  </si>
  <si>
    <t>JG3961</t>
  </si>
  <si>
    <t>OK3962</t>
  </si>
  <si>
    <t>OK3963</t>
  </si>
  <si>
    <t>FB3970</t>
  </si>
  <si>
    <t>TS3972</t>
  </si>
  <si>
    <t>FB3975</t>
  </si>
  <si>
    <t>RR0909</t>
  </si>
  <si>
    <t>MU3973</t>
  </si>
  <si>
    <t>BL6810</t>
  </si>
  <si>
    <t>BL6811</t>
  </si>
  <si>
    <t>BL6813</t>
  </si>
  <si>
    <t>BH4462</t>
  </si>
  <si>
    <t>NB4468</t>
  </si>
  <si>
    <t>NB3957</t>
  </si>
  <si>
    <t>JW4511</t>
  </si>
  <si>
    <t>KM6816</t>
  </si>
  <si>
    <t>LD6815</t>
  </si>
  <si>
    <t>MU3681</t>
  </si>
  <si>
    <t>FB3960</t>
  </si>
  <si>
    <t>FB3872</t>
  </si>
  <si>
    <t>CT3680</t>
  </si>
  <si>
    <t>JP6819</t>
  </si>
  <si>
    <t>DI3326</t>
  </si>
  <si>
    <t>FB1811</t>
  </si>
  <si>
    <t>FB4532</t>
  </si>
  <si>
    <t>FB4529</t>
  </si>
  <si>
    <t>SW1931</t>
  </si>
  <si>
    <t>FB4530</t>
  </si>
  <si>
    <t>FB3871</t>
  </si>
  <si>
    <t>BB4467</t>
  </si>
  <si>
    <t>CD4492</t>
  </si>
  <si>
    <t>CD4496</t>
  </si>
  <si>
    <t>DN4470</t>
  </si>
  <si>
    <t>IB0057</t>
  </si>
  <si>
    <t>IB4512</t>
  </si>
  <si>
    <t>JH3986</t>
  </si>
  <si>
    <t>KN3988</t>
  </si>
  <si>
    <t>ME3982</t>
  </si>
  <si>
    <t>MS3967</t>
  </si>
  <si>
    <t>NO4495</t>
  </si>
  <si>
    <t>NO4497</t>
  </si>
  <si>
    <t>PS2872</t>
  </si>
  <si>
    <t>CA4471</t>
  </si>
  <si>
    <t>IB4538</t>
  </si>
  <si>
    <t>IB0332</t>
  </si>
  <si>
    <t>IB4536</t>
  </si>
  <si>
    <t>Reason required</t>
  </si>
  <si>
    <r>
      <t>Outages during shift/ fluctuations(</t>
    </r>
    <r>
      <rPr>
        <b/>
        <i/>
        <sz val="10"/>
        <rFont val="Arial"/>
        <family val="2"/>
      </rPr>
      <t>start time-end time</t>
    </r>
    <r>
      <rPr>
        <b/>
        <sz val="10"/>
        <rFont val="Arial"/>
        <family val="2"/>
      </rPr>
      <t>)</t>
    </r>
  </si>
  <si>
    <t>Down Time</t>
  </si>
  <si>
    <t>Reason</t>
  </si>
  <si>
    <t>Region / City</t>
  </si>
  <si>
    <t>Ufone</t>
  </si>
  <si>
    <t>LH1228</t>
  </si>
  <si>
    <t>LH1637</t>
  </si>
  <si>
    <t>RR0957</t>
  </si>
  <si>
    <t>SH3971</t>
  </si>
  <si>
    <t>SK1891</t>
  </si>
  <si>
    <t>Mobilink</t>
  </si>
  <si>
    <t>Telenor</t>
  </si>
  <si>
    <t>WorldCall</t>
  </si>
  <si>
    <t>Wateen</t>
  </si>
  <si>
    <t>HJN8729</t>
  </si>
  <si>
    <t>C-HWY-4439</t>
  </si>
  <si>
    <t>QCSR01</t>
  </si>
  <si>
    <t>FFDR01</t>
  </si>
  <si>
    <t>FFD310</t>
  </si>
  <si>
    <t>RUR0181</t>
  </si>
  <si>
    <t>RUR8805</t>
  </si>
  <si>
    <t>RUR6920</t>
  </si>
  <si>
    <t>KHD129</t>
  </si>
  <si>
    <t>S-HYD-1713</t>
  </si>
  <si>
    <t>SJN8732</t>
  </si>
  <si>
    <t>S-KHI-0416</t>
  </si>
  <si>
    <t>S-KHI-1592</t>
  </si>
  <si>
    <t>S-KHI-0742</t>
  </si>
  <si>
    <t>KHI2018</t>
  </si>
  <si>
    <t>KKZ449</t>
  </si>
  <si>
    <t>S-KHI-1259</t>
  </si>
  <si>
    <t>S-KHI-0844</t>
  </si>
  <si>
    <t>S-KHI-1779</t>
  </si>
  <si>
    <t>S-KHI-1860</t>
  </si>
  <si>
    <t>S-KHI-0871</t>
  </si>
  <si>
    <t>KKQ351</t>
  </si>
  <si>
    <t>KHI134</t>
  </si>
  <si>
    <t>S-KHI-0613</t>
  </si>
  <si>
    <t>C-RUR-6002</t>
  </si>
  <si>
    <t>C-LHR-5436</t>
  </si>
  <si>
    <t>LHR3313</t>
  </si>
  <si>
    <t>C-LHR-6453</t>
  </si>
  <si>
    <t>C-RUR-6448</t>
  </si>
  <si>
    <t>C-RUR-7601</t>
  </si>
  <si>
    <t>LUW001</t>
  </si>
  <si>
    <t>S-DIO-1656</t>
  </si>
  <si>
    <t>KFA5682</t>
  </si>
  <si>
    <t>C-RCV-5917</t>
  </si>
  <si>
    <t>N-AJK-9126</t>
  </si>
  <si>
    <t>RBW4084</t>
  </si>
  <si>
    <t>N-PAP-8427</t>
  </si>
  <si>
    <t>RUR2013</t>
  </si>
  <si>
    <t>HWY7487</t>
  </si>
  <si>
    <t>HWY8442</t>
  </si>
  <si>
    <t>C-FSB-5409</t>
  </si>
  <si>
    <t>FSD4828</t>
  </si>
  <si>
    <t>FSD3721</t>
  </si>
  <si>
    <t>C-GRN-4088</t>
  </si>
  <si>
    <t>C-GRN-5634</t>
  </si>
  <si>
    <t>C-GRN-5594</t>
  </si>
  <si>
    <t>N-PIR-8244</t>
  </si>
  <si>
    <t>C-HJM-4171</t>
  </si>
  <si>
    <t>S-HYD-1692</t>
  </si>
  <si>
    <t>HYD6424</t>
  </si>
  <si>
    <t>S-TMK-1111</t>
  </si>
  <si>
    <t>RWP1621</t>
  </si>
  <si>
    <t>N-ISB-8333</t>
  </si>
  <si>
    <t>RWP1067</t>
  </si>
  <si>
    <t>N-ISB-8276</t>
  </si>
  <si>
    <t>RWP1510</t>
  </si>
  <si>
    <t>ISB072</t>
  </si>
  <si>
    <t>ISB004</t>
  </si>
  <si>
    <t>N-MLP-9228</t>
  </si>
  <si>
    <t>RWP1298</t>
  </si>
  <si>
    <t>RWP1107</t>
  </si>
  <si>
    <t>RWP1076</t>
  </si>
  <si>
    <t>RWP0501</t>
  </si>
  <si>
    <t>N-ISB-9556</t>
  </si>
  <si>
    <t>ISB031</t>
  </si>
  <si>
    <t>N-ISB-8556</t>
  </si>
  <si>
    <t>WTIB-9048</t>
  </si>
  <si>
    <t>IIB232</t>
  </si>
  <si>
    <t>RWP043</t>
  </si>
  <si>
    <t>IRP725</t>
  </si>
  <si>
    <t>N-RWP-9208</t>
  </si>
  <si>
    <t>KMKL01</t>
  </si>
  <si>
    <t>C-JHG-5362</t>
  </si>
  <si>
    <t>S-KHI-0904</t>
  </si>
  <si>
    <t>KKX503</t>
  </si>
  <si>
    <t>S-KHI-0657</t>
  </si>
  <si>
    <t>KHI0533</t>
  </si>
  <si>
    <t>KKQ425</t>
  </si>
  <si>
    <t>KKQ204</t>
  </si>
  <si>
    <t>S-KHI-1753</t>
  </si>
  <si>
    <t>KHI0038</t>
  </si>
  <si>
    <t>KHI6505</t>
  </si>
  <si>
    <t>KKQ120</t>
  </si>
  <si>
    <t>KHI6591</t>
  </si>
  <si>
    <t>KHI5394</t>
  </si>
  <si>
    <t>KKQ129</t>
  </si>
  <si>
    <t>S-KHI-0854</t>
  </si>
  <si>
    <t>KHI0445</t>
  </si>
  <si>
    <t>S-KHI-1256</t>
  </si>
  <si>
    <t>KHI5208</t>
  </si>
  <si>
    <t>KKX322</t>
  </si>
  <si>
    <t>MNU001</t>
  </si>
  <si>
    <t>HWY3756</t>
  </si>
  <si>
    <t>ANGR01</t>
  </si>
  <si>
    <t>C-DYP-6252</t>
  </si>
  <si>
    <t>C-LHR-5564</t>
  </si>
  <si>
    <t>LHR3133</t>
  </si>
  <si>
    <t>LHR9841</t>
  </si>
  <si>
    <t>LHR0555</t>
  </si>
  <si>
    <t>LHR129</t>
  </si>
  <si>
    <t>LHR3648</t>
  </si>
  <si>
    <t>LHR3062</t>
  </si>
  <si>
    <t>C-LHR-6142</t>
  </si>
  <si>
    <t>C-LHR-5490</t>
  </si>
  <si>
    <t>LHR0670</t>
  </si>
  <si>
    <t>C-LHR-5495</t>
  </si>
  <si>
    <t>LHR121</t>
  </si>
  <si>
    <t>C-LHR-4013</t>
  </si>
  <si>
    <t>LHR3180</t>
  </si>
  <si>
    <t>LHR3174</t>
  </si>
  <si>
    <t>LHR0781</t>
  </si>
  <si>
    <t>LLR110</t>
  </si>
  <si>
    <t>LHR3197</t>
  </si>
  <si>
    <t>C-LHR-6368</t>
  </si>
  <si>
    <t>C-LHR-7377</t>
  </si>
  <si>
    <t>C-LHR-7129</t>
  </si>
  <si>
    <t>C-LHR-7398</t>
  </si>
  <si>
    <t>LHR6935</t>
  </si>
  <si>
    <t>C-LHR-7400</t>
  </si>
  <si>
    <t>LLR615</t>
  </si>
  <si>
    <t>LLR006</t>
  </si>
  <si>
    <t>LLR025</t>
  </si>
  <si>
    <t>LHR3037</t>
  </si>
  <si>
    <t>C-LHR-7318</t>
  </si>
  <si>
    <t>LHR3230</t>
  </si>
  <si>
    <t>LHR9676</t>
  </si>
  <si>
    <t>LHR3771</t>
  </si>
  <si>
    <t>C-LHR-7349</t>
  </si>
  <si>
    <t>S-DLK-0981</t>
  </si>
  <si>
    <t>MDJ6207</t>
  </si>
  <si>
    <t>C-LAM-6187</t>
  </si>
  <si>
    <t>S-SRO-1560</t>
  </si>
  <si>
    <t>MUL0713</t>
  </si>
  <si>
    <t>MUL0896</t>
  </si>
  <si>
    <t>HWY4263</t>
  </si>
  <si>
    <t>HWY7371</t>
  </si>
  <si>
    <t>MUL7917</t>
  </si>
  <si>
    <t>C-LHR-6491</t>
  </si>
  <si>
    <t>S-BRR-1291</t>
  </si>
  <si>
    <t>S-DAR-1294</t>
  </si>
  <si>
    <t>QPL101</t>
  </si>
  <si>
    <t>S-SIM-1566</t>
  </si>
  <si>
    <t>N-PSH-8591</t>
  </si>
  <si>
    <t>N-PSH-8579</t>
  </si>
  <si>
    <t>HWY3095</t>
  </si>
  <si>
    <t>C-CSB-6041</t>
  </si>
  <si>
    <t xml:space="preserve">C-TSW-4566 </t>
  </si>
  <si>
    <t>SHW7409</t>
  </si>
  <si>
    <t>SHW4312</t>
  </si>
  <si>
    <t>S-RWY-1224</t>
  </si>
  <si>
    <t>HGW0329</t>
  </si>
  <si>
    <t>HGW5678</t>
  </si>
  <si>
    <t>C-FSB-5089</t>
  </si>
  <si>
    <t>HWY9735</t>
  </si>
  <si>
    <t>C-GOA-4194</t>
  </si>
  <si>
    <t>C-PBN-4440</t>
  </si>
  <si>
    <t>MIS8686</t>
  </si>
  <si>
    <t>N-IKM-8939</t>
  </si>
  <si>
    <t>HGW6109</t>
  </si>
  <si>
    <t>HGW6110</t>
  </si>
  <si>
    <t>KSKR01</t>
  </si>
  <si>
    <t>S-SKY-1061</t>
  </si>
  <si>
    <t>N-RCK-8835</t>
  </si>
  <si>
    <t>IGMR01</t>
  </si>
  <si>
    <t>HWY1316</t>
  </si>
  <si>
    <t>QHSR06</t>
  </si>
  <si>
    <t>FMB001</t>
  </si>
  <si>
    <t>LPC001</t>
  </si>
  <si>
    <t>LNSR01</t>
  </si>
  <si>
    <t>FJWR02</t>
  </si>
  <si>
    <t>C-JMA-6194</t>
  </si>
  <si>
    <t>LSPR79</t>
  </si>
  <si>
    <t>LMDR01</t>
  </si>
  <si>
    <t>SKT08</t>
  </si>
  <si>
    <t>C-RUR-6496</t>
  </si>
  <si>
    <t>C-RUR-5844</t>
  </si>
  <si>
    <t>KHI6583</t>
  </si>
  <si>
    <t>KHI5900</t>
  </si>
  <si>
    <t>P0</t>
  </si>
  <si>
    <t>KU9991</t>
  </si>
  <si>
    <t>CA4600</t>
  </si>
  <si>
    <t>SK4517</t>
  </si>
  <si>
    <t>LH4625</t>
  </si>
  <si>
    <t>LH3839</t>
  </si>
  <si>
    <t>LH4620</t>
  </si>
  <si>
    <t>4I6833</t>
  </si>
  <si>
    <t>WW5488</t>
  </si>
  <si>
    <t>LH4589</t>
  </si>
  <si>
    <t>LH4513</t>
  </si>
  <si>
    <t>LH4586</t>
  </si>
  <si>
    <t>SK4519</t>
  </si>
  <si>
    <t>LH1744</t>
  </si>
  <si>
    <t>SK4518</t>
  </si>
  <si>
    <t>LH1771</t>
  </si>
  <si>
    <t>LH4588</t>
  </si>
  <si>
    <t>FB4531</t>
  </si>
  <si>
    <t>LH4585</t>
  </si>
  <si>
    <t>LH4617</t>
  </si>
  <si>
    <t>LH4528</t>
  </si>
  <si>
    <t>SG1867</t>
  </si>
  <si>
    <t>FB3869</t>
  </si>
  <si>
    <t>DK1923</t>
  </si>
  <si>
    <t>LH1241</t>
  </si>
  <si>
    <t>WW5482</t>
  </si>
  <si>
    <t>GJ4584</t>
  </si>
  <si>
    <t>LH4621</t>
  </si>
  <si>
    <t>LH4516</t>
  </si>
  <si>
    <t>GJ4643</t>
  </si>
  <si>
    <t>QU9990</t>
  </si>
  <si>
    <t>GJ4644</t>
  </si>
  <si>
    <t>LH4521</t>
  </si>
  <si>
    <t>4I6831</t>
  </si>
  <si>
    <t>LH4619</t>
  </si>
  <si>
    <t>LH4618</t>
  </si>
  <si>
    <t>GJ4646</t>
  </si>
  <si>
    <t>LH4515</t>
  </si>
  <si>
    <t>LH3886</t>
  </si>
  <si>
    <t>GJ3977</t>
  </si>
  <si>
    <t>GJ4635</t>
  </si>
  <si>
    <t>GJ4645</t>
  </si>
  <si>
    <t>LH4622</t>
  </si>
  <si>
    <t>LH4520</t>
  </si>
  <si>
    <t>GJ4583</t>
  </si>
  <si>
    <t>KA4546</t>
  </si>
  <si>
    <t>KA4629</t>
  </si>
  <si>
    <t>KA2501</t>
  </si>
  <si>
    <t>KA2420</t>
  </si>
  <si>
    <t>LH4525</t>
  </si>
  <si>
    <t>GJ4636</t>
  </si>
  <si>
    <t>LH4522</t>
  </si>
  <si>
    <t>KA4561</t>
  </si>
  <si>
    <t>LH4613</t>
  </si>
  <si>
    <t>KA2477</t>
  </si>
  <si>
    <t>KA4564</t>
  </si>
  <si>
    <t>KA4593</t>
  </si>
  <si>
    <t>KA4592</t>
  </si>
  <si>
    <t>KA4634</t>
  </si>
  <si>
    <t>KA2570</t>
  </si>
  <si>
    <t>FB3874</t>
  </si>
  <si>
    <t>KA4632</t>
  </si>
  <si>
    <t>HY4599</t>
  </si>
  <si>
    <t>KA4547</t>
  </si>
  <si>
    <t>GJ4637</t>
  </si>
  <si>
    <t>IB4612</t>
  </si>
  <si>
    <t>KA4633</t>
  </si>
  <si>
    <t>PA6829</t>
  </si>
  <si>
    <t>KA2516</t>
  </si>
  <si>
    <t>AB4533</t>
  </si>
  <si>
    <t>OK4566</t>
  </si>
  <si>
    <t>KA0330</t>
  </si>
  <si>
    <t>GJ0333</t>
  </si>
  <si>
    <t>CA4475</t>
  </si>
  <si>
    <t>AT4647</t>
  </si>
  <si>
    <t>KA0276</t>
  </si>
  <si>
    <t>HY4543</t>
  </si>
  <si>
    <t>JL4578</t>
  </si>
  <si>
    <t>NR4575</t>
  </si>
  <si>
    <t>WA4569</t>
  </si>
  <si>
    <t>GJ0335</t>
  </si>
  <si>
    <t>MW2814</t>
  </si>
  <si>
    <t>NR4576</t>
  </si>
  <si>
    <t>LH0329</t>
  </si>
  <si>
    <t>KA4371</t>
  </si>
  <si>
    <t>GJ0334</t>
  </si>
  <si>
    <t>CA4474</t>
  </si>
  <si>
    <t>CA4473</t>
  </si>
  <si>
    <t>CA4472</t>
  </si>
  <si>
    <t>QU6796</t>
  </si>
  <si>
    <t>FB4582</t>
  </si>
  <si>
    <t>NR4570</t>
  </si>
  <si>
    <t>Site Priority</t>
  </si>
  <si>
    <t>KA0328</t>
  </si>
  <si>
    <t>PP1936</t>
  </si>
  <si>
    <t>CH5873</t>
  </si>
  <si>
    <t>HL5885</t>
  </si>
  <si>
    <t>UC5930</t>
  </si>
  <si>
    <t>SS5932</t>
  </si>
  <si>
    <t>LP5968</t>
  </si>
  <si>
    <t>KR6117</t>
  </si>
  <si>
    <t>JM6184</t>
  </si>
  <si>
    <t>SJ6258</t>
  </si>
  <si>
    <t>RR0911</t>
  </si>
  <si>
    <t>RR0912</t>
  </si>
  <si>
    <t>RR0913</t>
  </si>
  <si>
    <t>RR0915</t>
  </si>
  <si>
    <t>RR0916</t>
  </si>
  <si>
    <t>RR0933</t>
  </si>
  <si>
    <t>RR0995</t>
  </si>
  <si>
    <t>XR0542</t>
  </si>
  <si>
    <t>ZC0331</t>
  </si>
  <si>
    <t>RR0934</t>
  </si>
  <si>
    <t>KA0339</t>
  </si>
  <si>
    <t>KA0336</t>
  </si>
  <si>
    <t>1i3518</t>
  </si>
  <si>
    <t>1x3669</t>
  </si>
  <si>
    <t>HGW6387</t>
  </si>
  <si>
    <t>S-KHI-0855</t>
  </si>
  <si>
    <t>KA4715</t>
  </si>
  <si>
    <t>313677</t>
  </si>
  <si>
    <t>271932</t>
  </si>
  <si>
    <t>125619</t>
  </si>
  <si>
    <t>125618</t>
  </si>
  <si>
    <t>096046</t>
  </si>
  <si>
    <t>826344</t>
  </si>
  <si>
    <t>RR0996</t>
  </si>
  <si>
    <t>014648</t>
  </si>
  <si>
    <t>246834</t>
  </si>
  <si>
    <t>KA4631</t>
  </si>
  <si>
    <t>LH1682</t>
  </si>
  <si>
    <t>LH4848</t>
  </si>
  <si>
    <t>LH4855</t>
  </si>
  <si>
    <t>GJ4642</t>
  </si>
  <si>
    <t>RO6852</t>
  </si>
  <si>
    <t>BK6817</t>
  </si>
  <si>
    <t>BK6821</t>
  </si>
  <si>
    <t>MW6846</t>
  </si>
  <si>
    <t>TT6851</t>
  </si>
  <si>
    <t>LH4741</t>
  </si>
  <si>
    <t>RO6845</t>
  </si>
  <si>
    <t>CM Pak</t>
  </si>
  <si>
    <t>Wi-tribe</t>
  </si>
  <si>
    <t>Modaraba</t>
  </si>
  <si>
    <t>Military Comm. Tower</t>
  </si>
  <si>
    <t>PTCL</t>
  </si>
  <si>
    <t>N-ISB-8078</t>
  </si>
  <si>
    <t>C-MAR-5705</t>
  </si>
  <si>
    <t>C-FSD-6481</t>
  </si>
  <si>
    <t>SHN8520</t>
  </si>
  <si>
    <t>Modaraba-1</t>
  </si>
  <si>
    <t>C-LHR-7332</t>
  </si>
  <si>
    <t xml:space="preserve">C-SRG-6597 </t>
  </si>
  <si>
    <t>RUR8890</t>
  </si>
  <si>
    <t>C-SRG-6464</t>
  </si>
  <si>
    <t>KKQ407</t>
  </si>
  <si>
    <t>RUR1703</t>
  </si>
  <si>
    <t>C-SHK-4385</t>
  </si>
  <si>
    <t>ISB017</t>
  </si>
  <si>
    <t>HWY1476</t>
  </si>
  <si>
    <t>N-MDN-8237</t>
  </si>
  <si>
    <t>IPW123</t>
  </si>
  <si>
    <t>SYW4836</t>
  </si>
  <si>
    <t>LHR5850</t>
  </si>
  <si>
    <t>HWY7373</t>
  </si>
  <si>
    <t>LHR0249</t>
  </si>
  <si>
    <t>KKQ686</t>
  </si>
  <si>
    <t>LHR276</t>
  </si>
  <si>
    <t>LHR0221</t>
  </si>
  <si>
    <t>C-LHR-4299</t>
  </si>
  <si>
    <t>HWY7964</t>
  </si>
  <si>
    <t>KHI2026</t>
  </si>
  <si>
    <t>LHFR01</t>
  </si>
  <si>
    <t>RWP1898</t>
  </si>
  <si>
    <t>MGO2837</t>
  </si>
  <si>
    <t>IKGN01</t>
  </si>
  <si>
    <t>RUR0470</t>
  </si>
  <si>
    <t>C-LHR-4551</t>
  </si>
  <si>
    <t>FSD3204</t>
  </si>
  <si>
    <t>S-NCD-1608</t>
  </si>
  <si>
    <t>C-RUR-5413</t>
  </si>
  <si>
    <t>LLR537</t>
  </si>
  <si>
    <t>C-RUR-7465</t>
  </si>
  <si>
    <t>RUR4714</t>
  </si>
  <si>
    <t>RUR7145</t>
  </si>
  <si>
    <t>HGW0299</t>
  </si>
  <si>
    <t>LMI001</t>
  </si>
  <si>
    <t>RUR0190</t>
  </si>
  <si>
    <t>DHN8757</t>
  </si>
  <si>
    <t>C-RUR-5668</t>
  </si>
  <si>
    <t>C-RUR-6434</t>
  </si>
  <si>
    <t>KHM7290</t>
  </si>
  <si>
    <t>RUR0274</t>
  </si>
  <si>
    <t>RUR0178</t>
  </si>
  <si>
    <t>TMK8993</t>
  </si>
  <si>
    <t>BRN8763</t>
  </si>
  <si>
    <t>C-RUR-6777</t>
  </si>
  <si>
    <t>RUR0385</t>
  </si>
  <si>
    <t>C-RUR-6728</t>
  </si>
  <si>
    <t>RUR4623</t>
  </si>
  <si>
    <t>SKH8782</t>
  </si>
  <si>
    <t>RUR8587</t>
  </si>
  <si>
    <t>HWY1428</t>
  </si>
  <si>
    <t>RUR2546</t>
  </si>
  <si>
    <t>C-RUR-6476</t>
  </si>
  <si>
    <t>LHR9811</t>
  </si>
  <si>
    <t>MUL0183</t>
  </si>
  <si>
    <t>KRI1633</t>
  </si>
  <si>
    <t>HSK3564</t>
  </si>
  <si>
    <t>FSD7427</t>
  </si>
  <si>
    <t>KRW8772</t>
  </si>
  <si>
    <t>DZK1631</t>
  </si>
  <si>
    <t>KHB2113</t>
  </si>
  <si>
    <t>KHI0330</t>
  </si>
  <si>
    <t>LBD001</t>
  </si>
  <si>
    <t>HYD6882</t>
  </si>
  <si>
    <t>C-RUR-6565</t>
  </si>
  <si>
    <t>C-LHR-4019</t>
  </si>
  <si>
    <t>KHI0013</t>
  </si>
  <si>
    <t>JSO5911</t>
  </si>
  <si>
    <t>DSK9945</t>
  </si>
  <si>
    <t>C-KGP-6228</t>
  </si>
  <si>
    <t>C-LHR-5502</t>
  </si>
  <si>
    <t>RWP018</t>
  </si>
  <si>
    <t>MKI2861</t>
  </si>
  <si>
    <t>MSW010</t>
  </si>
  <si>
    <t>LTRP2074</t>
  </si>
  <si>
    <t>C-FSB-6839</t>
  </si>
  <si>
    <t>RWP039</t>
  </si>
  <si>
    <t>RWP010</t>
  </si>
  <si>
    <t>MVD1053</t>
  </si>
  <si>
    <t>SBD2165</t>
  </si>
  <si>
    <t>C-FSB-5379</t>
  </si>
  <si>
    <t>MSG014</t>
  </si>
  <si>
    <t>WTCH106</t>
  </si>
  <si>
    <t>MDD1829</t>
  </si>
  <si>
    <t>MDD2536</t>
  </si>
  <si>
    <t>C-GRN-5162</t>
  </si>
  <si>
    <t>HWY8525</t>
  </si>
  <si>
    <t>KHI6593</t>
  </si>
  <si>
    <t>RUR4790</t>
  </si>
  <si>
    <t>KGR8995</t>
  </si>
  <si>
    <t>RUR4041</t>
  </si>
  <si>
    <t>DDL3415</t>
  </si>
  <si>
    <t>DKI5784</t>
  </si>
  <si>
    <t>RUR8752</t>
  </si>
  <si>
    <t>REN7464</t>
  </si>
  <si>
    <t>C-RUR-5663</t>
  </si>
  <si>
    <t>BLB2507</t>
  </si>
  <si>
    <t>LHR3604</t>
  </si>
  <si>
    <t>C-LHR-7395</t>
  </si>
  <si>
    <t>LHR3199</t>
  </si>
  <si>
    <t>LHR0308</t>
  </si>
  <si>
    <t>LTRP2066</t>
  </si>
  <si>
    <t>WTRNP2007</t>
  </si>
  <si>
    <t>GUJ0729</t>
  </si>
  <si>
    <t>LGW201</t>
  </si>
  <si>
    <t>C-GRN-5192</t>
  </si>
  <si>
    <t>GUJ4660</t>
  </si>
  <si>
    <t>LGW205</t>
  </si>
  <si>
    <t>MUL0826</t>
  </si>
  <si>
    <t>N-AKT-8219</t>
  </si>
  <si>
    <t>S-KHI-0297</t>
  </si>
  <si>
    <t>LLR123</t>
  </si>
  <si>
    <t>LLR345</t>
  </si>
  <si>
    <t>N-HJS-9036</t>
  </si>
  <si>
    <t>LHR-280</t>
  </si>
  <si>
    <t>GRN7234</t>
  </si>
  <si>
    <t>GRN6383</t>
  </si>
  <si>
    <t>CK05124</t>
  </si>
  <si>
    <t>KHI5150</t>
  </si>
  <si>
    <t>KHI278</t>
  </si>
  <si>
    <t>C-LHR-5491</t>
  </si>
  <si>
    <t>GJH7527</t>
  </si>
  <si>
    <t>C-AUR-5751</t>
  </si>
  <si>
    <t>C-LHR-4297</t>
  </si>
  <si>
    <t>Duration in hrs &amp; mins</t>
  </si>
  <si>
    <t>Following sites are down for more than 3 hours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</si>
  <si>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</si>
  <si>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</si>
  <si>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</si>
  <si>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</si>
  <si>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</si>
  <si>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</si>
  <si>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</si>
  <si>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</si>
  <si>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</si>
  <si>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</si>
  <si>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</si>
  <si>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</si>
  <si>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</si>
  <si>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</si>
  <si>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</si>
  <si>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</si>
  <si>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</si>
  <si>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</si>
  <si>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</si>
  <si>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</si>
  <si>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</si>
  <si>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</si>
  <si>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</si>
  <si>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</si>
  <si>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</si>
  <si>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</si>
  <si>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</si>
  <si>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</si>
  <si>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</si>
  <si>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</si>
  <si>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</si>
  <si>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</si>
  <si>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</si>
  <si>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</si>
  <si>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</si>
  <si>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37.</t>
  </si>
  <si>
    <t>38.</t>
  </si>
  <si>
    <t>39.</t>
  </si>
  <si>
    <t>40.</t>
  </si>
  <si>
    <t>41.</t>
  </si>
  <si>
    <t>42.</t>
  </si>
  <si>
    <t>43.</t>
  </si>
  <si>
    <t>44.</t>
  </si>
  <si>
    <t>45.</t>
  </si>
  <si>
    <t>46.</t>
  </si>
  <si>
    <t>47.</t>
  </si>
  <si>
    <t>48.</t>
  </si>
  <si>
    <t>49.</t>
  </si>
  <si>
    <t>50.</t>
  </si>
  <si>
    <t>51.</t>
  </si>
  <si>
    <t>52.</t>
  </si>
  <si>
    <t>53.</t>
  </si>
  <si>
    <t>54.</t>
  </si>
  <si>
    <t>55.</t>
  </si>
  <si>
    <t>MN5034</t>
  </si>
  <si>
    <t>MN5073</t>
  </si>
  <si>
    <t>TT5050</t>
  </si>
  <si>
    <t>MC6882</t>
  </si>
  <si>
    <t>MN5038</t>
  </si>
  <si>
    <t>AB7521</t>
  </si>
  <si>
    <t>TT6847</t>
  </si>
  <si>
    <t>BR6863</t>
  </si>
  <si>
    <t>BR6872</t>
  </si>
  <si>
    <t>SW5093</t>
  </si>
  <si>
    <t>MW6880</t>
  </si>
  <si>
    <t>HA6937</t>
  </si>
  <si>
    <t>CA5014</t>
  </si>
  <si>
    <t>SS6928</t>
  </si>
  <si>
    <t>OT6867</t>
  </si>
  <si>
    <t>LM7509</t>
  </si>
  <si>
    <t>PH7511</t>
  </si>
  <si>
    <t>DK5109</t>
  </si>
  <si>
    <t>MU6923</t>
  </si>
  <si>
    <t>OK5114</t>
  </si>
  <si>
    <t>KM6857</t>
  </si>
  <si>
    <t>MC6915</t>
  </si>
  <si>
    <t>VH6906</t>
  </si>
  <si>
    <t>KM6881</t>
  </si>
  <si>
    <t>FB7519</t>
  </si>
  <si>
    <t>TS6900</t>
  </si>
  <si>
    <t>BR6862</t>
  </si>
  <si>
    <t>BR6861</t>
  </si>
  <si>
    <t>KM6856</t>
  </si>
  <si>
    <t>BR6877</t>
  </si>
  <si>
    <t>VH6855</t>
  </si>
  <si>
    <t>BE7515</t>
  </si>
  <si>
    <t>CT5097</t>
  </si>
  <si>
    <t>FB4581</t>
  </si>
  <si>
    <t>KM6865</t>
  </si>
  <si>
    <t>AW6854</t>
  </si>
  <si>
    <t>AW6853</t>
  </si>
  <si>
    <t>MC6920</t>
  </si>
  <si>
    <t>BC4478</t>
  </si>
  <si>
    <t>MN4896</t>
  </si>
  <si>
    <t>SH4890</t>
  </si>
  <si>
    <t>KM6870</t>
  </si>
  <si>
    <t>IS2675</t>
  </si>
  <si>
    <t>MW6860</t>
  </si>
  <si>
    <t>DG6848</t>
  </si>
  <si>
    <t>MW6873</t>
  </si>
  <si>
    <t>SH5040</t>
  </si>
  <si>
    <t>HF3999</t>
  </si>
  <si>
    <t>MB5179</t>
  </si>
  <si>
    <t>HY6828</t>
  </si>
  <si>
    <t>HF5188</t>
  </si>
  <si>
    <t>GJ5116</t>
  </si>
  <si>
    <t>PT5079</t>
  </si>
  <si>
    <t>LM5185</t>
  </si>
  <si>
    <t>SK5118</t>
  </si>
  <si>
    <t>HA6936</t>
  </si>
  <si>
    <t>HG6844</t>
  </si>
  <si>
    <t>DG6874</t>
  </si>
  <si>
    <t>TJ6888</t>
  </si>
  <si>
    <t>HF5190</t>
  </si>
  <si>
    <t>KM6864</t>
  </si>
  <si>
    <t>SM6820</t>
  </si>
  <si>
    <t>SH7533</t>
  </si>
  <si>
    <t>HV5106</t>
  </si>
  <si>
    <t>SW5119</t>
  </si>
  <si>
    <t>SK4892</t>
  </si>
  <si>
    <t>RT4894</t>
  </si>
  <si>
    <t>MP5091</t>
  </si>
  <si>
    <t>TX5105</t>
  </si>
  <si>
    <t>GK5088</t>
  </si>
  <si>
    <t>MN4886</t>
  </si>
  <si>
    <t>HF5099</t>
  </si>
  <si>
    <t>SK5036</t>
  </si>
  <si>
    <t>SK5041</t>
  </si>
  <si>
    <t>IK5085</t>
  </si>
  <si>
    <t>RJ6899</t>
  </si>
  <si>
    <t>KW6897</t>
  </si>
  <si>
    <t>RT5095</t>
  </si>
  <si>
    <t>JG6883</t>
  </si>
  <si>
    <t>RJ6850</t>
  </si>
  <si>
    <t>SW5037</t>
  </si>
  <si>
    <t>SS6905</t>
  </si>
  <si>
    <t>NR7523</t>
  </si>
  <si>
    <t>KW6903</t>
  </si>
  <si>
    <t>MU6908</t>
  </si>
  <si>
    <t>BP5044</t>
  </si>
  <si>
    <t>MU6925</t>
  </si>
  <si>
    <t>KR6907</t>
  </si>
  <si>
    <t>JW7502</t>
  </si>
  <si>
    <t>SH4891</t>
  </si>
  <si>
    <t>KW6904</t>
  </si>
  <si>
    <t>EM5096</t>
  </si>
  <si>
    <t>BH5100</t>
  </si>
  <si>
    <t>JM6933</t>
  </si>
  <si>
    <t>MU6930</t>
  </si>
  <si>
    <t>MW6891</t>
  </si>
  <si>
    <t>SW5084</t>
  </si>
  <si>
    <t>KM6898</t>
  </si>
  <si>
    <t>MU6929</t>
  </si>
  <si>
    <t>AP6909</t>
  </si>
  <si>
    <t>NB5092</t>
  </si>
  <si>
    <t>MB5107</t>
  </si>
  <si>
    <t>EM5045</t>
  </si>
  <si>
    <t>PR5075</t>
  </si>
  <si>
    <t>SW5042</t>
  </si>
  <si>
    <t>AD6812</t>
  </si>
  <si>
    <t>MN4897</t>
  </si>
  <si>
    <t>EM5082</t>
  </si>
  <si>
    <t>LE6919</t>
  </si>
  <si>
    <t>BN6931</t>
  </si>
  <si>
    <t>LM5178</t>
  </si>
  <si>
    <t>GJ3998</t>
  </si>
  <si>
    <t>GJ5117</t>
  </si>
  <si>
    <t>GM4577</t>
  </si>
  <si>
    <t>PP4893</t>
  </si>
  <si>
    <t>KU6885</t>
  </si>
  <si>
    <t>HS7544</t>
  </si>
  <si>
    <t>BH5120</t>
  </si>
  <si>
    <t>MW2815</t>
  </si>
  <si>
    <t>SB5090</t>
  </si>
  <si>
    <t>BP3901</t>
  </si>
  <si>
    <t>MW4887</t>
  </si>
  <si>
    <t>PT3922</t>
  </si>
  <si>
    <t>SH5112</t>
  </si>
  <si>
    <t>MB4981</t>
  </si>
  <si>
    <t>RJ6849</t>
  </si>
  <si>
    <t>GM2893</t>
  </si>
  <si>
    <t>RT5035</t>
  </si>
  <si>
    <t>AT4889</t>
  </si>
  <si>
    <t>BK6884</t>
  </si>
  <si>
    <t>KU6869</t>
  </si>
  <si>
    <t>RT5069</t>
  </si>
  <si>
    <t>RP6824</t>
  </si>
  <si>
    <t>TT6827</t>
  </si>
  <si>
    <t>NS6921</t>
  </si>
  <si>
    <t>TG5161</t>
  </si>
  <si>
    <t>SS6902</t>
  </si>
  <si>
    <t>QD5087</t>
  </si>
  <si>
    <t>MC6886</t>
  </si>
  <si>
    <t>SS6901</t>
  </si>
  <si>
    <t>KU6914</t>
  </si>
  <si>
    <t>MP5068</t>
  </si>
  <si>
    <t>EM5086</t>
  </si>
  <si>
    <t>JM6868</t>
  </si>
  <si>
    <t>TS6926</t>
  </si>
  <si>
    <t>HF5098</t>
  </si>
  <si>
    <t>FB5074</t>
  </si>
  <si>
    <t>SM6879</t>
  </si>
  <si>
    <t>LH7527</t>
  </si>
  <si>
    <t>PT5081</t>
  </si>
  <si>
    <t>SH5043</t>
  </si>
  <si>
    <t>JW7526</t>
  </si>
  <si>
    <t>LH4899</t>
  </si>
  <si>
    <t>SK5080</t>
  </si>
  <si>
    <t>RS6916</t>
  </si>
  <si>
    <t>CK5160</t>
  </si>
  <si>
    <t>SH5184</t>
  </si>
  <si>
    <t>HF5189</t>
  </si>
  <si>
    <t>AP6918</t>
  </si>
  <si>
    <t>CD5065</t>
  </si>
  <si>
    <t>KM6858</t>
  </si>
  <si>
    <t>JG6859</t>
  </si>
  <si>
    <t>SK5094</t>
  </si>
  <si>
    <t>KY7510</t>
  </si>
  <si>
    <t>TT6878</t>
  </si>
  <si>
    <t>UT6934</t>
  </si>
  <si>
    <t>HY6890</t>
  </si>
  <si>
    <t>BT7546</t>
  </si>
  <si>
    <t>WA7539</t>
  </si>
  <si>
    <t>JW7525</t>
  </si>
  <si>
    <t>FB7535</t>
  </si>
  <si>
    <t>FB7528</t>
  </si>
  <si>
    <t>SM7517</t>
  </si>
  <si>
    <t>SW4580</t>
  </si>
  <si>
    <t>JW7524</t>
  </si>
  <si>
    <t>JL7507</t>
  </si>
  <si>
    <t>LM5061</t>
  </si>
  <si>
    <t>PB7503</t>
  </si>
  <si>
    <t>CD5030</t>
  </si>
  <si>
    <t>CA5011</t>
  </si>
  <si>
    <t>NR7538</t>
  </si>
  <si>
    <t>SG7541</t>
  </si>
  <si>
    <t>JW7534</t>
  </si>
  <si>
    <t>CA5007</t>
  </si>
  <si>
    <t>HF7505</t>
  </si>
  <si>
    <t>PR7540</t>
  </si>
  <si>
    <t>OK7513</t>
  </si>
  <si>
    <t>DK7536</t>
  </si>
  <si>
    <t>GK5062</t>
  </si>
  <si>
    <t>BT7547</t>
  </si>
  <si>
    <t>CA5009</t>
  </si>
  <si>
    <t>BE7542</t>
  </si>
  <si>
    <t>KW6939</t>
  </si>
  <si>
    <t>SH5175</t>
  </si>
  <si>
    <t>GJ7508</t>
  </si>
  <si>
    <t>MU6938</t>
  </si>
  <si>
    <t>MN5060</t>
  </si>
  <si>
    <t>GM5027</t>
  </si>
  <si>
    <t>PS7518</t>
  </si>
  <si>
    <t>GJ7529</t>
  </si>
  <si>
    <t>GM5063</t>
  </si>
  <si>
    <t>BP7514</t>
  </si>
  <si>
    <t>NS6801</t>
  </si>
  <si>
    <t>HF7506</t>
  </si>
  <si>
    <t>BT7545</t>
  </si>
  <si>
    <t>SG7537</t>
  </si>
  <si>
    <t>GJ7512</t>
  </si>
  <si>
    <t>KD4568</t>
  </si>
  <si>
    <t>LH4900</t>
  </si>
  <si>
    <t>SK5121</t>
  </si>
  <si>
    <t>FB5186</t>
  </si>
  <si>
    <t>AT4888</t>
  </si>
  <si>
    <t>GJ5115</t>
  </si>
  <si>
    <t>MN4895</t>
  </si>
  <si>
    <t>NR5176</t>
  </si>
  <si>
    <t>PH7522</t>
  </si>
  <si>
    <t>QD5083</t>
  </si>
  <si>
    <t>JH7520</t>
  </si>
  <si>
    <t>LH5078</t>
  </si>
  <si>
    <t>MP5070</t>
  </si>
  <si>
    <t>GM5072</t>
  </si>
  <si>
    <t>AB7543</t>
  </si>
  <si>
    <t>FB7504</t>
  </si>
  <si>
    <t>PB5187</t>
  </si>
  <si>
    <t>IB4573</t>
  </si>
  <si>
    <t>PT5113</t>
  </si>
  <si>
    <t>LM5111</t>
  </si>
  <si>
    <t>PH3909</t>
  </si>
  <si>
    <t>HP5108</t>
  </si>
  <si>
    <t>MN5089</t>
  </si>
  <si>
    <t>LH5077</t>
  </si>
  <si>
    <t>MN5071</t>
  </si>
  <si>
    <t>KW6922</t>
  </si>
  <si>
    <t>LM5076</t>
  </si>
  <si>
    <t>BN6927</t>
  </si>
  <si>
    <t>HV5066</t>
  </si>
  <si>
    <t>KM6896</t>
  </si>
  <si>
    <t>KS5039</t>
  </si>
  <si>
    <t>IB7576</t>
  </si>
  <si>
    <t>MN5162</t>
  </si>
  <si>
    <t>MN5166</t>
  </si>
  <si>
    <t>CA4988</t>
  </si>
  <si>
    <t>CA4996</t>
  </si>
  <si>
    <t>LH4853</t>
  </si>
  <si>
    <t>LH4875</t>
  </si>
  <si>
    <t>FB4728</t>
  </si>
  <si>
    <t>LH4738</t>
  </si>
  <si>
    <t>LH4876</t>
  </si>
  <si>
    <t>LH4877</t>
  </si>
  <si>
    <t>GJ4730</t>
  </si>
  <si>
    <t>KA4718</t>
  </si>
  <si>
    <t>FB4727</t>
  </si>
  <si>
    <t>GJ4729</t>
  </si>
  <si>
    <t>SK4859</t>
  </si>
  <si>
    <t>LH4615</t>
  </si>
  <si>
    <t>LH1756</t>
  </si>
  <si>
    <t>KA4350</t>
  </si>
  <si>
    <t>TT4883</t>
  </si>
  <si>
    <t>KA4630</t>
  </si>
  <si>
    <t>LH4733</t>
  </si>
  <si>
    <t>LH4858</t>
  </si>
  <si>
    <t>LH4590</t>
  </si>
  <si>
    <t>TT4884</t>
  </si>
  <si>
    <t>GJ4641</t>
  </si>
  <si>
    <t>BN9992</t>
  </si>
  <si>
    <t>IB4838</t>
  </si>
  <si>
    <t>FB4840</t>
  </si>
  <si>
    <t>FB4862</t>
  </si>
  <si>
    <t>LH4737</t>
  </si>
  <si>
    <t>KA4898</t>
  </si>
  <si>
    <t>GJ4640</t>
  </si>
  <si>
    <t>GJ4639</t>
  </si>
  <si>
    <t>TT6840</t>
  </si>
  <si>
    <t>IB4837</t>
  </si>
  <si>
    <t>KA2510</t>
  </si>
  <si>
    <t>WW5467</t>
  </si>
  <si>
    <t>OT6913</t>
  </si>
  <si>
    <t>IB4835</t>
  </si>
  <si>
    <t>KA6131</t>
  </si>
  <si>
    <t>QU6057</t>
  </si>
  <si>
    <t>AT3255</t>
  </si>
  <si>
    <t>KA2586</t>
  </si>
  <si>
    <t>CA4995</t>
  </si>
  <si>
    <t>LH0352</t>
  </si>
  <si>
    <t>KW6894</t>
  </si>
  <si>
    <t>TT2681</t>
  </si>
  <si>
    <t>IB4797</t>
  </si>
  <si>
    <t>TS6843</t>
  </si>
  <si>
    <t>LH0406</t>
  </si>
  <si>
    <t>RS6781</t>
  </si>
  <si>
    <t>CA4994</t>
  </si>
  <si>
    <t>QU6058</t>
  </si>
  <si>
    <t>KA0384</t>
  </si>
  <si>
    <t>KA0383</t>
  </si>
  <si>
    <t>KA0385</t>
  </si>
  <si>
    <t>LH0396</t>
  </si>
  <si>
    <t>BE7591</t>
  </si>
  <si>
    <t>BH7577</t>
  </si>
  <si>
    <t>BH7671</t>
  </si>
  <si>
    <t>BN6935</t>
  </si>
  <si>
    <t>BT7556</t>
  </si>
  <si>
    <t>CA4984</t>
  </si>
  <si>
    <t>CA4985</t>
  </si>
  <si>
    <t>CA4987</t>
  </si>
  <si>
    <t>CA4989</t>
  </si>
  <si>
    <t>CA4990</t>
  </si>
  <si>
    <t>CA5008</t>
  </si>
  <si>
    <t>CA5013</t>
  </si>
  <si>
    <t>CD5064</t>
  </si>
  <si>
    <t>CK7618</t>
  </si>
  <si>
    <t>CO6842</t>
  </si>
  <si>
    <t>DK7582</t>
  </si>
  <si>
    <t>DK7678</t>
  </si>
  <si>
    <t>FB5124</t>
  </si>
  <si>
    <t>FB5125</t>
  </si>
  <si>
    <t>FB7561</t>
  </si>
  <si>
    <t>FB7587</t>
  </si>
  <si>
    <t>FB7646</t>
  </si>
  <si>
    <t>GJ7585</t>
  </si>
  <si>
    <t>GJ7647</t>
  </si>
  <si>
    <t>GJ7652</t>
  </si>
  <si>
    <t>GJ7654</t>
  </si>
  <si>
    <t>GJ7655</t>
  </si>
  <si>
    <t>GJ7673</t>
  </si>
  <si>
    <t>GJ7687</t>
  </si>
  <si>
    <t>GK7644</t>
  </si>
  <si>
    <t>GM4486</t>
  </si>
  <si>
    <t>GM5028</t>
  </si>
  <si>
    <t>GM5183</t>
  </si>
  <si>
    <t>GM7530</t>
  </si>
  <si>
    <t>GM7614</t>
  </si>
  <si>
    <t>GU7605</t>
  </si>
  <si>
    <t>GU7606</t>
  </si>
  <si>
    <t>GU7607</t>
  </si>
  <si>
    <t>GU7608</t>
  </si>
  <si>
    <t>GU7674</t>
  </si>
  <si>
    <t>HF5127</t>
  </si>
  <si>
    <t>HF7563</t>
  </si>
  <si>
    <t>HF7611</t>
  </si>
  <si>
    <t>HF7683</t>
  </si>
  <si>
    <t>IB0407</t>
  </si>
  <si>
    <t>IB2936</t>
  </si>
  <si>
    <t>IB3233</t>
  </si>
  <si>
    <t>IB3235</t>
  </si>
  <si>
    <t>IB4799</t>
  </si>
  <si>
    <t>IB4836</t>
  </si>
  <si>
    <t>IB4866</t>
  </si>
  <si>
    <t>JJ7609</t>
  </si>
  <si>
    <t>JJ7612</t>
  </si>
  <si>
    <t>JW7586</t>
  </si>
  <si>
    <t>KA0405</t>
  </si>
  <si>
    <t>KA2311</t>
  </si>
  <si>
    <t>KA2458</t>
  </si>
  <si>
    <t>KA2497</t>
  </si>
  <si>
    <t>KA2519</t>
  </si>
  <si>
    <t>KA2526</t>
  </si>
  <si>
    <t>KA2568</t>
  </si>
  <si>
    <t>KA2577</t>
  </si>
  <si>
    <t>KA4384</t>
  </si>
  <si>
    <t>KA4594</t>
  </si>
  <si>
    <t>KA4695</t>
  </si>
  <si>
    <t>KA4697</t>
  </si>
  <si>
    <t>KA4700</t>
  </si>
  <si>
    <t>KA4711</t>
  </si>
  <si>
    <t>KA4712</t>
  </si>
  <si>
    <t>KA4714</t>
  </si>
  <si>
    <t>KA4716</t>
  </si>
  <si>
    <t>KA4717</t>
  </si>
  <si>
    <t>KA4720</t>
  </si>
  <si>
    <t>KA4867</t>
  </si>
  <si>
    <t>KA4871</t>
  </si>
  <si>
    <t>KA4872</t>
  </si>
  <si>
    <t>KA4874</t>
  </si>
  <si>
    <t>KA7552</t>
  </si>
  <si>
    <t>KB7575</t>
  </si>
  <si>
    <t>KB7588</t>
  </si>
  <si>
    <t>KN7578</t>
  </si>
  <si>
    <t>KN7617</t>
  </si>
  <si>
    <t>KS3965</t>
  </si>
  <si>
    <t>KS7516</t>
  </si>
  <si>
    <t>LH0351</t>
  </si>
  <si>
    <t>LH1283</t>
  </si>
  <si>
    <t>LH1772</t>
  </si>
  <si>
    <t>LH3880</t>
  </si>
  <si>
    <t>LH3978</t>
  </si>
  <si>
    <t>LH4514</t>
  </si>
  <si>
    <t>LH4616</t>
  </si>
  <si>
    <t>LH4623</t>
  </si>
  <si>
    <t>LH4626</t>
  </si>
  <si>
    <t>LH4722</t>
  </si>
  <si>
    <t>LH4723</t>
  </si>
  <si>
    <t>LH4724</t>
  </si>
  <si>
    <t>LH4726</t>
  </si>
  <si>
    <t>LH4732</t>
  </si>
  <si>
    <t>LH4740</t>
  </si>
  <si>
    <t>LH4742</t>
  </si>
  <si>
    <t>LH4743</t>
  </si>
  <si>
    <t>LH4748</t>
  </si>
  <si>
    <t>LH4749</t>
  </si>
  <si>
    <t>LH4750</t>
  </si>
  <si>
    <t>LH4841</t>
  </si>
  <si>
    <t>LH4842</t>
  </si>
  <si>
    <t>LH4845</t>
  </si>
  <si>
    <t>LH4849</t>
  </si>
  <si>
    <t>LH4851</t>
  </si>
  <si>
    <t>LH4852</t>
  </si>
  <si>
    <t>LH4857</t>
  </si>
  <si>
    <t>LH4864</t>
  </si>
  <si>
    <t>LH4880</t>
  </si>
  <si>
    <t>LH7668</t>
  </si>
  <si>
    <t>MB7573</t>
  </si>
  <si>
    <t>MB7590</t>
  </si>
  <si>
    <t>MB7657</t>
  </si>
  <si>
    <t>MP5164</t>
  </si>
  <si>
    <t>MP5165</t>
  </si>
  <si>
    <t>MU7581</t>
  </si>
  <si>
    <t>NR7579</t>
  </si>
  <si>
    <t>NR7600</t>
  </si>
  <si>
    <t>OK7584</t>
  </si>
  <si>
    <t>OK7603</t>
  </si>
  <si>
    <t>OK7604</t>
  </si>
  <si>
    <t>OK7651</t>
  </si>
  <si>
    <t>OK7677</t>
  </si>
  <si>
    <t>PB7648</t>
  </si>
  <si>
    <t>PH7690</t>
  </si>
  <si>
    <t>PN6199</t>
  </si>
  <si>
    <t>PP7602</t>
  </si>
  <si>
    <t>PR7580</t>
  </si>
  <si>
    <t>PR7599</t>
  </si>
  <si>
    <t>PR7610</t>
  </si>
  <si>
    <t>PS5170</t>
  </si>
  <si>
    <t>PS7570</t>
  </si>
  <si>
    <t>PT4498</t>
  </si>
  <si>
    <t>QS6321</t>
  </si>
  <si>
    <t>RJ6889</t>
  </si>
  <si>
    <t>RK7650</t>
  </si>
  <si>
    <t>RK7653</t>
  </si>
  <si>
    <t>SE0327</t>
  </si>
  <si>
    <t>SG7555</t>
  </si>
  <si>
    <t>SG7583</t>
  </si>
  <si>
    <t>SG7589</t>
  </si>
  <si>
    <t>SG7598</t>
  </si>
  <si>
    <t>SG7601</t>
  </si>
  <si>
    <t>SH4567</t>
  </si>
  <si>
    <t>SH7649</t>
  </si>
  <si>
    <t>SK4860</t>
  </si>
  <si>
    <t>SK7574</t>
  </si>
  <si>
    <t>SK7666</t>
  </si>
  <si>
    <t>SK7682</t>
  </si>
  <si>
    <t>SW7554</t>
  </si>
  <si>
    <t>TT4882</t>
  </si>
  <si>
    <t>TT6875</t>
  </si>
  <si>
    <t>WH3399</t>
  </si>
  <si>
    <t>WH3403</t>
  </si>
  <si>
    <t>YA6924</t>
  </si>
  <si>
    <t>SW7685</t>
  </si>
  <si>
    <t>SK7567</t>
  </si>
  <si>
    <t>BE7662</t>
  </si>
  <si>
    <t>SH7686</t>
  </si>
  <si>
    <t>KA4696</t>
  </si>
  <si>
    <t>GM4484</t>
  </si>
  <si>
    <t>GJ0387</t>
  </si>
  <si>
    <t>GJ4731</t>
  </si>
  <si>
    <t>DK7656</t>
  </si>
  <si>
    <t>HF7562</t>
  </si>
  <si>
    <t>GJ4879</t>
  </si>
  <si>
    <t>GJ7635</t>
  </si>
  <si>
    <t>GJ7634</t>
  </si>
  <si>
    <t>GJ7636</t>
  </si>
  <si>
    <t>LM7613</t>
  </si>
  <si>
    <t>LH0337</t>
  </si>
  <si>
    <t>LH0345</t>
  </si>
  <si>
    <t>LH0346</t>
  </si>
  <si>
    <t>LH0366</t>
  </si>
  <si>
    <t>LH0362</t>
  </si>
  <si>
    <t>LH0392</t>
  </si>
  <si>
    <t>LH4861</t>
  </si>
  <si>
    <t>LH4587</t>
  </si>
  <si>
    <t>LH4846</t>
  </si>
  <si>
    <t>LH7624</t>
  </si>
  <si>
    <t>PT7566</t>
  </si>
  <si>
    <t>LH4725</t>
  </si>
  <si>
    <t>LH7622</t>
  </si>
  <si>
    <t>LH4744</t>
  </si>
  <si>
    <t>LH4847</t>
  </si>
  <si>
    <t>MB7597</t>
  </si>
  <si>
    <t>MB7615</t>
  </si>
  <si>
    <t>SH7568</t>
  </si>
  <si>
    <t>NR7667</t>
  </si>
  <si>
    <t>PR7691</t>
  </si>
  <si>
    <t>1S3587</t>
  </si>
  <si>
    <t>TS3971</t>
  </si>
  <si>
    <t>3Q6538</t>
  </si>
  <si>
    <t>3S6539</t>
  </si>
  <si>
    <t>e-6912</t>
  </si>
  <si>
    <t>OW6501</t>
  </si>
  <si>
    <t>FB0386</t>
  </si>
  <si>
    <t>BH7690</t>
  </si>
  <si>
    <t>SG7684</t>
  </si>
  <si>
    <t>RK7558</t>
  </si>
  <si>
    <t>FB7675</t>
  </si>
  <si>
    <t>JW7645</t>
  </si>
  <si>
    <t>FB7560</t>
  </si>
  <si>
    <t>MU7638</t>
  </si>
  <si>
    <t>RK7559</t>
  </si>
  <si>
    <t>FB7637</t>
  </si>
  <si>
    <t>MW6917</t>
  </si>
  <si>
    <t>FB4064</t>
  </si>
  <si>
    <t>Miupur</t>
  </si>
  <si>
    <t>Chilas</t>
  </si>
  <si>
    <t>3E3715</t>
  </si>
  <si>
    <t>PS4596</t>
  </si>
  <si>
    <t>IB0350</t>
  </si>
  <si>
    <t>IB0397</t>
  </si>
  <si>
    <t>MN5090</t>
  </si>
  <si>
    <t>RR0925</t>
  </si>
  <si>
    <t>AB4980</t>
  </si>
  <si>
    <t>IB3928</t>
  </si>
  <si>
    <t>IB7663</t>
  </si>
  <si>
    <t>IB4539</t>
  </si>
  <si>
    <t>PS7660</t>
  </si>
  <si>
    <t>TP7661</t>
  </si>
  <si>
    <t>MY7672</t>
  </si>
  <si>
    <t>MY4314</t>
  </si>
  <si>
    <t>MK2767</t>
  </si>
  <si>
    <t>MN4976</t>
  </si>
  <si>
    <t>TX7665</t>
  </si>
  <si>
    <t>ME7557</t>
  </si>
  <si>
    <t>HS7676</t>
  </si>
  <si>
    <t>IB7688</t>
  </si>
  <si>
    <t>IB2937</t>
  </si>
  <si>
    <t>GM4574</t>
  </si>
  <si>
    <t>GM7659</t>
  </si>
  <si>
    <t>GM4650</t>
  </si>
  <si>
    <t>GM5163</t>
  </si>
  <si>
    <t>GM5017</t>
  </si>
  <si>
    <t>CA5010</t>
  </si>
  <si>
    <t>GM4975</t>
  </si>
  <si>
    <t>GM4491</t>
  </si>
  <si>
    <t>CA7681</t>
  </si>
  <si>
    <t>GM7695</t>
  </si>
  <si>
    <t>GM5015</t>
  </si>
  <si>
    <t>CA7596</t>
  </si>
  <si>
    <t>KA0347</t>
  </si>
  <si>
    <t>KA0349</t>
  </si>
  <si>
    <t>KA0340</t>
  </si>
  <si>
    <t>KA0341</t>
  </si>
  <si>
    <t>KA0342</t>
  </si>
  <si>
    <t>KA0343</t>
  </si>
  <si>
    <t>KA0364</t>
  </si>
  <si>
    <t>KA0363</t>
  </si>
  <si>
    <t>KA0367</t>
  </si>
  <si>
    <t>KA0353</t>
  </si>
  <si>
    <t>KA0378</t>
  </si>
  <si>
    <t>KA0379</t>
  </si>
  <si>
    <t>KA0380</t>
  </si>
  <si>
    <t>KA0381</t>
  </si>
  <si>
    <t>KA0382</t>
  </si>
  <si>
    <t>KA0376</t>
  </si>
  <si>
    <t>KA0377</t>
  </si>
  <si>
    <t>KA0402</t>
  </si>
  <si>
    <t>KA0401</t>
  </si>
  <si>
    <t>KA0398</t>
  </si>
  <si>
    <t>KA0399</t>
  </si>
  <si>
    <t>KA0388</t>
  </si>
  <si>
    <t>peater</t>
  </si>
  <si>
    <t>KA0409</t>
  </si>
  <si>
    <t>KA0394</t>
  </si>
  <si>
    <t>KA0411</t>
  </si>
  <si>
    <t>KA0410</t>
  </si>
  <si>
    <t>KA4649</t>
  </si>
  <si>
    <t>KA0404</t>
  </si>
  <si>
    <t>KA3950</t>
  </si>
  <si>
    <t>KA4709</t>
  </si>
  <si>
    <t>KA4869</t>
  </si>
  <si>
    <t>KA2423</t>
  </si>
  <si>
    <t>KA4719</t>
  </si>
  <si>
    <t>KA4708</t>
  </si>
  <si>
    <t>KA4868</t>
  </si>
  <si>
    <t>KA4699</t>
  </si>
  <si>
    <t>KA4707</t>
  </si>
  <si>
    <t>KA5159</t>
  </si>
  <si>
    <t>KA4702</t>
  </si>
  <si>
    <t>KA7551</t>
  </si>
  <si>
    <t>KA0420</t>
  </si>
  <si>
    <t>o65110</t>
  </si>
  <si>
    <t>JB6893</t>
  </si>
  <si>
    <t>LL6067</t>
  </si>
  <si>
    <t>QU6892</t>
  </si>
  <si>
    <t>TT6839</t>
  </si>
  <si>
    <t>TB9994</t>
  </si>
  <si>
    <t>TB6910</t>
  </si>
  <si>
    <t>LL6089</t>
  </si>
  <si>
    <t>QU6217</t>
  </si>
  <si>
    <t>TB6912</t>
  </si>
  <si>
    <t>HY7553</t>
  </si>
  <si>
    <t>TB6911</t>
  </si>
  <si>
    <t>KA4710</t>
  </si>
  <si>
    <t>KA0424</t>
  </si>
  <si>
    <t>KA4704</t>
  </si>
  <si>
    <t>KA7548</t>
  </si>
  <si>
    <t>SOUTH-2 / BALOCHISTAN</t>
  </si>
  <si>
    <t>ZHOB</t>
  </si>
  <si>
    <t>SOUTH-2 / KHUZDAR</t>
  </si>
  <si>
    <t>HUZDAR</t>
  </si>
  <si>
    <t>SOUTH-2 / SURAB</t>
  </si>
  <si>
    <t>SURAB</t>
  </si>
  <si>
    <t>LDUKHI</t>
  </si>
  <si>
    <t>SOUTH-2 / SUKKUR</t>
  </si>
  <si>
    <t>CSUK01</t>
  </si>
  <si>
    <t>SOUTH-2 / MASTUNG</t>
  </si>
  <si>
    <t>ASTUNG</t>
  </si>
  <si>
    <t>OFSUCS</t>
  </si>
  <si>
    <t>SOUTH-2 / NOSHKI</t>
  </si>
  <si>
    <t>NOSHKI</t>
  </si>
  <si>
    <t>SOUTH-2 / PASHIN</t>
  </si>
  <si>
    <t>PASHIN</t>
  </si>
  <si>
    <t>SOUTH-2 / NAWAB SHAH</t>
  </si>
  <si>
    <t>ABSHAH</t>
  </si>
  <si>
    <t>SOUTH-2 / SHIKARPUR</t>
  </si>
  <si>
    <t>KARPUR</t>
  </si>
  <si>
    <t>SOUTH-2 / QUETTA</t>
  </si>
  <si>
    <t>OFQUAD</t>
  </si>
  <si>
    <t>SCQU01</t>
  </si>
  <si>
    <t>SOUTH-2 / GHOTKI</t>
  </si>
  <si>
    <t>GHOTKI</t>
  </si>
  <si>
    <t>SOUTH-2 / KASHMORE</t>
  </si>
  <si>
    <t>SHMORE</t>
  </si>
  <si>
    <t>SOUTH-2 / QILA SAIF ULLAH</t>
  </si>
  <si>
    <t>FULLAH</t>
  </si>
  <si>
    <t>SUKKUR</t>
  </si>
  <si>
    <t>SOUTH-2 / MIRPURKHAS</t>
  </si>
  <si>
    <t>URKHAS</t>
  </si>
  <si>
    <t>SOUTH-2 / LARKANA</t>
  </si>
  <si>
    <t>ARKANA</t>
  </si>
  <si>
    <t>SOUTH-2 / JHAL MAGSI</t>
  </si>
  <si>
    <t>TTJHAL</t>
  </si>
  <si>
    <t>SOUTH-2 / HYDERABAD</t>
  </si>
  <si>
    <t>OFHYCS</t>
  </si>
  <si>
    <t>SOUTH-2 / TANDOALLAHYAR</t>
  </si>
  <si>
    <t>LAHYAR</t>
  </si>
  <si>
    <t>SOUTH-2 / KANDHKOT</t>
  </si>
  <si>
    <t>NDHKOT</t>
  </si>
  <si>
    <t xml:space="preserve"> KHAIL</t>
  </si>
  <si>
    <t>SOUTH-2 / SANGHAR</t>
  </si>
  <si>
    <t>ANGHAR</t>
  </si>
  <si>
    <t>QUETTA</t>
  </si>
  <si>
    <t>SOUTH-2 / NAUSHEHRO FEROZE</t>
  </si>
  <si>
    <t>OFEROZ</t>
  </si>
  <si>
    <t>SOUTH-2 / SHAHDADKOT</t>
  </si>
  <si>
    <t>DADKOT</t>
  </si>
  <si>
    <t>BADEEN</t>
  </si>
  <si>
    <t>SOUTH-2 / DADU</t>
  </si>
  <si>
    <t>DADU</t>
  </si>
  <si>
    <t>KAWAS</t>
  </si>
  <si>
    <t>SOUTH-2 / THATTA</t>
  </si>
  <si>
    <t>SOUTH-2 / DEHARKI</t>
  </si>
  <si>
    <t>EHARKI</t>
  </si>
  <si>
    <t>SOUTH-2 / ZIARAT</t>
  </si>
  <si>
    <t>ZIARAT</t>
  </si>
  <si>
    <t>SOUTH-2 / KHARAN</t>
  </si>
  <si>
    <t>KHARAN</t>
  </si>
  <si>
    <t>SOUTH-2 / KALAT</t>
  </si>
  <si>
    <t>KALAT</t>
  </si>
  <si>
    <t>SOUTH-2 / LORALAI</t>
  </si>
  <si>
    <t>ORALAI</t>
  </si>
  <si>
    <t>SOUTH-2 / BADIN</t>
  </si>
  <si>
    <t>BADIN</t>
  </si>
  <si>
    <t>ERABAD</t>
  </si>
  <si>
    <t>SOUTH-2 / TURBAT</t>
  </si>
  <si>
    <t>SOUTH-2 / SARDARGARH</t>
  </si>
  <si>
    <t>SOUTH-2 / KHANOOT</t>
  </si>
  <si>
    <t>SOUTH-2 / JAM SHORO</t>
  </si>
  <si>
    <t>SOUTH-2 / DHORONARO</t>
  </si>
  <si>
    <t>GH6844</t>
  </si>
  <si>
    <t>TB6618</t>
  </si>
  <si>
    <t>JB6025</t>
  </si>
  <si>
    <t>NN5784</t>
  </si>
  <si>
    <t>HY4683</t>
  </si>
  <si>
    <t>KA4664</t>
  </si>
  <si>
    <t>LO4608</t>
  </si>
  <si>
    <t>MP3688</t>
  </si>
  <si>
    <t>BD2688</t>
  </si>
  <si>
    <t>KA7550</t>
  </si>
  <si>
    <t>O66841</t>
  </si>
  <si>
    <t>KA4705</t>
  </si>
  <si>
    <t>KA4703</t>
  </si>
  <si>
    <t>KA4378</t>
  </si>
  <si>
    <t>KA3859</t>
  </si>
  <si>
    <t>KA2619</t>
  </si>
  <si>
    <t>KA2575</t>
  </si>
  <si>
    <t>KA2535</t>
  </si>
  <si>
    <t>KA2348</t>
  </si>
  <si>
    <t>KA2306</t>
  </si>
  <si>
    <t>KA2294</t>
  </si>
  <si>
    <t>KA0344</t>
  </si>
  <si>
    <t>KA0337</t>
  </si>
  <si>
    <t>CA5005</t>
  </si>
  <si>
    <t>OK1450</t>
  </si>
  <si>
    <t>PB5137</t>
  </si>
  <si>
    <t>MU4865</t>
  </si>
  <si>
    <t>BR6943</t>
  </si>
  <si>
    <t>KM6942</t>
  </si>
  <si>
    <t>CA4895</t>
  </si>
  <si>
    <t>IB2952</t>
  </si>
  <si>
    <t>TP7594</t>
  </si>
  <si>
    <t>IB0426</t>
  </si>
  <si>
    <t>CA5002</t>
  </si>
  <si>
    <t>GM7658</t>
  </si>
  <si>
    <t>IB7616</t>
  </si>
  <si>
    <t>IB4798</t>
  </si>
  <si>
    <t>IB4534</t>
  </si>
  <si>
    <t>CA4986</t>
  </si>
  <si>
    <t>GM5021</t>
  </si>
  <si>
    <t>IB3929</t>
  </si>
  <si>
    <t>IB3179</t>
  </si>
  <si>
    <t>IB2995</t>
  </si>
  <si>
    <t>IB3186</t>
  </si>
  <si>
    <t>IB2965</t>
  </si>
  <si>
    <t>IB3145</t>
  </si>
  <si>
    <t>RR0927</t>
  </si>
  <si>
    <t>M Zhob</t>
  </si>
  <si>
    <t>KA0419</t>
  </si>
  <si>
    <t>KA0435</t>
  </si>
  <si>
    <t>KA7700</t>
  </si>
  <si>
    <t>KA0431</t>
  </si>
  <si>
    <t>KA4595</t>
  </si>
  <si>
    <t>TB6260</t>
  </si>
  <si>
    <t>GD9993</t>
  </si>
  <si>
    <t>GD9995</t>
  </si>
  <si>
    <t>TH2688</t>
  </si>
  <si>
    <t>KA4870</t>
  </si>
  <si>
    <t>KA4698</t>
  </si>
  <si>
    <t>KA7670</t>
  </si>
  <si>
    <t>TT6949</t>
  </si>
  <si>
    <t>hupura</t>
  </si>
  <si>
    <t>GJ4638</t>
  </si>
  <si>
    <t>LH1773</t>
  </si>
  <si>
    <t>LH7625</t>
  </si>
  <si>
    <t>LH4746</t>
  </si>
  <si>
    <t>LH7641</t>
  </si>
  <si>
    <t>LH4739</t>
  </si>
  <si>
    <t>LH7680</t>
  </si>
  <si>
    <t>LH4850</t>
  </si>
  <si>
    <t>LH0413</t>
  </si>
  <si>
    <t>LH7619</t>
  </si>
  <si>
    <t>LH1768</t>
  </si>
  <si>
    <t>LH4856</t>
  </si>
  <si>
    <t>LH0408</t>
  </si>
  <si>
    <t>LH4526</t>
  </si>
  <si>
    <t>LH4627</t>
  </si>
  <si>
    <t>LH7713</t>
  </si>
  <si>
    <t>LH1740</t>
  </si>
  <si>
    <t>LH7627</t>
  </si>
  <si>
    <t>LH7639</t>
  </si>
  <si>
    <t>LH4614</t>
  </si>
  <si>
    <t>LH4524</t>
  </si>
  <si>
    <t>LH4854</t>
  </si>
  <si>
    <t>LH4500</t>
  </si>
  <si>
    <t>LH7642</t>
  </si>
  <si>
    <t>PT7565</t>
  </si>
  <si>
    <t>LH4745</t>
  </si>
  <si>
    <t>LH4735</t>
  </si>
  <si>
    <t>LH7664</t>
  </si>
  <si>
    <t>LH7623</t>
  </si>
  <si>
    <t>LH3822</t>
  </si>
  <si>
    <t>LH4863</t>
  </si>
  <si>
    <t>LH7621</t>
  </si>
  <si>
    <t>LH7715</t>
  </si>
  <si>
    <t>LH7723</t>
  </si>
  <si>
    <t>LH0403</t>
  </si>
  <si>
    <t>LH0425</t>
  </si>
  <si>
    <t>LH7697</t>
  </si>
  <si>
    <t>LH7633</t>
  </si>
  <si>
    <t>LH7631</t>
  </si>
  <si>
    <t>LH7710</t>
  </si>
  <si>
    <t>RR0998</t>
  </si>
  <si>
    <t xml:space="preserve">H4875 </t>
  </si>
  <si>
    <t xml:space="preserve">P4893 </t>
  </si>
  <si>
    <t>J3998 </t>
  </si>
  <si>
    <t>MU7719</t>
  </si>
  <si>
    <t>GJ4121</t>
  </si>
  <si>
    <t>CA4993</t>
  </si>
  <si>
    <t>Telenor | KKQ425</t>
  </si>
  <si>
    <t>Ufone | 2468</t>
  </si>
  <si>
    <t>Ufone | 8061</t>
  </si>
  <si>
    <t>Ufone | 8065</t>
  </si>
  <si>
    <t>Mobilink | KHI0533</t>
  </si>
  <si>
    <t>Mobilink | KHI5208</t>
  </si>
  <si>
    <t>Mobilink | LHR6935</t>
  </si>
  <si>
    <t>Mobilink | RBW4084</t>
  </si>
  <si>
    <t>Mobilink | RWP1621</t>
  </si>
  <si>
    <t>Mobilink | RWP1067</t>
  </si>
  <si>
    <t>Mobilink | RWP1510</t>
  </si>
  <si>
    <t>Mobilink | KHI0445</t>
  </si>
  <si>
    <t>Mobilink | KHI6591</t>
  </si>
  <si>
    <t>Mobilink | FSD4828</t>
  </si>
  <si>
    <t>Mobilink | RWP1107</t>
  </si>
  <si>
    <t>Mobilink | RWP0501</t>
  </si>
  <si>
    <t>Mobilink | KHI0038</t>
  </si>
  <si>
    <t>Mobilink | MUL0713</t>
  </si>
  <si>
    <t>Mobilink | MUL7917</t>
  </si>
  <si>
    <t>Mobilink | MUL0896</t>
  </si>
  <si>
    <t>Ufone | 4776</t>
  </si>
  <si>
    <t>CM Pak | C-FSB-5089</t>
  </si>
  <si>
    <t>Mobilink | HWY9735</t>
  </si>
  <si>
    <t>CM Pak | N-ISB-8078</t>
  </si>
  <si>
    <t>CM Pak | C-DYP-6252</t>
  </si>
  <si>
    <t>Ufone | 4476</t>
  </si>
  <si>
    <t>Ufone | 7258</t>
  </si>
  <si>
    <t>Mobilink | HWY4263</t>
  </si>
  <si>
    <t>Mobilink | HWY7371</t>
  </si>
  <si>
    <t>Ufone | 8133</t>
  </si>
  <si>
    <t>CM Pak | C-GRN-5594</t>
  </si>
  <si>
    <t>Mobilink | LHR3062</t>
  </si>
  <si>
    <t>CM Pak | C-LHR-5564</t>
  </si>
  <si>
    <t>Mobilink | HGW5678</t>
  </si>
  <si>
    <t>Mobilink | HWY3095</t>
  </si>
  <si>
    <t>Mobilink | HGW0329</t>
  </si>
  <si>
    <t>Mobilink | LHR3133</t>
  </si>
  <si>
    <t>Mobilink | KHI6505</t>
  </si>
  <si>
    <t>Mobilink | SHW7409</t>
  </si>
  <si>
    <t>Mobilink | SHW4312</t>
  </si>
  <si>
    <t>Mobilink | HWY7487</t>
  </si>
  <si>
    <t>CM Pak | C-LHR-5490</t>
  </si>
  <si>
    <t>Mobilink | HWY3756</t>
  </si>
  <si>
    <t>CM Pak | C-HJM-4171</t>
  </si>
  <si>
    <t>CM Pak | N-ISB-8333</t>
  </si>
  <si>
    <t>Ufone | 4507</t>
  </si>
  <si>
    <t>Mobilink | RWP1076</t>
  </si>
  <si>
    <t>CM Pak | C-LHR-7377</t>
  </si>
  <si>
    <t>CM Pak | C-LHR-7398</t>
  </si>
  <si>
    <t>CM Pak | C-LHR-7129</t>
  </si>
  <si>
    <t>CM Pak | C-LAM-6187</t>
  </si>
  <si>
    <t>CM Pak | C-MAR-5705</t>
  </si>
  <si>
    <t>Mobilink | HYD6424</t>
  </si>
  <si>
    <t>Ufone | 4662</t>
  </si>
  <si>
    <t>CM Pak | S-TMK-1111</t>
  </si>
  <si>
    <t>Ufone | 4573</t>
  </si>
  <si>
    <t>Mobilink | HGW6109</t>
  </si>
  <si>
    <t>Ufone | 7196</t>
  </si>
  <si>
    <t>Ufone | 7060</t>
  </si>
  <si>
    <t>Ufone | 3029</t>
  </si>
  <si>
    <t>CM Pak | N-MLP-9228</t>
  </si>
  <si>
    <t>CM Pak | N-RWP-9208</t>
  </si>
  <si>
    <t>CM Pak | C-GRN-4088</t>
  </si>
  <si>
    <t>CM Pak | C-FSD-5383</t>
  </si>
  <si>
    <t>CM Pak | C-LHR-4013</t>
  </si>
  <si>
    <t>CM Pak | C-JMA-6194</t>
  </si>
  <si>
    <t>Ufone | 7221</t>
  </si>
  <si>
    <t>Ufone | 2327</t>
  </si>
  <si>
    <t>Mobilink | HGW6110</t>
  </si>
  <si>
    <t>CM Pak | N-ISB-8276</t>
  </si>
  <si>
    <t>Ufone | 3317</t>
  </si>
  <si>
    <t>CM Pak | C-LHR-6142</t>
  </si>
  <si>
    <t>CM Pak | N-PAP-8427</t>
  </si>
  <si>
    <t>CM Pak | C-RCV-5917</t>
  </si>
  <si>
    <t>CM Pak | C-FSD-6481</t>
  </si>
  <si>
    <t>CM Pak | C-GRN-5634</t>
  </si>
  <si>
    <t>Ufone | 7117</t>
  </si>
  <si>
    <t>Ufone | 7877</t>
  </si>
  <si>
    <t>CM Pak | N-PSH-8579</t>
  </si>
  <si>
    <t>Ufone | 4475</t>
  </si>
  <si>
    <t>Ufone | 7098</t>
  </si>
  <si>
    <t>Mobilink | MDJ6207</t>
  </si>
  <si>
    <t>Ufone | 9193</t>
  </si>
  <si>
    <t>CM Pak | N-RCK-8835</t>
  </si>
  <si>
    <t>Mobilink | RWP1298</t>
  </si>
  <si>
    <t>CM Pak | C-GOA-4194</t>
  </si>
  <si>
    <t>CM Pak | C-FSB-5409</t>
  </si>
  <si>
    <t>Mobilink | SHN8520</t>
  </si>
  <si>
    <t>CM Pak | S-KHI-1256</t>
  </si>
  <si>
    <t>CM Pak | C-CSB-6041</t>
  </si>
  <si>
    <t>Mobilink | RUR2013</t>
  </si>
  <si>
    <t>CM Pak | N-ISB-9556</t>
  </si>
  <si>
    <t>Ufone | 7093</t>
  </si>
  <si>
    <t>Telenor | LLR615</t>
  </si>
  <si>
    <t>CM Pak | S-SIM-1566</t>
  </si>
  <si>
    <t>Ufone | 9874</t>
  </si>
  <si>
    <t>CM Pak | S-KHI-0657</t>
  </si>
  <si>
    <t>Telenor | KKQ129</t>
  </si>
  <si>
    <t>CM Pak | S-RWY-1224</t>
  </si>
  <si>
    <t>Telenor | KKQ120</t>
  </si>
  <si>
    <t>CM Pak | S-BRR-1291</t>
  </si>
  <si>
    <t>Telenor | IGMR01</t>
  </si>
  <si>
    <t>Ufone | 1695</t>
  </si>
  <si>
    <t>CM Pak | S-DAR-1294</t>
  </si>
  <si>
    <t>CM Pak | N-AJK-9126</t>
  </si>
  <si>
    <t>Ufone | 8763</t>
  </si>
  <si>
    <t>Ufone | 1958</t>
  </si>
  <si>
    <t>Telenor | KMKL01</t>
  </si>
  <si>
    <t>Telenor | QPL101</t>
  </si>
  <si>
    <t>CM Pak | S-DLK-0981</t>
  </si>
  <si>
    <t>Telenor | KKX322</t>
  </si>
  <si>
    <t>Ufone | 9226</t>
  </si>
  <si>
    <t>CM Pak | N-ISB-8556</t>
  </si>
  <si>
    <t>CM Pak | S-KHI-0904</t>
  </si>
  <si>
    <t>CM Pak | N-PSH-8591</t>
  </si>
  <si>
    <t>Telenor | KKX503</t>
  </si>
  <si>
    <t>Ufone | 1789</t>
  </si>
  <si>
    <t>Telenor | KSKR01</t>
  </si>
  <si>
    <t>Wi-tribe | ISB004</t>
  </si>
  <si>
    <t>CM Pak | C-LHR-6491</t>
  </si>
  <si>
    <t>Wi-tribe | ISB031</t>
  </si>
  <si>
    <t>CM Pak | C-LHR-5495</t>
  </si>
  <si>
    <t>CM Pak | C-LHR-6368</t>
  </si>
  <si>
    <t>CM Pak | S-SRO-1560</t>
  </si>
  <si>
    <t>Telenor | LUW001</t>
  </si>
  <si>
    <t>CM Pak | N-PIR-8244</t>
  </si>
  <si>
    <t>CM Pak | S-KHI-0854</t>
  </si>
  <si>
    <t>Ufone | 2944</t>
  </si>
  <si>
    <t xml:space="preserve">CM Pak | C-TSW-4566 </t>
  </si>
  <si>
    <t>Wi-tribe | ISB072</t>
  </si>
  <si>
    <t>Ufone | 8068</t>
  </si>
  <si>
    <t>CM Pak | S-DIO-1656</t>
  </si>
  <si>
    <t>Ufone | 9231</t>
  </si>
  <si>
    <t>Modaraba | Modaraba-1</t>
  </si>
  <si>
    <t>Ufone | 9207</t>
  </si>
  <si>
    <t>Telenor | KKQ204</t>
  </si>
  <si>
    <t>CM Pak | S-SKY-1061</t>
  </si>
  <si>
    <t>CM Pak | C-PBN-4440</t>
  </si>
  <si>
    <t>Ufone | 8005</t>
  </si>
  <si>
    <t>Ufone | 7011</t>
  </si>
  <si>
    <t>CM Pak | S-KHI-1753</t>
  </si>
  <si>
    <t>CM Pak | C-JHG-5362</t>
  </si>
  <si>
    <t>Ufone | 7530</t>
  </si>
  <si>
    <t>Ufone | 8181</t>
  </si>
  <si>
    <t>Wi-tribe | LHR129</t>
  </si>
  <si>
    <t>Telenor | LLR025</t>
  </si>
  <si>
    <t>CM Pak | C-LHR-7332</t>
  </si>
  <si>
    <t>Ufone | 7251</t>
  </si>
  <si>
    <t>Ufone | 3304</t>
  </si>
  <si>
    <t>Telenor | LLR006</t>
  </si>
  <si>
    <t xml:space="preserve">CM Pak | C-SRG-6597 </t>
  </si>
  <si>
    <t>Wateen | WTIB-9048</t>
  </si>
  <si>
    <t>Ufone | 6912</t>
  </si>
  <si>
    <t>Mobilink | RUR8890</t>
  </si>
  <si>
    <t>Mobilink | LHR9841</t>
  </si>
  <si>
    <t>Ufone | 7169</t>
  </si>
  <si>
    <t>Ufone | 2363</t>
  </si>
  <si>
    <t>CM Pak | C-SRG-6464</t>
  </si>
  <si>
    <t>Ufone | 8093</t>
  </si>
  <si>
    <t>Wi-tribe | LHR121</t>
  </si>
  <si>
    <t>Ufone | 9411</t>
  </si>
  <si>
    <t>Ufone | 1338</t>
  </si>
  <si>
    <t>Telenor | KKQ407</t>
  </si>
  <si>
    <t>Ufone | 1419</t>
  </si>
  <si>
    <t>Ufone | 3330</t>
  </si>
  <si>
    <t>Ufone | 7213</t>
  </si>
  <si>
    <t>CM Pak | C-LHR-7400</t>
  </si>
  <si>
    <t>Mobilink | LHR3174</t>
  </si>
  <si>
    <t>Mobilink | RUR1703</t>
  </si>
  <si>
    <t>CM Pak | C-SHK-4385</t>
  </si>
  <si>
    <t>Ufone | 1967</t>
  </si>
  <si>
    <t>Ufone | 2960</t>
  </si>
  <si>
    <t>Mobilink | LHR9676</t>
  </si>
  <si>
    <t>Mobilink | LHR3197</t>
  </si>
  <si>
    <t>Wi-tribe | ISB017</t>
  </si>
  <si>
    <t>Mobilink | LHR0781</t>
  </si>
  <si>
    <t>Mobilink | LHR3648</t>
  </si>
  <si>
    <t>Telenor | MNU001</t>
  </si>
  <si>
    <t>Mobilink | LHR3180</t>
  </si>
  <si>
    <t>CM Pak | S-KHI-1259</t>
  </si>
  <si>
    <t>Mobilink | LHR0670</t>
  </si>
  <si>
    <t>CM Pak | S-KHI-0742</t>
  </si>
  <si>
    <t>CM Pak | S-KHI-0613</t>
  </si>
  <si>
    <t>Mobilink | LHR0555</t>
  </si>
  <si>
    <t>Mobilink | HWY1476</t>
  </si>
  <si>
    <t>Mobilink | LHR3037</t>
  </si>
  <si>
    <t>CM Pak | S-KHI-1592</t>
  </si>
  <si>
    <t>CM Pak | C-LHR-7318</t>
  </si>
  <si>
    <t>CM Pak | N-MDN-8237</t>
  </si>
  <si>
    <t>Ufone | 6052</t>
  </si>
  <si>
    <t>Wi-tribe | RWP043</t>
  </si>
  <si>
    <t>Telenor | IPW123</t>
  </si>
  <si>
    <t>Telenor | IRP725</t>
  </si>
  <si>
    <t>Ufone | 9346</t>
  </si>
  <si>
    <t>Mobilink | HGW6387</t>
  </si>
  <si>
    <t>Mobilink | LHR3230</t>
  </si>
  <si>
    <t>Telenor | KHD129</t>
  </si>
  <si>
    <t>Ufone | 9450</t>
  </si>
  <si>
    <t>Mobilink | MIS8686</t>
  </si>
  <si>
    <t>Mobilink | SYW4836</t>
  </si>
  <si>
    <t>Mobilink | FSD3721</t>
  </si>
  <si>
    <t>Mobilink | LHR3313</t>
  </si>
  <si>
    <t>Mobilink | HWY7373</t>
  </si>
  <si>
    <t>CM Pak | S-KHI-0844</t>
  </si>
  <si>
    <t>CM Pak | S-KHI-0871</t>
  </si>
  <si>
    <t>CM Pak | S-HYD-1713</t>
  </si>
  <si>
    <t>Mobilink | LHR3771</t>
  </si>
  <si>
    <t>Wi-tribe | LHR0249</t>
  </si>
  <si>
    <t>CM Pak | C-LHR-7349</t>
  </si>
  <si>
    <t>Telenor | KKQ351</t>
  </si>
  <si>
    <t>Ufone | 1727</t>
  </si>
  <si>
    <t>CM Pak | S-KHI-1860</t>
  </si>
  <si>
    <t>Telenor | KKQ686</t>
  </si>
  <si>
    <t>Ufone | 1953</t>
  </si>
  <si>
    <t>Mobilink | KHI2018</t>
  </si>
  <si>
    <t>CM Pak | S-KHI-0855</t>
  </si>
  <si>
    <t>Mobilink | KFA5682</t>
  </si>
  <si>
    <t>Wi-tribe | LHR276</t>
  </si>
  <si>
    <t>Mobilink | LHR0221</t>
  </si>
  <si>
    <t>CM Pak | S-KHI-0416</t>
  </si>
  <si>
    <t>Ufone | 1777</t>
  </si>
  <si>
    <t>CM Pak | C-LHR-4299</t>
  </si>
  <si>
    <t>Wi-tribe | KHI134</t>
  </si>
  <si>
    <t>Telenor | LLR110</t>
  </si>
  <si>
    <t>CM Pak | S-KHI-1779</t>
  </si>
  <si>
    <t>Telenor | IIB232</t>
  </si>
  <si>
    <t>Mobilink | HWY7964</t>
  </si>
  <si>
    <t>Ufone | 4165</t>
  </si>
  <si>
    <t>Mobilink | HWY1316</t>
  </si>
  <si>
    <t>Mobilink | KHI2026</t>
  </si>
  <si>
    <t>Ufone | 8651</t>
  </si>
  <si>
    <t>Ufone | 3498</t>
  </si>
  <si>
    <t>Ufone | 4753</t>
  </si>
  <si>
    <t>Telenor | LHFR01</t>
  </si>
  <si>
    <t>Ufone | 2273</t>
  </si>
  <si>
    <t>Ufone | 1325</t>
  </si>
  <si>
    <t>CM Pak | C-LHR-5436</t>
  </si>
  <si>
    <t>Ufone | 3480</t>
  </si>
  <si>
    <t>Mobilink | RWP1898</t>
  </si>
  <si>
    <t>Ufone | 9468</t>
  </si>
  <si>
    <t>Ufone | 7193</t>
  </si>
  <si>
    <t>Ufone | 4542</t>
  </si>
  <si>
    <t>CM Pak | N-IKM-8939</t>
  </si>
  <si>
    <t>Ufone | 4933</t>
  </si>
  <si>
    <t>Telenor | KKZ449</t>
  </si>
  <si>
    <t>Ufone | 9001</t>
  </si>
  <si>
    <t>Mobilink | MGO2837</t>
  </si>
  <si>
    <t>Telenor | IKGN01</t>
  </si>
  <si>
    <t>Ufone | 1776</t>
  </si>
  <si>
    <t>Ufone | 9523</t>
  </si>
  <si>
    <t>Mobilink | KHI6583</t>
  </si>
  <si>
    <t>Mobilink | RUR0470</t>
  </si>
  <si>
    <t>CM Pak | C-LHR-4551</t>
  </si>
  <si>
    <t>Telenor | QCSR01</t>
  </si>
  <si>
    <t>Mobilink | FSD3204</t>
  </si>
  <si>
    <t>Ufone | 5560</t>
  </si>
  <si>
    <t>CM Pak | C-LHR-6453</t>
  </si>
  <si>
    <t>CM Pak | S-NCD-1608</t>
  </si>
  <si>
    <t>CM Pak | C-RUR-5413</t>
  </si>
  <si>
    <t>Telenor | LSPR79</t>
  </si>
  <si>
    <t>Telenor | LLR537</t>
  </si>
  <si>
    <t>CM Pak | C-RUR-7465</t>
  </si>
  <si>
    <t>Mobilink | RUR4714</t>
  </si>
  <si>
    <t>Ufone | 2775</t>
  </si>
  <si>
    <t>Mobilink | RUR7145</t>
  </si>
  <si>
    <t>Mobilink | HGW0299</t>
  </si>
  <si>
    <t>Telenor | LMI001</t>
  </si>
  <si>
    <t>Mobilink | RUR0190</t>
  </si>
  <si>
    <t>Mobilink | DHN8757</t>
  </si>
  <si>
    <t>CM Pak | C-RUR-5668</t>
  </si>
  <si>
    <t>Ufone | 2722</t>
  </si>
  <si>
    <t>Mobilink | HJN8729</t>
  </si>
  <si>
    <t>CM Pak | C-RUR-6434</t>
  </si>
  <si>
    <t>Mobilink | KHM7290</t>
  </si>
  <si>
    <t>Ufone | 1237</t>
  </si>
  <si>
    <t>Mobilink | RUR0274</t>
  </si>
  <si>
    <t>Mobilink | RUR0181</t>
  </si>
  <si>
    <t>CM Pak | C-RUR-6496</t>
  </si>
  <si>
    <t>CM Pak | C-HWY-4439</t>
  </si>
  <si>
    <t>Mobilink | RUR0178</t>
  </si>
  <si>
    <t>Ufone | 3472</t>
  </si>
  <si>
    <t>Mobilink | TMK8993</t>
  </si>
  <si>
    <t>Mobilink | RUR8805</t>
  </si>
  <si>
    <t>Mobilink | BRN8763</t>
  </si>
  <si>
    <t>Ufone | 7712</t>
  </si>
  <si>
    <t>Mobilink | RUR6920</t>
  </si>
  <si>
    <t>Telenor | LNSR01</t>
  </si>
  <si>
    <t>CM Pak | S-HYD-1692</t>
  </si>
  <si>
    <t>Military Comm. Tower | Military Comm. Tower</t>
  </si>
  <si>
    <t>Ufone | 2211</t>
  </si>
  <si>
    <t>Mobilink | RUR0385</t>
  </si>
  <si>
    <t>CM Pak | C-RUR-6728</t>
  </si>
  <si>
    <t>CM Pak | C-RUR-7601</t>
  </si>
  <si>
    <t>Ufone | 3959</t>
  </si>
  <si>
    <t>Ufone | 2665</t>
  </si>
  <si>
    <t>Telenor | FMB001</t>
  </si>
  <si>
    <t>Ufone | 7665</t>
  </si>
  <si>
    <t>Telenor | LMDR01</t>
  </si>
  <si>
    <t>Ufone | 3290</t>
  </si>
  <si>
    <t>Mobilink | SKH8782</t>
  </si>
  <si>
    <t>Mobilink | RUR8587</t>
  </si>
  <si>
    <t>Mobilink | HWY1428</t>
  </si>
  <si>
    <t>Mobilink | RUR2546</t>
  </si>
  <si>
    <t>Ufone | 6940</t>
  </si>
  <si>
    <t>Ufone | 7640</t>
  </si>
  <si>
    <t>CM Pak | C-RUR-6476</t>
  </si>
  <si>
    <t>Telenor | FFDR01</t>
  </si>
  <si>
    <t>Mobilink | LHR9811</t>
  </si>
  <si>
    <t>Mobilink | MUL0183</t>
  </si>
  <si>
    <t>Ufone | 7650</t>
  </si>
  <si>
    <t>Mobilink | KRI1633</t>
  </si>
  <si>
    <t>Mobilink | HSK3564</t>
  </si>
  <si>
    <t>Mobilink | FSD7427</t>
  </si>
  <si>
    <t>Ufone | 7896</t>
  </si>
  <si>
    <t>CM Pak | C-RUR-5844</t>
  </si>
  <si>
    <t>Mobilink | KRW8772</t>
  </si>
  <si>
    <t>Mobilink | DZK1631</t>
  </si>
  <si>
    <t>CM Pak | C-RUR-6002</t>
  </si>
  <si>
    <t>CM Pak | C-RUR-6448</t>
  </si>
  <si>
    <t>Mobilink | KHB2113</t>
  </si>
  <si>
    <t>Mobilink | KHI0330</t>
  </si>
  <si>
    <t>Telenor | LBD001</t>
  </si>
  <si>
    <t>Mobilink | HYD6882</t>
  </si>
  <si>
    <t>CM Pak | C-RUR-6565</t>
  </si>
  <si>
    <t>CM Pak | C-LHR-4019</t>
  </si>
  <si>
    <t>Ufone | 8981</t>
  </si>
  <si>
    <t>Ufone | 9176</t>
  </si>
  <si>
    <t>Ufone | 4003</t>
  </si>
  <si>
    <t>Mobilink | KHI0013</t>
  </si>
  <si>
    <t>Mobilink | KHI5900</t>
  </si>
  <si>
    <t>Ufone | 1135</t>
  </si>
  <si>
    <t>Mobilink | JSO5911</t>
  </si>
  <si>
    <t>Mobilink | DSK9945</t>
  </si>
  <si>
    <t>Ufone | 9358</t>
  </si>
  <si>
    <t>CM Pak | C-KGP-6228</t>
  </si>
  <si>
    <t>CM Pak | C-LHR-5502</t>
  </si>
  <si>
    <t>Ufone | 9794</t>
  </si>
  <si>
    <t>Ufone | 4630</t>
  </si>
  <si>
    <t>Ufone | 9665</t>
  </si>
  <si>
    <t>Wi-tribe | RWP018</t>
  </si>
  <si>
    <t>Mobilink | MKI2861</t>
  </si>
  <si>
    <t>Telenor | FFD310</t>
  </si>
  <si>
    <t>Telenor | MSW010</t>
  </si>
  <si>
    <t>PTCL | LTRP2074</t>
  </si>
  <si>
    <t>CM Pak | C-FSB-6839</t>
  </si>
  <si>
    <t>Wi-tribe | RWP039</t>
  </si>
  <si>
    <t>Wi-tribe | RWP010</t>
  </si>
  <si>
    <t>Mobilink | MVD1053</t>
  </si>
  <si>
    <t>Mobilink | SBD2165</t>
  </si>
  <si>
    <t>CM Pak | C-FSB-5379</t>
  </si>
  <si>
    <t>Telenor | MSG014</t>
  </si>
  <si>
    <t>Wateen | WTCH106</t>
  </si>
  <si>
    <t>Mobilink | MDD1829</t>
  </si>
  <si>
    <t>Mobilink | MDD2536</t>
  </si>
  <si>
    <t>CM Pak | C-GRN-5162</t>
  </si>
  <si>
    <t>Mobilink | HWY8525</t>
  </si>
  <si>
    <t>Mobilink | KHI6593</t>
  </si>
  <si>
    <t>Mobilink | RUR4790</t>
  </si>
  <si>
    <t>Mobilink | RUR4041</t>
  </si>
  <si>
    <t>Mobilink | DKI5784</t>
  </si>
  <si>
    <t>Mobilink | RUR8752</t>
  </si>
  <si>
    <t>Ufone | 4307</t>
  </si>
  <si>
    <t>Mobilink | REN7464</t>
  </si>
  <si>
    <t>Ufone | 3339</t>
  </si>
  <si>
    <t>CM Pak | C-RUR-5663</t>
  </si>
  <si>
    <t>Ufone | 3067</t>
  </si>
  <si>
    <t>Mobilink | BLB2507</t>
  </si>
  <si>
    <t>Mobilink | LHR3604</t>
  </si>
  <si>
    <t>CM Pak | C-LHR-7395</t>
  </si>
  <si>
    <t>Mobilink | LHR3199</t>
  </si>
  <si>
    <t>Mobilink | LHR0308</t>
  </si>
  <si>
    <t>PTCL | LTRP2066</t>
  </si>
  <si>
    <t>PTCL | WTRNP2007</t>
  </si>
  <si>
    <t>Mobilink | GUJ0729</t>
  </si>
  <si>
    <t>Telenor | LGW201</t>
  </si>
  <si>
    <t>CM Pak | C-GRN-5192</t>
  </si>
  <si>
    <t>Ufone | 1056</t>
  </si>
  <si>
    <t>Mobilink | GUJ4660</t>
  </si>
  <si>
    <t>Telenor | LGW205</t>
  </si>
  <si>
    <t>Mobilink | MUL0826</t>
  </si>
  <si>
    <t>CM Pak | N-AKT-8219</t>
  </si>
  <si>
    <t>CM Pak | S-KHI-0297</t>
  </si>
  <si>
    <t>Telenor | LLR123</t>
  </si>
  <si>
    <t>Telenor | LLR345</t>
  </si>
  <si>
    <t>CM Pak | N-HJS-9036</t>
  </si>
  <si>
    <t>Wi-tribe | LHR-280</t>
  </si>
  <si>
    <t>CM Pak | GRN7234</t>
  </si>
  <si>
    <t>PTCL | FTRP2053</t>
  </si>
  <si>
    <t>CM Pak | GRN6383</t>
  </si>
  <si>
    <t>Ufone | 5006</t>
  </si>
  <si>
    <t>Mobilink | CK05124</t>
  </si>
  <si>
    <t>Mobilink | KHI5150</t>
  </si>
  <si>
    <t>Wi-tribe | KHI278</t>
  </si>
  <si>
    <t>Ufone | 7313</t>
  </si>
  <si>
    <t>CM Pak | C-LHR-5491</t>
  </si>
  <si>
    <t>Ufone | 7166</t>
  </si>
  <si>
    <t>Ufone | 3904</t>
  </si>
  <si>
    <t>Ufone | 9931</t>
  </si>
  <si>
    <t>Mobilink | GJH7527</t>
  </si>
  <si>
    <t>CM Pak | C-AUR-5751</t>
  </si>
  <si>
    <t>Ufone | 4311</t>
  </si>
  <si>
    <t>Ufone | 1772</t>
  </si>
  <si>
    <t>CM Pak | C-LHR-4297</t>
  </si>
  <si>
    <t>Ufone | 1038</t>
  </si>
  <si>
    <t>Ufone | 9899</t>
  </si>
  <si>
    <t>Ufone | 5442</t>
  </si>
  <si>
    <t>Mobilink | BAS7583</t>
  </si>
  <si>
    <t>Ufone | 9498</t>
  </si>
  <si>
    <t>Ufone | 4553</t>
  </si>
  <si>
    <t>Ufone | 1280</t>
  </si>
  <si>
    <t>CM Pak | 5348</t>
  </si>
  <si>
    <t>CM Pak | 6580</t>
  </si>
  <si>
    <t>Ufone | 4683</t>
  </si>
  <si>
    <t>CM Pak | C-GRN-7242</t>
  </si>
  <si>
    <t>Ufone | 4232</t>
  </si>
  <si>
    <t>Ufone | 5684</t>
  </si>
  <si>
    <t>CM Pak | C-SWL-6553</t>
  </si>
  <si>
    <t>CM Pak | C-JUK-6220</t>
  </si>
  <si>
    <t>CM Pak | RKT0939</t>
  </si>
  <si>
    <t>CM Pak | C-MIA-5852</t>
  </si>
  <si>
    <t>Mobilink | AHD8028</t>
  </si>
  <si>
    <t>PTCL | MTRP2040</t>
  </si>
  <si>
    <t>CM Pak | 5732</t>
  </si>
  <si>
    <t>Ufone | 5497</t>
  </si>
  <si>
    <t>Mobilink | SDW4874</t>
  </si>
  <si>
    <t>Mobilink | BOZ6437</t>
  </si>
  <si>
    <t>Telenor | KMI101</t>
  </si>
  <si>
    <t xml:space="preserve">PTCL | STR1P1009 </t>
  </si>
  <si>
    <t>Ufone | 7254</t>
  </si>
  <si>
    <t>CM Pak | C-JHG-5846</t>
  </si>
  <si>
    <t>CM Pak | C-NAK-5786</t>
  </si>
  <si>
    <t>CM Pak | N-MHC-8654</t>
  </si>
  <si>
    <t>Ufone | 4797</t>
  </si>
  <si>
    <t>Mobilink | 7058</t>
  </si>
  <si>
    <t>Ufone | 1790</t>
  </si>
  <si>
    <t>Ufone | 4413</t>
  </si>
  <si>
    <t>Mobilink | RUR3702</t>
  </si>
  <si>
    <t>Mobilink | HWY8575</t>
  </si>
  <si>
    <t>Mobilink | RUR1015</t>
  </si>
  <si>
    <t>CM Pak | C-SRG-6470</t>
  </si>
  <si>
    <t>CM Pak | 1388</t>
  </si>
  <si>
    <t>CM Pak | C-SWL-5247</t>
  </si>
  <si>
    <t>Mobilink | RUR4248</t>
  </si>
  <si>
    <t>CM Pak | C-MCH-5928</t>
  </si>
  <si>
    <t>Ufone | 2112</t>
  </si>
  <si>
    <t>Mobilink | HGW7788</t>
  </si>
  <si>
    <t>Mobilink | HWY7982</t>
  </si>
  <si>
    <t>Telenor | MMMR01</t>
  </si>
  <si>
    <t>CM Pak | C-RUR-6195</t>
  </si>
  <si>
    <t>CM Pak | 4603</t>
  </si>
  <si>
    <t>Ufone | 6969</t>
  </si>
  <si>
    <t>CM Pak | 5977</t>
  </si>
  <si>
    <t>CM Pak | 6094</t>
  </si>
  <si>
    <t>CM Pak | 6190</t>
  </si>
  <si>
    <t>Ufone | 6994</t>
  </si>
  <si>
    <t>Ufone | 5557</t>
  </si>
  <si>
    <t>Ufone | 7676</t>
  </si>
  <si>
    <t>Ufone | 2962</t>
  </si>
  <si>
    <t>CM Pak | N-HWY-9687</t>
  </si>
  <si>
    <t>PTCL | CTRP2031</t>
  </si>
  <si>
    <t>CM Pak | N-HWY-9397</t>
  </si>
  <si>
    <t>CM Pak | 1600</t>
  </si>
  <si>
    <t>Mobilink | RUR2003</t>
  </si>
  <si>
    <t>Ufone | 3383</t>
  </si>
  <si>
    <t>Mobilink | CHG2269</t>
  </si>
  <si>
    <t>Mobilink | LHR0026</t>
  </si>
  <si>
    <t>CM Pak | 6225</t>
  </si>
  <si>
    <t>CM Pak | 6532</t>
  </si>
  <si>
    <t>Ufone | 5104</t>
  </si>
  <si>
    <t>Telenor | KSS101</t>
  </si>
  <si>
    <t>CM Pak | C-RUR-6945</t>
  </si>
  <si>
    <t>CM Pak | C-SWL-6417</t>
  </si>
  <si>
    <t>Ufone | 4995</t>
  </si>
  <si>
    <t>Ufone | 3450</t>
  </si>
  <si>
    <t>Mobilink | SHA7359</t>
  </si>
  <si>
    <t>Mobilink | GUJ4147</t>
  </si>
  <si>
    <t>Mobilink | RUR0103</t>
  </si>
  <si>
    <t>Mobilink | JMH7054</t>
  </si>
  <si>
    <t>Mobilink | CKW0923</t>
  </si>
  <si>
    <t>CM Pak | C-TAA-6146</t>
  </si>
  <si>
    <t>Mobilink | RUR0529</t>
  </si>
  <si>
    <t>Ufone | 5268</t>
  </si>
  <si>
    <t>Ufone | 7830</t>
  </si>
  <si>
    <t>Ufone | 7787</t>
  </si>
  <si>
    <t>CM Pak | C-GRN-6382</t>
  </si>
  <si>
    <t>CM Pak | C-RUR-7848</t>
  </si>
  <si>
    <t>Ufone | 3780</t>
  </si>
  <si>
    <t>CM Pak | N-RUR-8222</t>
  </si>
  <si>
    <t>Telenor | IJGI01</t>
  </si>
  <si>
    <t>Ufone | N-4222</t>
  </si>
  <si>
    <t>Ufone | 2542</t>
  </si>
  <si>
    <t>Ufone | N-4224</t>
  </si>
  <si>
    <t>Mobilink | KLW9891</t>
  </si>
  <si>
    <t>Mobilink | RUR3742</t>
  </si>
  <si>
    <t>Mobilink | AMG8795</t>
  </si>
  <si>
    <t>Mobilink | LKR2261</t>
  </si>
  <si>
    <t>CM Pak | N-RUR-9393</t>
  </si>
  <si>
    <t>CM Pak | N-KDZ-9083</t>
  </si>
  <si>
    <t>Ufone | 2293</t>
  </si>
  <si>
    <t>Mobilink | KNK7229</t>
  </si>
  <si>
    <t>CM Pak | C-RUR-7441</t>
  </si>
  <si>
    <t>Mobilink | GHS2853</t>
  </si>
  <si>
    <t>Telenor | LNGR02</t>
  </si>
  <si>
    <t>Mobilink | RJT9924</t>
  </si>
  <si>
    <t>Ufone | 7945</t>
  </si>
  <si>
    <t>Ufone | 3743</t>
  </si>
  <si>
    <t>CM Pak | C-JSK-5720</t>
  </si>
  <si>
    <t>Mobilink | RJT9922</t>
  </si>
  <si>
    <t>Mobilink | RUR0789</t>
  </si>
  <si>
    <t>CM Pak | C-BKE-5600</t>
  </si>
  <si>
    <t>Ufone | 3544</t>
  </si>
  <si>
    <t>Mobilink | RUR9202</t>
  </si>
  <si>
    <t>Ufone | 5238</t>
  </si>
  <si>
    <t>CM Pak | C-KMT-5244</t>
  </si>
  <si>
    <t>Mobilink | RUR8865</t>
  </si>
  <si>
    <t>CM Pak | C-RUR-7720</t>
  </si>
  <si>
    <t>Telenor | MNS001</t>
  </si>
  <si>
    <t>Ufone | 3479</t>
  </si>
  <si>
    <t>Ufone | 2997</t>
  </si>
  <si>
    <t>Ufone | 6623</t>
  </si>
  <si>
    <t>Mobilink | HWY7259</t>
  </si>
  <si>
    <t>Ufone | 3782</t>
  </si>
  <si>
    <t>Ufone | 8626</t>
  </si>
  <si>
    <t>CM Pak | C-RUR-6920</t>
  </si>
  <si>
    <t>CM Pak | C-RUR-7734</t>
  </si>
  <si>
    <t>Mobilink | RUR0939</t>
  </si>
  <si>
    <t>Ufone | 3396</t>
  </si>
  <si>
    <t>Ufone | 2995</t>
  </si>
  <si>
    <t>Mobilink | RUR9170</t>
  </si>
  <si>
    <t>Mobilink | RUR0800</t>
  </si>
  <si>
    <t>CM Pak | C-OKA-6121</t>
  </si>
  <si>
    <t>Ufone | 8606</t>
  </si>
  <si>
    <t>Mobilink | RUR0300</t>
  </si>
  <si>
    <t>Mobilink | RUR0506</t>
  </si>
  <si>
    <t>Ufone | 2369</t>
  </si>
  <si>
    <t>Telenor | LMH001</t>
  </si>
  <si>
    <t>Ufone | 3357</t>
  </si>
  <si>
    <t>CM Pak | S-RWY-1226</t>
  </si>
  <si>
    <t>CM Pak | N-RUR-9400</t>
  </si>
  <si>
    <t>Telenor | MDJ001</t>
  </si>
  <si>
    <t>CM Pak | C-LHR-6096</t>
  </si>
  <si>
    <t>Telenor | LBI001</t>
  </si>
  <si>
    <t>Ufone | 5464</t>
  </si>
  <si>
    <t>Ufone | 7796</t>
  </si>
  <si>
    <t>Mobilink | SAR6428</t>
  </si>
  <si>
    <t>CM Pak | C-DWW-6238</t>
  </si>
  <si>
    <t>Mobilink | RUR1248</t>
  </si>
  <si>
    <t>Telenor | LSNR04</t>
  </si>
  <si>
    <t>Ufone | 5471</t>
  </si>
  <si>
    <t>CM Pak | C-RUR-7148</t>
  </si>
  <si>
    <t>Mobilink | RUR0780</t>
  </si>
  <si>
    <t>Ufone | 3955</t>
  </si>
  <si>
    <t>Ufone | 8514</t>
  </si>
  <si>
    <t>CM Pak | C-MUW-6181</t>
  </si>
  <si>
    <t>CM Pak | C-FSB-5401</t>
  </si>
  <si>
    <t>Ufone | 8100</t>
  </si>
  <si>
    <t>Telenor | LGS001</t>
  </si>
  <si>
    <t>Mobilink | KUT0275</t>
  </si>
  <si>
    <t>CM Pak | N-RUR-9622</t>
  </si>
  <si>
    <t>Ufone | CI-1312</t>
  </si>
  <si>
    <t>CM Pak | N-BCN-9184</t>
  </si>
  <si>
    <t>Telenor | LRKR01</t>
  </si>
  <si>
    <t>Ufone | CII-2166</t>
  </si>
  <si>
    <t>Ufone | 3678</t>
  </si>
  <si>
    <t>Ufone | N-4384</t>
  </si>
  <si>
    <t>Mobilink | KTG1099</t>
  </si>
  <si>
    <t>Mobilink | CML9907</t>
  </si>
  <si>
    <t>Mobilink | RUR4037</t>
  </si>
  <si>
    <t>Mobilink | QMS9702</t>
  </si>
  <si>
    <t>CM Pak | S-RUR-0990</t>
  </si>
  <si>
    <t>Mobilink | MKK9933</t>
  </si>
  <si>
    <t>CM Pak | C-DSK-6020</t>
  </si>
  <si>
    <t>Ufone | 3529</t>
  </si>
  <si>
    <t>Mobilink | RUR8759</t>
  </si>
  <si>
    <t>CM Pak | C-LHR-6450</t>
  </si>
  <si>
    <t>Mobilink | LBK2241</t>
  </si>
  <si>
    <t>Mobilink | LBK2242</t>
  </si>
  <si>
    <t>CM Pak | C-RUR-4846</t>
  </si>
  <si>
    <t>PTCL | GTRP2014</t>
  </si>
  <si>
    <t>Mobilink | RUR0741</t>
  </si>
  <si>
    <t>Ufone | 4758</t>
  </si>
  <si>
    <t>Mobilink | RUR8069</t>
  </si>
  <si>
    <t>Telenor | LBW001</t>
  </si>
  <si>
    <t>Mobilink | RUR4318</t>
  </si>
  <si>
    <t>Telenor | LRE001</t>
  </si>
  <si>
    <t>CM Pak | C-RUR-5765</t>
  </si>
  <si>
    <t>Ufone | 5592</t>
  </si>
  <si>
    <t>Telenor | FSYR01</t>
  </si>
  <si>
    <t>Telenor | FSJR02</t>
  </si>
  <si>
    <t>PTCL | GTRP2016</t>
  </si>
  <si>
    <t>Telenor | QSEH04</t>
  </si>
  <si>
    <t>Telenor | QNTC01</t>
  </si>
  <si>
    <t>CM Pak | C-SJR-5559</t>
  </si>
  <si>
    <t>Mobilink | RUR0434</t>
  </si>
  <si>
    <t>Telenor | QSEH07</t>
  </si>
  <si>
    <t>Ufone | 5628</t>
  </si>
  <si>
    <t>Mobilink | HRW9981</t>
  </si>
  <si>
    <t>Ufone | 3532</t>
  </si>
  <si>
    <t>Mobilink | RUR3192</t>
  </si>
  <si>
    <t>Mobilink | NKP0927</t>
  </si>
  <si>
    <t>Mobilink | HWY8819</t>
  </si>
  <si>
    <t>Mobilink | HWY4117</t>
  </si>
  <si>
    <t>Mobilink | MDK3078</t>
  </si>
  <si>
    <t>Mobilink | HWY0367</t>
  </si>
  <si>
    <t>Ufone | 3798</t>
  </si>
  <si>
    <t>CM Pak | C-GRN-6495</t>
  </si>
  <si>
    <t>Ufone | CII-2521</t>
  </si>
  <si>
    <t>Mobilink | KHI5655</t>
  </si>
  <si>
    <t>CM Pak | C-GRN-5807</t>
  </si>
  <si>
    <t>Ufone | CI-1308</t>
  </si>
  <si>
    <t>Mobilink | DIL2202</t>
  </si>
  <si>
    <t>Mobilink | HWY3972</t>
  </si>
  <si>
    <t>Mobilink | HWY2662</t>
  </si>
  <si>
    <t>Telenor | LLR805</t>
  </si>
  <si>
    <t>Telenor | LSPR78</t>
  </si>
  <si>
    <t>CM Pak | N-JTA-8849</t>
  </si>
  <si>
    <t>Telenor | LLR132</t>
  </si>
  <si>
    <t>CM Pak | N-RUR-3063</t>
  </si>
  <si>
    <t>CM Pak | C-SRG-6466</t>
  </si>
  <si>
    <t>CM Pak | C-SRG-6334</t>
  </si>
  <si>
    <t>Ufone | 2813</t>
  </si>
  <si>
    <t>CM Pak | C-SWL-6444</t>
  </si>
  <si>
    <t>Ufone | 5419</t>
  </si>
  <si>
    <t>Ufone | 2362</t>
  </si>
  <si>
    <t>Mobilink | RUR8091</t>
  </si>
  <si>
    <t>Mobilink | ARA7546</t>
  </si>
  <si>
    <t>PTCL | GTRP2176</t>
  </si>
  <si>
    <t>Mobilink | ABD8704</t>
  </si>
  <si>
    <t>Mobilink | RUR1237</t>
  </si>
  <si>
    <t>Wi-tribe | RWP055</t>
  </si>
  <si>
    <t>Mobilink | RUR0337</t>
  </si>
  <si>
    <t>Mobilink | RUR1303</t>
  </si>
  <si>
    <t>Telenor | IABR32</t>
  </si>
  <si>
    <t>Mobilink | RUR1214</t>
  </si>
  <si>
    <t>Telenor | LLR340</t>
  </si>
  <si>
    <t>CM Pak | C-RUR-4666</t>
  </si>
  <si>
    <t>CM Pak | 5004</t>
  </si>
  <si>
    <t>Ufone | 5693</t>
  </si>
  <si>
    <t>Mobilink | HWY8527</t>
  </si>
  <si>
    <t>Mobilink | RUR4848</t>
  </si>
  <si>
    <t>Telenor |  INRM01</t>
  </si>
  <si>
    <t>Ufone | 3821</t>
  </si>
  <si>
    <t>CM Pak | C-KLE-4494</t>
  </si>
  <si>
    <t>Telenor | MNW001</t>
  </si>
  <si>
    <t>Ufone | 4737</t>
  </si>
  <si>
    <t>Ufone | 2774</t>
  </si>
  <si>
    <t>CM Pak | N-ABT-3195</t>
  </si>
  <si>
    <t>Mobilink | NPT8570</t>
  </si>
  <si>
    <t>Ufone | 6696</t>
  </si>
  <si>
    <t>CM Pak | N-ABT-3009</t>
  </si>
  <si>
    <t>PTCL | ITRP2062</t>
  </si>
  <si>
    <t>CM Pak | C-CSA-6157</t>
  </si>
  <si>
    <t>Mobilink | ISB0386</t>
  </si>
  <si>
    <t>Mobilink | RUR0373</t>
  </si>
  <si>
    <t>Telenor | IHC007</t>
  </si>
  <si>
    <t>Telenor | IKAG02</t>
  </si>
  <si>
    <t>Telenor | LQDR01</t>
  </si>
  <si>
    <t>Ufone | 7881</t>
  </si>
  <si>
    <t>Telenor | LHA001</t>
  </si>
  <si>
    <t>Mobilink | HWY8530</t>
  </si>
  <si>
    <t>CM Pak | C-HJM-5930</t>
  </si>
  <si>
    <t>Mobilink | TDA3548</t>
  </si>
  <si>
    <t>Mobilink | REN0947</t>
  </si>
  <si>
    <t>Mobilink | HWY1301</t>
  </si>
  <si>
    <t>Ufone | N-2773</t>
  </si>
  <si>
    <t>CM Pak | C-GJT-6023</t>
  </si>
  <si>
    <t>Mobilink | RUR0650</t>
  </si>
  <si>
    <t>Mobilink | SKL9911</t>
  </si>
  <si>
    <t>Telenor | FBPR02</t>
  </si>
  <si>
    <t>Mobilink | GMW9713</t>
  </si>
  <si>
    <t>Mobilink | FTP8761</t>
  </si>
  <si>
    <t>Ufone | 2358</t>
  </si>
  <si>
    <t>Telenor | LHFR03</t>
  </si>
  <si>
    <t>Mobilink | SRW9972</t>
  </si>
  <si>
    <t>CM Pak | N-RWP-3040</t>
  </si>
  <si>
    <t>Mobilink | TKW9895</t>
  </si>
  <si>
    <t>Mobilink | RUR1019</t>
  </si>
  <si>
    <t>CM Pak | C-RUR-4332</t>
  </si>
  <si>
    <t>CM Pak | C-SRG-6468</t>
  </si>
  <si>
    <t>Telenor | LPSR03</t>
  </si>
  <si>
    <t>Ufone | 3785</t>
  </si>
  <si>
    <t>Ufone | 2966</t>
  </si>
  <si>
    <t>PTCL | FTRP2067</t>
  </si>
  <si>
    <t>Mobilink | RUR0405</t>
  </si>
  <si>
    <t>Ufone | 7730</t>
  </si>
  <si>
    <t>Ufone | 7703</t>
  </si>
  <si>
    <t>Telenor | LLR08</t>
  </si>
  <si>
    <t>CM Pak | C-RUR-7713</t>
  </si>
  <si>
    <t>Mobilink | RUR1444</t>
  </si>
  <si>
    <t>CM Pak | C-RUR-4808</t>
  </si>
  <si>
    <t>CM Pak | C-RUR-6044</t>
  </si>
  <si>
    <t>Telenor | LHFR06</t>
  </si>
  <si>
    <t>CM Pak | C-RUR-5896</t>
  </si>
  <si>
    <t>Telenor | LWZ004</t>
  </si>
  <si>
    <t>CM Pak | N-SWT-8106</t>
  </si>
  <si>
    <t>Telenor | ZLD022</t>
  </si>
  <si>
    <t>PTCL | FTRP4235</t>
  </si>
  <si>
    <t>Mobilink | ISB7322</t>
  </si>
  <si>
    <t>CM Pak | C-RUR-6579</t>
  </si>
  <si>
    <t>Ufone | 3703</t>
  </si>
  <si>
    <t>Mobilink | RUR8070</t>
  </si>
  <si>
    <t>CM Pak | S-KHI-0924</t>
  </si>
  <si>
    <t>Telenor | IWH012</t>
  </si>
  <si>
    <t>Mobilink | KNB9978</t>
  </si>
  <si>
    <t>Ufone | 2676</t>
  </si>
  <si>
    <t>Mobilink | GSW4979</t>
  </si>
  <si>
    <t>Wi-tribe | LHR078</t>
  </si>
  <si>
    <t>PTCL | CTRP2011</t>
  </si>
  <si>
    <t>Telenor | IGTR58</t>
  </si>
  <si>
    <t>Telenor | IRP711</t>
  </si>
  <si>
    <t>Wi-tribe | LHR232</t>
  </si>
  <si>
    <t>PTCL | GTRP2140</t>
  </si>
  <si>
    <t>Ufone | 5586</t>
  </si>
  <si>
    <t>Telenor | LGI001</t>
  </si>
  <si>
    <t>Telenor | ISW017</t>
  </si>
  <si>
    <t>Telenor | LBK001</t>
  </si>
  <si>
    <t>Telenor | LHF005</t>
  </si>
  <si>
    <t>Telenor | LDNR01</t>
  </si>
  <si>
    <t>Mobilink | HWY6908</t>
  </si>
  <si>
    <t>PTCL | HTRP2012</t>
  </si>
  <si>
    <t>Telenor | LL527</t>
  </si>
  <si>
    <t>Telenor | MQUR28</t>
  </si>
  <si>
    <t>Telenor | KKZ405</t>
  </si>
  <si>
    <t>PTCL | GTRP2043</t>
  </si>
  <si>
    <t>Mobilink | RUR6104</t>
  </si>
  <si>
    <t>Ufone | N-4912</t>
  </si>
  <si>
    <t>Mobilink | HWY8854</t>
  </si>
  <si>
    <t>Mobilink | RUR4540</t>
  </si>
  <si>
    <t>CM Pak | C-RUR-7117</t>
  </si>
  <si>
    <t>Telenor | LPSR11</t>
  </si>
  <si>
    <t>PTCL | GTRP2085</t>
  </si>
  <si>
    <t>Mobilink | RUR8815</t>
  </si>
  <si>
    <t>Ufone | 4128</t>
  </si>
  <si>
    <t>Telenor | ISKR03</t>
  </si>
  <si>
    <t>Mobilink | 7831</t>
  </si>
  <si>
    <t>Mobilink | MMD3150</t>
  </si>
  <si>
    <t>Mobilink | HWY0263</t>
  </si>
  <si>
    <t>CM Pak | N-RUR-8266</t>
  </si>
  <si>
    <t>CM Pak | N-SDH-8990</t>
  </si>
  <si>
    <t>CM Pak | N-SWP-8859</t>
  </si>
  <si>
    <t>Ufone | 2950</t>
  </si>
  <si>
    <t>Mobilink | RUR0736</t>
  </si>
  <si>
    <t>CM Pak | C-MLT-5297</t>
  </si>
  <si>
    <t>MKZ_Ufone | 4037</t>
  </si>
  <si>
    <t>MKZ_Ufone | 8806</t>
  </si>
  <si>
    <t>CM Pak | N-GDF-8598</t>
  </si>
  <si>
    <t>Mobilink | DMK6995</t>
  </si>
  <si>
    <t>Telenor | ISKR07</t>
  </si>
  <si>
    <t>PTCL | FTRP2045</t>
  </si>
  <si>
    <t>CM Pak | S-KHI-1827</t>
  </si>
  <si>
    <t>Telenor | FJWR03</t>
  </si>
  <si>
    <t>Mobilink | GUJ4662</t>
  </si>
  <si>
    <t>Ufone | 7021</t>
  </si>
  <si>
    <t>CM Pak | C-MBN-5651</t>
  </si>
  <si>
    <t>Mobilink | MMD2303</t>
  </si>
  <si>
    <t>Mobilink |  RWP1336</t>
  </si>
  <si>
    <t>Ufone | 2168</t>
  </si>
  <si>
    <t>Mobilink | KHI1075</t>
  </si>
  <si>
    <t>CM Pak | C-LHR-5480</t>
  </si>
  <si>
    <t>PTCL | LTRP2045</t>
  </si>
  <si>
    <t>CM Pak | C-LHR-7589</t>
  </si>
  <si>
    <t>CM Pak | S-TBT-0515</t>
  </si>
  <si>
    <t>Mobilink | LHR4326</t>
  </si>
  <si>
    <t>Wi-tribe | LHR240</t>
  </si>
  <si>
    <t>CM Pak | C-LHR-3507</t>
  </si>
  <si>
    <t>Wi-tribe | KHI089</t>
  </si>
  <si>
    <t>Ufone | 7214</t>
  </si>
  <si>
    <t>CM Pak | RUR-4115</t>
  </si>
  <si>
    <t>CM Pak | N-HAR-9520</t>
  </si>
  <si>
    <t>Telenor | KKQ354</t>
  </si>
  <si>
    <t>MKZ | MKZ</t>
  </si>
  <si>
    <t>Telenor | MMN111</t>
  </si>
  <si>
    <t>PTCL | LTRP4144</t>
  </si>
  <si>
    <t xml:space="preserve">MKZ | </t>
  </si>
  <si>
    <t>Mobilink | SAN4060</t>
  </si>
  <si>
    <t>Mobilink | ISB0477</t>
  </si>
  <si>
    <t>MKZ | NA</t>
  </si>
  <si>
    <t>Mobilink | 3541</t>
  </si>
  <si>
    <t>Telenor | KKZ521</t>
  </si>
  <si>
    <t>CM Pak | C-LHR-4108</t>
  </si>
  <si>
    <t>Mobilink | KHI6317</t>
  </si>
  <si>
    <t>Telenor | LGW008</t>
  </si>
  <si>
    <t>Telenor | ZCD019</t>
  </si>
  <si>
    <t>OMO Host | ID</t>
  </si>
  <si>
    <t>Date</t>
  </si>
  <si>
    <t>Version</t>
  </si>
  <si>
    <t>Description</t>
  </si>
  <si>
    <t>Created by Faisal Nawaz. FO NOC.</t>
  </si>
  <si>
    <t>Version History</t>
  </si>
  <si>
    <t>Hub categories updated</t>
  </si>
  <si>
    <t>V5.1</t>
  </si>
  <si>
    <t>V5.2</t>
  </si>
  <si>
    <t>For Large number of outages(South and C-I only)</t>
  </si>
  <si>
    <t>V5.3</t>
  </si>
  <si>
    <t>Sharing tracker updated</t>
  </si>
  <si>
    <t>NOC.GSM@waridtel.com;ericsson.outages@gmail.com;</t>
  </si>
  <si>
    <t>V5.4</t>
  </si>
  <si>
    <t>Email addresses added for South region</t>
  </si>
  <si>
    <t>V5.5</t>
  </si>
  <si>
    <t>sajjid@eespak.com; excluded from email recipients list</t>
  </si>
  <si>
    <t>V5.6</t>
  </si>
  <si>
    <t>waridon@ms.huawei.com added</t>
  </si>
  <si>
    <t>V5.7</t>
  </si>
  <si>
    <t>Priority set to P0 for IB3026</t>
  </si>
  <si>
    <t>LH7620</t>
  </si>
  <si>
    <t>LH7711</t>
  </si>
  <si>
    <t>LH1367</t>
  </si>
  <si>
    <t>LH7728</t>
  </si>
  <si>
    <t>LH7717</t>
  </si>
  <si>
    <t>NOSSHotlineSouth@waridtel.com;WICC.NOC@waridtel.com;wind@waridtel.com;syed.burhanulhaq@yahoo.com;south1.hd@gmail.com;south3.hd@gmail.com;yousuf.t@hotmail.com;jawad.ali.alu@gmail.com;muhammad.saqib.huawei@gmail.com;shahid.saleem@huawei.com;shoaib.khan1@huawei.com;arshadsuri@outlook.com;Gr1121971@gmail.com;Muhammadali.shahzad@gmail.com;smfarhank@gmail.com;S.yasir1989@gmail.com;Muhammad.mohsinsiddique@yahoo.com;Syed.burhanulhaq@yahoo.com;Mkhursheed69@gmail.com;naeemrazamemon@hotmail.com;Tayyab.fakhar@huawei.com;Adnan.yousuf@huawei.com;Rahan.jamshed@huawei.com;</t>
  </si>
  <si>
    <t>NOC.North@waridtel.com;wind@waridtel.com;WICC.Noc@waridtel.com;waridon@ms.huawei.com</t>
  </si>
  <si>
    <t>NOC.C1@waridtel.com;NOC.C2@waridtel.com;WICC.NOC@waridtel.com;KHL.warid.c3@gmail.com</t>
  </si>
  <si>
    <t>Zeeshan.sadique@huawei.com excluded</t>
  </si>
  <si>
    <t>V5.8</t>
  </si>
  <si>
    <t>V5.9</t>
  </si>
  <si>
    <t>Ansar.abbasi@huawei.com added in North region. KHL.warid.c3@gmail.com added in Central region.</t>
  </si>
  <si>
    <t>V6.0</t>
  </si>
  <si>
    <t>KR6903</t>
  </si>
  <si>
    <t>WW2814</t>
  </si>
  <si>
    <t>O75422</t>
  </si>
  <si>
    <t>IE3469</t>
  </si>
  <si>
    <t>IE3470</t>
  </si>
  <si>
    <t>KA0432</t>
  </si>
  <si>
    <t>O96046</t>
  </si>
  <si>
    <t>O83632</t>
  </si>
  <si>
    <t>O83633</t>
  </si>
  <si>
    <t>LH7733</t>
  </si>
  <si>
    <t>LH7721</t>
  </si>
  <si>
    <t>LH7738</t>
  </si>
  <si>
    <t>LH4844</t>
  </si>
  <si>
    <t>LH4843</t>
  </si>
  <si>
    <t>LH7726</t>
  </si>
  <si>
    <t>LH7716</t>
  </si>
  <si>
    <t>O15252</t>
  </si>
  <si>
    <t>O25341</t>
  </si>
  <si>
    <t>O25413</t>
  </si>
  <si>
    <t>GJ1538</t>
  </si>
  <si>
    <t>O25414</t>
  </si>
  <si>
    <t>O25416</t>
  </si>
  <si>
    <t>GU2000</t>
  </si>
  <si>
    <t>R15253</t>
  </si>
  <si>
    <t>GU4147</t>
  </si>
  <si>
    <t>GU1960</t>
  </si>
  <si>
    <t>HZ1838</t>
  </si>
  <si>
    <t>HZ1467</t>
  </si>
  <si>
    <t>GU1465</t>
  </si>
  <si>
    <t>HZ1839</t>
  </si>
  <si>
    <t>GU4298</t>
  </si>
  <si>
    <t>GJ4297</t>
  </si>
  <si>
    <t>HF1935</t>
  </si>
  <si>
    <t>HZ1466</t>
  </si>
  <si>
    <t>O25415</t>
  </si>
  <si>
    <t>GU1825</t>
  </si>
  <si>
    <t>SK1972</t>
  </si>
  <si>
    <t>PS1590</t>
  </si>
  <si>
    <t>GU1595</t>
  </si>
  <si>
    <t>GU3761</t>
  </si>
  <si>
    <t>GU4229</t>
  </si>
  <si>
    <t>GU1830</t>
  </si>
  <si>
    <t>GU1831</t>
  </si>
  <si>
    <t>GU4224</t>
  </si>
  <si>
    <t>QB1535</t>
  </si>
  <si>
    <t>GU1536</t>
  </si>
  <si>
    <t>HZ4146</t>
  </si>
  <si>
    <t>GU4220</t>
  </si>
  <si>
    <t>GU1832</t>
  </si>
  <si>
    <t>GU4221</t>
  </si>
  <si>
    <t>GU1833</t>
  </si>
  <si>
    <t>GU1834</t>
  </si>
  <si>
    <t>GU3805</t>
  </si>
  <si>
    <t>WZ4222</t>
  </si>
  <si>
    <t>GU4233</t>
  </si>
  <si>
    <t>GU4232</t>
  </si>
  <si>
    <t>GU4215</t>
  </si>
  <si>
    <t>GU3803</t>
  </si>
  <si>
    <t>GU3790</t>
  </si>
  <si>
    <t>GU1828</t>
  </si>
  <si>
    <t>GU4217</t>
  </si>
  <si>
    <t>GU4216</t>
  </si>
  <si>
    <t>GU1837</t>
  </si>
  <si>
    <t>GU4234</t>
  </si>
  <si>
    <t>GU3551</t>
  </si>
  <si>
    <t>GU4214</t>
  </si>
  <si>
    <t>GU4129</t>
  </si>
  <si>
    <t>PS3554</t>
  </si>
  <si>
    <t>GU4212</t>
  </si>
  <si>
    <t>GU4213</t>
  </si>
  <si>
    <t>GW4236</t>
  </si>
  <si>
    <t>GU4211</t>
  </si>
  <si>
    <t>GU4237</t>
  </si>
  <si>
    <t>GU4142</t>
  </si>
  <si>
    <t>GU4210</t>
  </si>
  <si>
    <t>LH1826</t>
  </si>
  <si>
    <t>GU4120</t>
  </si>
  <si>
    <t>GU1829</t>
  </si>
  <si>
    <t>SG4139</t>
  </si>
  <si>
    <t>SG4138</t>
  </si>
  <si>
    <t>SK4336</t>
  </si>
  <si>
    <t>SK2728</t>
  </si>
  <si>
    <t>PS3708</t>
  </si>
  <si>
    <t>SK2727</t>
  </si>
  <si>
    <t>SK1954</t>
  </si>
  <si>
    <t>ZW2726</t>
  </si>
  <si>
    <t>SK3759</t>
  </si>
  <si>
    <t>SK2724</t>
  </si>
  <si>
    <t>O25417</t>
  </si>
  <si>
    <t>SK1952</t>
  </si>
  <si>
    <t>SK3758</t>
  </si>
  <si>
    <t>GJ4269</t>
  </si>
  <si>
    <t>GU4204</t>
  </si>
  <si>
    <t>SK3580</t>
  </si>
  <si>
    <t>KS4290</t>
  </si>
  <si>
    <t>SK3579</t>
  </si>
  <si>
    <t>BN6932</t>
  </si>
  <si>
    <t>IB0433</t>
  </si>
  <si>
    <t>IB3143</t>
  </si>
  <si>
    <t>IB3155</t>
  </si>
  <si>
    <t>IS0027</t>
  </si>
  <si>
    <t>IS0097</t>
  </si>
  <si>
    <t>2L3417</t>
  </si>
  <si>
    <t>CA4992</t>
  </si>
  <si>
    <t>KA0440</t>
  </si>
  <si>
    <t>South | DIPOLO</t>
  </si>
  <si>
    <t>South | ISLAMKOT</t>
  </si>
  <si>
    <t>South | MITTHI</t>
  </si>
  <si>
    <t>South | MITHI</t>
  </si>
  <si>
    <t>South | ROAD SITE</t>
  </si>
  <si>
    <t>South | NAUKOT MITHI ROAD</t>
  </si>
  <si>
    <t>South | BHORILO</t>
  </si>
  <si>
    <t>South | UMERKOT</t>
  </si>
  <si>
    <t>South | HYD NAWABSHAH ROAD 2</t>
  </si>
  <si>
    <t>South | NASARPUR</t>
  </si>
  <si>
    <t>South | MATYARI</t>
  </si>
  <si>
    <t>South | TANDO ALLAYAR</t>
  </si>
  <si>
    <t>South | HYD NAWABSHAH ROAD 1</t>
  </si>
  <si>
    <t>South | HYDERABAD NAWABSHAH ROAD</t>
  </si>
  <si>
    <t>South | UDEROLAL</t>
  </si>
  <si>
    <t>South | MIRPUR KHAS TO SANGHAR ROAD</t>
  </si>
  <si>
    <t>South | JAM SHORO</t>
  </si>
  <si>
    <t>South | DADU TO KOTRI ROAD</t>
  </si>
  <si>
    <t>South | MIRPURKHAS</t>
  </si>
  <si>
    <t>South | SANGHAR</t>
  </si>
  <si>
    <t>South | TANDO ADAM</t>
  </si>
  <si>
    <t>South | KHANOOT</t>
  </si>
  <si>
    <t>South | BERANI</t>
  </si>
  <si>
    <t>South | HATHUNGO DILYAR ROAD</t>
  </si>
  <si>
    <t>South | HALA</t>
  </si>
  <si>
    <t>South | KHIPRO</t>
  </si>
  <si>
    <t>South | KANDIYARI</t>
  </si>
  <si>
    <t>South | BHIT SHAH</t>
  </si>
  <si>
    <t>South | HALA 2</t>
  </si>
  <si>
    <t>South | HALA1</t>
  </si>
  <si>
    <t>South | SHAHDADPUR</t>
  </si>
  <si>
    <t>South | JHOL TO HALA ROAD</t>
  </si>
  <si>
    <t>South | SHAHDADPUR 2</t>
  </si>
  <si>
    <t>South | KURKULI</t>
  </si>
  <si>
    <t>South | JHOL</t>
  </si>
  <si>
    <t>South | HYD NAWABSHAH ROAD 3</t>
  </si>
  <si>
    <t>South | TANDO MITHA KHAN</t>
  </si>
  <si>
    <t>South | SINJHORO</t>
  </si>
  <si>
    <t>South | SANN</t>
  </si>
  <si>
    <t>South | SANGHAR 2</t>
  </si>
  <si>
    <t>South | MORO TO SANGHAR ROAD</t>
  </si>
  <si>
    <t>South | SAEEDABAD</t>
  </si>
  <si>
    <t>South | NAWABSHAH 2</t>
  </si>
  <si>
    <t>South | SAKRAND</t>
  </si>
  <si>
    <t>South | HYD NAWABSHAH ROAD 4</t>
  </si>
  <si>
    <t>South | HARUNTHARRI</t>
  </si>
  <si>
    <t>South | SAKRAND TO DAULATPUR ROAD</t>
  </si>
  <si>
    <t>South | NAWAB SHAH</t>
  </si>
  <si>
    <t>South | DAULATPUR</t>
  </si>
  <si>
    <t>South | NAWABSHAH 4</t>
  </si>
  <si>
    <t>South | NAWABSHAH 3</t>
  </si>
  <si>
    <t>South | NAWABSHAH 1</t>
  </si>
  <si>
    <t>South | JAKHRAO</t>
  </si>
  <si>
    <t>South | JAM SAHIB</t>
  </si>
  <si>
    <t>South | KAZI AHMAD</t>
  </si>
  <si>
    <t>South | SEHWAN</t>
  </si>
  <si>
    <t>South | Sehwan</t>
  </si>
  <si>
    <t>South | MORO 1</t>
  </si>
  <si>
    <t>South | DADU MORO1</t>
  </si>
  <si>
    <t>South | DAUR</t>
  </si>
  <si>
    <t>South | ROAD SITE(DK12)</t>
  </si>
  <si>
    <t>South | BHAN</t>
  </si>
  <si>
    <t>South | BANDHI</t>
  </si>
  <si>
    <t>South | MORO</t>
  </si>
  <si>
    <t>South | ROAD SITE(DK11)</t>
  </si>
  <si>
    <t>South | CHONDKO TO PADRIO ROAD</t>
  </si>
  <si>
    <t>South | JOHI</t>
  </si>
  <si>
    <t>South | DADU MORO2</t>
  </si>
  <si>
    <t>South | DADU</t>
  </si>
  <si>
    <t>South | SUKKUR</t>
  </si>
  <si>
    <t>South | NAUSHAHRO FEROZE KANDIARO ROAD</t>
  </si>
  <si>
    <t>South | PADIDAN</t>
  </si>
  <si>
    <t>South | JATOI</t>
  </si>
  <si>
    <t>South | NOSHEHROFEROZ 2</t>
  </si>
  <si>
    <t>South | NAUSHEHRO FEROZE</t>
  </si>
  <si>
    <t>South | TANDO MASTI KHAN</t>
  </si>
  <si>
    <t>South | PHULJI</t>
  </si>
  <si>
    <t>South | PACCA CHANG</t>
  </si>
  <si>
    <t>South | TAJJAR</t>
  </si>
  <si>
    <t>South | PACCA CHANG TO BHIRIA ROAD</t>
  </si>
  <si>
    <t>South | NAUSHAHRO FEROZE KANDIARO 1</t>
  </si>
  <si>
    <t>South | KHAIRPUR</t>
  </si>
  <si>
    <t>South | THARUSHAH</t>
  </si>
  <si>
    <t>South | DADU KASHMORE ROAD</t>
  </si>
  <si>
    <t>South | KHAIR PUR</t>
  </si>
  <si>
    <t>South | DARBELO</t>
  </si>
  <si>
    <t>South | RAHMANIA ROAD</t>
  </si>
  <si>
    <t>South | KHAIRPUR 1</t>
  </si>
  <si>
    <t>South | KANDIARO</t>
  </si>
  <si>
    <t>South | THARI MIRWAH</t>
  </si>
  <si>
    <t>South | KHAIRPUR NATHAN SHAH</t>
  </si>
  <si>
    <t>South | MEHRABPUR</t>
  </si>
  <si>
    <t>South | LARKANA 2</t>
  </si>
  <si>
    <t>South | LASMO GAS FIELD</t>
  </si>
  <si>
    <t>South | CHUNDCO</t>
  </si>
  <si>
    <t>South | MEHAR</t>
  </si>
  <si>
    <t>South | RADHAN</t>
  </si>
  <si>
    <t>South | LARKANA 1</t>
  </si>
  <si>
    <t>South | ROAD SITE(DK10)</t>
  </si>
  <si>
    <t>South | LASMO AIR STRIP</t>
  </si>
  <si>
    <t>South | CHOONDKO</t>
  </si>
  <si>
    <t>South | SETHERJA</t>
  </si>
  <si>
    <t>South | HINGORJA</t>
  </si>
  <si>
    <t>South | DADU  KASHMOR ROAD (DK 7)</t>
  </si>
  <si>
    <t>South | RANIPUR</t>
  </si>
  <si>
    <t>South | KUMB</t>
  </si>
  <si>
    <t>South | SOBHODERO</t>
  </si>
  <si>
    <t>South | SALEH PAT</t>
  </si>
  <si>
    <t>South | NASIRABAD</t>
  </si>
  <si>
    <t>South | MOHENJO DARO</t>
  </si>
  <si>
    <t>South | KOT DIJI</t>
  </si>
  <si>
    <t>South | GAMBAT</t>
  </si>
  <si>
    <t>South | HAJI KARAM KHAN</t>
  </si>
  <si>
    <t>South | DOKRI</t>
  </si>
  <si>
    <t>South | DADU  KASHMOR ROAD (DK 9)</t>
  </si>
  <si>
    <t>South | WARAH</t>
  </si>
  <si>
    <t>South | LARKANA</t>
  </si>
  <si>
    <t>South | SH. NAHAYAN COLO</t>
  </si>
  <si>
    <t>South | NAYYAN CAMP</t>
  </si>
  <si>
    <t>South | DADU  KASHMOR ROAD (DK 8)</t>
  </si>
  <si>
    <t>South | KHAIRPUR 2</t>
  </si>
  <si>
    <t>South | DADU  KASHMOR ROAD (DK 6)</t>
  </si>
  <si>
    <t>South | SALEH PUT</t>
  </si>
  <si>
    <t>South | SUKHUR JACOBABAD 1</t>
  </si>
  <si>
    <t>South | SHAHDADKOT</t>
  </si>
  <si>
    <t>South | GHOTKI</t>
  </si>
  <si>
    <t>South | LARKANA 3</t>
  </si>
  <si>
    <t>South | JACOBABAD TO LARKANA ROAD</t>
  </si>
  <si>
    <t>South | KAMBAR ALI KHAN</t>
  </si>
  <si>
    <t>South | KANDHRA</t>
  </si>
  <si>
    <t>South | THERHI</t>
  </si>
  <si>
    <t>South | PIRJO GOTH</t>
  </si>
  <si>
    <t>South | KHAIRPUR RAHIMYARKHAN 1</t>
  </si>
  <si>
    <t>South | SARDARGARH</t>
  </si>
  <si>
    <t>South | NAUDERO</t>
  </si>
  <si>
    <t>South | ROHRI</t>
  </si>
  <si>
    <t>South | ADIL PUR</t>
  </si>
  <si>
    <t>South | SHIKARPUR 1</t>
  </si>
  <si>
    <t>South | PATHAN COLONY</t>
  </si>
  <si>
    <t>South | SUKKUR_AIRPORT_1</t>
  </si>
  <si>
    <t>South | AHMED ABAD</t>
  </si>
  <si>
    <t>South | KHAIRPUR RAHIMYARKHAN 2</t>
  </si>
  <si>
    <t>South | SHIKARPUR</t>
  </si>
  <si>
    <t>South | MIRO KHAN</t>
  </si>
  <si>
    <t>South | BAGERJI</t>
  </si>
  <si>
    <t>South | KHUZDAR</t>
  </si>
  <si>
    <t>South | MIRPUR MATHELO</t>
  </si>
  <si>
    <t>South | RATODERO</t>
  </si>
  <si>
    <t>South | PANO AQIL 2</t>
  </si>
  <si>
    <t>South | SHIKARPUR TO SHAHDADKOT ROAD</t>
  </si>
  <si>
    <t>South | KHANPUR MEHAR</t>
  </si>
  <si>
    <t>South | DAHERKI 1</t>
  </si>
  <si>
    <t>South | JACOBABAD</t>
  </si>
  <si>
    <t>South | PANO AQIL</t>
  </si>
  <si>
    <t>South | Sh Nahyan'S Hunting Area</t>
  </si>
  <si>
    <t>South | CHAK</t>
  </si>
  <si>
    <t>South | LAKHI</t>
  </si>
  <si>
    <t>South | GARHI YASEEN</t>
  </si>
  <si>
    <t>South | JARWAR</t>
  </si>
  <si>
    <t>South | QILA LADGASHT</t>
  </si>
  <si>
    <t>South | QUETTA</t>
  </si>
  <si>
    <t>Center III | SADIQABAD</t>
  </si>
  <si>
    <t>South | KHAIRPUR RAHIMYARKHAN 3</t>
  </si>
  <si>
    <t>South | KANDHKOT</t>
  </si>
  <si>
    <t>Center III | RAHIMYARKHAN</t>
  </si>
  <si>
    <t>South | SHIKARPUR 3</t>
  </si>
  <si>
    <t>South | SHIKARPUR 2</t>
  </si>
  <si>
    <t>South | RUSTAM</t>
  </si>
  <si>
    <t>South | DADU  KASHMOR ROAD (DK 5)</t>
  </si>
  <si>
    <t>South | DAHERKI 2</t>
  </si>
  <si>
    <t>South | KHAIRPUR RAHIMYARKHAN 4</t>
  </si>
  <si>
    <t>Center III | SADIQABAD 4</t>
  </si>
  <si>
    <t>South | GARHI KHAIRO</t>
  </si>
  <si>
    <t>South | SUKHUR JACOBABAD 2</t>
  </si>
  <si>
    <t>South | DK 4</t>
  </si>
  <si>
    <t>South | DAHERKI</t>
  </si>
  <si>
    <t>Center III | RATI</t>
  </si>
  <si>
    <t>South | KARAMPUR</t>
  </si>
  <si>
    <t>South | UBARO</t>
  </si>
  <si>
    <t>South | USTA MOHAMMAD</t>
  </si>
  <si>
    <t>South | SUKHUR JACOBABAD 3</t>
  </si>
  <si>
    <t>Center III | KHAIRPUR RAHIM YAR KHAN ROAD</t>
  </si>
  <si>
    <t>South | THUL</t>
  </si>
  <si>
    <t>South | KHANDHKOT 2</t>
  </si>
  <si>
    <t>South | CATTLE FARM</t>
  </si>
  <si>
    <t>South | JACOBABAD 1</t>
  </si>
  <si>
    <t>South | TANGWANI</t>
  </si>
  <si>
    <t>Center III | ITTEHAD SUGAR MILL, RAHIMYARKHAN</t>
  </si>
  <si>
    <t>Center III | KHAN PUR</t>
  </si>
  <si>
    <t>South | JHAL MAGSI SUB DIVISION</t>
  </si>
  <si>
    <t>Center III | SADIQABAD 3</t>
  </si>
  <si>
    <t>South | ROJHAN JAMALI</t>
  </si>
  <si>
    <t>Center III | RAJANPUR</t>
  </si>
  <si>
    <t>Center III | SADAQABAD 1</t>
  </si>
  <si>
    <t>Center III | DADU  KASHMOR ROAD (DK 2)</t>
  </si>
  <si>
    <t>Center III | SITE 70 MOSA NAGAR, RAHIMYARKHAN</t>
  </si>
  <si>
    <t>South | KHAIRPUR RAHIM YAR KHAN ROAD 2</t>
  </si>
  <si>
    <t>South | JHATPAT</t>
  </si>
  <si>
    <t>Center III | KASHMORE</t>
  </si>
  <si>
    <t>South | RAHIMYARKHAN</t>
  </si>
  <si>
    <t>Center III | LIAQUATPUR</t>
  </si>
  <si>
    <t>Center III | BASTI SARDAR WAZIR AHMED, RAHIMYARKAHN</t>
  </si>
  <si>
    <t>Center III | DK 1</t>
  </si>
  <si>
    <t>Center III | TIRANDA SAWAYE KHAN</t>
  </si>
  <si>
    <t>South | SURAB</t>
  </si>
  <si>
    <t>Center III | BASTI DHARAMINI MACHI</t>
  </si>
  <si>
    <t>Center III | UCH TO SADIQABAD (KLP ROAD) 1</t>
  </si>
  <si>
    <t>Center III | KOT SAMABA</t>
  </si>
  <si>
    <t>Center III | SITE42 BURSA ABAD, RAJANPUR</t>
  </si>
  <si>
    <t>South | KHARAN</t>
  </si>
  <si>
    <t>Center III | SEHJA</t>
  </si>
  <si>
    <t>Center III | UCH TO SADIQABAD (KLP ROAD) 9</t>
  </si>
  <si>
    <t>Center III | KHANPUR 2</t>
  </si>
  <si>
    <t>Center III | JINDU PIR</t>
  </si>
  <si>
    <t>Center III | CHUNNI GOTH</t>
  </si>
  <si>
    <t>Center III | ROJHAN, RAJANPUR</t>
  </si>
  <si>
    <t>Center III | JAITHA BHUTTA</t>
  </si>
  <si>
    <t>Center III | UCH TO SADIQABAD (KLP ROAD) 8</t>
  </si>
  <si>
    <t>Center III | ZAHIR PIR, RAHIMYARKHAN</t>
  </si>
  <si>
    <t>Center III | FEROZA</t>
  </si>
  <si>
    <t>Center III | UCH TO SADIQABAD (KLP ROAD) 7</t>
  </si>
  <si>
    <t>Center III | ZAHIR PIR 1</t>
  </si>
  <si>
    <t>Center III | APE CHUUNI GOTH RD</t>
  </si>
  <si>
    <t>South | NOK KUNDI</t>
  </si>
  <si>
    <t>Center III | UCH TO SADIQABAD (KLP ROAD) 6</t>
  </si>
  <si>
    <t>Center III | MAITLA</t>
  </si>
  <si>
    <t>Center III | CHACHARAN 2</t>
  </si>
  <si>
    <t>South | DALBANDIN</t>
  </si>
  <si>
    <t>Center III | UCH TO SADIQABAD (KLP ROAD) 5</t>
  </si>
  <si>
    <t>Center III | JAMPUR KASHMORE RD 7, RAJANPUR</t>
  </si>
  <si>
    <t>Center III | AHMED PUR EAST</t>
  </si>
  <si>
    <t>Center III | JAMPUR KASHMORE RD 8, RAJANPUR</t>
  </si>
  <si>
    <t>Center III | UCH SADIQABAD (KPL ROAD) 4</t>
  </si>
  <si>
    <t>Center III | KOT MITHAN</t>
  </si>
  <si>
    <t>Center III | BAHAWALPUR</t>
  </si>
  <si>
    <t>Center III | JUNPUR, LIAQUATPUR</t>
  </si>
  <si>
    <t>South | KALAT</t>
  </si>
  <si>
    <t>Center III | KHANPUR NAURANGA</t>
  </si>
  <si>
    <t>South | BHAG NARHI</t>
  </si>
  <si>
    <t>Center III | JAMPUR TO KASHMORE ROAD 9, RAJANPUR</t>
  </si>
  <si>
    <t>Center III | YAZMAN TO HEAD RAJKAH ROAD_1</t>
  </si>
  <si>
    <t>Center III | MUZAFFAR GARH RAHIMYARKHAN ROAD, UCHSAHRIF</t>
  </si>
  <si>
    <t>Center III | TAIL WAALA_1</t>
  </si>
  <si>
    <t>Center III | RAJANPUR 1</t>
  </si>
  <si>
    <t>Center III | UCH TO SADIQABAD (KLP ROAD) 3</t>
  </si>
  <si>
    <t>Center III | RAJANPUR 3</t>
  </si>
  <si>
    <t>Center III | YAZMAN TO HEAD RAJKAH ROAD_2</t>
  </si>
  <si>
    <t>Center III | RAJANPUR 2</t>
  </si>
  <si>
    <t>Center III | MUSAFIRKHANA</t>
  </si>
  <si>
    <t>Center III | SITE40 NASEER BASTI, RAJANPUR</t>
  </si>
  <si>
    <t>Center III | YAZMAN</t>
  </si>
  <si>
    <t>Center III | KHEWAT# 106, KHASRA# 123/11, MAUZA MITTHANWALI, TE</t>
  </si>
  <si>
    <t>Center III | SITE41, RAJANPUR</t>
  </si>
  <si>
    <t>Center III | MUZAFFAR GARH RAHIMYARKHAN ROAD, ALIPUR</t>
  </si>
  <si>
    <t>Center III | UCH SAHRIF, AHMEDPUR EAST</t>
  </si>
  <si>
    <t>Center II | FORT ABBAS</t>
  </si>
  <si>
    <t>Center II | FORTABBAS</t>
  </si>
  <si>
    <t>Center III | LODHRAN</t>
  </si>
  <si>
    <t>Center III | JAMPUR TO KASHMORE ROAD 10, JAMPUR</t>
  </si>
  <si>
    <t>Center III | DAJAL</t>
  </si>
  <si>
    <t>Center III | SITE 60 BASTI KUNDAEI SHARIF, ALIPUR</t>
  </si>
  <si>
    <t>Center III | KHAN QAH SHARIF</t>
  </si>
  <si>
    <t>Center II | BAHAWALNAGAR TO FORT ABBAS ROAD</t>
  </si>
  <si>
    <t>Center III | MUZAFFAR GARH RAHIMYARKHAN ROAD, SHEHRSULTAN</t>
  </si>
  <si>
    <t>Center III | UCH SHARIF</t>
  </si>
  <si>
    <t>Center III | SEETPUR</t>
  </si>
  <si>
    <t>Center III | CHAK 23 BC, YAZMAN ROAD</t>
  </si>
  <si>
    <t>Center III | TAUNSA</t>
  </si>
  <si>
    <t>Center III | FAZILPUR 1</t>
  </si>
  <si>
    <t>Center III | FAZILPUR 2</t>
  </si>
  <si>
    <t>Center III | ALI PUR</t>
  </si>
  <si>
    <t>Center II | BAHAWALNAGAR MULTAN ROAD, HASILPUR</t>
  </si>
  <si>
    <t>Center III | SAMASATHA, ASIA GHEE MILLS</t>
  </si>
  <si>
    <t>Center III | JAMPUR, RAJANPUR</t>
  </si>
  <si>
    <t>Center III | HAJI PUR</t>
  </si>
  <si>
    <t>Center III | MULTAN BAHAWALPUR ROAD</t>
  </si>
  <si>
    <t>Center III | JAMPUR KASHMORE ROAD 11,RAJANPUR</t>
  </si>
  <si>
    <t>Center III | SAMA SATHA</t>
  </si>
  <si>
    <t>Center III | HASILPUR BAHAWALPUR ROAD</t>
  </si>
  <si>
    <t>Center II | BAHAWALNAGAR MULTAN ROAD, CHISHTIAN</t>
  </si>
  <si>
    <t>Center III | SITE69, RAJANPUR</t>
  </si>
  <si>
    <t>Center II | BAHAWALPUR</t>
  </si>
  <si>
    <t>Center II | MAILSI</t>
  </si>
  <si>
    <t>Center II | HAROONABAD</t>
  </si>
  <si>
    <t>Center III | JALALPUR PIRWALA TO LODHRAN ROAD_2</t>
  </si>
  <si>
    <t>Center III | MUHAMMAD PUR DEEWAN</t>
  </si>
  <si>
    <t>Center III | SITE62 BASTI CHANAR, RAJANPUR</t>
  </si>
  <si>
    <t>Center III | JALALPUR PIRWALA TO LODHRAN ROAD_1</t>
  </si>
  <si>
    <t>Center III | JAHANPUR</t>
  </si>
  <si>
    <t>Center II | HASILPUR BAHAWALPUR ROAD</t>
  </si>
  <si>
    <t>Center III | SITE58, JATOI</t>
  </si>
  <si>
    <t>Center III | JALALPUR</t>
  </si>
  <si>
    <t>Center III | JATOI JANUBI</t>
  </si>
  <si>
    <t>Center III | JALALPUR PIRWALA TO LODHRAN ROAD_3</t>
  </si>
  <si>
    <t>Center II | KHAIRPUR TAMEWALI, HASILPUR</t>
  </si>
  <si>
    <t>Center III | JAMPUR, DG KHAN</t>
  </si>
  <si>
    <t>South | SIBBI</t>
  </si>
  <si>
    <t>Center III | LAL GARH, TEH. JAMPUR, DISTT RAJAN</t>
  </si>
  <si>
    <t>Center III | SHEHR SULTAN</t>
  </si>
  <si>
    <t>South | NOSHKI</t>
  </si>
  <si>
    <t>Center III | JAMPUR KASHMORE ROAD 12, RAJANPUR</t>
  </si>
  <si>
    <t>Center III | SHUJAABAD</t>
  </si>
  <si>
    <t>Center III | DHANNOT, LODHRAN</t>
  </si>
  <si>
    <t>Center II | KHAIRPUR TAMEWALI</t>
  </si>
  <si>
    <t>Center III | MULTAN TO JALALPUR PIRWALA ROAD</t>
  </si>
  <si>
    <t>Center III | SITE68,DGKHAN</t>
  </si>
  <si>
    <t>Center III | LODHRAN TO MAILSI ROAD</t>
  </si>
  <si>
    <t>Center II | CHISHTIAN</t>
  </si>
  <si>
    <t>Center III | KHANGARH,  MUZAFFAR GARH</t>
  </si>
  <si>
    <t>Center II | BAHAWALNAGAR</t>
  </si>
  <si>
    <t>Center III | JATOI, MUZAFFAR GARH</t>
  </si>
  <si>
    <t>Center III | KAROR PAKKA, LODHRAN</t>
  </si>
  <si>
    <t>Center III | LODHRAN TO KHANEWAL ROAD</t>
  </si>
  <si>
    <t>Center III | JAMPUR 2</t>
  </si>
  <si>
    <t>Center III | JAMPUR 1</t>
  </si>
  <si>
    <t>Center II | BAHAWALNAGAR MULTAN ROAD, BAHWALNAGAR</t>
  </si>
  <si>
    <t>Center II | QAIMPUR</t>
  </si>
  <si>
    <t>Center III | BAHAWALNAGAR MULTAN ROAD, TIBA SULTANPUR</t>
  </si>
  <si>
    <t>Center II | HASILPUR</t>
  </si>
  <si>
    <t>Center III | HASILPUR</t>
  </si>
  <si>
    <t>Center III | SITE25, DGKHAN</t>
  </si>
  <si>
    <t>Center III | MOZA BUZDAR BASTI LASHARI</t>
  </si>
  <si>
    <t>Center III | DERA GHAZI KHAN TO JAMPUR ROAD 3</t>
  </si>
  <si>
    <t>Center III | MUZAFFAR GARH RAHIMYARKHAN ROAD, MUZAFFAR GARH</t>
  </si>
  <si>
    <t>Center II | BAHAWALNAGAR MULTAN ROAD, MAILSI</t>
  </si>
  <si>
    <t>Center III | LODHRAN TO KHANEWAL ROAD 5</t>
  </si>
  <si>
    <t>Center III | DG KHAN</t>
  </si>
  <si>
    <t>Center II | LODHRAN TO MAILSI ROAD</t>
  </si>
  <si>
    <t>Center III | MUZAFFAR GARH RAHIMYARKHAN ROAD, ROHILANWALI</t>
  </si>
  <si>
    <t>Center III | MULTAN BAHAWALPUR ROAD, LODHRAN</t>
  </si>
  <si>
    <t>South | MASTUNG</t>
  </si>
  <si>
    <t>Center II | HEAD ISLAM HASILPUR ROAD</t>
  </si>
  <si>
    <t>Center III | DUNYAPUR 1</t>
  </si>
  <si>
    <t>Center III | DUNYAPUR 2</t>
  </si>
  <si>
    <t>Center III | SITE31 CHOTI BALA, DGKHAN</t>
  </si>
  <si>
    <t>Center II | KASUR VEHARI ROAD</t>
  </si>
  <si>
    <t>Center III | DERA GHAZI KHAN TO JAMPUR ROAD 2</t>
  </si>
  <si>
    <t>Center III | KOT CHUTTA, DGKHAN</t>
  </si>
  <si>
    <t>Center II | MAILSI TO VEHARI (VIA KARAMPUR) ROAD</t>
  </si>
  <si>
    <t>Center II | MULTAN BAHAWALNAGAR RAOD</t>
  </si>
  <si>
    <t>Center III | KOT CHUTTA 2</t>
  </si>
  <si>
    <t>Center II | VEHARI</t>
  </si>
  <si>
    <t>Center III | JEHANIAN</t>
  </si>
  <si>
    <t>Center III | KOT CHUTTA,  DERA GHAZI KHAN</t>
  </si>
  <si>
    <t>Center III | SITE 26, DGKHAN</t>
  </si>
  <si>
    <t>Center II | LUDDAN</t>
  </si>
  <si>
    <t>Center II | KARAMPUR</t>
  </si>
  <si>
    <t>Center III | CHOTI, DGKHAN</t>
  </si>
  <si>
    <t>Center III | KHAN GARH</t>
  </si>
  <si>
    <t>Center III | MUZAFFAR GARH</t>
  </si>
  <si>
    <t>Center III | VEHARI</t>
  </si>
  <si>
    <t>Center II | LUDDAN ROAD, VEHARI</t>
  </si>
  <si>
    <t>Center III | TIBA SULTANPUR, JAHANIAN</t>
  </si>
  <si>
    <t>Center III | DERA GHAZI KHAN TO JAMPUR ROAD</t>
  </si>
  <si>
    <t>Center III | SIKENDARABAD</t>
  </si>
  <si>
    <t>Center II | HASILPUR TO VEHARI ROAD</t>
  </si>
  <si>
    <t>Center III | TIBBA SULTANPUR</t>
  </si>
  <si>
    <t>Center II | SAHIWAL BAHAWALNAGAR ROAD</t>
  </si>
  <si>
    <t>Center III | DGKHAN</t>
  </si>
  <si>
    <t>Center II | BAHAWALNAGAR 2</t>
  </si>
  <si>
    <t>Center III | KHANEWAL</t>
  </si>
  <si>
    <t>Center III | MULTAN</t>
  </si>
  <si>
    <t>Center II | MIAN CHANU</t>
  </si>
  <si>
    <t>Center II | ADDA SAHUKA</t>
  </si>
  <si>
    <t>South | QUETTA SARENA HOTEL</t>
  </si>
  <si>
    <t>Center III | BAHAWALNAGAR MULTAN ROAD, MULTAN</t>
  </si>
  <si>
    <t>Center II | PAKPATTAN MULTAN BAHAWALNAGAR JUNCTION ROAD</t>
  </si>
  <si>
    <t>Center III | GHAZI GHAT</t>
  </si>
  <si>
    <t>Center III | DG KHAN BYPASS, DG KHAN</t>
  </si>
  <si>
    <t>Center III | MUZZAFAR GARH</t>
  </si>
  <si>
    <t>Center III | CHOWK QURESHI</t>
  </si>
  <si>
    <t>Center III | SHER SHAH BYPASS ROAD</t>
  </si>
  <si>
    <t>Center III | GHAZI GHAAT, DG KHAN</t>
  </si>
  <si>
    <t>South | HARNAI</t>
  </si>
  <si>
    <t>Center II | BUREWALA</t>
  </si>
  <si>
    <t>Center II | KACHA KHU TO VEHARI ROAD</t>
  </si>
  <si>
    <t>Center III | ATHARAN HAZARI TO MUZAFFARGARH  ROAD 12, MUZAFAR G</t>
  </si>
  <si>
    <t>Center III | SAKHI SARWAR DGKHAN</t>
  </si>
  <si>
    <t>South | LORALAI</t>
  </si>
  <si>
    <t>Center III | BUREWALA</t>
  </si>
  <si>
    <t>Center II | QABULA</t>
  </si>
  <si>
    <t>Center III | QADIRPUR RAN</t>
  </si>
  <si>
    <t>Center III | NAWABPUR MULTAN</t>
  </si>
  <si>
    <t>Center II | ARIFWALA</t>
  </si>
  <si>
    <t>South | QUETTA CHAMAN ROAD (QC 1)</t>
  </si>
  <si>
    <t>Center II | PAKPATTAN</t>
  </si>
  <si>
    <t>Center III | ATHARAN HAZARI TO MUZAFFARGARH  ROAD 11, MUZAFFAR</t>
  </si>
  <si>
    <t>Center II | GAGU MANDI</t>
  </si>
  <si>
    <t>Center III | KACHA KHU TO VEHARI ROAD</t>
  </si>
  <si>
    <t>Center I | MIAN CHANNU</t>
  </si>
  <si>
    <t>Center III | DERA GHAZI KHAN</t>
  </si>
  <si>
    <t>Center III | KOT ADU, MUZAFFAR GARH</t>
  </si>
  <si>
    <t>Center III | KOT ADU</t>
  </si>
  <si>
    <t>Center II | CHICHAWATNI TO BUREWALA ROAD</t>
  </si>
  <si>
    <t>Center III | SAHIWAL MULTAN ROAD, MULTAN</t>
  </si>
  <si>
    <t>South | KILLI NAUSAAR</t>
  </si>
  <si>
    <t>South | QUETTA/AIRPORT</t>
  </si>
  <si>
    <t>Center III | BASTI SHAREEFABAD, KOT ADU</t>
  </si>
  <si>
    <t>South | SMALLAN</t>
  </si>
  <si>
    <t>Center II | KHANEWAL</t>
  </si>
  <si>
    <t>Center II | CHICHAWATNI</t>
  </si>
  <si>
    <t>Center II | SHEIKH FAZIL 1</t>
  </si>
  <si>
    <t>Center II | SAHIWAL MULTAN ROAD, KASSOWAL, CHICHAWATNI</t>
  </si>
  <si>
    <t>Center II | KAMALIA</t>
  </si>
  <si>
    <t>Center III | SITE 19, DGKHAN</t>
  </si>
  <si>
    <t>Center III | CHAK140 SULTAN COLONY, KOT ADU</t>
  </si>
  <si>
    <t>Center III | KABIRWALA</t>
  </si>
  <si>
    <t>Center II | KAMLIA</t>
  </si>
  <si>
    <t>Center III | MAIN BAZAR SINAWAN</t>
  </si>
  <si>
    <t>Center III | SAHIWAL MULTAN ROAD, KHANEWAL</t>
  </si>
  <si>
    <t>Center II | TOBA TEK SINGH</t>
  </si>
  <si>
    <t>Center II | SHORKOT TO TOBA TEK SINGH ROAD</t>
  </si>
  <si>
    <t>Center III | ATHARAN HAZARI TO MUZAFFARGARH ROAD 10, MUZAFFAR G</t>
  </si>
  <si>
    <t>Center II | SHEIKH FAZIL</t>
  </si>
  <si>
    <t>Center III | TAUNSA, DGKHAN</t>
  </si>
  <si>
    <t>South | PUI</t>
  </si>
  <si>
    <t>Center III | KHANEWAL TO TALAMBA ROAD</t>
  </si>
  <si>
    <t>South | QUEETA</t>
  </si>
  <si>
    <t>Center II | SHORKOT TO KABIRWALA ROAD, KABIRWALA</t>
  </si>
  <si>
    <t>Center III | OKANWALA BANGLA</t>
  </si>
  <si>
    <t>Center III | KACHA KHU</t>
  </si>
  <si>
    <t>Center III | PEER INAYAT SHAH</t>
  </si>
  <si>
    <t>Center III | ADDA_SIKANDIR_ABBAS, MUZAFFAR GARH</t>
  </si>
  <si>
    <t>Center III | SAHIWAL MULTAN ROAD, CHICHAWATNI</t>
  </si>
  <si>
    <t>Center II | GHAZIABAD</t>
  </si>
  <si>
    <t>Center III | MOZA THEIR JHANG ROAD</t>
  </si>
  <si>
    <t>Center II | OKANWALA BANGLA</t>
  </si>
  <si>
    <t>Center II | KAMIR, ARIFWALA</t>
  </si>
  <si>
    <t>Center II | MIAN CHANNU</t>
  </si>
  <si>
    <t>Center III | KOT ADU 3</t>
  </si>
  <si>
    <t>Center II | FAISALABAD</t>
  </si>
  <si>
    <t>Center III | MOHALLAH HAJI IMAM DIN</t>
  </si>
  <si>
    <t>Center III | SHADAN LUND, TAUNSA, DGKHAN</t>
  </si>
  <si>
    <t>Center III | VATNERY HOSPITAL, TAUNSA</t>
  </si>
  <si>
    <t>Center II | SAHIWAL MULTAN ROAD, MIAN CHANNU</t>
  </si>
  <si>
    <t>Center II | JARANWALA</t>
  </si>
  <si>
    <t>Center III | KAKAY WLALA, KOT ADU</t>
  </si>
  <si>
    <t>Center II | SARAI SIDHU TO MIAN CHANNU ROAD</t>
  </si>
  <si>
    <t>Center III | BASTI KALAIRI</t>
  </si>
  <si>
    <t>Center II | JHANG</t>
  </si>
  <si>
    <t>Center III | SARAI MUHAJIR TO  MUZAFFAR GARH ROAD 9, KOT ADU</t>
  </si>
  <si>
    <t>Center III | SHORKOT TO KABIRWALA ROAD, KABIRWALA</t>
  </si>
  <si>
    <t>Center II | KASSOWAL</t>
  </si>
  <si>
    <t>Center III | KHANEWAL TO TALAMBA ROAD 1</t>
  </si>
  <si>
    <t>Center II | KOT ADU</t>
  </si>
  <si>
    <t>South | QUETTA CHAMAN ROAD (QC 2)</t>
  </si>
  <si>
    <t>Center II | ATHARAN HAZARI TO MUZAFFARGARH ROAD 8, MUZAFFAR GA</t>
  </si>
  <si>
    <t>Center III | TONSA_MOR</t>
  </si>
  <si>
    <t>Center II | TALAMBA</t>
  </si>
  <si>
    <t>Center II | TALAMBA 1</t>
  </si>
  <si>
    <t>Center III | SHORKOT TO KABIRWALA ROAD 3, KABIRWALA</t>
  </si>
  <si>
    <t>Center III | SARAI SIDHU TO MIAN CHANNU ROAD 2</t>
  </si>
  <si>
    <t>Center III | ANTAILABAD. ,ABDULHAKIM</t>
  </si>
  <si>
    <t>Center III | MOZA DIN PUR, ABDUL HAKIM</t>
  </si>
  <si>
    <t>South | QUETTA CHAMAN ROAD</t>
  </si>
  <si>
    <t>Center III | MKHDOOM WALA, KOT ADU</t>
  </si>
  <si>
    <t>Center III | BAGAR 1</t>
  </si>
  <si>
    <t>South | PASHIN</t>
  </si>
  <si>
    <t>South | QUETTA CHAMAN ROAD (QC 3)</t>
  </si>
  <si>
    <t>Center III | MOHALLA RAJPOOTAN WALA</t>
  </si>
  <si>
    <t>Center III | SITE28, DGKHAN</t>
  </si>
  <si>
    <t>Center II | ATHARAN HAZARI TO MUZAFFARGARH ROAD 7, MUZAFFAR GA</t>
  </si>
  <si>
    <t>Center III | SARAI SIDHU 1</t>
  </si>
  <si>
    <t>South | GULISTAN SUB DIVISION</t>
  </si>
  <si>
    <t>Center III | SHORKOT TO KABIRWALA ROAD 2, KABIRWALA</t>
  </si>
  <si>
    <t>Center II | SITE49, LEIAH</t>
  </si>
  <si>
    <t>Center II | ATHARAN HAZARI TO MUZAFFARGARH (VIA GARH MAHARAJA) ROAD</t>
  </si>
  <si>
    <t>Center III | BHAKKAR MUZAFFAR GARH ROAD, MUZAFFAR GARH</t>
  </si>
  <si>
    <t>Center III | SITE 23, DGKHAN</t>
  </si>
  <si>
    <t>Center III | SARAI MUHAJIR TO MUZAFFARGARH ROAD 8, KOT ADU</t>
  </si>
  <si>
    <t>Center II | AHMED PUR SIAL</t>
  </si>
  <si>
    <t>Center III | SITE52 LEIAH</t>
  </si>
  <si>
    <t>South | QILA SAIF ULLAH</t>
  </si>
  <si>
    <t>Center III | KALMA CHOWK, TAUNSA</t>
  </si>
  <si>
    <t>South | KILLA ABDULLAH</t>
  </si>
  <si>
    <t>Center III | SITE50, LEIAH</t>
  </si>
  <si>
    <t>Center II | PIR MAHAL</t>
  </si>
  <si>
    <t>Center II | SHORKOT CANTT</t>
  </si>
  <si>
    <t>Center III | SITE48L EIAH</t>
  </si>
  <si>
    <t>Center II | SHORKOT TO KABIRWALA ROAD</t>
  </si>
  <si>
    <t>Center III | SARAI MUHAJIR TO MUZAFFARGARH ROAD 7, LEIAH</t>
  </si>
  <si>
    <t>Center II | KAMALIA TO SHORKOT CANTT VIA PIR MAHAL ROAD</t>
  </si>
  <si>
    <t>Center III | LEIAH</t>
  </si>
  <si>
    <t>Center II | SUMMUNDRI TO PIR MAHAL ROAD</t>
  </si>
  <si>
    <t>South | QUETTA CHAMAN ROAD (QC 4)</t>
  </si>
  <si>
    <t>Center II | GARH MAHARAJA TO LEIAH ROAD</t>
  </si>
  <si>
    <t>Center II | SHORKOT</t>
  </si>
  <si>
    <t>Center III | SITE47, LEIAH</t>
  </si>
  <si>
    <t>Center II | JHANG CHICHAWATNI ROAD</t>
  </si>
  <si>
    <t>South | MUSA KHAIL</t>
  </si>
  <si>
    <t>Center III | BHAKKAR TO MUZAFFARGARH ROAD, KOT ADU</t>
  </si>
  <si>
    <t>Center III | SARAI MUHAJIR TO MUZAFFARGARH ROAD 6, LEIAH</t>
  </si>
  <si>
    <t>Center II | FSD</t>
  </si>
  <si>
    <t>Center II | JHANG TO SHORKOT ROAD</t>
  </si>
  <si>
    <t>Center III | POLICE STATION NAWAN KOT</t>
  </si>
  <si>
    <t>South | CHAMAN</t>
  </si>
  <si>
    <t>South | CHAMAN 2</t>
  </si>
  <si>
    <t>Center III | GHALA MANDI CHOWK AZAM</t>
  </si>
  <si>
    <t>South | CHAMAN 1</t>
  </si>
  <si>
    <t>Center III | SITE51, LEIAH</t>
  </si>
  <si>
    <t>Center III | GARH MAHARAJA TO LEIAH ROAD</t>
  </si>
  <si>
    <t>Center III | LAYYAH</t>
  </si>
  <si>
    <t>Center III | CHOWK AZAM</t>
  </si>
  <si>
    <t>Center III | LAYYAH SUGAR MILL</t>
  </si>
  <si>
    <t>Center II | OKARA SAMMUNDARI ROAD</t>
  </si>
  <si>
    <t>Center III | VEHOVA, TAUNSA, DG KHAN</t>
  </si>
  <si>
    <t>Center II | GOJRA TO TOBA TEK SINGH ROAD</t>
  </si>
  <si>
    <t>Center II | TANDLIANWALA</t>
  </si>
  <si>
    <t>Center II | SAMMUNDARI</t>
  </si>
  <si>
    <t>Center III | SARAI MUHAJIR TO MUZAFFARGARH ROAD 5, BHAKKAR</t>
  </si>
  <si>
    <t>Center II | JHANG SAMMUNDARI ROAD</t>
  </si>
  <si>
    <t>Center II | FAISALABAD TO TANDLIANWALA (VIA SATIANA) ROAD</t>
  </si>
  <si>
    <t>Center II | SAMUNDARY</t>
  </si>
  <si>
    <t>Center III | SITE 46 CHA NOOR WALA ,LEIAH</t>
  </si>
  <si>
    <t>Center II | GOJRA TO SAMUNDRI RD</t>
  </si>
  <si>
    <t>Center II | GOJRA</t>
  </si>
  <si>
    <t>Center II | FAISALABAD TO SAMMUNDRI (VIA DIJKOT) ROAD</t>
  </si>
  <si>
    <t>Center III | BHAKKAR</t>
  </si>
  <si>
    <t>Center II | ATHARAN HAZARI</t>
  </si>
  <si>
    <t>Center II | FATEHPUR 1</t>
  </si>
  <si>
    <t>Center II | SATIANA</t>
  </si>
  <si>
    <t>Center II | BHAKKAR TO JHANG ROAD</t>
  </si>
  <si>
    <t>Center II | DIJKOT</t>
  </si>
  <si>
    <t>Center II | FAISALABAD GOJRA ROAD</t>
  </si>
  <si>
    <t>Center III | KAROR LAL ESSAN, LEIAH</t>
  </si>
  <si>
    <t>Center II | JHANG TO PANSERA ROAD</t>
  </si>
  <si>
    <t>Center III | SARAI MUHAJIR TO MUZAFFARGARH ROAD 2, CHOWK AZAM</t>
  </si>
  <si>
    <t>Center II | BHAKKAR TO JHANG ROAD 5</t>
  </si>
  <si>
    <t>Center II | LAHORE JARANWALA ROAD</t>
  </si>
  <si>
    <t>Center II | BHAKKAR</t>
  </si>
  <si>
    <t>Center II | NAWAN LAHORE</t>
  </si>
  <si>
    <t>Center II | FAISALABAD JARANWALA ROAD</t>
  </si>
  <si>
    <t>South | ZHOB</t>
  </si>
  <si>
    <t>Center II | HAIDERABAD 1</t>
  </si>
  <si>
    <t>Center II | GUJRANWALA FAISALABAD ROAD</t>
  </si>
  <si>
    <t>Center II | KHUSHAB</t>
  </si>
  <si>
    <t>Center II | JHANG TO CHINIOT ROAD</t>
  </si>
  <si>
    <t>Center II | MANKERA</t>
  </si>
  <si>
    <t>Center II | JHANG TO SAHIWAL (SARGODHA) ROAD</t>
  </si>
  <si>
    <t>Center II | SARAI MUHAJIR TO MUZAFFARGARH ROAD 2, LEIAH</t>
  </si>
  <si>
    <t>Center II | SARGODHA</t>
  </si>
  <si>
    <t>Center II | MIANWALI BHAKKAR ROAD</t>
  </si>
  <si>
    <t>Center II | MIANWALI</t>
  </si>
  <si>
    <t>Center II | KALA BAGH ROAD</t>
  </si>
  <si>
    <t>South | DHORONARO</t>
  </si>
  <si>
    <t>South | KHAMBRO</t>
  </si>
  <si>
    <t>South | HEADJAMRAO</t>
  </si>
  <si>
    <t>Center II | AMIN PUR BANGALA</t>
  </si>
  <si>
    <t>Center II | LAHORE FAISALABAD OLD GT ROAD</t>
  </si>
  <si>
    <t>Center II | KHURRIANWALA</t>
  </si>
  <si>
    <t>Center II | SARAI MUHAJIR TO MUZAFFARGARH ROAD 1, BHAKKAR</t>
  </si>
  <si>
    <t>Center II | FAISALABAD TO FAROOQABAD/KHANQAH DOGRAN ROAD</t>
  </si>
  <si>
    <t>Center II | M3 FAISALABAD PINDIBHATTIAN ROAD</t>
  </si>
  <si>
    <t>Center II | BHAKKAR TO MUZAFFARGARH ROAD, KOT ADU</t>
  </si>
  <si>
    <t>Center II | CHAK JHUMRA</t>
  </si>
  <si>
    <t>Center II | MIANWALI TO SARAI MUHAJIR ROAD 9, BHAKKAR</t>
  </si>
  <si>
    <t>Center II | BHAWANA</t>
  </si>
  <si>
    <t>Center II | SHAHKOT</t>
  </si>
  <si>
    <t>Center II | BHAKKAR TO JHANG ROAD 1</t>
  </si>
  <si>
    <t>South | BOZDAR WADA</t>
  </si>
  <si>
    <t>Center II | RAJOA SADAT</t>
  </si>
  <si>
    <t>Center II | CHINIOT</t>
  </si>
  <si>
    <t>Center II | MIANWALI TO SARAI MUHAJIR ROAD 8, BHAKKAR</t>
  </si>
  <si>
    <t>Center II | SAFDERABAD</t>
  </si>
  <si>
    <t>Center II | KOTALA JAM</t>
  </si>
  <si>
    <t>Center II | SANGLA HILL</t>
  </si>
  <si>
    <t>Center II | RABWAH</t>
  </si>
  <si>
    <t>Center II | MIANWALI TO SARAI MUHAJIR ROAD 7, LEIAH</t>
  </si>
  <si>
    <t>Center II | CHINIOT TO SARGODHA (VIA SAHIWAL) ROAD</t>
  </si>
  <si>
    <t>Center II | CHINIOT TO SARGODHA (VIA LALIAN) ROAD</t>
  </si>
  <si>
    <t>Center II | SILLANWALI</t>
  </si>
  <si>
    <t>Center III | LALIAN</t>
  </si>
  <si>
    <t>Center II | NIHANG</t>
  </si>
  <si>
    <t>Center II | DULLEWALA 1</t>
  </si>
  <si>
    <t>Center II | KALOOR KOT. BHAKKAR</t>
  </si>
  <si>
    <t>Center II | SARGODHA TO SILLANWALI ROAD</t>
  </si>
  <si>
    <t>Center II | MIANWALI TO SARAI MUHAJIR ROAD 6, BHAKKAR</t>
  </si>
  <si>
    <t>Center II | SHAHINABAD</t>
  </si>
  <si>
    <t>Center II | AINU</t>
  </si>
  <si>
    <t>Center II | MAI ROSHAN BASTI</t>
  </si>
  <si>
    <t>Center II | SHEIKHUPURA SARGODHA ROAD</t>
  </si>
  <si>
    <t>Center II | MIANWALLI TO SAR I MAHAJAR ROAD   5, BHAKKAR</t>
  </si>
  <si>
    <t>Center II | NAWAN JANDANWALA, KALOORKOT, BHAKKAR</t>
  </si>
  <si>
    <t>Center II | KALOOR KOT, BHAKKAR</t>
  </si>
  <si>
    <t>Center II | MIANWALLI SAR I MHAJAR ROAD 4, BHAKKAR</t>
  </si>
  <si>
    <t>Center II | MIANWALI SARGODHA ROAD</t>
  </si>
  <si>
    <t>Center II | KALUR KOT 1</t>
  </si>
  <si>
    <t>Center II | MIANWALI TO BHAKKAR ROAD</t>
  </si>
  <si>
    <t>Center II | MIANWALI TO SARAI MUHAJIR ROAD</t>
  </si>
  <si>
    <t>Center II | MITHA TIWANA</t>
  </si>
  <si>
    <t>Center II | LAK MOR</t>
  </si>
  <si>
    <t>Center II | BHALWAL TO SHAHPUR ROAD</t>
  </si>
  <si>
    <t>Center II | SHAHPUR</t>
  </si>
  <si>
    <t>Center II | HARNOLI</t>
  </si>
  <si>
    <t>Center II | PIPLAN TEHSIL</t>
  </si>
  <si>
    <t>Center II | JAUHARABAD</t>
  </si>
  <si>
    <t>Center II | MALAKWAL TO SHAHPUR ROAD</t>
  </si>
  <si>
    <t>Center II | GUNJYAL</t>
  </si>
  <si>
    <t>Center II | QUAIDABAD</t>
  </si>
  <si>
    <t>Center II | JHAWARIAN</t>
  </si>
  <si>
    <t>Center II | KUNDIAN</t>
  </si>
  <si>
    <t>Center II | SOHAWA MIANWALI ROAD</t>
  </si>
  <si>
    <t>Center II | MIANWALI TO BANNU ROAD</t>
  </si>
  <si>
    <t>Center II | ISAKHEL</t>
  </si>
  <si>
    <t>Center II | DAUD KHEL</t>
  </si>
  <si>
    <t>Center II | KALABAGH</t>
  </si>
  <si>
    <t>South | KHARO</t>
  </si>
  <si>
    <t>South | JATI</t>
  </si>
  <si>
    <t>South | THATTA</t>
  </si>
  <si>
    <t>South | Jaati No 1</t>
  </si>
  <si>
    <t>South | BHAGAN</t>
  </si>
  <si>
    <t>South | CHACH JAAN KHAN</t>
  </si>
  <si>
    <t>South | GHORA BARI</t>
  </si>
  <si>
    <t>South | NEAR MIRPUR SAKRO CITY</t>
  </si>
  <si>
    <t>South | MIRPUR SAKRO</t>
  </si>
  <si>
    <t>South | KADHAN CITY</t>
  </si>
  <si>
    <t>South | KARACHI</t>
  </si>
  <si>
    <t>South | BHAMBHOOR</t>
  </si>
  <si>
    <t>South | THATTA TO BADIN ROAD</t>
  </si>
  <si>
    <t>South | PALACE NEAR SAKRO</t>
  </si>
  <si>
    <t>South | SUJAWAL</t>
  </si>
  <si>
    <t>South | GHULAM ULLAH</t>
  </si>
  <si>
    <t>South | MARHO BULA KHAN</t>
  </si>
  <si>
    <t>South | BADIN</t>
  </si>
  <si>
    <t>South | GOLARCHI</t>
  </si>
  <si>
    <t>South | THATTA CEMENT FACTORY RD</t>
  </si>
  <si>
    <t>South | SUJAWAL TO TANDO MUHAMMAD KHAN ROAD</t>
  </si>
  <si>
    <t>South | BELO CITY</t>
  </si>
  <si>
    <t>South | MIRPUR BATHORO</t>
  </si>
  <si>
    <t>South | KHI HYD NATIONAL HIGHWAY ROAD</t>
  </si>
  <si>
    <t>South | GHARO</t>
  </si>
  <si>
    <t>South | GUJJO</t>
  </si>
  <si>
    <t>South | OLD THATTA</t>
  </si>
  <si>
    <t>South | MAKLI</t>
  </si>
  <si>
    <t>South | KHOREWAH</t>
  </si>
  <si>
    <t>South | HYDERABAD TO BADIN</t>
  </si>
  <si>
    <t>South | TANDO BAGO</t>
  </si>
  <si>
    <t>South | DARO</t>
  </si>
  <si>
    <t>South | KARIO GHANWAR</t>
  </si>
  <si>
    <t>South | KARACHI/PARK TOWERS</t>
  </si>
  <si>
    <t>South | KARACHI/FORUM MALL</t>
  </si>
  <si>
    <t>South | KARACHI/GULF SHOPPING MALL</t>
  </si>
  <si>
    <t>South | NAUKOT</t>
  </si>
  <si>
    <t>South | KARACHI/MARRIOT HOTEL</t>
  </si>
  <si>
    <t>South | KARACHI/PC HOTEL</t>
  </si>
  <si>
    <t>South | KARACHI STOCK EXCHANGE</t>
  </si>
  <si>
    <t>South | KARACHI/JILLANI CENTER I.I.C</t>
  </si>
  <si>
    <t>South | KARACHI/AL RAHEEM TOWER</t>
  </si>
  <si>
    <t>South | KARACHI/UNI TOWER</t>
  </si>
  <si>
    <t>South | GHAGAR</t>
  </si>
  <si>
    <t>South | KARACHI/MOTANDAS</t>
  </si>
  <si>
    <t>South | KARACHI/LAND MARK PLAZA</t>
  </si>
  <si>
    <t>South | KARACHI/SAIMA TRADE TOWERS</t>
  </si>
  <si>
    <t>South | KARACHI/KAPRA MKT</t>
  </si>
  <si>
    <t>South | KARACHI/KHARADAR</t>
  </si>
  <si>
    <t>South | KARACHI/PLASTIC MARKET</t>
  </si>
  <si>
    <t>South | KARACHI/NEW CHALI</t>
  </si>
  <si>
    <t>South | KARACHI/ACHI QABAR</t>
  </si>
  <si>
    <t>South | KARACHI/KHORI GARDEN</t>
  </si>
  <si>
    <t>South | KARACHI/URDU BAZAR</t>
  </si>
  <si>
    <t>South | KARACHI/LYARI</t>
  </si>
  <si>
    <t>South | KARACHI/SADDAR</t>
  </si>
  <si>
    <t>South | KARACHI/NAPIER RD. 1</t>
  </si>
  <si>
    <t>South | KARACHI/CITY COURT</t>
  </si>
  <si>
    <t>South | KARACHI/MEMON SOCIETY</t>
  </si>
  <si>
    <t>South | KARACHI/JUNA MARKET</t>
  </si>
  <si>
    <t>South | KARACHI/NAPIER ROAD</t>
  </si>
  <si>
    <t>South | KARACHI/JAMA CLOTH</t>
  </si>
  <si>
    <t>South | KARACHI/ELECTRONICS MARKET</t>
  </si>
  <si>
    <t>South | KARACHI/RIVER ROAD</t>
  </si>
  <si>
    <t>South | KARACHI/PARADISE HOTEL</t>
  </si>
  <si>
    <t>South | KARACHI/LIYARI</t>
  </si>
  <si>
    <t>South | KARACHI/LYARI TRUK ADDA</t>
  </si>
  <si>
    <t>South | KARACHI/RAINBOW CENTRE</t>
  </si>
  <si>
    <t>South | KARACHI/RANCHOR LINE</t>
  </si>
  <si>
    <t>South | KARACHI/RANCHOR LINE BAZAR</t>
  </si>
  <si>
    <t>South | KARACHI/K&amp;N CENTRE</t>
  </si>
  <si>
    <t>South | KARACHI/TARIQ ROAD</t>
  </si>
  <si>
    <t>South | KARACHI/AGRHA TAJ</t>
  </si>
  <si>
    <t>South | TALHAR</t>
  </si>
  <si>
    <t>South | KARACHI/SSGC HO</t>
  </si>
  <si>
    <t>South | KALRI_NHY</t>
  </si>
  <si>
    <t>South | KARACHI/ JIAP</t>
  </si>
  <si>
    <t>South | KARACHI/MILLINIUM MALL</t>
  </si>
  <si>
    <t>South | KARACHI/LIAQUATABAD MKT</t>
  </si>
  <si>
    <t>South | JHUDO</t>
  </si>
  <si>
    <t>South | KARACHI/HUSSAINABAD</t>
  </si>
  <si>
    <t>South | KARACHI/BALDIA</t>
  </si>
  <si>
    <t>South | KARACHI/PAPOSH MKT</t>
  </si>
  <si>
    <t>South | KARACHI/HYDERI MKT</t>
  </si>
  <si>
    <t>South | KARACHI/ALIGARH MARKET</t>
  </si>
  <si>
    <t>South | HYDERABAD TO BADIN ROAD</t>
  </si>
  <si>
    <t>South | HYDERABAD</t>
  </si>
  <si>
    <t>South | TANDO MUHAMMAD KHAN</t>
  </si>
  <si>
    <t>South | TANDO JAN MUHAMMAD</t>
  </si>
  <si>
    <t>South | JHAMPIR</t>
  </si>
  <si>
    <t>South | HUB</t>
  </si>
  <si>
    <t>South | KAHTHORE PALACE</t>
  </si>
  <si>
    <t>South | KARACHI HUB(NORTHERN BYPASS) ROAD</t>
  </si>
  <si>
    <t>South | KHI HYD SUPERHIGHWAY ROAD</t>
  </si>
  <si>
    <t>South | MATLI</t>
  </si>
  <si>
    <t>South | JIWANI</t>
  </si>
  <si>
    <t>South | MIR PARA</t>
  </si>
  <si>
    <t>South | GAWADAR</t>
  </si>
  <si>
    <t>South | DIGRI</t>
  </si>
  <si>
    <t>South | GAWADAR 3</t>
  </si>
  <si>
    <t>South | PISHUKAN</t>
  </si>
  <si>
    <t>South | GAWADAR 2</t>
  </si>
  <si>
    <t>South | GAWADAR 4</t>
  </si>
  <si>
    <t>South | OLD DUMBALO</t>
  </si>
  <si>
    <t>South | SOMIANI</t>
  </si>
  <si>
    <t>South | ORMARA1</t>
  </si>
  <si>
    <t>South | GAWADAR 1</t>
  </si>
  <si>
    <t>South | SARI STOP</t>
  </si>
  <si>
    <t>South | KOT GHULAM MUHAMMAD (JAMESABAD)</t>
  </si>
  <si>
    <t>South | PASNI</t>
  </si>
  <si>
    <t>South | GWADAR PASNI ROAD</t>
  </si>
  <si>
    <t>South | PASNI 2</t>
  </si>
  <si>
    <t>South | GAWADAR PASNI ROAD (GP5)</t>
  </si>
  <si>
    <t>South | GAWADAR PASNI ROAD (GP3)</t>
  </si>
  <si>
    <t>South | HUSRI</t>
  </si>
  <si>
    <t>South | GAWADAR PASNI ROAD (GP2)</t>
  </si>
  <si>
    <t>South | GAWADAR PASNI ROAD (GP4)</t>
  </si>
  <si>
    <t>South | GAWADAR PASNI ROAD (GP1)</t>
  </si>
  <si>
    <t>South | KOTRI</t>
  </si>
  <si>
    <t>South | TANDO QAISER</t>
  </si>
  <si>
    <t>South | WINDER</t>
  </si>
  <si>
    <t>South | HYD TANDOALAYAR (HM1)</t>
  </si>
  <si>
    <t>South | TANDO JAM</t>
  </si>
  <si>
    <t>South | HYD TANDOALAYAR (HM2)</t>
  </si>
  <si>
    <t>South | MIRPUR KHAS TO UMERKOT ROAD</t>
  </si>
  <si>
    <t>South | MIRPURKHAS TO BADIN ROAD</t>
  </si>
  <si>
    <t>South | HYD MIRPURKHAS ROAD (HM3)</t>
  </si>
  <si>
    <t>South | MIRPUR 3</t>
  </si>
  <si>
    <t>South | MIRPUR 2</t>
  </si>
  <si>
    <t>South | MIRPUR 1</t>
  </si>
  <si>
    <t>South | UTHAL</t>
  </si>
  <si>
    <t>South | TURBAT</t>
  </si>
  <si>
    <t>South | TURBAT 2</t>
  </si>
  <si>
    <t>South | TURBAT 4</t>
  </si>
  <si>
    <t>South | TURBAT 1</t>
  </si>
  <si>
    <t>South | TURBAT 3</t>
  </si>
  <si>
    <t>South | KALLATUK</t>
  </si>
  <si>
    <t>South | TURBAT TO MAND ROAD</t>
  </si>
  <si>
    <t>South | BALLACHA</t>
  </si>
  <si>
    <t>South | TUMP</t>
  </si>
  <si>
    <t>South | MAND</t>
  </si>
  <si>
    <t>South | GUMAZGI</t>
  </si>
  <si>
    <t>South | BELA</t>
  </si>
  <si>
    <t>South | PANJGUR</t>
  </si>
  <si>
    <t>Center I | BAHAWALNAGAR TO MINCHINABAD ROAD</t>
  </si>
  <si>
    <t>Center I | MINCHINABAD, BAHAWALNAGAR</t>
  </si>
  <si>
    <t>Center I | MINCHANABAD</t>
  </si>
  <si>
    <t>Center I | QABULA PAKPATTAN ROAD</t>
  </si>
  <si>
    <t>Center I | QABULLA PAK PATTAN</t>
  </si>
  <si>
    <t>Center I | PAKPATTAN</t>
  </si>
  <si>
    <t>Center I | KASUR VEHARI ROAD</t>
  </si>
  <si>
    <t>Center I | SAHIWAL PAKPATTAN ROAD</t>
  </si>
  <si>
    <t>Center I | HAVELI</t>
  </si>
  <si>
    <t>Center I | CHICHAWATNI</t>
  </si>
  <si>
    <t>Center I | CHICHAWATNI TO BUREWALA ROAD</t>
  </si>
  <si>
    <t>Center I | PAKPATTAN DEPALPUR ROAD</t>
  </si>
  <si>
    <t>Center I | SAHIWAL BAHAWALNAGAR ROAD</t>
  </si>
  <si>
    <t>Center I | KASUR PAKPATTAN ROAD</t>
  </si>
  <si>
    <t>Center I | SAHIWAL MULTAN ROAD, SAHIWAL</t>
  </si>
  <si>
    <t>Center I | BASIRPUR</t>
  </si>
  <si>
    <t>Center I | HARAPA</t>
  </si>
  <si>
    <t>Center I | SAHIWAL</t>
  </si>
  <si>
    <t>Center I | DEPALPUR TO HAVELI ROAD</t>
  </si>
  <si>
    <t>Center I | OKARA TO BASIRPUR ROAD</t>
  </si>
  <si>
    <t>Center I | JHANG CHICHAWATNI ROAD</t>
  </si>
  <si>
    <t>Center I | OKARA</t>
  </si>
  <si>
    <t>Center I | DEPALPUR</t>
  </si>
  <si>
    <t>Center I | SAHIWAL OKARA ROAD</t>
  </si>
  <si>
    <t>Center I | OKARA CANTT</t>
  </si>
  <si>
    <t>Center I | KAMALIA</t>
  </si>
  <si>
    <t>Center I | HUJRA SHAH MUQEEM</t>
  </si>
  <si>
    <t>Center I | KAMALIA TO SHORKOT CANTT VIA PIR MAHAL ROAD</t>
  </si>
  <si>
    <t>Center I | CHAK 59/GD</t>
  </si>
  <si>
    <t>Center I | CHUNIAN TO HUJRA ROAD</t>
  </si>
  <si>
    <t>Center I | KANGANPUR</t>
  </si>
  <si>
    <t>Center I | BHAI PHERU TO KANGANPUR ROAD</t>
  </si>
  <si>
    <t>Center I | RENALA KHURD</t>
  </si>
  <si>
    <t>Center I | MAMU KANJAN</t>
  </si>
  <si>
    <t>Center I | NOOR SHAH</t>
  </si>
  <si>
    <t>Center I | LAHORE OKARA ROAD</t>
  </si>
  <si>
    <t>Center I | ALLAHABAD</t>
  </si>
  <si>
    <t>Center I | OKARA SAMMUNDARI ROAD</t>
  </si>
  <si>
    <t>Center I | SUMMUNDRI TO PIR MAHAL ROAD</t>
  </si>
  <si>
    <t>Center I | KASUR</t>
  </si>
  <si>
    <t>Center I | KANJWANI</t>
  </si>
  <si>
    <t>Center I | SATGHARA OKARA</t>
  </si>
  <si>
    <t>Center I | FAISALABAD</t>
  </si>
  <si>
    <t>Center I | LAHORE</t>
  </si>
  <si>
    <t>Center I | CHUNIAN</t>
  </si>
  <si>
    <t>Center I | BHALWAL</t>
  </si>
  <si>
    <t>Center I | KHUDIAN</t>
  </si>
  <si>
    <t>Center I | PATTOKI</t>
  </si>
  <si>
    <t>Center I | TOBA TEK SINGH</t>
  </si>
  <si>
    <t>Center I | KOHLA, LASHARIAN, BAMABALA, CHUCHAK</t>
  </si>
  <si>
    <t>Center I | LAHORE CHANGA MANGA ROAD</t>
  </si>
  <si>
    <t>North | WAHWA, DGKHAN</t>
  </si>
  <si>
    <t>Center I | JARANWALA</t>
  </si>
  <si>
    <t>Center I | MANGA TO KASUR ROAD</t>
  </si>
  <si>
    <t>Center I | KOT RADHA KISHAN</t>
  </si>
  <si>
    <t>Center I | LAHORE KASUR ROAD</t>
  </si>
  <si>
    <t>Center I | BHAI PHERU</t>
  </si>
  <si>
    <t>Center I | NANKANA</t>
  </si>
  <si>
    <t>Center I | RAJA JANG</t>
  </si>
  <si>
    <t>Center I | RAIWIND</t>
  </si>
  <si>
    <t>North | TAUNSA</t>
  </si>
  <si>
    <t>Center I | MANGA</t>
  </si>
  <si>
    <t>Center I | BUCHEKI</t>
  </si>
  <si>
    <t>Center I | LAHORE JARANWALA ROAD</t>
  </si>
  <si>
    <t>Center I | RAIWIND TO SUNDER ROAD</t>
  </si>
  <si>
    <t>North | PAROA / DI KHAN</t>
  </si>
  <si>
    <t>Center I | KAHNA NAU</t>
  </si>
  <si>
    <t>Center I | MANAWALA LAHORE_JARRANWALA JUNCTION ROAD</t>
  </si>
  <si>
    <t>Center II | LAHORE</t>
  </si>
  <si>
    <t>Center I | MANDI FAIZABAD</t>
  </si>
  <si>
    <t>Center I | NANKANA SAHIB</t>
  </si>
  <si>
    <t>Center I | SHARAQPUR</t>
  </si>
  <si>
    <t>Center I | M2 LAHORE ISLAMABAD ROAD (LAHORE TO BHERA)</t>
  </si>
  <si>
    <t>Center I | SHEIKHUPURA</t>
  </si>
  <si>
    <t>Center I | WARBURTON</t>
  </si>
  <si>
    <t>North | PAROA, DIKHAN</t>
  </si>
  <si>
    <t>Center I | LAHORE FAISALABAD OLD GT ROAD</t>
  </si>
  <si>
    <t>Center I | LAHORE WAHGA ROAD</t>
  </si>
  <si>
    <t>Center I | MANAWALA</t>
  </si>
  <si>
    <t>Center I | SHEIKHPURA</t>
  </si>
  <si>
    <t>Center I | KOT ABDUL MALIK</t>
  </si>
  <si>
    <t>North | DI KHAN</t>
  </si>
  <si>
    <t>Center I | LAHORE TO SHEIKHUPURA ROAD</t>
  </si>
  <si>
    <t>Center I | LAHORE TO NARANG VIA KALA KHATAI ROAD</t>
  </si>
  <si>
    <t>Center I | GT LAHORE ISLAMABAD ROAD (LAHORE TO GUJRAT)</t>
  </si>
  <si>
    <t>Center I | MUREKEY</t>
  </si>
  <si>
    <t>Center I | SHEIKHUPURA SARGODHA ROAD</t>
  </si>
  <si>
    <t>Center I | FAROOQABAD</t>
  </si>
  <si>
    <t>Center I | MURIDKE</t>
  </si>
  <si>
    <t>Center I | SHEIKHUPURA TO JANDYALA ROAD</t>
  </si>
  <si>
    <t>Center I | FAISALABAD TO FAROOQABAD/KHANQAH DOGRAN ROAD</t>
  </si>
  <si>
    <t>Center I | GUJRANWALA NAROWAL (VIA MURIDKE) ROAD</t>
  </si>
  <si>
    <t>North | DERA ISMAIL KHAN</t>
  </si>
  <si>
    <t>Center I | KALA KHATAI</t>
  </si>
  <si>
    <t>Center I | MULTAN</t>
  </si>
  <si>
    <t>Center I | GUJRANWALA FAISALABAD VIA SHEIKHUPURA ROAD</t>
  </si>
  <si>
    <t>Center I | KHANQAH DOGRAN</t>
  </si>
  <si>
    <t>Center I | GUJRANWALA FAISALABAD ROAD</t>
  </si>
  <si>
    <t>Center I | SUKHEKE</t>
  </si>
  <si>
    <t>Center I | JAHANGIRA</t>
  </si>
  <si>
    <t>Center I | GUJRANWALA</t>
  </si>
  <si>
    <t>Center I | PINDI BHATTIAN</t>
  </si>
  <si>
    <t>Center I | M3 FAISALABAD PINDIBHATTIAN ROAD</t>
  </si>
  <si>
    <t>Center I | PINDI BHATIYAN</t>
  </si>
  <si>
    <t>Center I | NARANG</t>
  </si>
  <si>
    <t>Center I | SADHOKE</t>
  </si>
  <si>
    <t>Center I | HAFIZABAD</t>
  </si>
  <si>
    <t>Center I | NOWSHERA VIRKAN</t>
  </si>
  <si>
    <t>Center I | KAMOKE</t>
  </si>
  <si>
    <t>Center I | RASULPUR TARAR TO PINDI BHATTIAN ROAD</t>
  </si>
  <si>
    <t>Center I | NAROWAL</t>
  </si>
  <si>
    <t>Center I | WAHNDO</t>
  </si>
  <si>
    <t>Center I | BHAGATANWALA</t>
  </si>
  <si>
    <t>Center I | EMINABAD</t>
  </si>
  <si>
    <t>Center I | JALALPUR BHATTIAN</t>
  </si>
  <si>
    <t>Center I | JASSAR</t>
  </si>
  <si>
    <t>Center I | QILA KALAR WALA</t>
  </si>
  <si>
    <t>Center I | TALWANDI BHINDRAN</t>
  </si>
  <si>
    <t>Center I | GUJRANWALA TO JALALPUR BHATTIAN (VIA ALIPUR CHATTA</t>
  </si>
  <si>
    <t>Center I | QILA DEWAN SINGH (NOKHAR)</t>
  </si>
  <si>
    <t>Center I | SIALKOT TO EMINABAD ROAD</t>
  </si>
  <si>
    <t>Center I | NAROWAL TO SHAKARGARH ROAD</t>
  </si>
  <si>
    <t>Center I | KOLO TARRAR</t>
  </si>
  <si>
    <t>Center I | SARGODHA TO BHALWAL ROAD</t>
  </si>
  <si>
    <t>Center I | GUJRAWALA</t>
  </si>
  <si>
    <t>Center I | HAFIZABAD TO ALIPUR CHATTA ROAD</t>
  </si>
  <si>
    <t>Center I | QILA DEDAR SINGH</t>
  </si>
  <si>
    <t>Center I | VANIKEY TARAR</t>
  </si>
  <si>
    <t>Center I | KOT MOMIN TO BHAGATANWALA ROAD</t>
  </si>
  <si>
    <t>North | DERA ISMAIL KHAN TO PEZU ROAD</t>
  </si>
  <si>
    <t>Center I | SARGODHA</t>
  </si>
  <si>
    <t>Center I | LADHEWALA WARRIACH</t>
  </si>
  <si>
    <t>Center I | SIALKOT NAROWAL ROAD</t>
  </si>
  <si>
    <t>Center I | SIALKOT</t>
  </si>
  <si>
    <t>Center I | ZAFARWAL TO NAROWAL ROAD</t>
  </si>
  <si>
    <t>Center I | SATRAH</t>
  </si>
  <si>
    <t>Center I | GUJRANWALA TO PASRUR (VIA SATRAH) ROAD</t>
  </si>
  <si>
    <t>Center I | QILA DEDAR SING</t>
  </si>
  <si>
    <t>Center I | ALIPUR SAYYADAN</t>
  </si>
  <si>
    <t>Center I | KOT MOMAN (KOT UMRANA)</t>
  </si>
  <si>
    <t>Center I | HAFIZABAD TO HEAD QADAR ABAD ROAD</t>
  </si>
  <si>
    <t>Center I | TALWANDI MOSA KHAN</t>
  </si>
  <si>
    <t>Center I | KALASWALA</t>
  </si>
  <si>
    <t>Center I | MANDI BAHAUDDIN</t>
  </si>
  <si>
    <t>Center I | NARROWAL</t>
  </si>
  <si>
    <t>Center I | RAHWALI</t>
  </si>
  <si>
    <t>Center I | MANDIBAHUDDIN</t>
  </si>
  <si>
    <t>Center I | PASRUR</t>
  </si>
  <si>
    <t>Center I | DASKA</t>
  </si>
  <si>
    <t>Center I | SHAKARGARH</t>
  </si>
  <si>
    <t>Center I | GUJRANWALA SIALKOT ROAD</t>
  </si>
  <si>
    <t>Center I | ALIPUR CHATTA (AKALGARH)</t>
  </si>
  <si>
    <t>Center I | NAROWAL TO ZAFARWAL ROAD</t>
  </si>
  <si>
    <t>Center I | DASKA TO PASRUR ROAD</t>
  </si>
  <si>
    <t>Center I | TALWANDI KHAJOOR WALI</t>
  </si>
  <si>
    <t>Center I | DASKA PASRUR ROAD</t>
  </si>
  <si>
    <t>Center I | BADIANA TO SHAKARGARH ROAD</t>
  </si>
  <si>
    <t>Center I | MANDI BAHUDDIN</t>
  </si>
  <si>
    <t>Center I | MANDI BAHUDIN</t>
  </si>
  <si>
    <t>Center I | PASRUR TO MANDITHRRO</t>
  </si>
  <si>
    <t>North | TANK</t>
  </si>
  <si>
    <t>Center I | HEAD QADAR ABAD</t>
  </si>
  <si>
    <t>Center I | GHAKKHAR</t>
  </si>
  <si>
    <t>North | LUCKY MARWAT</t>
  </si>
  <si>
    <t>Center I | PASRUR TO CHAWINDA ROAD</t>
  </si>
  <si>
    <t>Center I | WAZIRABAD TO ALIPUR CHATTA (VIA RASULNAGAR) ROAD</t>
  </si>
  <si>
    <t>Center I | RASULNAGAR</t>
  </si>
  <si>
    <t>Center I | QADIRABAD TO KHATYALA SHEIKHAN ROAD</t>
  </si>
  <si>
    <t>Center I | JAMKEY CHATTHA</t>
  </si>
  <si>
    <t>Center I | ZAFARWAL</t>
  </si>
  <si>
    <t>Center I | CHAWINDA</t>
  </si>
  <si>
    <t>Center I | BOMBANWALA (HEAD BOMBANWALA)</t>
  </si>
  <si>
    <t>Center I | MITRANWALI</t>
  </si>
  <si>
    <t>Center I | WAZIRABAD</t>
  </si>
  <si>
    <t>Center I | PEERO CHAK</t>
  </si>
  <si>
    <t>Center I | GUJRAT BHALWAL ROAD</t>
  </si>
  <si>
    <t>Center I | GOJRA</t>
  </si>
  <si>
    <t>Center I | JAMKE CHEEMA</t>
  </si>
  <si>
    <t>Center I | KHANKI</t>
  </si>
  <si>
    <t>Center I | DASKA SIALKOT ROAD</t>
  </si>
  <si>
    <t>Center I | JANDIYALA DHABWALA</t>
  </si>
  <si>
    <t>Center I | WAZIRABAD TO DASKA ROAD</t>
  </si>
  <si>
    <t>Center I | PHALIA</t>
  </si>
  <si>
    <t>Center I | SAILKOT</t>
  </si>
  <si>
    <t>Center I | MALAKWAL TO SHAHPUR ROAD</t>
  </si>
  <si>
    <t>Center I | DASKA TO SAMBRIAL RD</t>
  </si>
  <si>
    <t>Center I | BEGOWALA</t>
  </si>
  <si>
    <t>Center I | MANO CHAK</t>
  </si>
  <si>
    <t>Center I | SAMBRIAL</t>
  </si>
  <si>
    <t>Center I | SODHRA</t>
  </si>
  <si>
    <t>Center I | BHERA</t>
  </si>
  <si>
    <t>Center I | SIALKOT WAZIRABAD ROAD</t>
  </si>
  <si>
    <t>Center I | PHALIA TO DINGA ROAD</t>
  </si>
  <si>
    <t>Center I | GUJRAT</t>
  </si>
  <si>
    <t>North | TITARKHEL,TEHSIL &amp; DISTRICT LUCKY MARWAT</t>
  </si>
  <si>
    <t>Center I | MANGAT</t>
  </si>
  <si>
    <t>Center I | SHADIWAL</t>
  </si>
  <si>
    <t>North | KHUSHAB</t>
  </si>
  <si>
    <t>Center I | JALALPUR JATTAN TO SIALKOT ROAD</t>
  </si>
  <si>
    <t>Center I | MALAKWAL</t>
  </si>
  <si>
    <t>Center I | MARAKEWAL</t>
  </si>
  <si>
    <t>Center I | KHARIAN TO MALAKWAL ROAD</t>
  </si>
  <si>
    <t>North | NAUSHARA</t>
  </si>
  <si>
    <t>North | PIND DADAN KHAN</t>
  </si>
  <si>
    <t>North | BHERA</t>
  </si>
  <si>
    <t>Center I | KOTLI LOHARAN</t>
  </si>
  <si>
    <t>North | LAKKI MARWAT</t>
  </si>
  <si>
    <t>Center I | LALA MUSA</t>
  </si>
  <si>
    <t>North | CHAKWAL TO PIND DADAN KHAN ROAD</t>
  </si>
  <si>
    <t>Center I | GUJRAT TO JALALPUR JATTAN ROAD</t>
  </si>
  <si>
    <t>Center I | DINGA</t>
  </si>
  <si>
    <t>North | KHEWRA</t>
  </si>
  <si>
    <t>Center I | JALALPUR JATTAN</t>
  </si>
  <si>
    <t>Center I | HEAD MARALA (DHALLEWALI)</t>
  </si>
  <si>
    <t>North | JEHLUM</t>
  </si>
  <si>
    <t>North | PINNANWALA</t>
  </si>
  <si>
    <t>North | MANDI</t>
  </si>
  <si>
    <t>North | SAUWAAL</t>
  </si>
  <si>
    <t>Center I | MANDI BUHAUDIN</t>
  </si>
  <si>
    <t>Center I | LALAMUSA</t>
  </si>
  <si>
    <t>North | M2 LAHORE ISLAMABAD ROAD (BHERA TO ISLAMABAD)</t>
  </si>
  <si>
    <t>North | KALAR KAHAR</t>
  </si>
  <si>
    <t>Center I | FATEHPUR</t>
  </si>
  <si>
    <t>Center I | GT LAHORE ISLAMABAD ROAD (GUJRAT TO ISLAMABAD)</t>
  </si>
  <si>
    <t>North | CHOA SAIDAN SHAH</t>
  </si>
  <si>
    <t>Center I | RASUL</t>
  </si>
  <si>
    <t>North | GUJRAT</t>
  </si>
  <si>
    <t>North | KHARIAN TO MALAKWAL ROAD</t>
  </si>
  <si>
    <t>North | SOHAWA MIANWALI ROAD</t>
  </si>
  <si>
    <t>North | MIANWALI TO BANNU ROAD</t>
  </si>
  <si>
    <t>Center I | BHIMBER GUJRAT ROAD</t>
  </si>
  <si>
    <t>Center I | KARIANWALA</t>
  </si>
  <si>
    <t>North | KOHAT TO DI KHAN ROAD</t>
  </si>
  <si>
    <t>North | KHARIAN</t>
  </si>
  <si>
    <t>North | PURAN</t>
  </si>
  <si>
    <t>Center I | KHARIAN</t>
  </si>
  <si>
    <t>North | BANNU</t>
  </si>
  <si>
    <t>North | CHAKWAL TO KALAR KAHAR</t>
  </si>
  <si>
    <t>North | GT LAHORE ISLAMABAD ROAD (GUJRAT TO ISLAMABAD)</t>
  </si>
  <si>
    <t>North | TALA GANG</t>
  </si>
  <si>
    <t>North | SARAI ALAMGIR</t>
  </si>
  <si>
    <t>North | MALKA</t>
  </si>
  <si>
    <t>North | CHAKWAL</t>
  </si>
  <si>
    <t>North | BHIMBER GUJRAT ROAD</t>
  </si>
  <si>
    <t>North | SANGHOI</t>
  </si>
  <si>
    <t>North | JHELUM</t>
  </si>
  <si>
    <t>North | MANDAN, BANNU</t>
  </si>
  <si>
    <t>North | BHIMBER</t>
  </si>
  <si>
    <t>North | MIRPUR BHIMBER ROAD</t>
  </si>
  <si>
    <t>North | DINA</t>
  </si>
  <si>
    <t>North | KARAK</t>
  </si>
  <si>
    <t>North | TAMMAN</t>
  </si>
  <si>
    <t>North | CHAKWAL TO MANDRA</t>
  </si>
  <si>
    <t>North | FATEH JANG TELEGANG</t>
  </si>
  <si>
    <t>North | BANU TO BANDA DAUD TEHSIL SHAH ROAD</t>
  </si>
  <si>
    <t>North | DINA MIRPUR ROAD</t>
  </si>
  <si>
    <t>North | MIRPUR</t>
  </si>
  <si>
    <t>North | GUJAR KHAN</t>
  </si>
  <si>
    <t>North | MANGLA</t>
  </si>
  <si>
    <t>North | SOHAWA</t>
  </si>
  <si>
    <t>North | MANGLA VIEW RESORTS</t>
  </si>
  <si>
    <t>North | KOHAT TO DERA ISMAIL KHAN ROAD.</t>
  </si>
  <si>
    <t>North | DAULTALA</t>
  </si>
  <si>
    <t>North | CHAKRI</t>
  </si>
  <si>
    <t>North | PINDI GHEB</t>
  </si>
  <si>
    <t>North | THAATTI</t>
  </si>
  <si>
    <t>North | PINDI GHAIB</t>
  </si>
  <si>
    <t>North | KOHAT</t>
  </si>
  <si>
    <t>North | GUJJAR KHAN</t>
  </si>
  <si>
    <t>North | GUJJAR KHAN TO THAATHI ROAD</t>
  </si>
  <si>
    <t>North | QAZIAN</t>
  </si>
  <si>
    <t>North | M2 LAHORE ISLAMABAD ROAD</t>
  </si>
  <si>
    <t>North | BEWAL</t>
  </si>
  <si>
    <t>North | DADYAL</t>
  </si>
  <si>
    <t>North | SAMOT</t>
  </si>
  <si>
    <t>North | RAWAT TO M2 MOTORWAY LINK ROAD</t>
  </si>
  <si>
    <t>North | MANDRA</t>
  </si>
  <si>
    <t>North | RAWAT TO DADYAL (VIA KALAR SAYEDAN) ROAD</t>
  </si>
  <si>
    <t>North | BASALI</t>
  </si>
  <si>
    <t>North | KHINGER KALAN</t>
  </si>
  <si>
    <t>North | RAWAT</t>
  </si>
  <si>
    <t>North | RAWALPINDI</t>
  </si>
  <si>
    <t>North | BHATA</t>
  </si>
  <si>
    <t>North | KALAR SAYEDAN</t>
  </si>
  <si>
    <t>North | JUND</t>
  </si>
  <si>
    <t>North | KAHOTA KOTLI ROAD</t>
  </si>
  <si>
    <t>North | RAWALPINDI TO KOHAT ROAD</t>
  </si>
  <si>
    <t>North | KOTLI</t>
  </si>
  <si>
    <t>North | FATEH JANG</t>
  </si>
  <si>
    <t>North | ISLAMABAD</t>
  </si>
  <si>
    <t>North | KAHUTA</t>
  </si>
  <si>
    <t>North | ISLAMABAD KAHOTA ROAD</t>
  </si>
  <si>
    <t>North | AJK</t>
  </si>
  <si>
    <t>North | M1 ISLAMABAD BHURHAN ROAD</t>
  </si>
  <si>
    <t>North | GT ISLAMABAD PESHAWAR ROAD</t>
  </si>
  <si>
    <t>North | PESHAWAR KOHAT ROAD</t>
  </si>
  <si>
    <t>North | PALANDRI</t>
  </si>
  <si>
    <t>North | DARA ADAM KHEL</t>
  </si>
  <si>
    <t>North | TAXILA</t>
  </si>
  <si>
    <t>North | ISLAMABAD MURREE ROAD</t>
  </si>
  <si>
    <t>North | WAH CANTT</t>
  </si>
  <si>
    <t>North | HAJEERA</t>
  </si>
  <si>
    <t>North | ATTOCK</t>
  </si>
  <si>
    <t>North | MURREE EXPRESSWAY ROAD</t>
  </si>
  <si>
    <t>North | BANJOSA</t>
  </si>
  <si>
    <t>North | KOTLI SATTIAN TEHSIL</t>
  </si>
  <si>
    <t>North | MANG</t>
  </si>
  <si>
    <t>North | HASANABDAL</t>
  </si>
  <si>
    <t>North | BURHAN</t>
  </si>
  <si>
    <t>North | KAMRA ATTOCK ROAD</t>
  </si>
  <si>
    <t>North | MURREE</t>
  </si>
  <si>
    <t>North | M1 BURHAN TO PESHAWAR ROAD</t>
  </si>
  <si>
    <t>North | HASSAN ABDAL</t>
  </si>
  <si>
    <t>North | KAMRA</t>
  </si>
  <si>
    <t>North | RAWALAKOT</t>
  </si>
  <si>
    <t>North | NOWSHERA</t>
  </si>
  <si>
    <t>North | HATTAR</t>
  </si>
  <si>
    <t>North | RAWALAKOT HAJEERA ROAD</t>
  </si>
  <si>
    <t>North | PATRIATA</t>
  </si>
  <si>
    <t>North | MURREE PATRIATA ROAD</t>
  </si>
  <si>
    <t>North | KAMRA TO SWABI ROAD</t>
  </si>
  <si>
    <t>North | HAZARAROAD</t>
  </si>
  <si>
    <t>North | MUREE</t>
  </si>
  <si>
    <t>North | MULLA MANSOOR</t>
  </si>
  <si>
    <t>North | KHAIRABAD</t>
  </si>
  <si>
    <t>North | GHORA GALI</t>
  </si>
  <si>
    <t>North | LOWER TOPA</t>
  </si>
  <si>
    <t>North | PESHAWAR</t>
  </si>
  <si>
    <t>North | HASSAN ABDAL MANSEHRA ROAD</t>
  </si>
  <si>
    <t>North | HAZRO</t>
  </si>
  <si>
    <t>North | BAGH RAWALAKOT ROAD</t>
  </si>
  <si>
    <t>North | CHACH</t>
  </si>
  <si>
    <t>North | CHERAT</t>
  </si>
  <si>
    <t>North | HARIPUR</t>
  </si>
  <si>
    <t>North | MURREE BHURBAN ROAD</t>
  </si>
  <si>
    <t>North | DAMAN</t>
  </si>
  <si>
    <t>North | ADAL ZAI</t>
  </si>
  <si>
    <t>North | BHURBAN</t>
  </si>
  <si>
    <t>North | JAHANGIRA</t>
  </si>
  <si>
    <t>North | BAGH</t>
  </si>
  <si>
    <t>North | MURREE ABBOTTABAD ROAD</t>
  </si>
  <si>
    <t>North | HAVELIAN</t>
  </si>
  <si>
    <t>North | BARA, PESHAWAR</t>
  </si>
  <si>
    <t>North | PABBI</t>
  </si>
  <si>
    <t>North | AKORA</t>
  </si>
  <si>
    <t>North | JAHENGIRA TO SAWABI</t>
  </si>
  <si>
    <t>North | SARAI SALHA</t>
  </si>
  <si>
    <t>North | TORDHER</t>
  </si>
  <si>
    <t>North | KOHALA BAGH ROAD</t>
  </si>
  <si>
    <t>North | NELABUT</t>
  </si>
  <si>
    <t>North | DHIRKOT</t>
  </si>
  <si>
    <t>North | KHALABAT</t>
  </si>
  <si>
    <t>North | JAMRUD PESHAWAR</t>
  </si>
  <si>
    <t>North | AMANGARH</t>
  </si>
  <si>
    <t>North | GHAZITEHSIL</t>
  </si>
  <si>
    <t>North | MURREE KOHALA MUZAFARABAD ROAD</t>
  </si>
  <si>
    <t>North | JAHANGIRA TO SWABI ROAD</t>
  </si>
  <si>
    <t>North | NATHIA GALI</t>
  </si>
  <si>
    <t>North | TARBELA</t>
  </si>
  <si>
    <t>North | SWABI</t>
  </si>
  <si>
    <t>North | NOWSHEHRA</t>
  </si>
  <si>
    <t>North | LAHORTEHSIL</t>
  </si>
  <si>
    <t>North | RAISALPUR</t>
  </si>
  <si>
    <t>North | TOPI (GIK UNIVERSITY AREA)</t>
  </si>
  <si>
    <t>North | SAWABI</t>
  </si>
  <si>
    <t>North | TOPI</t>
  </si>
  <si>
    <t>North | LANDI KOTAL</t>
  </si>
  <si>
    <t>North | PESHAWAR TO TAKHT BHAI ROAD</t>
  </si>
  <si>
    <t>North | TORKHAM</t>
  </si>
  <si>
    <t>North | GUDOON</t>
  </si>
  <si>
    <t>North | CHARSADDA</t>
  </si>
  <si>
    <t>North | PESHAWAR SWABI ROAD</t>
  </si>
  <si>
    <t>North | CHAKOTHI</t>
  </si>
  <si>
    <t>North | ABBOTTABAD</t>
  </si>
  <si>
    <t>North | MARDAN</t>
  </si>
  <si>
    <t>North | MUZAFARABAD CHAKOTHI ROAD</t>
  </si>
  <si>
    <t>North | HATTIAN BALA</t>
  </si>
  <si>
    <t>North | UTMANZAI</t>
  </si>
  <si>
    <t>North | NAWAN SHEHR</t>
  </si>
  <si>
    <t>North | THANDIANI</t>
  </si>
  <si>
    <t>North | SHABQADAR</t>
  </si>
  <si>
    <t>North | GARHI DUPATTA</t>
  </si>
  <si>
    <t>North | MANSEHRA</t>
  </si>
  <si>
    <t>North | MARDAN TO MINGORA ROAD</t>
  </si>
  <si>
    <t>North | TAKHT BHAI</t>
  </si>
  <si>
    <t>North | TANGI</t>
  </si>
  <si>
    <t>North | MOHMAND AGENCY</t>
  </si>
  <si>
    <t>North | MUZAFARABAD BALAKOT ROAD</t>
  </si>
  <si>
    <t>North | RUSTAM</t>
  </si>
  <si>
    <t>North | MUZAFFARABAD</t>
  </si>
  <si>
    <t>North | MUZZFARABAD</t>
  </si>
  <si>
    <t>North | HARICHAND</t>
  </si>
  <si>
    <t>North | MANSEHRA BALAKOT ROAD</t>
  </si>
  <si>
    <t>North | MANSEHRA BATTGRAM ROAD</t>
  </si>
  <si>
    <t>North | GHARI HABIBULLAH</t>
  </si>
  <si>
    <t>North | BAFFA</t>
  </si>
  <si>
    <t>North | NEELUM VALLEY</t>
  </si>
  <si>
    <t>North | SAKHAKOT</t>
  </si>
  <si>
    <t>North | BALAKOT</t>
  </si>
  <si>
    <t>North | DEWANABABA</t>
  </si>
  <si>
    <t>North | SAWARI</t>
  </si>
  <si>
    <t>North | MALAKAND</t>
  </si>
  <si>
    <t>North | DAGGAR TEHSIL</t>
  </si>
  <si>
    <t>North | MARDAN TO BATKHELA</t>
  </si>
  <si>
    <t>North | BALAKOT TO NARAN ROAD</t>
  </si>
  <si>
    <t>North | BATTAL</t>
  </si>
  <si>
    <t>North | PIR BABA</t>
  </si>
  <si>
    <t>North | BATTAGRAM</t>
  </si>
  <si>
    <t>North | BATKHELA</t>
  </si>
  <si>
    <t>North | THANA</t>
  </si>
  <si>
    <t>North | CHAKDARA DIR</t>
  </si>
  <si>
    <t>North | CHAKDARA</t>
  </si>
  <si>
    <t>North | BATGRAM</t>
  </si>
  <si>
    <t>North | SWAT</t>
  </si>
  <si>
    <t>North | BATKHELA TO CHITRAL ROAD</t>
  </si>
  <si>
    <t>North | BATGRAM TO PATTAN</t>
  </si>
  <si>
    <t>North | MINGORA</t>
  </si>
  <si>
    <t>North | BAT KHELA TO CHITRAL ROAD</t>
  </si>
  <si>
    <t>North | BAJAUR AGENCY</t>
  </si>
  <si>
    <t>North | SAIDU SHARIF</t>
  </si>
  <si>
    <t>North | KAGHAN</t>
  </si>
  <si>
    <t>North | TIMERGARA</t>
  </si>
  <si>
    <t>North | ALPURI</t>
  </si>
  <si>
    <t>North | LOWER DIR</t>
  </si>
  <si>
    <t>North | NARAN</t>
  </si>
  <si>
    <t>North | BESHAM</t>
  </si>
  <si>
    <t>North | KALAM</t>
  </si>
  <si>
    <t>North | BANDA</t>
  </si>
  <si>
    <t>North | DIR SWAT</t>
  </si>
  <si>
    <t>North | UPPER DIR</t>
  </si>
  <si>
    <t>North | DIR</t>
  </si>
  <si>
    <t>North | KHAPLU</t>
  </si>
  <si>
    <t>North | PANAKOT</t>
  </si>
  <si>
    <t>North | SHREGAL, UPPER DIR</t>
  </si>
  <si>
    <t>North | SKARDU</t>
  </si>
  <si>
    <t>North | PATTAN TO DASSU</t>
  </si>
  <si>
    <t>North | SHERINGAL</t>
  </si>
  <si>
    <t>North | SHRINGAL</t>
  </si>
  <si>
    <t>North | CHITRAL</t>
  </si>
  <si>
    <t>North | ASTORE</t>
  </si>
  <si>
    <t>North | CHILAS</t>
  </si>
  <si>
    <t>North | KALKOT</t>
  </si>
  <si>
    <t>North | ASHRATE</t>
  </si>
  <si>
    <t>North | VILLAGE MIR KHANI</t>
  </si>
  <si>
    <t>North | DAROSH CHITRAL</t>
  </si>
  <si>
    <t>North | BAT KHELA TO CHITRAL ROAD.</t>
  </si>
  <si>
    <t>North | GILGIT</t>
  </si>
  <si>
    <t>North | Chitral</t>
  </si>
  <si>
    <t>North | GHIZAR</t>
  </si>
  <si>
    <t>North | KARIMABAD</t>
  </si>
  <si>
    <t>North | UPPER CHITRAL</t>
  </si>
  <si>
    <t>Center I | KARACHI</t>
  </si>
  <si>
    <t>South</t>
  </si>
  <si>
    <t>North</t>
  </si>
  <si>
    <t>Central-I</t>
  </si>
  <si>
    <t>Central-II</t>
  </si>
  <si>
    <t>Central</t>
  </si>
  <si>
    <t>Select Region =&gt;</t>
  </si>
  <si>
    <t>Reason/Comments</t>
  </si>
  <si>
    <t>DC voltage out of range</t>
  </si>
  <si>
    <t>V6.2</t>
  </si>
  <si>
    <t>Address added: saddiquelail40@gmail.com;rashraf.khl@gmail.com;Muhammad.afzal@gmail.com;Raheem.mobilink@gmail.com;Maqsood4396@gmail.com;Abbas.h@khl.com.pk;Sehrish.h@khl.com.pk;Faiz.mian@guest.mobilink.net</t>
  </si>
  <si>
    <t>V6.1</t>
  </si>
  <si>
    <t>new email recipients for more then 9 sites were added and were excluded later.</t>
  </si>
  <si>
    <t>V6.3</t>
  </si>
  <si>
    <t>Script for uploading text files created/Postpond</t>
  </si>
  <si>
    <t>NOC.GSM@waridtel.com;wind@waridtel.com;ericsson.outages@gmail.com;Ansar.abbasi@huawei.com</t>
  </si>
  <si>
    <t>V6.4</t>
  </si>
  <si>
    <t>Script for uploading text files re-created/Muhammad.Abbas2@Waridtel.com moved from North to Center-I</t>
  </si>
  <si>
    <t>BSC04</t>
  </si>
  <si>
    <t>V6.5</t>
  </si>
  <si>
    <t>&gt;3hr macro updated</t>
  </si>
  <si>
    <t>Down sites time issue fixed.</t>
  </si>
  <si>
    <t>V6.6</t>
  </si>
  <si>
    <t>hightech.noc@gmail.com added in down sites email recipients for North region</t>
  </si>
  <si>
    <t>02/02-19:12</t>
  </si>
  <si>
    <t>02/02-23:07</t>
  </si>
  <si>
    <t>BSC39</t>
  </si>
  <si>
    <t>02/03-05:47</t>
  </si>
  <si>
    <t>BSC13</t>
  </si>
  <si>
    <t>02/03-07:36</t>
  </si>
  <si>
    <t>BSC21</t>
  </si>
  <si>
    <t>MU7720</t>
  </si>
  <si>
    <t>BSC41</t>
  </si>
  <si>
    <t>02/03-08:08</t>
  </si>
  <si>
    <t>02/03-08:14</t>
  </si>
  <si>
    <t>BSC37</t>
  </si>
  <si>
    <t>02/03-08:26</t>
  </si>
  <si>
    <t>02/03-08:37</t>
  </si>
  <si>
    <t>02/03-08:39</t>
  </si>
  <si>
    <t>02/03-08:43</t>
  </si>
  <si>
    <t>02/03-08:45</t>
  </si>
  <si>
    <t>02/03-08:48</t>
  </si>
  <si>
    <t>BSC25</t>
  </si>
  <si>
    <t>02/03-08:59</t>
  </si>
  <si>
    <t>02/03-08:51</t>
  </si>
  <si>
    <t>BSC01</t>
  </si>
  <si>
    <t>02/03-08:56</t>
  </si>
  <si>
    <t>02/03-09:02</t>
  </si>
  <si>
    <t>BSC23</t>
  </si>
  <si>
    <t>02/03-09:03</t>
  </si>
  <si>
    <t>02/03-09:05</t>
  </si>
  <si>
    <t>02/03-09:06</t>
  </si>
  <si>
    <t>02/03-09:10</t>
  </si>
  <si>
    <t>02/03-09:14</t>
  </si>
  <si>
    <t>BSC22</t>
  </si>
  <si>
    <t>02/03-09:18</t>
  </si>
  <si>
    <t>02/03-09:19</t>
  </si>
  <si>
    <t>02/03-09:16</t>
  </si>
  <si>
    <t>02/03-08:34</t>
  </si>
  <si>
    <t>02/03-08:40</t>
  </si>
  <si>
    <t>02/03-08:25</t>
  </si>
  <si>
    <t>02/03-08:57</t>
  </si>
  <si>
    <t>02/03-09:13</t>
  </si>
  <si>
    <t>02/03-09:23</t>
  </si>
  <si>
    <t>BSC31</t>
  </si>
  <si>
    <t>BSC30</t>
  </si>
  <si>
    <t>02/03-09:33</t>
  </si>
  <si>
    <t>02/03-09:30</t>
  </si>
  <si>
    <t>02/03-09:26</t>
  </si>
  <si>
    <t>02/03-09:32</t>
  </si>
  <si>
    <t>02/03-09:47</t>
  </si>
  <si>
    <t>02/03-09:44</t>
  </si>
  <si>
    <t>02/03-09:51</t>
  </si>
  <si>
    <t>02/03-09:56</t>
  </si>
  <si>
    <t>02/03-09:53</t>
  </si>
  <si>
    <t>02/03-10:03</t>
  </si>
  <si>
    <t>02/03-09:27</t>
  </si>
  <si>
    <t>02/03-09:36</t>
  </si>
  <si>
    <t>02/03-09:59</t>
  </si>
  <si>
    <t>02/03-09:57</t>
  </si>
  <si>
    <t>02/03-10:10</t>
  </si>
  <si>
    <t>02/03-10:14</t>
  </si>
  <si>
    <t>02/03-10:11</t>
  </si>
  <si>
    <t>02/03-10:17</t>
  </si>
  <si>
    <t>02/03-10:16</t>
  </si>
  <si>
    <t>02/03-10:07</t>
  </si>
  <si>
    <t>02/03-10:28</t>
  </si>
  <si>
    <t>02/03-10:30</t>
  </si>
  <si>
    <t>02/03-10:31</t>
  </si>
  <si>
    <t>02/03-10:05</t>
  </si>
  <si>
    <t>02/03-10:08</t>
  </si>
  <si>
    <t>02/03-10:19</t>
  </si>
  <si>
    <t>02/03-10:25</t>
  </si>
  <si>
    <t>02/03-10:36</t>
  </si>
  <si>
    <t>003-176-988</t>
  </si>
  <si>
    <t>02/03-10:45</t>
  </si>
  <si>
    <t>02/03-10:46</t>
  </si>
  <si>
    <t>02/03-10:54</t>
  </si>
  <si>
    <t>02/03-10:57</t>
  </si>
  <si>
    <t>02/03-11:00</t>
  </si>
  <si>
    <t>02/03-10:42</t>
  </si>
  <si>
    <t>02/03-10:40</t>
  </si>
  <si>
    <t>02/03-10:48</t>
  </si>
  <si>
    <t>02/03-11:02</t>
  </si>
  <si>
    <t>02/03-11:18</t>
  </si>
  <si>
    <t>02/03-11:17</t>
  </si>
  <si>
    <t>02/03-11:29</t>
  </si>
  <si>
    <t>02/03-11:23</t>
  </si>
  <si>
    <t>02/03-11:24</t>
  </si>
  <si>
    <t>02/03-11:14</t>
  </si>
  <si>
    <t>02/03-11:15</t>
  </si>
  <si>
    <t>02/03-11:32</t>
  </si>
  <si>
    <t>02/03-11:37</t>
  </si>
  <si>
    <t>02/03-11:52</t>
  </si>
  <si>
    <t>02/03-11:44</t>
  </si>
  <si>
    <t>02/03-11:46</t>
  </si>
  <si>
    <t>02/03-11:34</t>
  </si>
  <si>
    <t>02/03-11:43</t>
  </si>
  <si>
    <t>02/03-11:41</t>
  </si>
  <si>
    <t>02/03-11:59</t>
  </si>
  <si>
    <t>02/03-12:03</t>
  </si>
  <si>
    <t>02/03-12:01</t>
  </si>
  <si>
    <t>02/03-12:11</t>
  </si>
  <si>
    <t>02/03-12:07</t>
  </si>
  <si>
    <t>02/03-12:04</t>
  </si>
  <si>
    <t>02/03-12:12</t>
  </si>
  <si>
    <t>02/03-12:15</t>
  </si>
  <si>
    <t>003-177-029</t>
  </si>
  <si>
    <t>02/03-12:22</t>
  </si>
  <si>
    <t>02/03-11:58</t>
  </si>
  <si>
    <t>02/03-12:06</t>
  </si>
  <si>
    <t>02/03-12:14</t>
  </si>
  <si>
    <t>02/03-12:33</t>
  </si>
  <si>
    <t>MF at 1819Hrs. DC Voltage out of Range,Only CP site,  CP faulty</t>
  </si>
  <si>
    <t>02/03-12:41</t>
  </si>
  <si>
    <t>02/03-12:52</t>
  </si>
  <si>
    <t>02/03-12:50</t>
  </si>
  <si>
    <t>02/03-12:42</t>
  </si>
  <si>
    <t>02/03-12:39</t>
  </si>
  <si>
    <t>02/03-12:34</t>
  </si>
  <si>
    <t>02/03-12:48</t>
  </si>
  <si>
    <t>02/03-12:44</t>
  </si>
  <si>
    <t>02/03-12:58</t>
  </si>
  <si>
    <t>02/03-12:56</t>
  </si>
  <si>
    <t>MF at 0941, DC</t>
  </si>
  <si>
    <t>MF at 1231, DC</t>
  </si>
  <si>
    <t>02/03-13:14</t>
  </si>
  <si>
    <t>02/03-13:09</t>
  </si>
  <si>
    <t>LH0438</t>
  </si>
  <si>
    <t>02/03-13:03</t>
  </si>
  <si>
    <t>02/03-13:16</t>
  </si>
  <si>
    <t>02/03-13:24</t>
  </si>
  <si>
    <t>02/03-13:27</t>
  </si>
  <si>
    <t>02/03-13:21</t>
  </si>
  <si>
    <t>02/03-13:17</t>
  </si>
  <si>
    <t>02/03-13:25</t>
  </si>
  <si>
    <t>02/03-13:22</t>
  </si>
  <si>
    <t>02/03-13:37</t>
  </si>
  <si>
    <t>02/03-13:34</t>
  </si>
  <si>
    <t>02/03-13:35</t>
  </si>
  <si>
    <t>02/03-13:44</t>
  </si>
  <si>
    <t>02/03-13:39</t>
  </si>
  <si>
    <t>02/03-13:45</t>
  </si>
  <si>
    <t>02/03-13:40</t>
  </si>
  <si>
    <t>02/03-13:49</t>
  </si>
  <si>
    <t>02/03-13:32</t>
  </si>
  <si>
    <t>02/03-13:42</t>
  </si>
  <si>
    <t>02/03-13:54</t>
  </si>
  <si>
    <t>02/03-13:55</t>
  </si>
  <si>
    <t>02/03-14:07</t>
  </si>
  <si>
    <t>02/03-14:09</t>
  </si>
  <si>
    <t>02/03-14:10</t>
  </si>
  <si>
    <t>02/03-14:00</t>
  </si>
  <si>
    <t>02/03-14:04</t>
  </si>
  <si>
    <t>02/03-14:02</t>
  </si>
  <si>
    <t>02/03-14:15</t>
  </si>
  <si>
    <t>02/03-14:17</t>
  </si>
  <si>
    <t>02/03-14:22</t>
  </si>
  <si>
    <t>003-177-064</t>
  </si>
  <si>
    <t>003-177-066</t>
  </si>
  <si>
    <t>003-177-067</t>
  </si>
  <si>
    <t>02/03-14:25</t>
  </si>
  <si>
    <t>02/03-14:28</t>
  </si>
  <si>
    <t>003-177-069</t>
  </si>
  <si>
    <t>02/03-14:33</t>
  </si>
  <si>
    <t>02/03-14:54</t>
  </si>
  <si>
    <t>Esc to FME zubair Power issue Genset faulty, by Anwar FME at 1450 Power issue resolved at 1450, FME updating still power issue after conference call Now FME again Checking the site at 1500</t>
  </si>
  <si>
    <t>Mobilink | SRW9972 DC power shares by FM iftikhar CP load shedding, CP faulty</t>
  </si>
  <si>
    <t xml:space="preserve">
Following sites are down for more than 3 hours
1.MU7720 ()
Start Time:  03/02/2017 07:36
Current Reason: 
Intimated Timeline: (No Timeline)
2.GJ7654 (P2)
Start Time:  03/02/2017 10:16
Current Reason: 
Intimated Timeline: (No Timeline)
3.LH1077 (P1)
Start Time:  03/02/2017 11:29
Current Reason: 
Intimated Timeline: (No Timeline)
</t>
  </si>
  <si>
    <t>02/03-15:14</t>
  </si>
  <si>
    <t>02/03-15:06</t>
  </si>
  <si>
    <t>02/03-15:15</t>
  </si>
  <si>
    <t>02/03-15:09</t>
  </si>
  <si>
    <t>02/03-15:03</t>
  </si>
  <si>
    <t>02/03-15:22</t>
  </si>
  <si>
    <t>02/03-15:23</t>
  </si>
  <si>
    <t>02/03-14:40</t>
  </si>
  <si>
    <t>02/03-14:39</t>
  </si>
  <si>
    <t>02/03-14:51</t>
  </si>
  <si>
    <t>02/03-14:53</t>
  </si>
  <si>
    <t>02/03-15:08</t>
  </si>
  <si>
    <t>02/03-15:17</t>
  </si>
  <si>
    <t>02/03-15:37</t>
  </si>
  <si>
    <t>02/03-15:41</t>
  </si>
  <si>
    <t>02/03-15:34</t>
  </si>
  <si>
    <t>02/03-15:31</t>
  </si>
  <si>
    <t>02/03-15:38</t>
  </si>
  <si>
    <t>MF at 1515, SOB,SUV</t>
  </si>
  <si>
    <t>MF at 1518, SOB,SUV</t>
  </si>
  <si>
    <t>MF at 1517, SOB,SUV</t>
  </si>
  <si>
    <t>003-177-121</t>
  </si>
  <si>
    <t>003-177-123</t>
  </si>
  <si>
    <t>003-177-124</t>
  </si>
  <si>
    <t>02/03-15:46</t>
  </si>
  <si>
    <t>02/03-15:45</t>
  </si>
  <si>
    <t xml:space="preserve">MF at 1023, CP faulty, after deisel refill DG fuel pipe faulty </t>
  </si>
  <si>
    <t>02/03-15:54</t>
  </si>
  <si>
    <t>02/03-15:49</t>
  </si>
  <si>
    <t>02/03-15:51</t>
  </si>
  <si>
    <t>02/03-15:59</t>
  </si>
  <si>
    <t>02/03-16:06</t>
  </si>
  <si>
    <t>02/03-16:04</t>
  </si>
  <si>
    <t>02/03-16:09</t>
  </si>
  <si>
    <t>02/03-16:16</t>
  </si>
  <si>
    <t>02/03-16:14</t>
  </si>
  <si>
    <t>02/03-16:21</t>
  </si>
  <si>
    <t>02/03-16:19</t>
  </si>
  <si>
    <t>02/03-16:24</t>
  </si>
  <si>
    <t>02/03-16:26</t>
  </si>
  <si>
    <t>02/03-15:28</t>
  </si>
  <si>
    <t>02/03-15:29</t>
  </si>
  <si>
    <t>02/03-15:43</t>
  </si>
  <si>
    <t>02/03-16:02</t>
  </si>
  <si>
    <t>02/03-16:18</t>
  </si>
  <si>
    <t>V6.7</t>
  </si>
  <si>
    <t>Abbas.h@khl.com.pk;Sehrish.h@khl.com.pk;saddiquelail40@gmail.com;rashraf.khl@gmail.com;Muhammad.afzal@gmail.com;Raheem.mobilink@gmail.com are excluded from C-I region from down sites recipients and from complete centre for Reason required recipients.</t>
  </si>
  <si>
    <t>GJ1600</t>
  </si>
  <si>
    <t>LH0434</t>
  </si>
  <si>
    <t>KA0436</t>
  </si>
  <si>
    <t>LH7724</t>
  </si>
  <si>
    <t>LH4523</t>
  </si>
  <si>
    <t>KA5046</t>
  </si>
  <si>
    <t>KA7549</t>
  </si>
  <si>
    <t>KA4706</t>
  </si>
  <si>
    <t>KA7703</t>
  </si>
  <si>
    <t>IB3150</t>
  </si>
  <si>
    <t>IB4535</t>
  </si>
  <si>
    <t>IB3188</t>
  </si>
  <si>
    <t>B04261</t>
  </si>
  <si>
    <t>IB2945</t>
  </si>
  <si>
    <t>3D3712</t>
  </si>
  <si>
    <t>CA4991</t>
  </si>
  <si>
    <t>CA5001</t>
  </si>
  <si>
    <t>CA5003</t>
  </si>
  <si>
    <t>CA4999</t>
  </si>
  <si>
    <t>tariq mahar | 0302-8280964</t>
  </si>
  <si>
    <t>Khalid Iqbal | 0306-5788333</t>
  </si>
  <si>
    <t>Usman Khalid | 0302-8480264</t>
  </si>
  <si>
    <t>Muhammad Rizwan Hameed | 0302-8407260</t>
  </si>
  <si>
    <t>Waqas Naeem | 3008711033</t>
  </si>
  <si>
    <t>Umer Ijaz Butt | 0301-8613684</t>
  </si>
  <si>
    <t>Faiq Raza | +92-301-8669957</t>
  </si>
  <si>
    <t>Muhammad Shahid Noveed Baig | 92-300-8565651</t>
  </si>
  <si>
    <t>Saqib Saeed | 0323-4478487</t>
  </si>
  <si>
    <t>Nayyir Ejaz | 0302-8480262</t>
  </si>
  <si>
    <t>shoaib yousuf | 0301-8238935</t>
  </si>
  <si>
    <t>asim tauqeer | 0321-2220683</t>
  </si>
  <si>
    <t>asim sheikh | 0302-8297327</t>
  </si>
  <si>
    <t>ghulam khuwaja | 0301-8239429</t>
  </si>
  <si>
    <t>Hannan Ashraf | 0301-8450105</t>
  </si>
  <si>
    <t xml:space="preserve"> Muhammad Abbas | 0323-4457641</t>
  </si>
  <si>
    <t>Zain Hafeez | 0302-8480269</t>
  </si>
  <si>
    <t>Waleed Aslam | 0300-4020203</t>
  </si>
  <si>
    <t>shumail jazeb | 0321-2442234</t>
  </si>
  <si>
    <t>Muhammad Zain Akbar | 0302-8478238</t>
  </si>
  <si>
    <t>Iftikhar Ahmad | 0302-8508744</t>
  </si>
  <si>
    <t>Muhammad Usman Sadiq | 0303-6666288</t>
  </si>
  <si>
    <t>Muhammad Iqbal Khan | 0301-8502436</t>
  </si>
  <si>
    <t>Haq Nawaz | 0300-8425889</t>
  </si>
  <si>
    <t>Syed Ahmad Ali Shah | 0322-5002158</t>
  </si>
  <si>
    <t>Haroon Ahmed | +92-301-8666069</t>
  </si>
  <si>
    <t>Abid Khan | 0300-8648039</t>
  </si>
  <si>
    <t>maqsood ali | 0300-8292944</t>
  </si>
  <si>
    <t>Shahid Aziz | 0301-8480190</t>
  </si>
  <si>
    <t>Muhammad Usman5  | 0321-5169842</t>
  </si>
  <si>
    <t>Muhammad Mohsin  | 0321-4422257</t>
  </si>
  <si>
    <t>Wasif Ali | 0301-8237458</t>
  </si>
  <si>
    <t>Waleed Bin Tariq | +92-301-8238617</t>
  </si>
  <si>
    <t>mian khan | 0301-8239061</t>
  </si>
  <si>
    <t>Allah Nawaz Najee | 0301-8471860</t>
  </si>
  <si>
    <t>Tasweer Hussain | 0308-2220276</t>
  </si>
  <si>
    <t>Shahzad hassan Pervez | +92-301-8544484</t>
  </si>
  <si>
    <t>Abdul Rehman Randhawa | +92-302-8668753</t>
  </si>
  <si>
    <t xml:space="preserve"> Arshad Javed | 0300-8560434</t>
  </si>
  <si>
    <t>Fahim Anwar | 0300-8540984</t>
  </si>
  <si>
    <t>Akmal Shahzad | 92-302-8432537</t>
  </si>
  <si>
    <t xml:space="preserve"> Muhammad Shariq Ismail | 0301-8567847</t>
  </si>
  <si>
    <t>Mohammad Nishat | 0301-8567816</t>
  </si>
  <si>
    <t>Hassan Raza | +92-302-8209308</t>
  </si>
  <si>
    <t>ghayas khan | 0301-8238807</t>
  </si>
  <si>
    <t>Asif Mehmood | 0301-8559771</t>
  </si>
  <si>
    <t xml:space="preserve"> Ayyaz Hussain | 0320-4440086</t>
  </si>
  <si>
    <t>zubair khan | 0300-8659274</t>
  </si>
  <si>
    <t>muhammadsaeed1 | 0300-884064</t>
  </si>
  <si>
    <t>salman hashmi2 | 0321-2421720</t>
  </si>
  <si>
    <t>Naib Ullah | 0301-8208619</t>
  </si>
  <si>
    <t>Tauqeer javed | +92-300-8659185</t>
  </si>
  <si>
    <t>Faisal Mughal | +92-321-7722880</t>
  </si>
  <si>
    <t>hammad ahmed | 0301-8238654</t>
  </si>
  <si>
    <t>shahid zahoor | 0321-2421766</t>
  </si>
  <si>
    <t>Talat Nawab Khattak | 0301-8541213</t>
  </si>
  <si>
    <t>Usama Aslam khan | +92-301-8660680</t>
  </si>
  <si>
    <t>Jawad Akram | 0300-8408150</t>
  </si>
  <si>
    <t>zubair manzoor | 0300-8380766</t>
  </si>
  <si>
    <t>Abdul Rehman | 0301-8733358</t>
  </si>
  <si>
    <t>Farrukh Ayyaub | +92-300-8638868</t>
  </si>
  <si>
    <t>masnoor shah1 | 0300-8673770</t>
  </si>
  <si>
    <t>muazam bhatti | 0300-8448357</t>
  </si>
  <si>
    <t>mohib ali | 0302-8280977</t>
  </si>
  <si>
    <t>Muhammad Kashif Ul Haq | 0320-5501012</t>
  </si>
  <si>
    <t>Iftikhar Hussain | 0301-8510909</t>
  </si>
  <si>
    <t>Adeel Arshad | 0321-6325169</t>
  </si>
  <si>
    <t>Muhammad Khalid Younas | 0321-4006674</t>
  </si>
  <si>
    <t>Rashid Iqbal | +92-301-8666068</t>
  </si>
  <si>
    <t>Muhammad Zeeshan | +92-321-4000563</t>
  </si>
  <si>
    <t>Abdul Hannan Samad | 0301-8550160</t>
  </si>
  <si>
    <t>khalid mahmood | 0321-2220461</t>
  </si>
  <si>
    <t>Bilal Zahoor Malik | +92-302-8472783</t>
  </si>
  <si>
    <t>Imran Shahid | +92-302-8662925</t>
  </si>
  <si>
    <t>Mohsin Bakhtyar | +92-300-8638369</t>
  </si>
  <si>
    <t>Muhammad Rafique | 0301-8666064</t>
  </si>
  <si>
    <t>Waseem Abbas | +92-301-8733009</t>
  </si>
  <si>
    <t>Salman  Ahmed | +92-307-4440938</t>
  </si>
  <si>
    <t>attique khan | 0301-8219590</t>
  </si>
  <si>
    <t>Syed Hassan Raza | +92-301-8660047</t>
  </si>
  <si>
    <t>M. Haroon Rashid | 0300-5550154</t>
  </si>
  <si>
    <t>aqeel ahmed | 0301-8299887</t>
  </si>
  <si>
    <t>shaheryar abbasi | 0302-8383574</t>
  </si>
  <si>
    <t>saqib sheikh | 0301-8238981</t>
  </si>
  <si>
    <t>yasir qureshi | 0300-8667057</t>
  </si>
  <si>
    <t>Naveed Ahmed | +92-301-8239718</t>
  </si>
  <si>
    <t>Muhammad Shafiq | +92-300-702407</t>
  </si>
  <si>
    <t>Nauman Ahmed | +92-300-8639099</t>
  </si>
  <si>
    <t>ali khaskheli | 0302-8282733</t>
  </si>
  <si>
    <t>Manzoor Hussain | 0302-8660643</t>
  </si>
  <si>
    <t>Zulfiqar Ali Tariq Bashir | 0300-6989289</t>
  </si>
  <si>
    <t>MBU Owner | Contact no.</t>
  </si>
  <si>
    <t>Feilgs "New MBU" and "Owner | Contact no." added.</t>
  </si>
  <si>
    <t>V6.9</t>
  </si>
  <si>
    <t xml:space="preserve">Hub 1 | 28 | 0 | </t>
  </si>
  <si>
    <t xml:space="preserve">Hub 1 | 49 | 3 | </t>
  </si>
  <si>
    <t xml:space="preserve">Hub 1 | 50 | 0 | </t>
  </si>
  <si>
    <t xml:space="preserve">Hub 1 | 24 | 0 | </t>
  </si>
  <si>
    <t xml:space="preserve">Hub 1 | 27 | 0 | </t>
  </si>
  <si>
    <t xml:space="preserve">Hub 1 | 23 | 0 | </t>
  </si>
  <si>
    <t xml:space="preserve">Hub 1 | 47 | 2 | </t>
  </si>
  <si>
    <t xml:space="preserve">Hub 1 | 50 | 17 | </t>
  </si>
  <si>
    <t xml:space="preserve">Hub 1 | 37 | 2 | </t>
  </si>
  <si>
    <t xml:space="preserve">Hub 3 | 6 | 0 | </t>
  </si>
  <si>
    <t xml:space="preserve">Hub 3 | 4 | 0 | </t>
  </si>
  <si>
    <t xml:space="preserve">Hub 1 | 30 | 0 | </t>
  </si>
  <si>
    <t xml:space="preserve">Non Hub | 1 | 0 | </t>
  </si>
  <si>
    <t xml:space="preserve">Non Hub | 0 | 0 | </t>
  </si>
  <si>
    <t xml:space="preserve">Hub 1 | 67 | 3 | </t>
  </si>
  <si>
    <t xml:space="preserve">Hub 1 | 28 | 19 | </t>
  </si>
  <si>
    <t xml:space="preserve">Hub 2 | 6 | 8 | </t>
  </si>
  <si>
    <t xml:space="preserve">Hub 1 | 31 | 7 | </t>
  </si>
  <si>
    <t xml:space="preserve">Hub 1 | 48 | 31 | </t>
  </si>
  <si>
    <t xml:space="preserve">Hub 2 | 11 | 5 | </t>
  </si>
  <si>
    <t xml:space="preserve">Hub 1 | 8 | 12 | </t>
  </si>
  <si>
    <t xml:space="preserve">Hub 2 | 7 | 5 | </t>
  </si>
  <si>
    <t xml:space="preserve">Hub 3 | 2 | 0 | </t>
  </si>
  <si>
    <t xml:space="preserve">Hub 1 | 56 | 4 | </t>
  </si>
  <si>
    <t xml:space="preserve">Hub 3 | 5 | 0 | </t>
  </si>
  <si>
    <t xml:space="preserve">Hub 3 | 2 | 1 | </t>
  </si>
  <si>
    <t xml:space="preserve">Hub 1 | 20 | 4 | </t>
  </si>
  <si>
    <t xml:space="preserve">Hub 1 | 43 | 9 | </t>
  </si>
  <si>
    <t xml:space="preserve">Hub 1 | 26 | 0 | </t>
  </si>
  <si>
    <t xml:space="preserve">Hub 1 | 38 | 19 | </t>
  </si>
  <si>
    <t xml:space="preserve">Hub 1 | 36 | 13 | </t>
  </si>
  <si>
    <t xml:space="preserve">Hub 1 | 20 | 0 | </t>
  </si>
  <si>
    <t xml:space="preserve">Hub 2 | 12 | 1 | </t>
  </si>
  <si>
    <t xml:space="preserve">Hub 3 | 3 | 0 | </t>
  </si>
  <si>
    <t xml:space="preserve">Hub 3 | 8 | 0 | </t>
  </si>
  <si>
    <t xml:space="preserve">Hub 1 | 22 | 0 | </t>
  </si>
  <si>
    <t xml:space="preserve">Hub 2 | 10 | 0 | </t>
  </si>
  <si>
    <t xml:space="preserve">Hub 2 | 11 | 0 | </t>
  </si>
  <si>
    <t xml:space="preserve">Hub 2 | 12 | 0 | </t>
  </si>
  <si>
    <t xml:space="preserve">Hub 1 | 57 | 5 | </t>
  </si>
  <si>
    <t xml:space="preserve">Hub 1 | 25 | 0 | </t>
  </si>
  <si>
    <t xml:space="preserve">Hub 1 | 40 | 0 | </t>
  </si>
  <si>
    <t xml:space="preserve">Hub 1 | 39 | 0 | </t>
  </si>
  <si>
    <t xml:space="preserve">Hub 1 | 33 | 0 | </t>
  </si>
  <si>
    <t xml:space="preserve">Hub 2 | 14 | 0 | </t>
  </si>
  <si>
    <t xml:space="preserve">Hub 3 | 9 | 0 | </t>
  </si>
  <si>
    <t xml:space="preserve">Hub 2 | 13 | 0 | </t>
  </si>
  <si>
    <t xml:space="preserve">Hub 2 | 18 | 0 | </t>
  </si>
  <si>
    <t xml:space="preserve">Hub 2 | 15 | 0 | </t>
  </si>
  <si>
    <t xml:space="preserve">Hub 1 | 31 | 0 | </t>
  </si>
  <si>
    <t xml:space="preserve">Hub 1 | 53 | 0 | </t>
  </si>
  <si>
    <t xml:space="preserve">Hub 1 | 72 | 0 | </t>
  </si>
  <si>
    <t xml:space="preserve">Non Hub | 0 | 1 | </t>
  </si>
  <si>
    <t xml:space="preserve">Hub 3 | 7 | 0 | </t>
  </si>
  <si>
    <t xml:space="preserve">Hub 3 | 5 | 1 | </t>
  </si>
  <si>
    <t xml:space="preserve">Hub 3 | 1 | 1 | </t>
  </si>
  <si>
    <t xml:space="preserve">Hub 1 | 34 | 0 | </t>
  </si>
  <si>
    <t xml:space="preserve">Hub 2 | 16 | 0 | </t>
  </si>
  <si>
    <t xml:space="preserve">Hub 3 | 2 | 3 | </t>
  </si>
  <si>
    <t xml:space="preserve">Hub 3 | 1 | 2 | </t>
  </si>
  <si>
    <t xml:space="preserve">Hub 3 | 3 | 1 | </t>
  </si>
  <si>
    <t xml:space="preserve">Hub 2 | 8 | 6 | </t>
  </si>
  <si>
    <t xml:space="preserve">Hub 1 | 14 | 10 | </t>
  </si>
  <si>
    <t xml:space="preserve">Hub 1 | 19 | 8 | </t>
  </si>
  <si>
    <t xml:space="preserve">Hub 3 | 0 | 2 | </t>
  </si>
  <si>
    <t xml:space="preserve">Hub 3 | 1 | 7 | </t>
  </si>
  <si>
    <t xml:space="preserve">Hub 3 | 2 | 2 | </t>
  </si>
  <si>
    <t xml:space="preserve">Hub 2 | 10 | 2 | </t>
  </si>
  <si>
    <t xml:space="preserve">Hub 1 | 15 | 12 | </t>
  </si>
  <si>
    <t xml:space="preserve">Hub 3 | 6 | 1 | </t>
  </si>
  <si>
    <t xml:space="preserve">Hub 3 | 3 | 2 | </t>
  </si>
  <si>
    <t xml:space="preserve">Hub 3 | 5 | 4 | </t>
  </si>
  <si>
    <t xml:space="preserve">Hub 3 | 7 | 1 | </t>
  </si>
  <si>
    <t xml:space="preserve">Hub 2 | 6 | 9 | </t>
  </si>
  <si>
    <t xml:space="preserve">Hub 1 | 43 | 3 | </t>
  </si>
  <si>
    <t xml:space="preserve">Hub 1 | 29 | 1 | </t>
  </si>
  <si>
    <t xml:space="preserve">Hub 3 | 4 | 2 | </t>
  </si>
  <si>
    <t xml:space="preserve">Hub 1 | 21 | 0 | </t>
  </si>
  <si>
    <t xml:space="preserve">Hub 2 | 17 | 0 | </t>
  </si>
  <si>
    <t xml:space="preserve">Hub 3 | 0 | 3 | </t>
  </si>
  <si>
    <t xml:space="preserve">Hub 1 | 43 | 0 | </t>
  </si>
  <si>
    <t xml:space="preserve">Hub 1 | 49 | 0 | </t>
  </si>
  <si>
    <t xml:space="preserve">Hub 1 | 44 | 0 | </t>
  </si>
  <si>
    <t xml:space="preserve">Hub 1 | 34 | 4 | </t>
  </si>
  <si>
    <t xml:space="preserve">Hub 1 | 35 | 0 | </t>
  </si>
  <si>
    <t xml:space="preserve">Hub 2 | 6 | 4 | </t>
  </si>
  <si>
    <t xml:space="preserve">Hub 1 | 30 | 15 | </t>
  </si>
  <si>
    <t xml:space="preserve">Hub 3 | 6 | 3 | </t>
  </si>
  <si>
    <t xml:space="preserve">Hub 3 | 4 | 1 | </t>
  </si>
  <si>
    <t xml:space="preserve">Hub 1 | 10 | 10 | </t>
  </si>
  <si>
    <t xml:space="preserve">Hub 3 | 4 | 4 | </t>
  </si>
  <si>
    <t xml:space="preserve">Hub 2 | 11 | 3 | </t>
  </si>
  <si>
    <t xml:space="preserve">Hub 3 | 3 | 3 | </t>
  </si>
  <si>
    <t xml:space="preserve">Hub 3 | 5 | 2 | </t>
  </si>
  <si>
    <t xml:space="preserve">Hub 1 | 19 | 1 | </t>
  </si>
  <si>
    <t xml:space="preserve">Hub 1 | 29 | 0 | </t>
  </si>
  <si>
    <t xml:space="preserve">Hub 1 | 32 | 0 | </t>
  </si>
  <si>
    <t xml:space="preserve">Hub 1 | 36 | 0 | </t>
  </si>
  <si>
    <t xml:space="preserve">Hub 1 | 59 | 17 | </t>
  </si>
  <si>
    <t xml:space="preserve">Hub 1 | 18 | 2 | </t>
  </si>
  <si>
    <t xml:space="preserve">Hub 2 | 11 | 4 | </t>
  </si>
  <si>
    <t xml:space="preserve">Hub 2 | 9 | 3 | </t>
  </si>
  <si>
    <t xml:space="preserve">Hub 2 | 19 | 0 | </t>
  </si>
  <si>
    <t xml:space="preserve">Hub 3 | 1 | 6 | </t>
  </si>
  <si>
    <t xml:space="preserve">Non Hub | 1 |  | </t>
  </si>
  <si>
    <t xml:space="preserve">Hub 1 | 39 | 11 | </t>
  </si>
  <si>
    <t xml:space="preserve">Hub 2 | 6 | 6 | </t>
  </si>
  <si>
    <t xml:space="preserve">Hub 1 | 66 | 0 | </t>
  </si>
  <si>
    <t xml:space="preserve">Hub 2 | 7 | 3 | </t>
  </si>
  <si>
    <t xml:space="preserve">Hub 2 | 7 | 4 | </t>
  </si>
  <si>
    <t xml:space="preserve">Hub 1 | 26 | 6 | </t>
  </si>
  <si>
    <t xml:space="preserve">Hub 1 | 28 | 13 | </t>
  </si>
  <si>
    <t xml:space="preserve">Hub 1 | 20 | 6 | </t>
  </si>
  <si>
    <t xml:space="preserve">Hub 1 | 64 | 23 | </t>
  </si>
  <si>
    <t xml:space="preserve">Hub 1 | 143 | 20 | </t>
  </si>
  <si>
    <t xml:space="preserve">Hub 2 | 12 | 4 | </t>
  </si>
  <si>
    <t xml:space="preserve">Hub 1 | 16 | 6 | </t>
  </si>
  <si>
    <t xml:space="preserve">Hub 1 | 15 | 9 | </t>
  </si>
  <si>
    <t xml:space="preserve">Hub 2 | 13 | 1 | </t>
  </si>
  <si>
    <t xml:space="preserve">Hub 3 | 6 | 2 | </t>
  </si>
  <si>
    <t xml:space="preserve">Hub 1 | 62 | 32 | </t>
  </si>
  <si>
    <t xml:space="preserve">Hub 2 | 7 | 8 | </t>
  </si>
  <si>
    <t xml:space="preserve">Hub 2 | 9 | 2 | </t>
  </si>
  <si>
    <t xml:space="preserve">Hub 1 | 75 | 41 | </t>
  </si>
  <si>
    <t xml:space="preserve">Hub 3 | 7 | 2 | </t>
  </si>
  <si>
    <t xml:space="preserve">Hub 1 | 26 | 12 | </t>
  </si>
  <si>
    <t xml:space="preserve">Hub 1 | 15 | 7 | </t>
  </si>
  <si>
    <t xml:space="preserve">Hub 1 | 18 | 6 | </t>
  </si>
  <si>
    <t xml:space="preserve">Hub 1 | 26 | 8 | </t>
  </si>
  <si>
    <t xml:space="preserve">Hub 1 | 24 | 3 | </t>
  </si>
  <si>
    <t xml:space="preserve">Hub 1 | 16 | 4 | </t>
  </si>
  <si>
    <t xml:space="preserve">Hub 3 | 3 | 6 | </t>
  </si>
  <si>
    <t xml:space="preserve">Hub 2 | 10 | 4 | </t>
  </si>
  <si>
    <t xml:space="preserve">Hub 1 | 45 | 9 | </t>
  </si>
  <si>
    <t xml:space="preserve">Hub 1 | 106 | 20 | </t>
  </si>
  <si>
    <t xml:space="preserve">Hub 1 | 44 | 4 | </t>
  </si>
  <si>
    <t xml:space="preserve">Hub 2 | 11 | 2 | </t>
  </si>
  <si>
    <t xml:space="preserve">Hub 2 | 13 | 5 | </t>
  </si>
  <si>
    <t xml:space="preserve">Hub 2 | 8 | 4 | </t>
  </si>
  <si>
    <t xml:space="preserve">Hub 2 | 8 | 7 | </t>
  </si>
  <si>
    <t xml:space="preserve">Hub 1 | 104 | 7 | </t>
  </si>
  <si>
    <t xml:space="preserve">Hub 1 | 35 | 13 | </t>
  </si>
  <si>
    <t xml:space="preserve">Hub 1 | 109 | 16 | </t>
  </si>
  <si>
    <t xml:space="preserve">Hub 1 | 30 | 2 | </t>
  </si>
  <si>
    <t xml:space="preserve">Hub 1 | 26 | 4 | </t>
  </si>
  <si>
    <t xml:space="preserve">Hub 1 | 64 | 14 | </t>
  </si>
  <si>
    <t xml:space="preserve">Hub 1 | 16 | 8 | </t>
  </si>
  <si>
    <t xml:space="preserve">Hub 1 | 47 | 1 | </t>
  </si>
  <si>
    <t xml:space="preserve">Hub 2 | 17 | 1 | </t>
  </si>
  <si>
    <t xml:space="preserve">Hub 2 | 10 | 8 | </t>
  </si>
  <si>
    <t xml:space="preserve">Hub 1 | 70 | 1 | </t>
  </si>
  <si>
    <t xml:space="preserve">Hub 1 | 19 | 6 | </t>
  </si>
  <si>
    <t xml:space="preserve">Hub 3 | 0 | 5 | </t>
  </si>
  <si>
    <t xml:space="preserve">Hub 2 | 6 | 5 | </t>
  </si>
  <si>
    <t xml:space="preserve">Hub 1 | 23 | 6 | </t>
  </si>
  <si>
    <t xml:space="preserve">Hub 1 | 27 | 12 | </t>
  </si>
  <si>
    <t xml:space="preserve">Hub 1 | 32 | 9 | </t>
  </si>
  <si>
    <t xml:space="preserve">Hub 3 | 1 | 3 | </t>
  </si>
  <si>
    <t xml:space="preserve">Hub 2 | 13 | 2 | </t>
  </si>
  <si>
    <t xml:space="preserve">Hub 2 | 14 | 1 | </t>
  </si>
  <si>
    <t xml:space="preserve">Hub 2 | 18 | 1 | </t>
  </si>
  <si>
    <t xml:space="preserve">Hub 2 | 12 |  | </t>
  </si>
  <si>
    <t xml:space="preserve">Hub 2 | 8 | 2 | </t>
  </si>
  <si>
    <t xml:space="preserve">Hub 3 | 02 Sites, PSTN, STM-16 | 0 | </t>
  </si>
  <si>
    <t xml:space="preserve">Hub 1 | 29 sites, PSTN, STM-16 | 0 | </t>
  </si>
  <si>
    <t xml:space="preserve">Hub 3 | 01 Site+ PSTN | 0 | </t>
  </si>
  <si>
    <t xml:space="preserve">Hub 2 | STM Ring, PSTN | 0 | </t>
  </si>
  <si>
    <t xml:space="preserve">Hub 1 |  BSC + MGW + OMS | 18 | </t>
  </si>
  <si>
    <t xml:space="preserve">Hub 1 | 130 | 0 | </t>
  </si>
  <si>
    <t xml:space="preserve">Hub 1 | 75 | 0 | </t>
  </si>
  <si>
    <t>KA0391</t>
  </si>
  <si>
    <t xml:space="preserve">Hub 3 | 2 |  | </t>
  </si>
  <si>
    <t xml:space="preserve">Non Hub | 0 |  | </t>
  </si>
  <si>
    <t xml:space="preserve">Hub 3 | 5 |  | </t>
  </si>
  <si>
    <t xml:space="preserve">Hub 2 | 14 |  | </t>
  </si>
  <si>
    <t xml:space="preserve">Hub 1 | 46 | 2 | </t>
  </si>
  <si>
    <t xml:space="preserve">Hub 1 | 35 |  | </t>
  </si>
  <si>
    <t xml:space="preserve">Hub 2 | 13 |  | </t>
  </si>
  <si>
    <t xml:space="preserve">Hub 3 | 6 |  | </t>
  </si>
  <si>
    <t xml:space="preserve">Hub 3 | 4 |  | </t>
  </si>
  <si>
    <t xml:space="preserve">Hub 1 | 23 |  | </t>
  </si>
  <si>
    <t xml:space="preserve">Hub 1 | 21 |  | </t>
  </si>
  <si>
    <t xml:space="preserve">Hub 2 | 10 |  | </t>
  </si>
  <si>
    <t xml:space="preserve">Hub 2 | 16 |  | </t>
  </si>
  <si>
    <t xml:space="preserve">Hub 1 | 25 |  | </t>
  </si>
  <si>
    <t xml:space="preserve">Hub 3 | 3 |  | </t>
  </si>
  <si>
    <t xml:space="preserve">Hub 1 | 22 |  | </t>
  </si>
  <si>
    <t xml:space="preserve">Hub 3 | 9 |  | </t>
  </si>
  <si>
    <t xml:space="preserve">Hub 1 | 13 | 8 | </t>
  </si>
  <si>
    <t xml:space="preserve">Hub 3 | 2 | 6 | </t>
  </si>
  <si>
    <t xml:space="preserve">Hub 1 | 19 | 2 | </t>
  </si>
  <si>
    <t xml:space="preserve">Hub 1 | 47 | 16 | </t>
  </si>
  <si>
    <t xml:space="preserve">Hub 1 | 78 | 6 | </t>
  </si>
  <si>
    <t xml:space="preserve">Hub 2 | 12 | 2 | </t>
  </si>
  <si>
    <t xml:space="preserve">Hub 2 | 7 | 6 | </t>
  </si>
  <si>
    <t xml:space="preserve">Non Hub |  | 1 | </t>
  </si>
  <si>
    <t xml:space="preserve">Hub 1 | 70 | 9 | </t>
  </si>
  <si>
    <t xml:space="preserve">Hub 2 | 3 | 8 | </t>
  </si>
  <si>
    <t xml:space="preserve">Hub 1 | 45 |  | </t>
  </si>
  <si>
    <t xml:space="preserve">Hub 1 | 33 |  | </t>
  </si>
  <si>
    <t xml:space="preserve">Hub 3 | 8 |  | </t>
  </si>
  <si>
    <t xml:space="preserve">Hub 3 | 7 |  | </t>
  </si>
  <si>
    <t xml:space="preserve">Hub 1 | 24 |  | </t>
  </si>
  <si>
    <t xml:space="preserve">Hub 2 | 11 |  | </t>
  </si>
  <si>
    <t xml:space="preserve">Hub 1 | 46 |  | </t>
  </si>
  <si>
    <t xml:space="preserve">Hub 1 | 33 | 3 | </t>
  </si>
  <si>
    <t xml:space="preserve">Hub 2 | 17 |  | </t>
  </si>
  <si>
    <t xml:space="preserve">Hub 1 | 42 |  | </t>
  </si>
  <si>
    <t xml:space="preserve">Hub 2 | 3 | 9 | </t>
  </si>
  <si>
    <t xml:space="preserve">Hub 1 | 101 |  | </t>
  </si>
  <si>
    <t xml:space="preserve">Hub 1 | 28 |  | </t>
  </si>
  <si>
    <t xml:space="preserve">Hub 1 | 38 | 5 | </t>
  </si>
  <si>
    <t xml:space="preserve">Hub 1 | 24 | 5 | </t>
  </si>
  <si>
    <t xml:space="preserve">Hub 1 | 15 | 8 | </t>
  </si>
  <si>
    <t xml:space="preserve">Hub 2 |  | 13 | </t>
  </si>
  <si>
    <t xml:space="preserve">Non Hub |  |  | </t>
  </si>
  <si>
    <t xml:space="preserve">Hub 1 | 31 | 4 | </t>
  </si>
  <si>
    <t xml:space="preserve">Hub 2 | 9 | 6 | </t>
  </si>
  <si>
    <t xml:space="preserve">Hub 1 | 35 | 10 | </t>
  </si>
  <si>
    <t xml:space="preserve">Hub 1 | 21 | 6 | </t>
  </si>
  <si>
    <t xml:space="preserve">Hub 2 | 10 | 5 | </t>
  </si>
  <si>
    <t xml:space="preserve">Hub 1 | 63 | 6 | </t>
  </si>
  <si>
    <t xml:space="preserve">Hub 2 | 12 | 3 | </t>
  </si>
  <si>
    <t xml:space="preserve">Hub 1 | 35 | 3 | </t>
  </si>
  <si>
    <t xml:space="preserve">Hub 1 | 23 | 1 | </t>
  </si>
  <si>
    <t xml:space="preserve">Hub 1 | 55 | 11 | </t>
  </si>
  <si>
    <t xml:space="preserve">Hub 2 | 8 | 3 | </t>
  </si>
  <si>
    <t xml:space="preserve">Hub 1 | 27 | 25 | </t>
  </si>
  <si>
    <t xml:space="preserve">Hub 3 | 8 | 1 | </t>
  </si>
  <si>
    <t xml:space="preserve">Hub 2 | 10 | 1 | </t>
  </si>
  <si>
    <t xml:space="preserve">Hub 1 | 18 | 4 | </t>
  </si>
  <si>
    <t xml:space="preserve">Hub 2 | 9 | 1 | </t>
  </si>
  <si>
    <t xml:space="preserve">Hub 1 | 33 | 9 | </t>
  </si>
  <si>
    <t xml:space="preserve">Hub 1 | 9 | 17 | </t>
  </si>
  <si>
    <t xml:space="preserve">Hub 1 | 21 | 8 | </t>
  </si>
  <si>
    <t xml:space="preserve">Hub 2 | 8 | 5 | </t>
  </si>
  <si>
    <t xml:space="preserve">Hub 1 | 13 | 7 | </t>
  </si>
  <si>
    <t xml:space="preserve">Hub 1 | 16 | 5 | </t>
  </si>
  <si>
    <t xml:space="preserve">Hub 1 | 22 | 1 | </t>
  </si>
  <si>
    <t xml:space="preserve">Hub 1 | 25 | 8 | </t>
  </si>
  <si>
    <t xml:space="preserve">Hub 1 | 69 | 33 | </t>
  </si>
  <si>
    <t xml:space="preserve">Hub 1 | 104 | 16 | </t>
  </si>
  <si>
    <t xml:space="preserve">Hub 2 | 8 | 9 | </t>
  </si>
  <si>
    <t xml:space="preserve">Hub 1 | 50 | 8 | </t>
  </si>
  <si>
    <t xml:space="preserve">Hub 1 | 44 | 19 | </t>
  </si>
  <si>
    <t xml:space="preserve">Hub 1 | 44 | 27 | </t>
  </si>
  <si>
    <t xml:space="preserve">Hub 2 | 15 | 2 | </t>
  </si>
  <si>
    <t xml:space="preserve">Hub 1 | 18 | 5 | </t>
  </si>
  <si>
    <t xml:space="preserve">Hub 1 | 32 | 6 | </t>
  </si>
  <si>
    <t xml:space="preserve">Hub 2 | 9 | 10 | </t>
  </si>
  <si>
    <t xml:space="preserve">Hub 1 | 28 | 1 | </t>
  </si>
  <si>
    <t xml:space="preserve">Hub 2 | 12 | 6 | </t>
  </si>
  <si>
    <t xml:space="preserve">Hub 1 | 19 | 14 | </t>
  </si>
  <si>
    <t xml:space="preserve">Hub 1 | 20 | 12 | </t>
  </si>
  <si>
    <t xml:space="preserve">Hub 3 | 4 | 3 | </t>
  </si>
  <si>
    <t xml:space="preserve">Hub 1 | 73 | 48 | </t>
  </si>
  <si>
    <t xml:space="preserve">Hub 1 | 17 | 5 | </t>
  </si>
  <si>
    <t xml:space="preserve">Hub 1 | 21 | 1 | </t>
  </si>
  <si>
    <t xml:space="preserve">Hub 2 | 16 | 1 | </t>
  </si>
  <si>
    <t xml:space="preserve">Hub 2 | 4 | 10 | </t>
  </si>
  <si>
    <t xml:space="preserve">Hub 2 | 4 | 7 | </t>
  </si>
  <si>
    <t xml:space="preserve">Hub 2 | 5 | 5 | </t>
  </si>
  <si>
    <t xml:space="preserve">Hub 1 | 26 | 13 | </t>
  </si>
  <si>
    <t xml:space="preserve">Hub 2 | 5 | 6 | </t>
  </si>
  <si>
    <t xml:space="preserve">Hub 1 | 62 | 9 | </t>
  </si>
  <si>
    <t xml:space="preserve">Hub 1 | 12 | 9 | </t>
  </si>
  <si>
    <t xml:space="preserve">Hub 2 | 15 | 1 | </t>
  </si>
  <si>
    <t xml:space="preserve">Hub 3 | 3 | 4 | </t>
  </si>
  <si>
    <t xml:space="preserve">Hub 3 | 0 | 4 | </t>
  </si>
  <si>
    <t xml:space="preserve">Hub 1 | 43 | 13 | </t>
  </si>
  <si>
    <t xml:space="preserve">Hub 2 | 16 | 2 | </t>
  </si>
  <si>
    <t xml:space="preserve">Hub 1 | 49 | 1 | </t>
  </si>
  <si>
    <t xml:space="preserve">Hub 1 | 101 | 26 | </t>
  </si>
  <si>
    <t xml:space="preserve">Hub 1 | 68 | 19 | </t>
  </si>
  <si>
    <t xml:space="preserve">Hub 1 | 78 | 21 | </t>
  </si>
  <si>
    <t xml:space="preserve">Hub 1 | 34 | 24 | </t>
  </si>
  <si>
    <t xml:space="preserve">Hub 1 | 57 | 20 | </t>
  </si>
  <si>
    <t xml:space="preserve">Hub 2 | 9 | 9 | </t>
  </si>
  <si>
    <t xml:space="preserve">Hub 2 | 7 | 7 | </t>
  </si>
  <si>
    <t xml:space="preserve">Hub 3 | 0 | 9 | </t>
  </si>
  <si>
    <t xml:space="preserve">Hub 3 | 0 | 8 | </t>
  </si>
  <si>
    <t xml:space="preserve">Hub 1 | 33 | 2 | </t>
  </si>
  <si>
    <t xml:space="preserve">Hub 3 | 5 | 3 | </t>
  </si>
  <si>
    <t xml:space="preserve">Hub 1 | 17 | 3 | </t>
  </si>
  <si>
    <t xml:space="preserve">Hub 1 | 34 | 2 | </t>
  </si>
  <si>
    <t xml:space="preserve">Hub 1 | 24 | 1 | </t>
  </si>
  <si>
    <t xml:space="preserve">Hub 1 | 40 | 3 | </t>
  </si>
  <si>
    <t xml:space="preserve">Hub 2 | 4 | 11 | </t>
  </si>
  <si>
    <t xml:space="preserve">Hub 3 | 4 | 5 | </t>
  </si>
  <si>
    <t xml:space="preserve">Hub 1 | 17 | 13 | </t>
  </si>
  <si>
    <t xml:space="preserve">Hub 1 | 19 | 11 | </t>
  </si>
  <si>
    <t xml:space="preserve">Hub 1 | 16 | 7 | </t>
  </si>
  <si>
    <t xml:space="preserve">Hub 1 | 9 | 11 | </t>
  </si>
  <si>
    <t xml:space="preserve">Hub 1 | 17 | 16 | </t>
  </si>
  <si>
    <t xml:space="preserve">Hub 1 | 13 | 12 | </t>
  </si>
  <si>
    <t xml:space="preserve">Hub 2 | 11 | 6 | </t>
  </si>
  <si>
    <t xml:space="preserve">Hub 1 | 24 | 2 | </t>
  </si>
  <si>
    <t xml:space="preserve">Hub 1 | 51 | 31 | </t>
  </si>
  <si>
    <t xml:space="preserve">Hub 1 | 11 | 9 | </t>
  </si>
  <si>
    <t xml:space="preserve">Hub 2 | 16 | 3 | </t>
  </si>
  <si>
    <t xml:space="preserve">Hub 2 | 9 | 4 | </t>
  </si>
  <si>
    <t xml:space="preserve">Hub 2 | 11 | 7 | </t>
  </si>
  <si>
    <t xml:space="preserve">Hub 1 | 41 | 22 | </t>
  </si>
  <si>
    <t xml:space="preserve">Hub 1 | 15 | 19 | </t>
  </si>
  <si>
    <t xml:space="preserve">Hub 1 | 27 | 24 | </t>
  </si>
  <si>
    <t xml:space="preserve">Hub 1 | 37 | 9 | </t>
  </si>
  <si>
    <t xml:space="preserve">Hub 1 | 23 | 12 | </t>
  </si>
  <si>
    <t xml:space="preserve">Hub 2 | 12 | 5 | </t>
  </si>
  <si>
    <t xml:space="preserve">Hub 1 | 27 | 4 | </t>
  </si>
  <si>
    <t xml:space="preserve">Hub 1 | 20 | 3 | </t>
  </si>
  <si>
    <t xml:space="preserve">Hub 1 | 27 | 5 | </t>
  </si>
  <si>
    <t xml:space="preserve">Non Hub | PSTN | 0 | </t>
  </si>
  <si>
    <t xml:space="preserve">Hub 1 | 135 | 14 | </t>
  </si>
  <si>
    <t xml:space="preserve">Hub 1 | 82 | 0 | </t>
  </si>
  <si>
    <t xml:space="preserve">Hub 1 | 103 | 12 | </t>
  </si>
  <si>
    <t xml:space="preserve">Hub 1 | 135 | 0 | </t>
  </si>
  <si>
    <t xml:space="preserve">Hub 1 | 27 | 3 | </t>
  </si>
  <si>
    <t xml:space="preserve">Hub 1 | 46 | 0 | </t>
  </si>
  <si>
    <t xml:space="preserve">Hub 1 | 41 | 14 | </t>
  </si>
  <si>
    <t xml:space="preserve">Hub 1 | 14 | 6 | </t>
  </si>
  <si>
    <t xml:space="preserve">Hub 1 | 17 | 14 | </t>
  </si>
  <si>
    <t xml:space="preserve">Hub 1 | 8 | 14 | </t>
  </si>
  <si>
    <t xml:space="preserve">Hub 1 | 29 | 3 | </t>
  </si>
  <si>
    <t xml:space="preserve">Hub 1 | 18 | 8 | </t>
  </si>
  <si>
    <t xml:space="preserve">Hub 1 | 61 | 14 | </t>
  </si>
  <si>
    <t xml:space="preserve">Hub 1 | 26 | 3 | </t>
  </si>
  <si>
    <t xml:space="preserve">Hub 2 | 13 | 3 | </t>
  </si>
  <si>
    <t xml:space="preserve">Hub 2 | 11 | 1 | </t>
  </si>
  <si>
    <t xml:space="preserve">Hub 1 | 13 | 14 | </t>
  </si>
  <si>
    <t xml:space="preserve">Hub 1 | 64 | 0 | </t>
  </si>
  <si>
    <t xml:space="preserve">Hub 3 | 1 | 8 | </t>
  </si>
  <si>
    <t xml:space="preserve">Hub 1 | 28 | 6 | </t>
  </si>
  <si>
    <t xml:space="preserve">Hub 1 | 52 | 11 | </t>
  </si>
  <si>
    <t xml:space="preserve">Hub 1 | 86 | 11 | </t>
  </si>
  <si>
    <t xml:space="preserve">Hub 2 | 2 | 12 | </t>
  </si>
  <si>
    <t>RR0100</t>
  </si>
  <si>
    <t>RR0999</t>
  </si>
  <si>
    <t>HUB | 2G dependent | LTE dependent</t>
  </si>
  <si>
    <t>V7.0</t>
  </si>
  <si>
    <t>Hub sites category updated.</t>
  </si>
  <si>
    <t>KA2312</t>
  </si>
  <si>
    <t>KA2376</t>
  </si>
  <si>
    <t>KA2621</t>
  </si>
  <si>
    <t>CKAR01</t>
  </si>
  <si>
    <t>CKAR02</t>
  </si>
  <si>
    <t>CKAR03</t>
  </si>
  <si>
    <t>FKABAC</t>
  </si>
  <si>
    <t>FKABAV</t>
  </si>
  <si>
    <t>FKAHYC</t>
  </si>
  <si>
    <t>FKAKNC</t>
  </si>
  <si>
    <t>PTTCO2</t>
  </si>
  <si>
    <t>XR0519</t>
  </si>
  <si>
    <t>XR0525</t>
  </si>
  <si>
    <t>XR0529</t>
  </si>
  <si>
    <t>XR0607</t>
  </si>
  <si>
    <t>XR0613</t>
  </si>
  <si>
    <t>MULTAN</t>
  </si>
  <si>
    <t>XR0527</t>
  </si>
  <si>
    <t>XR0619</t>
  </si>
  <si>
    <t>XR0623</t>
  </si>
  <si>
    <t>XR0630</t>
  </si>
  <si>
    <t>KA5047</t>
  </si>
  <si>
    <t>MU3899</t>
  </si>
  <si>
    <t>MU0371</t>
  </si>
  <si>
    <t>MU7742</t>
  </si>
  <si>
    <t>FB1797</t>
  </si>
  <si>
    <t>FB7643</t>
  </si>
  <si>
    <t>RBU | New MBU</t>
  </si>
  <si>
    <t>V7.1</t>
  </si>
  <si>
    <t>Field "RBU" added.</t>
  </si>
  <si>
    <t>V7.2</t>
  </si>
  <si>
    <t>Saddiquelail40@gmail.com removed.</t>
  </si>
  <si>
    <t>Field "RBU | MBU" updated</t>
  </si>
  <si>
    <t>V7.3</t>
  </si>
  <si>
    <t>Excluded=&gt; (rashraf.khl@gmail.com;Muhammad.afzal@gmail.com;Raheem.mobilink@gmail.com;Maqsood4396@gmail.com;Abbas.h@khl.com.pk;Sehrish.h@khl.com.pk)</t>
  </si>
  <si>
    <t>=</t>
  </si>
  <si>
    <t>Added=&gt;(ahsanmushtaq@mail01.huawei.com;syed.shahzad@huawei.com)</t>
  </si>
  <si>
    <t>V7.4</t>
  </si>
  <si>
    <t>NOC.GSM@waridtel.com;wind@waridtel.com;ericsson.outages@gmail.com;Faiz.mian@guest.mobilink.net;Muhammad.Abbas2@Waridtel.com;ahsanmushtaq@mail01.huawei.com;syed.shahzad@huawei.com</t>
  </si>
  <si>
    <t>Saqib Saeed | 0306-5561000</t>
  </si>
  <si>
    <t xml:space="preserve"> Muhammad Abbas | 0306-5522999</t>
  </si>
  <si>
    <t>           Syed Ahmad Ali Shah | 3002773377</t>
  </si>
  <si>
    <t>Nabeel Ahmad | 0306-5178777</t>
  </si>
  <si>
    <t xml:space="preserve">Muhammad Usman5  | 0306-5165999 </t>
  </si>
  <si>
    <t>Riaz Ahmed | 0301-5009797</t>
  </si>
  <si>
    <t>Asnaf Nawaz | 0301-5155333</t>
  </si>
  <si>
    <t>                  Muhammad Awais | 3018236872</t>
  </si>
  <si>
    <t>Ayyaz Hussain | 0320-4440086/03033815555</t>
  </si>
  <si>
    <t>muhammadsaeed1 | 0300-0884064</t>
  </si>
  <si>
    <t>Faisal Mughal | 301-2662222</t>
  </si>
  <si>
    <t>Adeel Arshad | 0306-5652222</t>
  </si>
  <si>
    <t>Muhammad Khalid Younas | 0306-8782222</t>
  </si>
  <si>
    <t>Muhammad Shafiq | 300-0702407</t>
  </si>
  <si>
    <t>V7.5</t>
  </si>
  <si>
    <t>MBU owners updated</t>
  </si>
  <si>
    <t>V7.6</t>
  </si>
  <si>
    <t>"wicc.noc@jazz.com.pk " added in emain recipients.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</si>
</sst>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h:mm;@"/>
    <numFmt numFmtId="165" formatCode="[$-409]dd\-mmm\-yy;@"/>
    <numFmt numFmtId="166" formatCode="[$-409]d\-mmm\-yy;@"/>
    <numFmt numFmtId="167" formatCode="m/d/yy\ h:mm;@"/>
    <numFmt numFmtId="168" formatCode="hh:mm;@"/>
    <numFmt numFmtId="169" formatCode="mm/dd/yyyy"/>
  </numFmts>
  <fonts count="100">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Helv"/>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sz val="12"/>
      <name val="宋体"/>
      <charset val="134"/>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14"/>
      <name val="System"/>
      <family val="2"/>
    </font>
    <font>
      <sz val="11"/>
      <name val="Calibri"/>
      <family val="2"/>
    </font>
    <font>
      <sz val="10"/>
      <name val="Arial"/>
      <family val="2"/>
    </font>
    <font>
      <sz val="10"/>
      <name val="Arial"/>
      <family val="2"/>
    </font>
    <font>
      <sz val="10"/>
      <name val="Arial"/>
      <family val="2"/>
    </font>
    <font>
      <sz val="10"/>
      <name val="Calibri"/>
      <family val="2"/>
    </font>
    <font>
      <b/>
      <sz val="11"/>
      <name val="Calibri"/>
      <family val="2"/>
    </font>
    <font>
      <b/>
      <sz val="10"/>
      <name val="Calibri"/>
      <family val="2"/>
    </font>
    <font>
      <sz val="10"/>
      <name val="Arial"/>
      <family val="2"/>
    </font>
    <font>
      <sz val="10"/>
      <name val="Arial Narrow"/>
      <family val="2"/>
    </font>
    <font>
      <sz val="10"/>
      <name val="Arial"/>
      <family val="2"/>
    </font>
    <font>
      <u/>
      <sz val="10"/>
      <color theme="10"/>
      <name val="Arial"/>
      <family val="2"/>
    </font>
    <font>
      <sz val="11"/>
      <color theme="1"/>
      <name val="Calibri"/>
      <family val="2"/>
      <scheme val="minor"/>
    </font>
    <font>
      <sz val="11"/>
      <color rgb="FFFFFFFF"/>
      <name val="Calibri"/>
      <family val="2"/>
    </font>
    <font>
      <sz val="10"/>
      <color rgb="FF000000"/>
      <name val="Arial"/>
      <family val="2"/>
    </font>
    <font>
      <sz val="10"/>
      <color rgb="FF000000"/>
      <name val="Calibri"/>
      <family val="2"/>
    </font>
    <font>
      <sz val="11"/>
      <color rgb="FF000000"/>
      <name val="Calibri"/>
      <family val="2"/>
    </font>
    <font>
      <sz val="10"/>
      <color theme="3" tint="0.39997558519241921"/>
      <name val="Arial"/>
      <family val="2"/>
    </font>
    <font>
      <sz val="10"/>
      <color rgb="FFFF0000"/>
      <name val="Arial"/>
      <family val="2"/>
    </font>
    <font>
      <sz val="10"/>
      <color rgb="FFFF0000"/>
      <name val="Calibri"/>
      <family val="2"/>
    </font>
    <font>
      <sz val="11"/>
      <color rgb="FFFF0000"/>
      <name val="Calibri"/>
      <family val="2"/>
    </font>
    <font>
      <sz val="10"/>
      <color theme="1"/>
      <name val="Arial"/>
      <family val="2"/>
    </font>
    <font>
      <b/>
      <sz val="11"/>
      <color rgb="FFFF0000"/>
      <name val="Calibri"/>
      <family val="2"/>
    </font>
    <font>
      <b/>
      <sz val="10"/>
      <color rgb="FFFF0000"/>
      <name val="Arial"/>
      <family val="2"/>
    </font>
    <font>
      <sz val="10"/>
      <color rgb="FF33CC33"/>
      <name val="Arial"/>
      <family val="2"/>
    </font>
    <font>
      <b/>
      <sz val="10"/>
      <color theme="4" tint="0.39997558519241921"/>
      <name val="Arial"/>
      <family val="2"/>
    </font>
    <font>
      <b/>
      <sz val="10"/>
      <color theme="1"/>
      <name val="Arial"/>
      <family val="2"/>
    </font>
    <font>
      <sz val="9"/>
      <name val="Arial Narrow"/>
      <family val="2"/>
    </font>
    <font>
      <sz val="9"/>
      <color theme="1"/>
      <name val="Calibri"/>
      <family val="2"/>
      <scheme val="minor"/>
    </font>
    <font>
      <sz val="8"/>
      <color indexed="81"/>
      <name val="Tahoma"/>
      <family val="2"/>
    </font>
    <font>
      <sz val="10"/>
      <color theme="0"/>
      <name val="Arial"/>
      <family val="2"/>
    </font>
    <font>
      <sz val="10"/>
      <color rgb="FF0000FF"/>
      <name val="Arial"/>
      <family val="2"/>
    </font>
    <font>
      <b/>
      <sz val="10"/>
      <color rgb="FFFF0000"/>
      <name val="Calibri"/>
      <family val="2"/>
    </font>
    <font>
      <b/>
      <sz val="10"/>
      <color rgb="FF0D0D0D"/>
      <name val="Arial"/>
      <family val="2"/>
    </font>
    <font>
      <sz val="10"/>
      <color rgb="FF0D0D0D"/>
      <name val="Arial"/>
      <family val="2"/>
    </font>
    <font>
      <sz val="11"/>
      <color rgb="FF0D0D0D"/>
      <name val="Calibri"/>
      <family val="2"/>
    </font>
    <font>
      <b/>
      <i/>
      <sz val="10"/>
      <name val="Arial"/>
      <family val="2"/>
    </font>
    <font>
      <sz val="10"/>
      <color theme="1"/>
      <name val="Calibri"/>
      <family val="2"/>
      <scheme val="minor"/>
    </font>
    <font>
      <sz val="9"/>
      <color theme="1"/>
      <name val="Arial Narrow"/>
      <family val="2"/>
    </font>
    <font>
      <sz val="9"/>
      <color theme="9" tint="-0.499984740745262"/>
      <name val="Arial Narrow"/>
      <family val="2"/>
    </font>
    <font>
      <sz val="10"/>
      <color rgb="FFFF0000"/>
      <name val="Times New Roman"/>
      <family val="1"/>
    </font>
    <font>
      <b/>
      <sz val="11"/>
      <color rgb="FF0D0D0D"/>
      <name val="Calibri"/>
      <family val="2"/>
    </font>
    <font>
      <b/>
      <i/>
      <sz val="10"/>
      <color rgb="FF000000"/>
      <name val="Calibri"/>
      <family val="2"/>
    </font>
    <font>
      <sz val="10"/>
      <color rgb="FF272727"/>
      <name val="Arial"/>
      <family val="2"/>
    </font>
    <font>
      <sz val="10.5"/>
      <color rgb="FFFF0000"/>
      <name val="Calibri"/>
      <family val="2"/>
    </font>
    <font>
      <b/>
      <sz val="10"/>
      <color rgb="FF000000"/>
      <name val="Arial"/>
      <family val="2"/>
    </font>
    <font>
      <b/>
      <sz val="11"/>
      <color rgb="FF000000"/>
      <name val="Calibri"/>
      <family val="2"/>
    </font>
    <font>
      <sz val="10"/>
      <color rgb="FFC00000"/>
      <name val="Arial"/>
      <family val="2"/>
    </font>
    <font>
      <b/>
      <sz val="10"/>
      <color theme="0"/>
      <name val="Arial"/>
      <family val="2"/>
    </font>
    <font>
      <sz val="9"/>
      <color rgb="FF000000"/>
      <name val="Calibri"/>
      <family val="2"/>
    </font>
    <font>
      <sz val="9"/>
      <name val="Calibri"/>
      <family val="2"/>
      <scheme val="minor"/>
    </font>
    <font>
      <sz val="8"/>
      <name val="Calibri"/>
      <family val="2"/>
    </font>
    <font>
      <sz val="11"/>
      <name val="Calibri"/>
      <family val="2"/>
      <scheme val="minor"/>
    </font>
    <font>
      <sz val="9"/>
      <color rgb="FF000000"/>
      <name val="Arial Narrow"/>
      <family val="2"/>
    </font>
    <font>
      <b/>
      <sz val="8"/>
      <color indexed="81"/>
      <name val="Tahoma"/>
      <family val="2"/>
    </font>
    <font>
      <b/>
      <sz val="10"/>
      <color rgb="FFFF0000"/>
      <name val="Calibri"/>
      <family val="2"/>
      <scheme val="minor"/>
    </font>
    <font>
      <sz val="12"/>
      <color rgb="FF000000"/>
      <name val="Times New Roman"/>
      <family val="1"/>
    </font>
    <font>
      <b/>
      <u/>
      <sz val="10"/>
      <color rgb="FFFF0000"/>
      <name val="Calibri"/>
      <family val="2"/>
      <scheme val="minor"/>
    </font>
    <font>
      <b/>
      <sz val="10"/>
      <color theme="1"/>
      <name val="Calibri"/>
      <family val="2"/>
      <scheme val="minor"/>
    </font>
    <font>
      <u/>
      <sz val="10"/>
      <color theme="1"/>
      <name val="Calibri"/>
      <family val="2"/>
      <scheme val="minor"/>
    </font>
    <font>
      <sz val="12"/>
      <color theme="1"/>
      <name val="Times New Roman"/>
      <family val="1"/>
    </font>
    <font>
      <sz val="12"/>
      <name val="Times New Roman"/>
      <family val="1"/>
    </font>
    <font>
      <b/>
      <sz val="12"/>
      <color rgb="FF000000"/>
      <name val="Calibri"/>
      <family val="2"/>
      <scheme val="minor"/>
    </font>
    <font>
      <sz val="11"/>
      <color rgb="FF000000"/>
      <name val="Calibri"/>
      <family val="2"/>
      <scheme val="minor"/>
    </font>
    <font>
      <b/>
      <sz val="11"/>
      <color rgb="FF000000"/>
      <name val="Calibri"/>
      <family val="2"/>
      <scheme val="minor"/>
    </font>
    <font>
      <b/>
      <sz val="18"/>
      <color rgb="FF000000"/>
      <name val="Calibri"/>
      <family val="2"/>
      <scheme val="minor"/>
    </font>
    <font>
      <sz val="12"/>
      <color rgb="FFC00000"/>
      <name val="Times New Roman"/>
      <family val="1"/>
    </font>
    <font>
      <b/>
      <sz val="9"/>
      <color theme="1"/>
      <name val="Verdana"/>
      <family val="2"/>
    </font>
    <font>
      <b/>
      <sz val="9"/>
      <name val="Arial"/>
      <family val="2"/>
    </font>
    <font>
      <b/>
      <sz val="10"/>
      <color rgb="FF0000FF"/>
      <name val="Arial Narrow"/>
      <family val="2"/>
    </font>
    <font>
      <b/>
      <sz val="10"/>
      <color rgb="FF0000FF"/>
      <name val="Arial"/>
      <family val="2"/>
    </font>
    <font>
      <b/>
      <sz val="11"/>
      <color rgb="FF0000FF"/>
      <name val="Calibri"/>
      <family val="2"/>
    </font>
    <font>
      <b/>
      <sz val="12"/>
      <color rgb="FF0000FF"/>
      <name val="Times New Roman"/>
      <family val="1"/>
    </font>
    <font>
      <b/>
      <sz val="12"/>
      <name val="Arial"/>
      <family val="2"/>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bgColor indexed="64"/>
      </patternFill>
    </fill>
    <fill>
      <patternFill patternType="solid">
        <fgColor rgb="FFFFFF00"/>
        <bgColor indexed="64"/>
      </patternFill>
    </fill>
    <fill>
      <patternFill patternType="solid">
        <fgColor theme="1"/>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CDFFFF"/>
        <bgColor indexed="64"/>
      </patternFill>
    </fill>
    <fill>
      <patternFill patternType="solid">
        <fgColor theme="9" tint="0.39997558519241921"/>
        <bgColor indexed="64"/>
      </patternFill>
    </fill>
  </fills>
  <borders count="2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s>
  <cellStyleXfs count="404">
    <xf numFmtId="165" fontId="0" fillId="0" borderId="0"/>
    <xf numFmtId="165" fontId="26" fillId="0" borderId="0"/>
    <xf numFmtId="165" fontId="6" fillId="2" borderId="0" applyNumberFormat="0" applyBorder="0" applyAlignment="0" applyProtection="0"/>
    <xf numFmtId="165"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165" fontId="6" fillId="2" borderId="0" applyNumberFormat="0" applyBorder="0" applyAlignment="0" applyProtection="0"/>
    <xf numFmtId="165" fontId="6" fillId="2" borderId="0" applyNumberFormat="0" applyBorder="0" applyAlignment="0" applyProtection="0"/>
    <xf numFmtId="165" fontId="6" fillId="3" borderId="0" applyNumberFormat="0" applyBorder="0" applyAlignment="0" applyProtection="0"/>
    <xf numFmtId="165"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5" fontId="6" fillId="3" borderId="0" applyNumberFormat="0" applyBorder="0" applyAlignment="0" applyProtection="0"/>
    <xf numFmtId="165" fontId="6" fillId="3" borderId="0" applyNumberFormat="0" applyBorder="0" applyAlignment="0" applyProtection="0"/>
    <xf numFmtId="165" fontId="6" fillId="4" borderId="0" applyNumberFormat="0" applyBorder="0" applyAlignment="0" applyProtection="0"/>
    <xf numFmtId="165"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5" fontId="6" fillId="4" borderId="0" applyNumberFormat="0" applyBorder="0" applyAlignment="0" applyProtection="0"/>
    <xf numFmtId="165" fontId="6" fillId="4"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165" fontId="6" fillId="6" borderId="0" applyNumberFormat="0" applyBorder="0" applyAlignment="0" applyProtection="0"/>
    <xf numFmtId="165"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165" fontId="6" fillId="6" borderId="0" applyNumberFormat="0" applyBorder="0" applyAlignment="0" applyProtection="0"/>
    <xf numFmtId="165" fontId="6" fillId="6" borderId="0" applyNumberFormat="0" applyBorder="0" applyAlignment="0" applyProtection="0"/>
    <xf numFmtId="165" fontId="6" fillId="7" borderId="0" applyNumberFormat="0" applyBorder="0" applyAlignment="0" applyProtection="0"/>
    <xf numFmtId="165"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165" fontId="6" fillId="7" borderId="0" applyNumberFormat="0" applyBorder="0" applyAlignment="0" applyProtection="0"/>
    <xf numFmtId="165" fontId="6" fillId="7"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165" fontId="6" fillId="9" borderId="0" applyNumberFormat="0" applyBorder="0" applyAlignment="0" applyProtection="0"/>
    <xf numFmtId="165"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165" fontId="6" fillId="9" borderId="0" applyNumberFormat="0" applyBorder="0" applyAlignment="0" applyProtection="0"/>
    <xf numFmtId="165" fontId="6" fillId="9" borderId="0" applyNumberFormat="0" applyBorder="0" applyAlignment="0" applyProtection="0"/>
    <xf numFmtId="165" fontId="6" fillId="10" borderId="0" applyNumberFormat="0" applyBorder="0" applyAlignment="0" applyProtection="0"/>
    <xf numFmtId="165"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165" fontId="6" fillId="10" borderId="0" applyNumberFormat="0" applyBorder="0" applyAlignment="0" applyProtection="0"/>
    <xf numFmtId="165" fontId="6" fillId="10"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165" fontId="6" fillId="11" borderId="0" applyNumberFormat="0" applyBorder="0" applyAlignment="0" applyProtection="0"/>
    <xf numFmtId="165"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165" fontId="6" fillId="11" borderId="0" applyNumberFormat="0" applyBorder="0" applyAlignment="0" applyProtection="0"/>
    <xf numFmtId="165" fontId="6" fillId="11" borderId="0" applyNumberFormat="0" applyBorder="0" applyAlignment="0" applyProtection="0"/>
    <xf numFmtId="165" fontId="7" fillId="12" borderId="0" applyNumberFormat="0" applyBorder="0" applyAlignment="0" applyProtection="0"/>
    <xf numFmtId="165"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165" fontId="7" fillId="12" borderId="0" applyNumberFormat="0" applyBorder="0" applyAlignment="0" applyProtection="0"/>
    <xf numFmtId="165" fontId="7" fillId="12" borderId="0" applyNumberFormat="0" applyBorder="0" applyAlignment="0" applyProtection="0"/>
    <xf numFmtId="165" fontId="7" fillId="9" borderId="0" applyNumberFormat="0" applyBorder="0" applyAlignment="0" applyProtection="0"/>
    <xf numFmtId="165"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165" fontId="7" fillId="9" borderId="0" applyNumberFormat="0" applyBorder="0" applyAlignment="0" applyProtection="0"/>
    <xf numFmtId="165" fontId="7" fillId="9" borderId="0" applyNumberFormat="0" applyBorder="0" applyAlignment="0" applyProtection="0"/>
    <xf numFmtId="165" fontId="7" fillId="10" borderId="0" applyNumberFormat="0" applyBorder="0" applyAlignment="0" applyProtection="0"/>
    <xf numFmtId="165"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165" fontId="7" fillId="10" borderId="0" applyNumberFormat="0" applyBorder="0" applyAlignment="0" applyProtection="0"/>
    <xf numFmtId="165" fontId="7" fillId="10"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165" fontId="7" fillId="15" borderId="0" applyNumberFormat="0" applyBorder="0" applyAlignment="0" applyProtection="0"/>
    <xf numFmtId="165"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165" fontId="7" fillId="15" borderId="0" applyNumberFormat="0" applyBorder="0" applyAlignment="0" applyProtection="0"/>
    <xf numFmtId="165" fontId="7" fillId="15" borderId="0" applyNumberFormat="0" applyBorder="0" applyAlignment="0" applyProtection="0"/>
    <xf numFmtId="166" fontId="4" fillId="0" borderId="0" applyNumberFormat="0" applyFill="0" applyBorder="0" applyAlignment="0" applyProtection="0"/>
    <xf numFmtId="165" fontId="4" fillId="0" borderId="0" applyNumberFormat="0" applyFill="0" applyBorder="0" applyAlignment="0" applyProtection="0"/>
    <xf numFmtId="165" fontId="7" fillId="16" borderId="0" applyNumberFormat="0" applyBorder="0" applyAlignment="0" applyProtection="0"/>
    <xf numFmtId="165"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165" fontId="7" fillId="16" borderId="0" applyNumberFormat="0" applyBorder="0" applyAlignment="0" applyProtection="0"/>
    <xf numFmtId="165" fontId="7" fillId="16" borderId="0" applyNumberFormat="0" applyBorder="0" applyAlignment="0" applyProtection="0"/>
    <xf numFmtId="165" fontId="7" fillId="17" borderId="0" applyNumberFormat="0" applyBorder="0" applyAlignment="0" applyProtection="0"/>
    <xf numFmtId="165"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165" fontId="7" fillId="17" borderId="0" applyNumberFormat="0" applyBorder="0" applyAlignment="0" applyProtection="0"/>
    <xf numFmtId="165" fontId="7" fillId="17" borderId="0" applyNumberFormat="0" applyBorder="0" applyAlignment="0" applyProtection="0"/>
    <xf numFmtId="165" fontId="7" fillId="18" borderId="0" applyNumberFormat="0" applyBorder="0" applyAlignment="0" applyProtection="0"/>
    <xf numFmtId="165"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165" fontId="7" fillId="18" borderId="0" applyNumberFormat="0" applyBorder="0" applyAlignment="0" applyProtection="0"/>
    <xf numFmtId="165" fontId="7" fillId="18"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165" fontId="7" fillId="19" borderId="0" applyNumberFormat="0" applyBorder="0" applyAlignment="0" applyProtection="0"/>
    <xf numFmtId="165"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165" fontId="7" fillId="19" borderId="0" applyNumberFormat="0" applyBorder="0" applyAlignment="0" applyProtection="0"/>
    <xf numFmtId="165" fontId="7" fillId="19" borderId="0" applyNumberFormat="0" applyBorder="0" applyAlignment="0" applyProtection="0"/>
    <xf numFmtId="165" fontId="8" fillId="3" borderId="0" applyNumberFormat="0" applyBorder="0" applyAlignment="0" applyProtection="0"/>
    <xf numFmtId="165"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165" fontId="8" fillId="3" borderId="0" applyNumberFormat="0" applyBorder="0" applyAlignment="0" applyProtection="0"/>
    <xf numFmtId="165" fontId="8" fillId="3" borderId="0" applyNumberFormat="0" applyBorder="0" applyAlignment="0" applyProtection="0"/>
    <xf numFmtId="165" fontId="9" fillId="20" borderId="1" applyNumberFormat="0" applyAlignment="0" applyProtection="0"/>
    <xf numFmtId="165"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165" fontId="9" fillId="20" borderId="1" applyNumberFormat="0" applyAlignment="0" applyProtection="0"/>
    <xf numFmtId="165" fontId="9" fillId="20" borderId="1" applyNumberFormat="0" applyAlignment="0" applyProtection="0"/>
    <xf numFmtId="165" fontId="10" fillId="21" borderId="2" applyNumberFormat="0" applyAlignment="0" applyProtection="0"/>
    <xf numFmtId="165"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165" fontId="10" fillId="21" borderId="2" applyNumberFormat="0" applyAlignment="0" applyProtection="0"/>
    <xf numFmtId="165" fontId="10" fillId="21" borderId="2" applyNumberFormat="0" applyAlignment="0" applyProtection="0"/>
    <xf numFmtId="165" fontId="11" fillId="0" borderId="0" applyNumberFormat="0" applyFill="0" applyBorder="0" applyAlignment="0" applyProtection="0"/>
    <xf numFmtId="165"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165" fontId="11" fillId="0" borderId="0" applyNumberFormat="0" applyFill="0" applyBorder="0" applyAlignment="0" applyProtection="0"/>
    <xf numFmtId="165" fontId="11" fillId="0" borderId="0" applyNumberFormat="0" applyFill="0" applyBorder="0" applyAlignment="0" applyProtection="0"/>
    <xf numFmtId="165" fontId="12" fillId="4" borderId="0" applyNumberFormat="0" applyBorder="0" applyAlignment="0" applyProtection="0"/>
    <xf numFmtId="165"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165" fontId="12" fillId="4" borderId="0" applyNumberFormat="0" applyBorder="0" applyAlignment="0" applyProtection="0"/>
    <xf numFmtId="165" fontId="12" fillId="4" borderId="0" applyNumberFormat="0" applyBorder="0" applyAlignment="0" applyProtection="0"/>
    <xf numFmtId="165" fontId="13" fillId="0" borderId="3" applyNumberFormat="0" applyFill="0" applyAlignment="0" applyProtection="0"/>
    <xf numFmtId="165"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165" fontId="13" fillId="0" borderId="3" applyNumberFormat="0" applyFill="0" applyAlignment="0" applyProtection="0"/>
    <xf numFmtId="165" fontId="13" fillId="0" borderId="3" applyNumberFormat="0" applyFill="0" applyAlignment="0" applyProtection="0"/>
    <xf numFmtId="165" fontId="14" fillId="0" borderId="4" applyNumberFormat="0" applyFill="0" applyAlignment="0" applyProtection="0"/>
    <xf numFmtId="165"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165" fontId="14" fillId="0" borderId="4" applyNumberFormat="0" applyFill="0" applyAlignment="0" applyProtection="0"/>
    <xf numFmtId="165" fontId="14" fillId="0" borderId="4" applyNumberFormat="0" applyFill="0" applyAlignment="0" applyProtection="0"/>
    <xf numFmtId="165" fontId="15" fillId="0" borderId="5" applyNumberFormat="0" applyFill="0" applyAlignment="0" applyProtection="0"/>
    <xf numFmtId="165"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165" fontId="15" fillId="0" borderId="5" applyNumberFormat="0" applyFill="0" applyAlignment="0" applyProtection="0"/>
    <xf numFmtId="165" fontId="15" fillId="0" borderId="5" applyNumberFormat="0" applyFill="0" applyAlignment="0" applyProtection="0"/>
    <xf numFmtId="165" fontId="15" fillId="0" borderId="0" applyNumberFormat="0" applyFill="0" applyBorder="0" applyAlignment="0" applyProtection="0"/>
    <xf numFmtId="165"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165" fontId="15" fillId="0" borderId="0" applyNumberFormat="0" applyFill="0" applyBorder="0" applyAlignment="0" applyProtection="0"/>
    <xf numFmtId="165" fontId="15" fillId="0" borderId="0" applyNumberFormat="0" applyFill="0" applyBorder="0" applyAlignment="0" applyProtection="0"/>
    <xf numFmtId="0" fontId="37" fillId="0" borderId="0" applyNumberFormat="0" applyFill="0" applyBorder="0" applyAlignment="0" applyProtection="0">
      <alignment vertical="top"/>
      <protection locked="0"/>
    </xf>
    <xf numFmtId="165" fontId="16" fillId="7" borderId="1" applyNumberFormat="0" applyAlignment="0" applyProtection="0"/>
    <xf numFmtId="165"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5" fontId="16" fillId="7" borderId="1" applyNumberFormat="0" applyAlignment="0" applyProtection="0"/>
    <xf numFmtId="165" fontId="16" fillId="7" borderId="1" applyNumberFormat="0" applyAlignment="0" applyProtection="0"/>
    <xf numFmtId="165" fontId="17" fillId="0" borderId="6" applyNumberFormat="0" applyFill="0" applyAlignment="0" applyProtection="0"/>
    <xf numFmtId="165"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165" fontId="17" fillId="0" borderId="6" applyNumberFormat="0" applyFill="0" applyAlignment="0" applyProtection="0"/>
    <xf numFmtId="165" fontId="17" fillId="0" borderId="6" applyNumberFormat="0" applyFill="0" applyAlignment="0" applyProtection="0"/>
    <xf numFmtId="165" fontId="18" fillId="22" borderId="0" applyNumberFormat="0" applyBorder="0" applyAlignment="0" applyProtection="0"/>
    <xf numFmtId="165"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165" fontId="18" fillId="22" borderId="0" applyNumberFormat="0" applyBorder="0" applyAlignment="0" applyProtection="0"/>
    <xf numFmtId="165" fontId="18" fillId="22" borderId="0" applyNumberFormat="0" applyBorder="0" applyAlignment="0" applyProtection="0"/>
    <xf numFmtId="0" fontId="38" fillId="0" borderId="0"/>
    <xf numFmtId="0" fontId="38" fillId="0" borderId="0"/>
    <xf numFmtId="0" fontId="38" fillId="0" borderId="0"/>
    <xf numFmtId="0" fontId="38" fillId="0" borderId="0"/>
    <xf numFmtId="0" fontId="4" fillId="0" borderId="0"/>
    <xf numFmtId="165" fontId="34" fillId="0" borderId="0"/>
    <xf numFmtId="165" fontId="34" fillId="0" borderId="0"/>
    <xf numFmtId="0" fontId="38" fillId="0" borderId="0"/>
    <xf numFmtId="0" fontId="4" fillId="0" borderId="0"/>
    <xf numFmtId="165" fontId="19" fillId="0" borderId="0"/>
    <xf numFmtId="165" fontId="19" fillId="0" borderId="0"/>
    <xf numFmtId="165" fontId="19" fillId="0" borderId="0"/>
    <xf numFmtId="165" fontId="4" fillId="0" borderId="0"/>
    <xf numFmtId="165" fontId="4" fillId="0" borderId="0"/>
    <xf numFmtId="0" fontId="4" fillId="0" borderId="0"/>
    <xf numFmtId="0" fontId="4" fillId="0" borderId="0"/>
    <xf numFmtId="0" fontId="4" fillId="0" borderId="0"/>
    <xf numFmtId="165" fontId="4" fillId="0" borderId="0"/>
    <xf numFmtId="165" fontId="4" fillId="0" borderId="0"/>
    <xf numFmtId="165" fontId="4" fillId="0" borderId="0"/>
    <xf numFmtId="0" fontId="4" fillId="0" borderId="0"/>
    <xf numFmtId="166" fontId="4" fillId="0" borderId="0"/>
    <xf numFmtId="166" fontId="4" fillId="0" borderId="0"/>
    <xf numFmtId="166" fontId="4" fillId="0" borderId="0"/>
    <xf numFmtId="0" fontId="4" fillId="0" borderId="0"/>
    <xf numFmtId="0" fontId="4" fillId="0" borderId="0"/>
    <xf numFmtId="165" fontId="4" fillId="0" borderId="0"/>
    <xf numFmtId="165" fontId="4" fillId="0" borderId="0"/>
    <xf numFmtId="165" fontId="4" fillId="0" borderId="0"/>
    <xf numFmtId="165" fontId="38" fillId="0" borderId="0"/>
    <xf numFmtId="165" fontId="34" fillId="0" borderId="0"/>
    <xf numFmtId="0" fontId="4" fillId="0" borderId="0"/>
    <xf numFmtId="166" fontId="38" fillId="0" borderId="0"/>
    <xf numFmtId="166" fontId="38" fillId="0" borderId="0"/>
    <xf numFmtId="166" fontId="38" fillId="0" borderId="0"/>
    <xf numFmtId="0" fontId="4" fillId="0" borderId="0"/>
    <xf numFmtId="0" fontId="4" fillId="0" borderId="0"/>
    <xf numFmtId="165" fontId="4" fillId="0" borderId="0"/>
    <xf numFmtId="165" fontId="4" fillId="0" borderId="0"/>
    <xf numFmtId="165" fontId="34" fillId="0" borderId="0"/>
    <xf numFmtId="165" fontId="34" fillId="0" borderId="0"/>
    <xf numFmtId="165" fontId="4" fillId="0" borderId="0"/>
    <xf numFmtId="165" fontId="4" fillId="0" borderId="0"/>
    <xf numFmtId="0" fontId="4" fillId="0" borderId="0"/>
    <xf numFmtId="166" fontId="4" fillId="0" borderId="0"/>
    <xf numFmtId="165" fontId="28" fillId="0" borderId="0"/>
    <xf numFmtId="165" fontId="4" fillId="0" borderId="0"/>
    <xf numFmtId="0" fontId="38" fillId="0" borderId="0"/>
    <xf numFmtId="166" fontId="4" fillId="0" borderId="0"/>
    <xf numFmtId="165" fontId="4" fillId="0" borderId="0"/>
    <xf numFmtId="165" fontId="4" fillId="0" borderId="0"/>
    <xf numFmtId="165" fontId="4" fillId="0" borderId="0"/>
    <xf numFmtId="166" fontId="4" fillId="0" borderId="0"/>
    <xf numFmtId="166" fontId="4" fillId="0" borderId="0"/>
    <xf numFmtId="0" fontId="38" fillId="0" borderId="0"/>
    <xf numFmtId="0" fontId="38" fillId="0" borderId="0"/>
    <xf numFmtId="165" fontId="4" fillId="0" borderId="0"/>
    <xf numFmtId="165" fontId="4" fillId="0" borderId="0"/>
    <xf numFmtId="165" fontId="4" fillId="0" borderId="0"/>
    <xf numFmtId="165" fontId="4" fillId="0" borderId="0"/>
    <xf numFmtId="0" fontId="6" fillId="0" borderId="0"/>
    <xf numFmtId="166" fontId="38" fillId="0" borderId="0"/>
    <xf numFmtId="165" fontId="4" fillId="0" borderId="0"/>
    <xf numFmtId="166" fontId="38" fillId="0" borderId="0"/>
    <xf numFmtId="165" fontId="38" fillId="0" borderId="0"/>
    <xf numFmtId="165" fontId="29" fillId="0" borderId="0"/>
    <xf numFmtId="165" fontId="4"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165" fontId="4" fillId="0" borderId="0"/>
    <xf numFmtId="165" fontId="4" fillId="0" borderId="0"/>
    <xf numFmtId="165" fontId="29" fillId="0" borderId="0"/>
    <xf numFmtId="165" fontId="4"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165" fontId="4" fillId="0" borderId="0"/>
    <xf numFmtId="165" fontId="4" fillId="0" borderId="0"/>
    <xf numFmtId="165" fontId="30" fillId="0" borderId="0"/>
    <xf numFmtId="0" fontId="38"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0" fontId="38" fillId="0" borderId="0"/>
    <xf numFmtId="0" fontId="38" fillId="0" borderId="0"/>
    <xf numFmtId="165" fontId="4" fillId="23" borderId="7" applyNumberFormat="0" applyFont="0" applyAlignment="0" applyProtection="0"/>
    <xf numFmtId="165"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5" fontId="4" fillId="23" borderId="7" applyNumberFormat="0" applyFont="0" applyAlignment="0" applyProtection="0"/>
    <xf numFmtId="165" fontId="4" fillId="23" borderId="7" applyNumberFormat="0" applyFont="0" applyAlignment="0" applyProtection="0"/>
    <xf numFmtId="165" fontId="21" fillId="20" borderId="8" applyNumberFormat="0" applyAlignment="0" applyProtection="0"/>
    <xf numFmtId="165" fontId="21" fillId="20" borderId="8" applyNumberFormat="0" applyAlignment="0" applyProtection="0"/>
    <xf numFmtId="0" fontId="21" fillId="20" borderId="8" applyNumberFormat="0" applyAlignment="0" applyProtection="0"/>
    <xf numFmtId="0" fontId="21" fillId="20" borderId="8" applyNumberFormat="0" applyAlignment="0" applyProtection="0"/>
    <xf numFmtId="0" fontId="21" fillId="20" borderId="8" applyNumberFormat="0" applyAlignment="0" applyProtection="0"/>
    <xf numFmtId="165" fontId="21" fillId="20" borderId="8" applyNumberFormat="0" applyAlignment="0" applyProtection="0"/>
    <xf numFmtId="165" fontId="21" fillId="20" borderId="8" applyNumberFormat="0" applyAlignment="0" applyProtection="0"/>
    <xf numFmtId="165" fontId="5" fillId="0" borderId="0"/>
    <xf numFmtId="165" fontId="5" fillId="0" borderId="0"/>
    <xf numFmtId="0" fontId="4" fillId="0" borderId="0"/>
    <xf numFmtId="0" fontId="5" fillId="0" borderId="0"/>
    <xf numFmtId="0" fontId="5" fillId="0" borderId="0"/>
    <xf numFmtId="165" fontId="22" fillId="0" borderId="0" applyNumberFormat="0" applyFill="0" applyBorder="0" applyAlignment="0" applyProtection="0"/>
    <xf numFmtId="165"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165" fontId="22" fillId="0" borderId="0" applyNumberFormat="0" applyFill="0" applyBorder="0" applyAlignment="0" applyProtection="0"/>
    <xf numFmtId="165" fontId="22" fillId="0" borderId="0" applyNumberFormat="0" applyFill="0" applyBorder="0" applyAlignment="0" applyProtection="0"/>
    <xf numFmtId="165" fontId="23" fillId="0" borderId="9" applyNumberFormat="0" applyFill="0" applyAlignment="0" applyProtection="0"/>
    <xf numFmtId="165"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165" fontId="23" fillId="0" borderId="9" applyNumberFormat="0" applyFill="0" applyAlignment="0" applyProtection="0"/>
    <xf numFmtId="165" fontId="23" fillId="0" borderId="9" applyNumberFormat="0" applyFill="0" applyAlignment="0" applyProtection="0"/>
    <xf numFmtId="165" fontId="24" fillId="0" borderId="0" applyNumberFormat="0" applyFill="0" applyBorder="0" applyAlignment="0" applyProtection="0"/>
    <xf numFmtId="165"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165" fontId="24" fillId="0" borderId="0" applyNumberFormat="0" applyFill="0" applyBorder="0" applyAlignment="0" applyProtection="0"/>
    <xf numFmtId="165" fontId="24" fillId="0" borderId="0" applyNumberFormat="0" applyFill="0" applyBorder="0" applyAlignment="0" applyProtection="0"/>
    <xf numFmtId="165" fontId="20" fillId="0" borderId="0">
      <alignment vertical="center"/>
    </xf>
    <xf numFmtId="0" fontId="3" fillId="0" borderId="0"/>
    <xf numFmtId="0" fontId="2" fillId="0" borderId="0"/>
    <xf numFmtId="0" fontId="1" fillId="0" borderId="0"/>
    <xf numFmtId="0" fontId="1" fillId="0" borderId="0"/>
    <xf numFmtId="165" fontId="4"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7">
    <xf numFmtId="165" fontId="0" fillId="0" borderId="0" xfId="0"/>
    <xf numFmtId="1" fontId="0" fillId="0" borderId="0" xfId="0" applyNumberFormat="1"/>
    <xf numFmtId="165" fontId="4" fillId="0" borderId="0" xfId="0" applyFont="1"/>
    <xf numFmtId="165" fontId="0" fillId="0" borderId="0" xfId="0" applyNumberFormat="1"/>
    <xf numFmtId="1" fontId="4" fillId="0" borderId="0" xfId="0" applyNumberFormat="1" applyFont="1"/>
    <xf numFmtId="164" fontId="0" fillId="0" borderId="0" xfId="0" applyNumberFormat="1"/>
    <xf numFmtId="0" fontId="0" fillId="0" borderId="0" xfId="0" applyNumberFormat="1"/>
    <xf numFmtId="0" fontId="4" fillId="0" borderId="0" xfId="0" applyNumberFormat="1" applyFont="1"/>
    <xf numFmtId="0" fontId="39" fillId="0" borderId="0" xfId="0" applyNumberFormat="1" applyFont="1" applyAlignment="1">
      <alignment horizontal="center"/>
    </xf>
    <xf numFmtId="0" fontId="4" fillId="0" borderId="0" xfId="0" applyNumberFormat="1" applyFont="1" applyAlignment="1">
      <alignment wrapText="1"/>
    </xf>
    <xf numFmtId="165" fontId="37" fillId="0" borderId="0" xfId="235" applyNumberFormat="1" applyFont="1" applyAlignment="1" applyProtection="1"/>
    <xf numFmtId="165" fontId="0" fillId="0" borderId="0" xfId="0" applyBorder="1"/>
    <xf numFmtId="165" fontId="0" fillId="0" borderId="0" xfId="0" applyAlignment="1">
      <alignment horizontal="center"/>
    </xf>
    <xf numFmtId="20" fontId="0" fillId="0" borderId="0" xfId="0" applyNumberFormat="1" applyAlignment="1">
      <alignment horizontal="center"/>
    </xf>
    <xf numFmtId="1" fontId="0" fillId="0" borderId="0" xfId="0" applyNumberFormat="1" applyAlignment="1">
      <alignment horizontal="center"/>
    </xf>
    <xf numFmtId="0" fontId="0" fillId="0" borderId="0" xfId="0" applyNumberFormat="1" applyAlignment="1">
      <alignment horizontal="center"/>
    </xf>
    <xf numFmtId="164" fontId="0" fillId="0" borderId="0" xfId="0" applyNumberFormat="1" applyAlignment="1">
      <alignment horizontal="center"/>
    </xf>
    <xf numFmtId="0" fontId="35" fillId="0" borderId="0" xfId="0" applyNumberFormat="1" applyFont="1" applyFill="1" applyBorder="1" applyAlignment="1">
      <alignment horizontal="center"/>
    </xf>
    <xf numFmtId="20" fontId="4" fillId="0" borderId="0" xfId="0" applyNumberFormat="1" applyFont="1" applyAlignment="1">
      <alignment horizontal="center"/>
    </xf>
    <xf numFmtId="165" fontId="36" fillId="0" borderId="0" xfId="266" applyFont="1" applyFill="1" applyBorder="1" applyAlignment="1">
      <alignment horizontal="center"/>
    </xf>
    <xf numFmtId="0" fontId="47" fillId="0" borderId="0" xfId="0" applyNumberFormat="1" applyFont="1" applyFill="1" applyAlignment="1">
      <alignment horizontal="center"/>
    </xf>
    <xf numFmtId="165" fontId="56" fillId="0" borderId="0" xfId="0" applyFont="1"/>
    <xf numFmtId="1" fontId="0" fillId="0" borderId="0" xfId="0" applyNumberFormat="1" applyFill="1" applyBorder="1" applyAlignment="1">
      <alignment horizontal="center" vertical="center"/>
    </xf>
    <xf numFmtId="164" fontId="0" fillId="0" borderId="0" xfId="0" applyNumberFormat="1" applyBorder="1"/>
    <xf numFmtId="165" fontId="4" fillId="0" borderId="0" xfId="0" applyNumberFormat="1" applyFont="1" applyBorder="1" applyAlignment="1">
      <alignment horizontal="center"/>
    </xf>
    <xf numFmtId="165" fontId="40" fillId="0" borderId="0" xfId="0" applyNumberFormat="1" applyFont="1" applyBorder="1" applyAlignment="1">
      <alignment horizontal="center"/>
    </xf>
    <xf numFmtId="164" fontId="0" fillId="0" borderId="0" xfId="0" applyNumberFormat="1" applyBorder="1" applyAlignment="1">
      <alignment horizontal="center"/>
    </xf>
    <xf numFmtId="1" fontId="4" fillId="0" borderId="0" xfId="0" applyNumberFormat="1" applyFont="1" applyAlignment="1">
      <alignment horizontal="center"/>
    </xf>
    <xf numFmtId="165" fontId="4" fillId="0" borderId="0" xfId="0" applyFont="1" applyFill="1" applyBorder="1" applyAlignment="1">
      <alignment horizontal="center"/>
    </xf>
    <xf numFmtId="165" fontId="4" fillId="0" borderId="0" xfId="0" applyFont="1"/>
    <xf numFmtId="165" fontId="4" fillId="0" borderId="0" xfId="0" applyNumberFormat="1" applyFont="1"/>
    <xf numFmtId="165" fontId="66" fillId="0" borderId="0" xfId="0" applyNumberFormat="1" applyFont="1" applyBorder="1"/>
    <xf numFmtId="165" fontId="33" fillId="0" borderId="0" xfId="0" applyNumberFormat="1" applyFont="1" applyAlignment="1">
      <alignment horizontal="center"/>
    </xf>
    <xf numFmtId="165" fontId="32" fillId="0" borderId="0" xfId="0" applyNumberFormat="1" applyFont="1" applyBorder="1" applyAlignment="1">
      <alignment horizontal="center"/>
    </xf>
    <xf numFmtId="165" fontId="27" fillId="0" borderId="0" xfId="0" applyNumberFormat="1" applyFont="1" applyBorder="1" applyAlignment="1">
      <alignment horizontal="center"/>
    </xf>
    <xf numFmtId="20" fontId="0" fillId="0" borderId="0" xfId="0" applyNumberFormat="1" applyFill="1" applyAlignment="1">
      <alignment horizontal="center"/>
    </xf>
    <xf numFmtId="165" fontId="25" fillId="0" borderId="0" xfId="0" applyNumberFormat="1" applyFont="1" applyBorder="1" applyAlignment="1">
      <alignment horizontal="center"/>
    </xf>
    <xf numFmtId="0" fontId="0" fillId="0" borderId="0" xfId="0" applyNumberFormat="1" applyFill="1" applyAlignment="1">
      <alignment horizontal="center"/>
    </xf>
    <xf numFmtId="165" fontId="58" fillId="0" borderId="0" xfId="0" applyNumberFormat="1" applyFont="1" applyBorder="1" applyAlignment="1">
      <alignment horizontal="center"/>
    </xf>
    <xf numFmtId="165" fontId="0" fillId="29" borderId="0" xfId="0" applyNumberFormat="1" applyFill="1" applyAlignment="1">
      <alignment horizontal="center"/>
    </xf>
    <xf numFmtId="165" fontId="33" fillId="0" borderId="0" xfId="0" applyNumberFormat="1" applyFont="1" applyBorder="1" applyAlignment="1">
      <alignment horizontal="center"/>
    </xf>
    <xf numFmtId="165" fontId="45" fillId="0" borderId="0" xfId="0" applyNumberFormat="1" applyFont="1" applyBorder="1" applyAlignment="1">
      <alignment horizontal="center"/>
    </xf>
    <xf numFmtId="165" fontId="41" fillId="0" borderId="0" xfId="0" applyNumberFormat="1" applyFont="1" applyBorder="1" applyAlignment="1">
      <alignment horizontal="center"/>
    </xf>
    <xf numFmtId="165" fontId="42" fillId="0" borderId="0" xfId="0" applyNumberFormat="1" applyFont="1" applyBorder="1" applyAlignment="1">
      <alignment horizontal="center"/>
    </xf>
    <xf numFmtId="165" fontId="67" fillId="0" borderId="0" xfId="0" applyNumberFormat="1" applyFont="1" applyBorder="1" applyAlignment="1">
      <alignment horizontal="center"/>
    </xf>
    <xf numFmtId="165" fontId="44" fillId="0" borderId="0" xfId="0" applyNumberFormat="1" applyFont="1" applyBorder="1" applyAlignment="1">
      <alignment horizontal="center"/>
    </xf>
    <xf numFmtId="1" fontId="44" fillId="0" borderId="0" xfId="0" applyNumberFormat="1" applyFont="1" applyAlignment="1">
      <alignment horizontal="center"/>
    </xf>
    <xf numFmtId="0" fontId="44" fillId="0" borderId="0" xfId="0" applyNumberFormat="1" applyFont="1" applyFill="1" applyAlignment="1">
      <alignment horizontal="center"/>
    </xf>
    <xf numFmtId="165" fontId="40" fillId="0" borderId="0" xfId="0" applyNumberFormat="1" applyFont="1" applyBorder="1" applyAlignment="1">
      <alignment horizontal="center" vertical="top" wrapText="1"/>
    </xf>
    <xf numFmtId="165" fontId="31" fillId="0" borderId="0" xfId="0" applyNumberFormat="1" applyFont="1" applyFill="1" applyBorder="1" applyAlignment="1">
      <alignment horizontal="center" wrapText="1"/>
    </xf>
    <xf numFmtId="1" fontId="0" fillId="0" borderId="0" xfId="0" applyNumberFormat="1" applyFont="1" applyFill="1" applyAlignment="1">
      <alignment horizontal="center"/>
    </xf>
    <xf numFmtId="165" fontId="60" fillId="0" borderId="0" xfId="0" applyNumberFormat="1" applyFont="1" applyBorder="1" applyAlignment="1">
      <alignment horizontal="right"/>
    </xf>
    <xf numFmtId="165" fontId="46" fillId="0" borderId="0" xfId="0" applyNumberFormat="1" applyFont="1" applyBorder="1" applyAlignment="1">
      <alignment vertical="top"/>
    </xf>
    <xf numFmtId="165" fontId="68" fillId="0" borderId="0" xfId="0" applyNumberFormat="1" applyFont="1" applyBorder="1" applyAlignment="1">
      <alignment horizontal="center" vertical="top"/>
    </xf>
    <xf numFmtId="165" fontId="69" fillId="0" borderId="0" xfId="0" applyNumberFormat="1" applyFont="1" applyBorder="1" applyAlignment="1">
      <alignment horizontal="center"/>
    </xf>
    <xf numFmtId="165" fontId="70" fillId="0" borderId="0" xfId="0" applyNumberFormat="1" applyFont="1" applyBorder="1" applyAlignment="1">
      <alignment horizontal="center"/>
    </xf>
    <xf numFmtId="165" fontId="49" fillId="0" borderId="0" xfId="0" applyNumberFormat="1" applyFont="1" applyBorder="1" applyAlignment="1">
      <alignment horizontal="center"/>
    </xf>
    <xf numFmtId="165" fontId="46" fillId="0" borderId="0" xfId="0" applyNumberFormat="1" applyFont="1" applyBorder="1" applyAlignment="1">
      <alignment horizontal="center"/>
    </xf>
    <xf numFmtId="165" fontId="48" fillId="0" borderId="0" xfId="0" applyNumberFormat="1" applyFont="1" applyBorder="1" applyAlignment="1">
      <alignment horizontal="center"/>
    </xf>
    <xf numFmtId="0" fontId="4" fillId="0" borderId="0" xfId="0" applyNumberFormat="1" applyFont="1" applyFill="1" applyAlignment="1">
      <alignment horizontal="center"/>
    </xf>
    <xf numFmtId="165" fontId="31" fillId="0" borderId="0" xfId="0" applyNumberFormat="1" applyFont="1" applyBorder="1" applyAlignment="1">
      <alignment horizontal="center"/>
    </xf>
    <xf numFmtId="165" fontId="59" fillId="0" borderId="0" xfId="0" applyNumberFormat="1" applyFont="1" applyBorder="1" applyAlignment="1">
      <alignment horizontal="center"/>
    </xf>
    <xf numFmtId="165" fontId="4" fillId="0" borderId="0" xfId="0" applyNumberFormat="1" applyFont="1" applyBorder="1" applyAlignment="1">
      <alignment horizontal="center" vertical="top"/>
    </xf>
    <xf numFmtId="165" fontId="0" fillId="0" borderId="0" xfId="0" applyNumberFormat="1" applyAlignment="1">
      <alignment horizontal="center"/>
    </xf>
    <xf numFmtId="165" fontId="71" fillId="0" borderId="0" xfId="0" applyNumberFormat="1" applyFont="1" applyBorder="1" applyAlignment="1">
      <alignment horizontal="center"/>
    </xf>
    <xf numFmtId="165" fontId="60" fillId="0" borderId="0" xfId="0" applyNumberFormat="1" applyFont="1" applyBorder="1" applyAlignment="1">
      <alignment horizontal="center"/>
    </xf>
    <xf numFmtId="165" fontId="4" fillId="0" borderId="0" xfId="0" applyNumberFormat="1" applyFont="1" applyAlignment="1">
      <alignment horizontal="center"/>
    </xf>
    <xf numFmtId="165" fontId="57" fillId="0" borderId="0" xfId="0" applyNumberFormat="1" applyFont="1" applyBorder="1" applyAlignment="1">
      <alignment horizontal="right"/>
    </xf>
    <xf numFmtId="165" fontId="42" fillId="0" borderId="0" xfId="0" applyNumberFormat="1" applyFont="1" applyBorder="1" applyAlignment="1">
      <alignment horizontal="center" vertical="top"/>
    </xf>
    <xf numFmtId="165" fontId="44" fillId="0" borderId="0" xfId="0" applyNumberFormat="1" applyFont="1" applyBorder="1"/>
    <xf numFmtId="165" fontId="27" fillId="0" borderId="0" xfId="0" applyNumberFormat="1" applyFont="1" applyBorder="1" applyAlignment="1">
      <alignment horizontal="center" vertical="top"/>
    </xf>
    <xf numFmtId="165" fontId="72" fillId="0" borderId="0" xfId="0" applyNumberFormat="1" applyFont="1" applyBorder="1" applyAlignment="1">
      <alignment horizontal="center"/>
    </xf>
    <xf numFmtId="165" fontId="61" fillId="0" borderId="0" xfId="0" applyNumberFormat="1" applyFont="1" applyBorder="1" applyAlignment="1">
      <alignment horizontal="center" vertical="top"/>
    </xf>
    <xf numFmtId="20" fontId="44" fillId="0" borderId="0" xfId="0" applyNumberFormat="1" applyFont="1" applyFill="1" applyAlignment="1">
      <alignment horizontal="center"/>
    </xf>
    <xf numFmtId="165" fontId="25" fillId="0" borderId="0" xfId="0" applyNumberFormat="1" applyFont="1" applyBorder="1" applyAlignment="1">
      <alignment horizontal="center" vertical="top"/>
    </xf>
    <xf numFmtId="1" fontId="25" fillId="0" borderId="0" xfId="0" applyNumberFormat="1" applyFont="1" applyBorder="1" applyAlignment="1">
      <alignment horizontal="center"/>
    </xf>
    <xf numFmtId="165" fontId="40" fillId="0" borderId="0" xfId="0" applyNumberFormat="1" applyFont="1" applyBorder="1" applyAlignment="1">
      <alignment horizontal="center" vertical="top"/>
    </xf>
    <xf numFmtId="164" fontId="44" fillId="0" borderId="0" xfId="0" applyNumberFormat="1" applyFont="1" applyAlignment="1">
      <alignment horizontal="center"/>
    </xf>
    <xf numFmtId="165" fontId="41" fillId="0" borderId="0" xfId="0" applyNumberFormat="1" applyFont="1" applyBorder="1" applyAlignment="1">
      <alignment horizontal="center" vertical="top"/>
    </xf>
    <xf numFmtId="165" fontId="50" fillId="0" borderId="0" xfId="0" applyNumberFormat="1" applyFont="1" applyBorder="1" applyAlignment="1">
      <alignment horizontal="right" vertical="top"/>
    </xf>
    <xf numFmtId="0" fontId="4" fillId="0" borderId="0" xfId="0" applyNumberFormat="1" applyFont="1" applyFill="1"/>
    <xf numFmtId="165" fontId="41" fillId="0" borderId="0" xfId="0" applyNumberFormat="1" applyFont="1" applyBorder="1" applyAlignment="1">
      <alignment horizontal="right"/>
    </xf>
    <xf numFmtId="165" fontId="40" fillId="0" borderId="0" xfId="0" applyNumberFormat="1" applyFont="1" applyBorder="1" applyAlignment="1">
      <alignment vertical="top"/>
    </xf>
    <xf numFmtId="165" fontId="32" fillId="0" borderId="0" xfId="0" applyNumberFormat="1" applyFont="1" applyBorder="1" applyAlignment="1">
      <alignment horizontal="center" vertical="top"/>
    </xf>
    <xf numFmtId="1" fontId="73" fillId="0" borderId="0" xfId="0" applyNumberFormat="1" applyFont="1" applyAlignment="1">
      <alignment horizontal="center"/>
    </xf>
    <xf numFmtId="165" fontId="61" fillId="0" borderId="0" xfId="0" applyNumberFormat="1" applyFont="1" applyBorder="1" applyAlignment="1">
      <alignment horizontal="right" vertical="top"/>
    </xf>
    <xf numFmtId="165" fontId="59" fillId="0" borderId="0" xfId="0" applyNumberFormat="1" applyFont="1" applyBorder="1"/>
    <xf numFmtId="1" fontId="4" fillId="0" borderId="0" xfId="0" applyNumberFormat="1" applyFont="1" applyFill="1" applyAlignment="1">
      <alignment horizontal="center"/>
    </xf>
    <xf numFmtId="165" fontId="4" fillId="0" borderId="0" xfId="0" applyFont="1"/>
    <xf numFmtId="165" fontId="37" fillId="0" borderId="0" xfId="235" applyNumberFormat="1" applyAlignment="1" applyProtection="1"/>
    <xf numFmtId="165" fontId="4" fillId="30" borderId="0" xfId="0" applyFont="1" applyFill="1"/>
    <xf numFmtId="167" fontId="0" fillId="0" borderId="0" xfId="0" applyNumberFormat="1" applyAlignment="1">
      <alignment horizontal="center"/>
    </xf>
    <xf numFmtId="165" fontId="25" fillId="0" borderId="0" xfId="0" applyFont="1" applyAlignment="1"/>
    <xf numFmtId="0" fontId="74" fillId="26" borderId="10" xfId="0" applyNumberFormat="1" applyFont="1" applyFill="1" applyBorder="1" applyAlignment="1">
      <alignment horizontal="center" vertical="center"/>
    </xf>
    <xf numFmtId="0" fontId="0" fillId="24" borderId="0" xfId="0" applyNumberFormat="1" applyFill="1" applyAlignment="1">
      <alignment horizontal="left"/>
    </xf>
    <xf numFmtId="0" fontId="42" fillId="0" borderId="0" xfId="0" applyNumberFormat="1" applyFont="1" applyBorder="1" applyAlignment="1">
      <alignment horizontal="right"/>
    </xf>
    <xf numFmtId="165" fontId="4" fillId="0" borderId="0" xfId="0" applyFont="1"/>
    <xf numFmtId="0" fontId="0" fillId="0" borderId="0" xfId="0" applyNumberFormat="1" applyFont="1" applyAlignment="1">
      <alignment horizontal="center"/>
    </xf>
    <xf numFmtId="165" fontId="49" fillId="0" borderId="0" xfId="0" applyFont="1" applyAlignment="1">
      <alignment horizontal="left"/>
    </xf>
    <xf numFmtId="165" fontId="44" fillId="0" borderId="0" xfId="0" applyFont="1"/>
    <xf numFmtId="1" fontId="0" fillId="0" borderId="0" xfId="0" applyNumberFormat="1" applyBorder="1"/>
    <xf numFmtId="165" fontId="40" fillId="0" borderId="0" xfId="0" applyFont="1" applyBorder="1" applyAlignment="1">
      <alignment horizontal="right"/>
    </xf>
    <xf numFmtId="165" fontId="4" fillId="0" borderId="0" xfId="0" applyFont="1"/>
    <xf numFmtId="165" fontId="52" fillId="27" borderId="12" xfId="0" applyFont="1" applyFill="1" applyBorder="1" applyAlignment="1">
      <alignment vertical="center" wrapText="1"/>
    </xf>
    <xf numFmtId="165" fontId="51" fillId="27" borderId="11" xfId="0" applyFont="1" applyFill="1" applyBorder="1" applyAlignment="1">
      <alignment vertical="center" wrapText="1"/>
    </xf>
    <xf numFmtId="0" fontId="27" fillId="0" borderId="10" xfId="0" applyNumberFormat="1" applyFont="1" applyBorder="1" applyAlignment="1">
      <alignment horizontal="center"/>
    </xf>
    <xf numFmtId="168" fontId="0" fillId="0" borderId="0" xfId="0" applyNumberFormat="1"/>
    <xf numFmtId="168" fontId="74" fillId="26" borderId="10" xfId="0" applyNumberFormat="1" applyFont="1" applyFill="1" applyBorder="1" applyAlignment="1">
      <alignment horizontal="center" vertical="center"/>
    </xf>
    <xf numFmtId="168" fontId="0" fillId="0" borderId="0" xfId="0" applyNumberFormat="1" applyAlignment="1">
      <alignment horizontal="center"/>
    </xf>
    <xf numFmtId="168" fontId="49" fillId="0" borderId="0" xfId="0" applyNumberFormat="1" applyFont="1" applyAlignment="1">
      <alignment horizontal="left"/>
    </xf>
    <xf numFmtId="164" fontId="44" fillId="0" borderId="0" xfId="0" applyNumberFormat="1" applyFont="1"/>
    <xf numFmtId="1" fontId="44" fillId="0" borderId="0" xfId="0" applyNumberFormat="1" applyFont="1"/>
    <xf numFmtId="165" fontId="52" fillId="27" borderId="10" xfId="0" applyFont="1" applyFill="1" applyBorder="1" applyAlignment="1">
      <alignment horizontal="center" vertical="center" wrapText="1"/>
    </xf>
    <xf numFmtId="0" fontId="81" fillId="0" borderId="0" xfId="0" applyNumberFormat="1" applyFont="1" applyAlignment="1">
      <alignment vertical="center"/>
    </xf>
    <xf numFmtId="0" fontId="0" fillId="0" borderId="0" xfId="0" applyNumberFormat="1" applyBorder="1" applyAlignment="1">
      <alignment horizontal="left" vertical="top" wrapText="1"/>
    </xf>
    <xf numFmtId="0" fontId="0" fillId="0" borderId="0" xfId="0" applyNumberFormat="1" applyBorder="1"/>
    <xf numFmtId="165" fontId="82" fillId="0" borderId="0" xfId="0" applyNumberFormat="1" applyFont="1" applyAlignment="1">
      <alignment horizontal="left" wrapText="1"/>
    </xf>
    <xf numFmtId="0" fontId="83" fillId="0" borderId="0" xfId="0" applyNumberFormat="1" applyFont="1" applyAlignment="1">
      <alignment vertical="center"/>
    </xf>
    <xf numFmtId="0" fontId="63" fillId="0" borderId="0" xfId="0" applyNumberFormat="1" applyFont="1" applyAlignment="1">
      <alignment vertical="center"/>
    </xf>
    <xf numFmtId="0" fontId="84" fillId="0" borderId="0" xfId="0" applyNumberFormat="1" applyFont="1" applyAlignment="1">
      <alignment vertical="center"/>
    </xf>
    <xf numFmtId="0" fontId="85" fillId="0" borderId="0" xfId="0" applyNumberFormat="1" applyFont="1" applyAlignment="1">
      <alignment vertical="center"/>
    </xf>
    <xf numFmtId="49" fontId="4" fillId="0" borderId="0" xfId="0" applyNumberFormat="1" applyFont="1"/>
    <xf numFmtId="0" fontId="82" fillId="0" borderId="0" xfId="0" applyNumberFormat="1" applyFont="1" applyAlignment="1">
      <alignment horizontal="left" wrapText="1"/>
    </xf>
    <xf numFmtId="0" fontId="85" fillId="0" borderId="0" xfId="0" applyNumberFormat="1" applyFont="1"/>
    <xf numFmtId="0" fontId="86" fillId="0" borderId="0" xfId="0" applyNumberFormat="1" applyFont="1" applyAlignment="1">
      <alignment wrapText="1"/>
    </xf>
    <xf numFmtId="167" fontId="86" fillId="0" borderId="0" xfId="0" applyNumberFormat="1" applyFont="1" applyAlignment="1">
      <alignment wrapText="1"/>
    </xf>
    <xf numFmtId="0" fontId="86" fillId="0" borderId="0" xfId="0" applyNumberFormat="1" applyFont="1" applyAlignment="1">
      <alignment horizontal="left" wrapText="1"/>
    </xf>
    <xf numFmtId="167" fontId="87" fillId="0" borderId="0" xfId="0" applyNumberFormat="1" applyFont="1" applyAlignment="1">
      <alignment wrapText="1"/>
    </xf>
    <xf numFmtId="165" fontId="87" fillId="0" borderId="0" xfId="0" applyFont="1" applyAlignment="1">
      <alignment wrapText="1"/>
    </xf>
    <xf numFmtId="165" fontId="52" fillId="27" borderId="14" xfId="0" applyFont="1" applyFill="1" applyBorder="1" applyAlignment="1">
      <alignment vertical="center" wrapText="1"/>
    </xf>
    <xf numFmtId="0" fontId="4" fillId="0" borderId="14" xfId="0" applyNumberFormat="1" applyFont="1" applyBorder="1" applyAlignment="1"/>
    <xf numFmtId="165" fontId="4" fillId="0" borderId="15" xfId="0" applyNumberFormat="1" applyFont="1" applyBorder="1" applyAlignment="1"/>
    <xf numFmtId="165" fontId="4" fillId="0" borderId="0" xfId="0" applyFont="1"/>
    <xf numFmtId="0" fontId="47" fillId="0" borderId="0" xfId="0" applyNumberFormat="1" applyFont="1" applyFill="1" applyAlignment="1">
      <alignment horizontal="left"/>
    </xf>
    <xf numFmtId="0" fontId="47" fillId="0" borderId="0" xfId="0" applyNumberFormat="1" applyFont="1" applyFill="1" applyBorder="1" applyAlignment="1">
      <alignment horizontal="left"/>
    </xf>
    <xf numFmtId="1" fontId="0" fillId="0" borderId="0" xfId="0" applyNumberFormat="1" applyAlignment="1">
      <alignment horizontal="left"/>
    </xf>
    <xf numFmtId="0" fontId="0" fillId="24" borderId="0" xfId="0" applyNumberFormat="1" applyFill="1" applyBorder="1" applyAlignment="1" applyProtection="1">
      <alignment horizontal="center"/>
      <protection hidden="1"/>
    </xf>
    <xf numFmtId="168" fontId="4" fillId="31" borderId="0" xfId="0" applyNumberFormat="1" applyFont="1" applyFill="1" applyBorder="1" applyAlignment="1">
      <alignment horizontal="center"/>
    </xf>
    <xf numFmtId="165" fontId="25" fillId="0" borderId="0" xfId="0" applyFont="1" applyBorder="1" applyAlignment="1">
      <alignment horizontal="center"/>
    </xf>
    <xf numFmtId="165" fontId="4" fillId="0" borderId="0" xfId="0" applyFont="1" applyBorder="1" applyAlignment="1">
      <alignment horizontal="center"/>
    </xf>
    <xf numFmtId="0" fontId="0" fillId="0" borderId="10" xfId="0" applyNumberFormat="1" applyBorder="1"/>
    <xf numFmtId="0" fontId="4" fillId="0" borderId="0" xfId="0" applyNumberFormat="1" applyFont="1" applyBorder="1" applyAlignment="1">
      <alignment horizontal="center"/>
    </xf>
    <xf numFmtId="1" fontId="4" fillId="0" borderId="0" xfId="0" applyNumberFormat="1" applyFont="1" applyBorder="1" applyAlignment="1">
      <alignment horizontal="center"/>
    </xf>
    <xf numFmtId="0" fontId="32" fillId="0" borderId="0" xfId="0" applyNumberFormat="1" applyFont="1" applyBorder="1" applyAlignment="1">
      <alignment horizontal="center"/>
    </xf>
    <xf numFmtId="0" fontId="25" fillId="0" borderId="0" xfId="0" applyNumberFormat="1" applyFont="1" applyBorder="1" applyAlignment="1">
      <alignment horizontal="center"/>
    </xf>
    <xf numFmtId="0" fontId="43" fillId="0" borderId="0" xfId="0" applyNumberFormat="1" applyFont="1" applyFill="1" applyAlignment="1">
      <alignment horizontal="center"/>
    </xf>
    <xf numFmtId="0" fontId="0" fillId="0" borderId="0" xfId="0" applyNumberFormat="1" applyFill="1" applyAlignment="1">
      <alignment horizontal="left"/>
    </xf>
    <xf numFmtId="0" fontId="0" fillId="0" borderId="0" xfId="0" applyNumberFormat="1" applyFill="1"/>
    <xf numFmtId="165" fontId="0" fillId="0" borderId="0" xfId="0" applyFill="1" applyAlignment="1">
      <alignment horizontal="center"/>
    </xf>
    <xf numFmtId="164" fontId="25" fillId="0" borderId="0" xfId="0" applyNumberFormat="1" applyFont="1" applyBorder="1" applyAlignment="1">
      <alignment horizontal="center"/>
    </xf>
    <xf numFmtId="0" fontId="4" fillId="0" borderId="0" xfId="0" applyNumberFormat="1" applyFont="1" applyFill="1" applyBorder="1" applyAlignment="1">
      <alignment horizontal="center"/>
    </xf>
    <xf numFmtId="0" fontId="0" fillId="0" borderId="0" xfId="0" applyNumberFormat="1" applyFont="1"/>
    <xf numFmtId="165" fontId="92" fillId="0" borderId="0" xfId="0" applyFont="1" applyBorder="1" applyAlignment="1">
      <alignment horizontal="left"/>
    </xf>
    <xf numFmtId="165" fontId="27" fillId="0" borderId="0" xfId="0" applyFont="1"/>
    <xf numFmtId="0" fontId="75" fillId="0" borderId="0" xfId="0" applyNumberFormat="1" applyFont="1" applyAlignment="1">
      <alignment horizontal="left"/>
    </xf>
    <xf numFmtId="0" fontId="53" fillId="0" borderId="0" xfId="0" applyNumberFormat="1" applyFont="1" applyFill="1" applyBorder="1" applyAlignment="1">
      <alignment horizontal="left" vertical="center"/>
    </xf>
    <xf numFmtId="165" fontId="4" fillId="0" borderId="0" xfId="0" applyNumberFormat="1" applyFont="1" applyBorder="1"/>
    <xf numFmtId="165" fontId="27" fillId="0" borderId="0" xfId="0" applyNumberFormat="1" applyFont="1" applyBorder="1"/>
    <xf numFmtId="0" fontId="53" fillId="0" borderId="0" xfId="0" applyNumberFormat="1" applyFont="1" applyFill="1" applyBorder="1"/>
    <xf numFmtId="0" fontId="77" fillId="0" borderId="0" xfId="0" applyNumberFormat="1" applyFont="1" applyFill="1" applyBorder="1"/>
    <xf numFmtId="0" fontId="54" fillId="28" borderId="0" xfId="0" applyNumberFormat="1" applyFont="1" applyFill="1" applyBorder="1" applyAlignment="1">
      <alignment horizontal="center" vertical="center"/>
    </xf>
    <xf numFmtId="0" fontId="76" fillId="28" borderId="0" xfId="0" applyNumberFormat="1" applyFont="1" applyFill="1" applyBorder="1" applyAlignment="1">
      <alignment horizontal="center" vertical="center" wrapText="1"/>
    </xf>
    <xf numFmtId="165" fontId="0" fillId="0" borderId="0" xfId="0" applyNumberFormat="1" applyBorder="1"/>
    <xf numFmtId="0" fontId="53" fillId="0" borderId="0" xfId="0" applyNumberFormat="1" applyFont="1" applyFill="1" applyBorder="1" applyAlignment="1">
      <alignment horizontal="left"/>
    </xf>
    <xf numFmtId="0" fontId="76" fillId="28" borderId="0" xfId="0" applyNumberFormat="1" applyFont="1" applyFill="1" applyBorder="1" applyAlignment="1">
      <alignment horizontal="center" vertical="center"/>
    </xf>
    <xf numFmtId="1" fontId="53" fillId="0" borderId="0" xfId="0" applyNumberFormat="1" applyFont="1" applyFill="1" applyBorder="1"/>
    <xf numFmtId="1" fontId="53" fillId="0" borderId="0" xfId="0" applyNumberFormat="1" applyFont="1" applyFill="1" applyBorder="1" applyAlignment="1">
      <alignment horizontal="left" vertical="center"/>
    </xf>
    <xf numFmtId="0" fontId="53" fillId="0" borderId="0" xfId="0" applyNumberFormat="1" applyFont="1" applyFill="1" applyBorder="1" applyAlignment="1">
      <alignment vertical="center"/>
    </xf>
    <xf numFmtId="0" fontId="78" fillId="0" borderId="0" xfId="0" applyNumberFormat="1" applyFont="1" applyFill="1" applyBorder="1" applyAlignment="1">
      <alignment horizontal="left"/>
    </xf>
    <xf numFmtId="0" fontId="0" fillId="0" borderId="0" xfId="0" applyNumberFormat="1" applyFill="1" applyBorder="1" applyAlignment="1">
      <alignment horizontal="left"/>
    </xf>
    <xf numFmtId="0" fontId="64" fillId="0" borderId="0" xfId="0" applyNumberFormat="1" applyFont="1" applyFill="1" applyBorder="1" applyAlignment="1">
      <alignment horizontal="left"/>
    </xf>
    <xf numFmtId="0" fontId="53" fillId="0" borderId="0" xfId="0" applyNumberFormat="1" applyFont="1" applyFill="1" applyBorder="1" applyAlignment="1">
      <alignment horizontal="left" vertical="center" wrapText="1"/>
    </xf>
    <xf numFmtId="0" fontId="79" fillId="0" borderId="0" xfId="0" applyNumberFormat="1" applyFont="1" applyFill="1" applyBorder="1"/>
    <xf numFmtId="0" fontId="65" fillId="25" borderId="0" xfId="0" applyNumberFormat="1" applyFont="1" applyFill="1" applyBorder="1" applyAlignment="1">
      <alignment horizontal="left"/>
    </xf>
    <xf numFmtId="0" fontId="64" fillId="0" borderId="0" xfId="0" applyNumberFormat="1" applyFont="1" applyFill="1" applyBorder="1" applyAlignment="1">
      <alignment horizontal="left" vertical="center"/>
    </xf>
    <xf numFmtId="0" fontId="93" fillId="0" borderId="18" xfId="0" applyNumberFormat="1" applyFont="1" applyBorder="1" applyAlignment="1">
      <alignment horizontal="center" vertical="center"/>
    </xf>
    <xf numFmtId="0" fontId="93" fillId="0" borderId="19" xfId="0" applyNumberFormat="1" applyFont="1" applyBorder="1" applyAlignment="1">
      <alignment horizontal="center"/>
    </xf>
    <xf numFmtId="0" fontId="0" fillId="0" borderId="10" xfId="0" applyNumberFormat="1" applyBorder="1" applyAlignment="1">
      <alignment horizontal="center"/>
    </xf>
    <xf numFmtId="0" fontId="4" fillId="0" borderId="10" xfId="0" applyNumberFormat="1" applyFont="1" applyBorder="1" applyAlignment="1">
      <alignment horizontal="center"/>
    </xf>
    <xf numFmtId="0" fontId="93" fillId="0" borderId="18" xfId="0" applyNumberFormat="1" applyFont="1" applyBorder="1" applyAlignment="1">
      <alignment horizontal="center"/>
    </xf>
    <xf numFmtId="0" fontId="4" fillId="0" borderId="14" xfId="0" applyNumberFormat="1" applyFont="1" applyBorder="1"/>
    <xf numFmtId="0" fontId="0" fillId="0" borderId="14" xfId="0" applyNumberFormat="1" applyBorder="1"/>
    <xf numFmtId="0" fontId="4" fillId="0" borderId="0" xfId="0" applyNumberFormat="1" applyFont="1" applyFill="1" applyBorder="1"/>
    <xf numFmtId="1" fontId="0" fillId="0" borderId="0" xfId="0" applyNumberFormat="1" applyFill="1" applyBorder="1"/>
    <xf numFmtId="0" fontId="0" fillId="0" borderId="0" xfId="0" applyNumberFormat="1" applyFill="1" applyBorder="1"/>
    <xf numFmtId="0" fontId="88" fillId="0" borderId="0" xfId="0" applyNumberFormat="1" applyFont="1" applyFill="1" applyBorder="1"/>
    <xf numFmtId="1" fontId="89" fillId="0" borderId="0" xfId="0" applyNumberFormat="1" applyFont="1" applyFill="1" applyBorder="1"/>
    <xf numFmtId="0" fontId="89" fillId="0" borderId="0" xfId="0" applyNumberFormat="1" applyFont="1" applyFill="1" applyBorder="1"/>
    <xf numFmtId="1" fontId="89" fillId="0" borderId="0" xfId="0" applyNumberFormat="1" applyFont="1" applyFill="1" applyBorder="1" applyAlignment="1">
      <alignment horizontal="right"/>
    </xf>
    <xf numFmtId="0" fontId="90" fillId="0" borderId="0" xfId="0" applyNumberFormat="1" applyFont="1" applyFill="1" applyBorder="1"/>
    <xf numFmtId="0" fontId="91" fillId="0" borderId="0" xfId="0" applyNumberFormat="1" applyFont="1" applyFill="1" applyBorder="1"/>
    <xf numFmtId="0" fontId="89" fillId="0" borderId="0" xfId="0" applyNumberFormat="1" applyFont="1" applyFill="1" applyBorder="1" applyAlignment="1">
      <alignment wrapText="1"/>
    </xf>
    <xf numFmtId="1" fontId="90" fillId="0" borderId="0" xfId="0" applyNumberFormat="1" applyFont="1" applyFill="1" applyBorder="1"/>
    <xf numFmtId="0" fontId="54" fillId="0" borderId="0" xfId="0" applyNumberFormat="1" applyFont="1" applyFill="1" applyBorder="1" applyAlignment="1">
      <alignment horizontal="center" vertical="center"/>
    </xf>
    <xf numFmtId="1" fontId="54" fillId="0" borderId="0" xfId="0" applyNumberFormat="1" applyFont="1" applyFill="1" applyBorder="1" applyAlignment="1">
      <alignment horizontal="center" vertical="center"/>
    </xf>
    <xf numFmtId="165" fontId="0" fillId="0" borderId="0" xfId="0" applyNumberFormat="1" applyFill="1" applyBorder="1"/>
    <xf numFmtId="165" fontId="0" fillId="0" borderId="0" xfId="0" applyFill="1" applyBorder="1"/>
    <xf numFmtId="0" fontId="96" fillId="0" borderId="0" xfId="0" applyNumberFormat="1" applyFont="1" applyBorder="1" applyAlignment="1">
      <alignment horizontal="center" vertical="top"/>
    </xf>
    <xf numFmtId="165" fontId="96" fillId="0" borderId="0" xfId="0" applyFont="1" applyBorder="1" applyAlignment="1">
      <alignment horizontal="center"/>
    </xf>
    <xf numFmtId="0" fontId="97" fillId="0" borderId="0" xfId="0" applyNumberFormat="1" applyFont="1" applyBorder="1" applyAlignment="1">
      <alignment horizontal="center" vertical="top"/>
    </xf>
    <xf numFmtId="0" fontId="96" fillId="0" borderId="0" xfId="0" applyNumberFormat="1" applyFont="1" applyBorder="1"/>
    <xf numFmtId="0" fontId="97" fillId="0" borderId="0" xfId="0" applyNumberFormat="1" applyFont="1" applyBorder="1"/>
    <xf numFmtId="0" fontId="95" fillId="0" borderId="0" xfId="0" applyNumberFormat="1" applyFont="1" applyFill="1" applyBorder="1" applyAlignment="1">
      <alignment horizontal="center"/>
    </xf>
    <xf numFmtId="164" fontId="96" fillId="0" borderId="0" xfId="0" applyNumberFormat="1" applyFont="1" applyBorder="1" applyAlignment="1">
      <alignment horizontal="center"/>
    </xf>
    <xf numFmtId="1" fontId="96" fillId="0" borderId="0" xfId="0" applyNumberFormat="1" applyFont="1" applyBorder="1" applyAlignment="1">
      <alignment horizontal="center"/>
    </xf>
    <xf numFmtId="165" fontId="96" fillId="0" borderId="0" xfId="0" applyFont="1" applyBorder="1"/>
    <xf numFmtId="165" fontId="98" fillId="0" borderId="0" xfId="0" applyFont="1" applyBorder="1"/>
    <xf numFmtId="164" fontId="49" fillId="0" borderId="0" xfId="0" applyNumberFormat="1" applyFont="1" applyBorder="1" applyAlignment="1">
      <alignment horizontal="center"/>
    </xf>
    <xf numFmtId="165" fontId="49" fillId="0" borderId="0" xfId="0" applyFont="1" applyBorder="1" applyAlignment="1">
      <alignment horizontal="center"/>
    </xf>
    <xf numFmtId="1" fontId="49" fillId="0" borderId="0" xfId="0" applyNumberFormat="1" applyFont="1" applyBorder="1" applyAlignment="1">
      <alignment horizontal="center"/>
    </xf>
    <xf numFmtId="1" fontId="4" fillId="0" borderId="0" xfId="0" applyNumberFormat="1" applyFont="1" applyBorder="1" applyAlignment="1">
      <alignment horizontal="center" wrapText="1"/>
    </xf>
    <xf numFmtId="165" fontId="4" fillId="0" borderId="0" xfId="0" applyFont="1" applyAlignment="1">
      <alignment wrapText="1"/>
    </xf>
    <xf numFmtId="0" fontId="52" fillId="27" borderId="12" xfId="0" applyNumberFormat="1" applyFont="1" applyFill="1" applyBorder="1" applyAlignment="1">
      <alignment vertical="center" wrapText="1"/>
    </xf>
    <xf numFmtId="165" fontId="52" fillId="27" borderId="20" xfId="0" applyFont="1" applyFill="1" applyBorder="1" applyAlignment="1">
      <alignment vertical="center" wrapText="1"/>
    </xf>
    <xf numFmtId="165" fontId="25" fillId="27" borderId="21" xfId="0" applyFont="1" applyFill="1" applyBorder="1" applyAlignment="1">
      <alignment horizontal="center" vertical="top" wrapText="1"/>
    </xf>
    <xf numFmtId="165" fontId="52" fillId="27" borderId="23" xfId="0" applyFont="1" applyFill="1" applyBorder="1" applyAlignment="1">
      <alignment horizontal="center" vertical="center" wrapText="1"/>
    </xf>
    <xf numFmtId="20" fontId="99" fillId="32" borderId="23" xfId="0" applyNumberFormat="1" applyFont="1" applyFill="1" applyBorder="1" applyAlignment="1">
      <alignment horizontal="center" vertical="center"/>
    </xf>
    <xf numFmtId="14" fontId="0" fillId="0" borderId="10" xfId="0" applyNumberFormat="1" applyBorder="1" applyAlignment="1">
      <alignment horizontal="center"/>
    </xf>
    <xf numFmtId="14" fontId="4" fillId="0" borderId="10" xfId="0" applyNumberFormat="1" applyFont="1" applyBorder="1" applyAlignment="1">
      <alignment horizontal="center"/>
    </xf>
    <xf numFmtId="0" fontId="4" fillId="0" borderId="14" xfId="235" applyNumberFormat="1" applyFont="1" applyBorder="1" applyAlignment="1" applyProtection="1"/>
    <xf numFmtId="0" fontId="37" fillId="0" borderId="14" xfId="235" applyNumberFormat="1" applyBorder="1" applyAlignment="1" applyProtection="1"/>
    <xf numFmtId="0" fontId="27" fillId="0" borderId="0" xfId="0" applyNumberFormat="1" applyFont="1" applyBorder="1" applyAlignment="1">
      <alignment horizontal="right" vertical="center"/>
    </xf>
    <xf numFmtId="0" fontId="40" fillId="0" borderId="0" xfId="0" applyNumberFormat="1" applyFont="1" applyBorder="1" applyAlignment="1">
      <alignment horizontal="right" vertical="center"/>
    </xf>
    <xf numFmtId="0" fontId="4" fillId="0" borderId="0" xfId="0" applyNumberFormat="1" applyFont="1" applyBorder="1" applyAlignment="1">
      <alignment horizontal="right" vertical="center"/>
    </xf>
    <xf numFmtId="0" fontId="42" fillId="0" borderId="0" xfId="0" applyNumberFormat="1" applyFont="1" applyBorder="1" applyAlignment="1">
      <alignment horizontal="right" vertical="center"/>
    </xf>
    <xf numFmtId="0" fontId="44" fillId="0" borderId="0" xfId="0" applyNumberFormat="1" applyFont="1" applyBorder="1" applyAlignment="1">
      <alignment horizontal="right" vertical="center"/>
    </xf>
    <xf numFmtId="0" fontId="73" fillId="0" borderId="0" xfId="0" applyNumberFormat="1" applyFont="1" applyBorder="1" applyAlignment="1">
      <alignment horizontal="right" vertical="center"/>
    </xf>
    <xf numFmtId="0" fontId="96" fillId="0" borderId="0" xfId="0" applyNumberFormat="1" applyFont="1" applyBorder="1" applyAlignment="1">
      <alignment horizontal="right" vertical="center"/>
    </xf>
    <xf numFmtId="0" fontId="42" fillId="0" borderId="0" xfId="0" applyNumberFormat="1" applyFont="1" applyFill="1" applyBorder="1" applyAlignment="1">
      <alignment horizontal="right" vertical="center"/>
    </xf>
    <xf numFmtId="0" fontId="97" fillId="0" borderId="0" xfId="0" applyNumberFormat="1" applyFont="1" applyBorder="1" applyAlignment="1">
      <alignment horizontal="right" vertical="top"/>
    </xf>
    <xf numFmtId="0" fontId="4" fillId="0" borderId="0" xfId="0" applyNumberFormat="1" applyFont="1" applyBorder="1" applyAlignment="1">
      <alignment horizontal="right"/>
    </xf>
    <xf numFmtId="0" fontId="27" fillId="0" borderId="0" xfId="0" applyNumberFormat="1" applyFont="1" applyBorder="1" applyAlignment="1">
      <alignment horizontal="right"/>
    </xf>
    <xf numFmtId="165" fontId="25" fillId="27" borderId="25" xfId="0" applyFont="1" applyFill="1" applyBorder="1" applyAlignment="1">
      <alignment horizontal="center" vertical="top" wrapText="1"/>
    </xf>
    <xf numFmtId="165" fontId="25" fillId="27" borderId="24" xfId="0" applyFont="1" applyFill="1" applyBorder="1" applyAlignment="1">
      <alignment horizontal="center" vertical="top" wrapText="1"/>
    </xf>
    <xf numFmtId="0" fontId="0" fillId="0" borderId="0" xfId="0" applyNumberFormat="1" applyBorder="1" applyAlignment="1">
      <alignment horizontal="right"/>
    </xf>
    <xf numFmtId="168" fontId="0" fillId="0" borderId="0" xfId="0" applyNumberFormat="1" applyBorder="1" applyAlignment="1">
      <alignment horizontal="right"/>
    </xf>
    <xf numFmtId="165" fontId="0" fillId="0" borderId="0" xfId="0" applyBorder="1" applyAlignment="1">
      <alignment horizontal="right"/>
    </xf>
    <xf numFmtId="1" fontId="0" fillId="0" borderId="0" xfId="0" applyNumberFormat="1" applyBorder="1" applyAlignment="1">
      <alignment horizontal="right"/>
    </xf>
    <xf numFmtId="1" fontId="4" fillId="0" borderId="0" xfId="0" applyNumberFormat="1" applyFont="1" applyBorder="1" applyAlignment="1">
      <alignment horizontal="right"/>
    </xf>
    <xf numFmtId="169" fontId="0" fillId="0" borderId="10" xfId="0" applyNumberFormat="1" applyBorder="1"/>
    <xf numFmtId="169" fontId="4" fillId="0" borderId="10" xfId="0" applyNumberFormat="1" applyFont="1" applyBorder="1"/>
    <xf numFmtId="0" fontId="4" fillId="0" borderId="14" xfId="0" applyNumberFormat="1" applyFont="1" applyBorder="1" applyAlignment="1">
      <alignment horizontal="center"/>
    </xf>
    <xf numFmtId="0" fontId="0" fillId="0" borderId="20" xfId="0" applyNumberFormat="1" applyBorder="1"/>
    <xf numFmtId="0" fontId="37" fillId="0" borderId="26" xfId="235" applyNumberFormat="1" applyBorder="1" applyAlignment="1" applyProtection="1"/>
    <xf numFmtId="165" fontId="4" fillId="0" borderId="23" xfId="0" applyFont="1" applyBorder="1"/>
    <xf numFmtId="0" fontId="0" fillId="0" borderId="23" xfId="0" applyNumberFormat="1" applyBorder="1"/>
    <xf numFmtId="0" fontId="4" fillId="0" borderId="23" xfId="0" applyNumberFormat="1" applyFont="1" applyBorder="1"/>
    <xf numFmtId="0" fontId="4" fillId="0" borderId="10" xfId="0" applyNumberFormat="1" applyFont="1" applyBorder="1" applyAlignment="1">
      <alignment horizontal="left"/>
    </xf>
    <xf numFmtId="169" fontId="4" fillId="0" borderId="10" xfId="0" applyNumberFormat="1" applyFont="1" applyBorder="1" applyAlignment="1">
      <alignment horizontal="center"/>
    </xf>
    <xf numFmtId="0" fontId="4" fillId="0" borderId="0" xfId="0" applyNumberFormat="1" applyFont="1" applyFill="1" applyBorder="1" applyAlignment="1">
      <alignment horizontal="left"/>
    </xf>
    <xf numFmtId="165" fontId="52" fillId="27" borderId="12" xfId="0" applyFont="1" applyFill="1" applyBorder="1" applyAlignment="1">
      <alignment horizontal="center" vertical="center" wrapText="1"/>
    </xf>
    <xf numFmtId="165" fontId="0" fillId="0" borderId="11" xfId="0" applyBorder="1"/>
    <xf numFmtId="168" fontId="52" fillId="27" borderId="15" xfId="0" applyNumberFormat="1" applyFont="1" applyFill="1" applyBorder="1" applyAlignment="1">
      <alignment horizontal="center" vertical="center" wrapText="1"/>
    </xf>
    <xf numFmtId="168" fontId="51" fillId="27" borderId="22" xfId="0" applyNumberFormat="1" applyFont="1" applyFill="1" applyBorder="1" applyAlignment="1">
      <alignment horizontal="center" vertical="center" wrapText="1"/>
    </xf>
    <xf numFmtId="165" fontId="52" fillId="27" borderId="10" xfId="0" applyFont="1" applyFill="1" applyBorder="1" applyAlignment="1">
      <alignment horizontal="center" vertical="center" wrapText="1"/>
    </xf>
    <xf numFmtId="165" fontId="51" fillId="27" borderId="10" xfId="0" applyFont="1" applyFill="1" applyBorder="1" applyAlignment="1">
      <alignment horizontal="center" vertical="center" wrapText="1"/>
    </xf>
    <xf numFmtId="0" fontId="52" fillId="0" borderId="0" xfId="0" applyNumberFormat="1" applyFont="1" applyFill="1" applyBorder="1" applyAlignment="1">
      <alignment horizontal="center" vertical="top"/>
    </xf>
    <xf numFmtId="0" fontId="52" fillId="0" borderId="13" xfId="0" applyNumberFormat="1" applyFont="1" applyFill="1" applyBorder="1" applyAlignment="1">
      <alignment horizontal="center" vertical="top"/>
    </xf>
    <xf numFmtId="165" fontId="52" fillId="27" borderId="10" xfId="0" applyFont="1" applyFill="1" applyBorder="1" applyAlignment="1">
      <alignment horizontal="left" vertical="center"/>
    </xf>
    <xf numFmtId="165" fontId="51" fillId="27" borderId="10" xfId="0" applyFont="1" applyFill="1" applyBorder="1" applyAlignment="1">
      <alignment horizontal="left" vertical="center"/>
    </xf>
    <xf numFmtId="165" fontId="51" fillId="27" borderId="11" xfId="0" applyFont="1" applyFill="1" applyBorder="1" applyAlignment="1">
      <alignment horizontal="center" vertical="center" wrapText="1"/>
    </xf>
    <xf numFmtId="0" fontId="52" fillId="27" borderId="10" xfId="0" applyNumberFormat="1" applyFont="1" applyFill="1" applyBorder="1" applyAlignment="1">
      <alignment horizontal="center" vertical="center" wrapText="1"/>
    </xf>
    <xf numFmtId="0" fontId="51" fillId="27" borderId="10" xfId="0" applyNumberFormat="1" applyFont="1" applyFill="1" applyBorder="1" applyAlignment="1">
      <alignment horizontal="center" vertical="center" wrapText="1"/>
    </xf>
    <xf numFmtId="165" fontId="0" fillId="0" borderId="11" xfId="0" applyBorder="1" applyAlignment="1">
      <alignment horizontal="center"/>
    </xf>
    <xf numFmtId="0" fontId="89" fillId="0" borderId="0" xfId="0" applyNumberFormat="1" applyFont="1" applyFill="1" applyBorder="1" applyAlignment="1">
      <alignment horizontal="center"/>
    </xf>
    <xf numFmtId="0" fontId="94" fillId="0" borderId="16" xfId="0" applyNumberFormat="1" applyFont="1" applyBorder="1" applyAlignment="1">
      <alignment horizontal="center"/>
    </xf>
    <xf numFmtId="0" fontId="94" fillId="0" borderId="17" xfId="0" applyNumberFormat="1" applyFont="1" applyBorder="1" applyAlignment="1">
      <alignment horizontal="center"/>
    </xf>
  </cellXfs>
  <cellStyles count="404">
    <cellStyle name="_x000a_shell=progma" xfId="1"/>
    <cellStyle name="20% - Accent1" xfId="2" builtinId="30" customBuiltin="1"/>
    <cellStyle name="20% - Accent1 2" xfId="3"/>
    <cellStyle name="20% - Accent1 2 2" xfId="4"/>
    <cellStyle name="20% - Accent1 2 3" xfId="5"/>
    <cellStyle name="20% - Accent1 2 4" xfId="6"/>
    <cellStyle name="20% - Accent1 3" xfId="7"/>
    <cellStyle name="20% - Accent1 4" xfId="8"/>
    <cellStyle name="20% - Accent2" xfId="9" builtinId="34" customBuiltin="1"/>
    <cellStyle name="20% - Accent2 2" xfId="10"/>
    <cellStyle name="20% - Accent2 2 2" xfId="11"/>
    <cellStyle name="20% - Accent2 2 3" xfId="12"/>
    <cellStyle name="20% - Accent2 2 4" xfId="13"/>
    <cellStyle name="20% - Accent2 3" xfId="14"/>
    <cellStyle name="20% - Accent2 4" xfId="15"/>
    <cellStyle name="20% - Accent3" xfId="16" builtinId="38" customBuiltin="1"/>
    <cellStyle name="20% - Accent3 2" xfId="17"/>
    <cellStyle name="20% - Accent3 2 2" xfId="18"/>
    <cellStyle name="20% - Accent3 2 3" xfId="19"/>
    <cellStyle name="20% - Accent3 2 4" xfId="20"/>
    <cellStyle name="20% - Accent3 3" xfId="21"/>
    <cellStyle name="20% - Accent3 4" xfId="22"/>
    <cellStyle name="20% - Accent4" xfId="23" builtinId="42" customBuiltin="1"/>
    <cellStyle name="20% - Accent4 2" xfId="24"/>
    <cellStyle name="20% - Accent4 2 2" xfId="25"/>
    <cellStyle name="20% - Accent4 2 3" xfId="26"/>
    <cellStyle name="20% - Accent4 2 4" xfId="27"/>
    <cellStyle name="20% - Accent4 3" xfId="28"/>
    <cellStyle name="20% - Accent4 4" xfId="29"/>
    <cellStyle name="20% - Accent5" xfId="30" builtinId="46" customBuiltin="1"/>
    <cellStyle name="20% - Accent5 2" xfId="31"/>
    <cellStyle name="20% - Accent5 2 2" xfId="32"/>
    <cellStyle name="20% - Accent5 2 3" xfId="33"/>
    <cellStyle name="20% - Accent5 2 4" xfId="34"/>
    <cellStyle name="20% - Accent5 3" xfId="35"/>
    <cellStyle name="20% - Accent5 4" xfId="36"/>
    <cellStyle name="20% - Accent6" xfId="37" builtinId="50" customBuiltin="1"/>
    <cellStyle name="20% - Accent6 2" xfId="38"/>
    <cellStyle name="20% - Accent6 2 2" xfId="39"/>
    <cellStyle name="20% - Accent6 2 3" xfId="40"/>
    <cellStyle name="20% - Accent6 2 4" xfId="41"/>
    <cellStyle name="20% - Accent6 3" xfId="42"/>
    <cellStyle name="20% - Accent6 4" xfId="43"/>
    <cellStyle name="40% - Accent1" xfId="44" builtinId="31" customBuiltin="1"/>
    <cellStyle name="40% - Accent1 2" xfId="45"/>
    <cellStyle name="40% - Accent1 2 2" xfId="46"/>
    <cellStyle name="40% - Accent1 2 3" xfId="47"/>
    <cellStyle name="40% - Accent1 2 4" xfId="48"/>
    <cellStyle name="40% - Accent1 3" xfId="49"/>
    <cellStyle name="40% - Accent1 4" xfId="50"/>
    <cellStyle name="40% - Accent2" xfId="51" builtinId="35" customBuiltin="1"/>
    <cellStyle name="40% - Accent2 2" xfId="52"/>
    <cellStyle name="40% - Accent2 2 2" xfId="53"/>
    <cellStyle name="40% - Accent2 2 3" xfId="54"/>
    <cellStyle name="40% - Accent2 2 4" xfId="55"/>
    <cellStyle name="40% - Accent2 3" xfId="56"/>
    <cellStyle name="40% - Accent2 4" xfId="57"/>
    <cellStyle name="40% - Accent3" xfId="58" builtinId="39" customBuiltin="1"/>
    <cellStyle name="40% - Accent3 2" xfId="59"/>
    <cellStyle name="40% - Accent3 2 2" xfId="60"/>
    <cellStyle name="40% - Accent3 2 3" xfId="61"/>
    <cellStyle name="40% - Accent3 2 4" xfId="62"/>
    <cellStyle name="40% - Accent3 3" xfId="63"/>
    <cellStyle name="40% - Accent3 4" xfId="64"/>
    <cellStyle name="40% - Accent4" xfId="65" builtinId="43" customBuiltin="1"/>
    <cellStyle name="40% - Accent4 2" xfId="66"/>
    <cellStyle name="40% - Accent4 2 2" xfId="67"/>
    <cellStyle name="40% - Accent4 2 3" xfId="68"/>
    <cellStyle name="40% - Accent4 2 4" xfId="69"/>
    <cellStyle name="40% - Accent4 3" xfId="70"/>
    <cellStyle name="40% - Accent4 4" xfId="71"/>
    <cellStyle name="40% - Accent5" xfId="72" builtinId="47" customBuiltin="1"/>
    <cellStyle name="40% - Accent5 2" xfId="73"/>
    <cellStyle name="40% - Accent5 2 2" xfId="74"/>
    <cellStyle name="40% - Accent5 2 3" xfId="75"/>
    <cellStyle name="40% - Accent5 2 4" xfId="76"/>
    <cellStyle name="40% - Accent5 3" xfId="77"/>
    <cellStyle name="40% - Accent5 4" xfId="78"/>
    <cellStyle name="40% - Accent6" xfId="79" builtinId="51" customBuiltin="1"/>
    <cellStyle name="40% - Accent6 2" xfId="80"/>
    <cellStyle name="40% - Accent6 2 2" xfId="81"/>
    <cellStyle name="40% - Accent6 2 3" xfId="82"/>
    <cellStyle name="40% - Accent6 2 4" xfId="83"/>
    <cellStyle name="40% - Accent6 3" xfId="84"/>
    <cellStyle name="40% - Accent6 4" xfId="85"/>
    <cellStyle name="60% - Accent1" xfId="86" builtinId="32" customBuiltin="1"/>
    <cellStyle name="60% - Accent1 2" xfId="87"/>
    <cellStyle name="60% - Accent1 2 2" xfId="88"/>
    <cellStyle name="60% - Accent1 2 3" xfId="89"/>
    <cellStyle name="60% - Accent1 2 4" xfId="90"/>
    <cellStyle name="60% - Accent1 3" xfId="91"/>
    <cellStyle name="60% - Accent1 4" xfId="92"/>
    <cellStyle name="60% - Accent2" xfId="93" builtinId="36" customBuiltin="1"/>
    <cellStyle name="60% - Accent2 2" xfId="94"/>
    <cellStyle name="60% - Accent2 2 2" xfId="95"/>
    <cellStyle name="60% - Accent2 2 3" xfId="96"/>
    <cellStyle name="60% - Accent2 2 4" xfId="97"/>
    <cellStyle name="60% - Accent2 3" xfId="98"/>
    <cellStyle name="60% - Accent2 4" xfId="99"/>
    <cellStyle name="60% - Accent3" xfId="100" builtinId="40" customBuiltin="1"/>
    <cellStyle name="60% - Accent3 2" xfId="101"/>
    <cellStyle name="60% - Accent3 2 2" xfId="102"/>
    <cellStyle name="60% - Accent3 2 3" xfId="103"/>
    <cellStyle name="60% - Accent3 2 4" xfId="104"/>
    <cellStyle name="60% - Accent3 3" xfId="105"/>
    <cellStyle name="60% - Accent3 4" xfId="106"/>
    <cellStyle name="60% - Accent4" xfId="107" builtinId="44" customBuiltin="1"/>
    <cellStyle name="60% - Accent4 2" xfId="108"/>
    <cellStyle name="60% - Accent4 2 2" xfId="109"/>
    <cellStyle name="60% - Accent4 2 3" xfId="110"/>
    <cellStyle name="60% - Accent4 2 4" xfId="111"/>
    <cellStyle name="60% - Accent4 3" xfId="112"/>
    <cellStyle name="60% - Accent4 4" xfId="113"/>
    <cellStyle name="60% - Accent5" xfId="114" builtinId="48" customBuiltin="1"/>
    <cellStyle name="60% - Accent5 2" xfId="115"/>
    <cellStyle name="60% - Accent5 2 2" xfId="116"/>
    <cellStyle name="60% - Accent5 2 3" xfId="117"/>
    <cellStyle name="60% - Accent5 2 4" xfId="118"/>
    <cellStyle name="60% - Accent5 3" xfId="119"/>
    <cellStyle name="60% - Accent5 4" xfId="120"/>
    <cellStyle name="60% - Accent6" xfId="121" builtinId="52" customBuiltin="1"/>
    <cellStyle name="60% - Accent6 2" xfId="122"/>
    <cellStyle name="60% - Accent6 2 2" xfId="123"/>
    <cellStyle name="60% - Accent6 2 3" xfId="124"/>
    <cellStyle name="60% - Accent6 2 4" xfId="125"/>
    <cellStyle name="60% - Accent6 3" xfId="126"/>
    <cellStyle name="60% - Accent6 4" xfId="127"/>
    <cellStyle name="_x0002_-_x0002_Ä_x0001_‡_x0003_0_x0002_P_x0003_ _x0002_X_x0003_·_x0002_®_x0003_@_x0002_p_x0003_ª_x0002_¨_x0010_!_x0002__x0003_&quot;_x0001_ÄÇ_x0002__x000e__x0003_ _x0002_é_x0002_Ä_x0001_‡_x0003_Ë_x0002_H_x0003_ _x0002_X" xfId="128"/>
    <cellStyle name="_x0002_-_x0002_Ä_x0001_‡_x0003_0_x0002_P_x0003_ _x0002_X_x0003_·_x0002_®_x0003_@_x0002_p_x0003_ª_x0002_¨_x0010_!_x0002__x0003_&quot;_x0001_ÄÇ_x0002__x000e__x0003_ _x0002_é_x0002_Ä_x0001_‡_x0003_Ë_x0002_H_x0003_ _x0002_X 2" xfId="129"/>
    <cellStyle name="Accent1" xfId="130" builtinId="29" customBuiltin="1"/>
    <cellStyle name="Accent1 2" xfId="131"/>
    <cellStyle name="Accent1 2 2" xfId="132"/>
    <cellStyle name="Accent1 2 3" xfId="133"/>
    <cellStyle name="Accent1 2 4" xfId="134"/>
    <cellStyle name="Accent1 3" xfId="135"/>
    <cellStyle name="Accent1 4" xfId="136"/>
    <cellStyle name="Accent2" xfId="137" builtinId="33" customBuiltin="1"/>
    <cellStyle name="Accent2 2" xfId="138"/>
    <cellStyle name="Accent2 2 2" xfId="139"/>
    <cellStyle name="Accent2 2 3" xfId="140"/>
    <cellStyle name="Accent2 2 4" xfId="141"/>
    <cellStyle name="Accent2 3" xfId="142"/>
    <cellStyle name="Accent2 4" xfId="143"/>
    <cellStyle name="Accent3" xfId="144" builtinId="37" customBuiltin="1"/>
    <cellStyle name="Accent3 2" xfId="145"/>
    <cellStyle name="Accent3 2 2" xfId="146"/>
    <cellStyle name="Accent3 2 3" xfId="147"/>
    <cellStyle name="Accent3 2 4" xfId="148"/>
    <cellStyle name="Accent3 3" xfId="149"/>
    <cellStyle name="Accent3 4" xfId="150"/>
    <cellStyle name="Accent4" xfId="151" builtinId="41" customBuiltin="1"/>
    <cellStyle name="Accent4 2" xfId="152"/>
    <cellStyle name="Accent4 2 2" xfId="153"/>
    <cellStyle name="Accent4 2 3" xfId="154"/>
    <cellStyle name="Accent4 2 4" xfId="155"/>
    <cellStyle name="Accent4 3" xfId="156"/>
    <cellStyle name="Accent4 4" xfId="157"/>
    <cellStyle name="Accent5" xfId="158" builtinId="45" customBuiltin="1"/>
    <cellStyle name="Accent5 2" xfId="159"/>
    <cellStyle name="Accent5 2 2" xfId="160"/>
    <cellStyle name="Accent5 2 3" xfId="161"/>
    <cellStyle name="Accent5 2 4" xfId="162"/>
    <cellStyle name="Accent5 3" xfId="163"/>
    <cellStyle name="Accent5 4" xfId="164"/>
    <cellStyle name="Accent6" xfId="165" builtinId="49" customBuiltin="1"/>
    <cellStyle name="Accent6 2" xfId="166"/>
    <cellStyle name="Accent6 2 2" xfId="167"/>
    <cellStyle name="Accent6 2 3" xfId="168"/>
    <cellStyle name="Accent6 2 4" xfId="169"/>
    <cellStyle name="Accent6 3" xfId="170"/>
    <cellStyle name="Accent6 4" xfId="171"/>
    <cellStyle name="Bad" xfId="172" builtinId="27" customBuiltin="1"/>
    <cellStyle name="Bad 2" xfId="173"/>
    <cellStyle name="Bad 2 2" xfId="174"/>
    <cellStyle name="Bad 2 3" xfId="175"/>
    <cellStyle name="Bad 2 4" xfId="176"/>
    <cellStyle name="Bad 3" xfId="177"/>
    <cellStyle name="Bad 4" xfId="178"/>
    <cellStyle name="Calculation" xfId="179" builtinId="22" customBuiltin="1"/>
    <cellStyle name="Calculation 2" xfId="180"/>
    <cellStyle name="Calculation 2 2" xfId="181"/>
    <cellStyle name="Calculation 2 3" xfId="182"/>
    <cellStyle name="Calculation 2 4" xfId="183"/>
    <cellStyle name="Calculation 3" xfId="184"/>
    <cellStyle name="Calculation 4" xfId="185"/>
    <cellStyle name="Check Cell" xfId="186" builtinId="23" customBuiltin="1"/>
    <cellStyle name="Check Cell 2" xfId="187"/>
    <cellStyle name="Check Cell 2 2" xfId="188"/>
    <cellStyle name="Check Cell 2 3" xfId="189"/>
    <cellStyle name="Check Cell 2 4" xfId="190"/>
    <cellStyle name="Check Cell 3" xfId="191"/>
    <cellStyle name="Check Cell 4" xfId="192"/>
    <cellStyle name="Explanatory Text" xfId="193" builtinId="53" customBuiltin="1"/>
    <cellStyle name="Explanatory Text 2" xfId="194"/>
    <cellStyle name="Explanatory Text 2 2" xfId="195"/>
    <cellStyle name="Explanatory Text 2 3" xfId="196"/>
    <cellStyle name="Explanatory Text 2 4" xfId="197"/>
    <cellStyle name="Explanatory Text 3" xfId="198"/>
    <cellStyle name="Explanatory Text 4" xfId="199"/>
    <cellStyle name="Good" xfId="200" builtinId="26" customBuiltin="1"/>
    <cellStyle name="Good 2" xfId="201"/>
    <cellStyle name="Good 2 2" xfId="202"/>
    <cellStyle name="Good 2 3" xfId="203"/>
    <cellStyle name="Good 2 4" xfId="204"/>
    <cellStyle name="Good 3" xfId="205"/>
    <cellStyle name="Good 4" xfId="206"/>
    <cellStyle name="Heading 1" xfId="207" builtinId="16" customBuiltin="1"/>
    <cellStyle name="Heading 1 2" xfId="208"/>
    <cellStyle name="Heading 1 2 2" xfId="209"/>
    <cellStyle name="Heading 1 2 3" xfId="210"/>
    <cellStyle name="Heading 1 2 4" xfId="211"/>
    <cellStyle name="Heading 1 3" xfId="212"/>
    <cellStyle name="Heading 1 4" xfId="213"/>
    <cellStyle name="Heading 2" xfId="214" builtinId="17" customBuiltin="1"/>
    <cellStyle name="Heading 2 2" xfId="215"/>
    <cellStyle name="Heading 2 2 2" xfId="216"/>
    <cellStyle name="Heading 2 2 3" xfId="217"/>
    <cellStyle name="Heading 2 2 4" xfId="218"/>
    <cellStyle name="Heading 2 3" xfId="219"/>
    <cellStyle name="Heading 2 4" xfId="220"/>
    <cellStyle name="Heading 3" xfId="221" builtinId="18" customBuiltin="1"/>
    <cellStyle name="Heading 3 2" xfId="222"/>
    <cellStyle name="Heading 3 2 2" xfId="223"/>
    <cellStyle name="Heading 3 2 3" xfId="224"/>
    <cellStyle name="Heading 3 2 4" xfId="225"/>
    <cellStyle name="Heading 3 3" xfId="226"/>
    <cellStyle name="Heading 3 4" xfId="227"/>
    <cellStyle name="Heading 4" xfId="228" builtinId="19" customBuiltin="1"/>
    <cellStyle name="Heading 4 2" xfId="229"/>
    <cellStyle name="Heading 4 2 2" xfId="230"/>
    <cellStyle name="Heading 4 2 3" xfId="231"/>
    <cellStyle name="Heading 4 2 4" xfId="232"/>
    <cellStyle name="Heading 4 3" xfId="233"/>
    <cellStyle name="Heading 4 4" xfId="234"/>
    <cellStyle name="Hyperlink" xfId="235" builtinId="8"/>
    <cellStyle name="Input" xfId="236" builtinId="20" customBuiltin="1"/>
    <cellStyle name="Input 2" xfId="237"/>
    <cellStyle name="Input 2 2" xfId="238"/>
    <cellStyle name="Input 2 3" xfId="239"/>
    <cellStyle name="Input 2 4" xfId="240"/>
    <cellStyle name="Input 3" xfId="241"/>
    <cellStyle name="Input 4" xfId="242"/>
    <cellStyle name="Linked Cell" xfId="243" builtinId="24" customBuiltin="1"/>
    <cellStyle name="Linked Cell 2" xfId="244"/>
    <cellStyle name="Linked Cell 2 2" xfId="245"/>
    <cellStyle name="Linked Cell 2 3" xfId="246"/>
    <cellStyle name="Linked Cell 2 4" xfId="247"/>
    <cellStyle name="Linked Cell 3" xfId="248"/>
    <cellStyle name="Linked Cell 4" xfId="249"/>
    <cellStyle name="Neutral" xfId="250" builtinId="28" customBuiltin="1"/>
    <cellStyle name="Neutral 2" xfId="251"/>
    <cellStyle name="Neutral 2 2" xfId="252"/>
    <cellStyle name="Neutral 2 3" xfId="253"/>
    <cellStyle name="Neutral 2 4" xfId="254"/>
    <cellStyle name="Neutral 3" xfId="255"/>
    <cellStyle name="Neutral 4" xfId="256"/>
    <cellStyle name="Normal" xfId="0" builtinId="0"/>
    <cellStyle name="Normal 10" xfId="257"/>
    <cellStyle name="Normal 10 2" xfId="258"/>
    <cellStyle name="Normal 10 3" xfId="259"/>
    <cellStyle name="Normal 10 4" xfId="260"/>
    <cellStyle name="Normal 11" xfId="261"/>
    <cellStyle name="Normal 12" xfId="262"/>
    <cellStyle name="Normal 13" xfId="263"/>
    <cellStyle name="Normal 14" xfId="264"/>
    <cellStyle name="Normal 15" xfId="265"/>
    <cellStyle name="Normal 16" xfId="394"/>
    <cellStyle name="Normal 17" xfId="395"/>
    <cellStyle name="Normal 17 2" xfId="396"/>
    <cellStyle name="Normal 18 3" xfId="393"/>
    <cellStyle name="Normal 19" xfId="398"/>
    <cellStyle name="Normal 2" xfId="266"/>
    <cellStyle name="Normal 2 2" xfId="267"/>
    <cellStyle name="Normal 2 2 2" xfId="268"/>
    <cellStyle name="Normal 2 2 2 2" xfId="269"/>
    <cellStyle name="Normal 2 2 2 3" xfId="270"/>
    <cellStyle name="Normal 2 2 2 3 2" xfId="271"/>
    <cellStyle name="Normal 2 2 2 3 3" xfId="272"/>
    <cellStyle name="Normal 2 2 2 3 4" xfId="273"/>
    <cellStyle name="Normal 2 2 2 4" xfId="274"/>
    <cellStyle name="Normal 2 2 2 5" xfId="275"/>
    <cellStyle name="Normal 2 2 3" xfId="276"/>
    <cellStyle name="Normal 2 2 3 2" xfId="277"/>
    <cellStyle name="Normal 2 2 3 2 2" xfId="278"/>
    <cellStyle name="Normal 2 2 3 2 3" xfId="279"/>
    <cellStyle name="Normal 2 2 3 2 4" xfId="280"/>
    <cellStyle name="Normal 2 2 3 3" xfId="281"/>
    <cellStyle name="Normal 2 2 3 4" xfId="282"/>
    <cellStyle name="Normal 2 2 4" xfId="283"/>
    <cellStyle name="Normal 2 2 5" xfId="284"/>
    <cellStyle name="Normal 2 3" xfId="285"/>
    <cellStyle name="Normal 2 3 2" xfId="286"/>
    <cellStyle name="Normal 2 4" xfId="287"/>
    <cellStyle name="Normal 2 4 2" xfId="288"/>
    <cellStyle name="Normal 2 4 2 2" xfId="289"/>
    <cellStyle name="Normal 2 4 2 3" xfId="290"/>
    <cellStyle name="Normal 2 4 2 4" xfId="291"/>
    <cellStyle name="Normal 2 4 3" xfId="292"/>
    <cellStyle name="Normal 2 4 4" xfId="293"/>
    <cellStyle name="Normal 2 5" xfId="294"/>
    <cellStyle name="Normal 2 6" xfId="295"/>
    <cellStyle name="Normal 2 7" xfId="296"/>
    <cellStyle name="Normal 2 8" xfId="297"/>
    <cellStyle name="Normal 2 9" xfId="397"/>
    <cellStyle name="Normal 2_UPDATED CELL SITE TILL DEC-07" xfId="298"/>
    <cellStyle name="Normal 20" xfId="402"/>
    <cellStyle name="Normal 27" xfId="401"/>
    <cellStyle name="Normal 28" xfId="400"/>
    <cellStyle name="Normal 3" xfId="299"/>
    <cellStyle name="Normal 3 2" xfId="300"/>
    <cellStyle name="Normal 3 2 2" xfId="301"/>
    <cellStyle name="Normal 37" xfId="403"/>
    <cellStyle name="Normal 38" xfId="399"/>
    <cellStyle name="Normal 4" xfId="302"/>
    <cellStyle name="Normal 4 2" xfId="303"/>
    <cellStyle name="Normal 4 2 2" xfId="304"/>
    <cellStyle name="Normal 4 2 2 2" xfId="305"/>
    <cellStyle name="Normal 4 2 2 2 2" xfId="306"/>
    <cellStyle name="Normal 4 2 2 2 3" xfId="307"/>
    <cellStyle name="Normal 4 2 2 2 4" xfId="308"/>
    <cellStyle name="Normal 4 2 2 3" xfId="309"/>
    <cellStyle name="Normal 4 2 2 4" xfId="310"/>
    <cellStyle name="Normal 4 2 3" xfId="311"/>
    <cellStyle name="Normal 4 2 4" xfId="312"/>
    <cellStyle name="Normal 4 3" xfId="313"/>
    <cellStyle name="Normal 4 4" xfId="314"/>
    <cellStyle name="Normal 4 5" xfId="315"/>
    <cellStyle name="Normal 5" xfId="316"/>
    <cellStyle name="Normal 5 2" xfId="317"/>
    <cellStyle name="Normal 5 2 2" xfId="318"/>
    <cellStyle name="Normal 6" xfId="319"/>
    <cellStyle name="Normal 6 2" xfId="320"/>
    <cellStyle name="Normal 6 2 2" xfId="321"/>
    <cellStyle name="Normal 7" xfId="322"/>
    <cellStyle name="Normal 7 2" xfId="323"/>
    <cellStyle name="Normal 7 2 2" xfId="324"/>
    <cellStyle name="Normal 7 2 2 2" xfId="325"/>
    <cellStyle name="Normal 7 2 2 3" xfId="326"/>
    <cellStyle name="Normal 7 2 2 4" xfId="327"/>
    <cellStyle name="Normal 7 2 3" xfId="328"/>
    <cellStyle name="Normal 7 2 4" xfId="329"/>
    <cellStyle name="Normal 7 3" xfId="330"/>
    <cellStyle name="Normal 7 4" xfId="331"/>
    <cellStyle name="Normal 8" xfId="332"/>
    <cellStyle name="Normal 8 2" xfId="333"/>
    <cellStyle name="Normal 8 2 2" xfId="334"/>
    <cellStyle name="Normal 8 2 2 2" xfId="335"/>
    <cellStyle name="Normal 8 2 2 3" xfId="336"/>
    <cellStyle name="Normal 8 2 2 4" xfId="337"/>
    <cellStyle name="Normal 8 2 3" xfId="338"/>
    <cellStyle name="Normal 8 2 4" xfId="339"/>
    <cellStyle name="Normal 8 3" xfId="340"/>
    <cellStyle name="Normal 8 4" xfId="341"/>
    <cellStyle name="Normal 9" xfId="342"/>
    <cellStyle name="Normal 9 2" xfId="343"/>
    <cellStyle name="Normal 9 2 2" xfId="344"/>
    <cellStyle name="Normal 9 2 2 2" xfId="345"/>
    <cellStyle name="Normal 9 2 2 3" xfId="346"/>
    <cellStyle name="Normal 9 2 2 4" xfId="347"/>
    <cellStyle name="Normal 9 2 3" xfId="348"/>
    <cellStyle name="Normal 9 2 4" xfId="349"/>
    <cellStyle name="Normal 9 3" xfId="350"/>
    <cellStyle name="Normal 9 4" xfId="351"/>
    <cellStyle name="Note" xfId="352" builtinId="10" customBuiltin="1"/>
    <cellStyle name="Note 2" xfId="353"/>
    <cellStyle name="Note 2 2" xfId="354"/>
    <cellStyle name="Note 2 3" xfId="355"/>
    <cellStyle name="Note 2 4" xfId="356"/>
    <cellStyle name="Note 3" xfId="357"/>
    <cellStyle name="Note 4" xfId="358"/>
    <cellStyle name="Output" xfId="359" builtinId="21" customBuiltin="1"/>
    <cellStyle name="Output 2" xfId="360"/>
    <cellStyle name="Output 2 2" xfId="361"/>
    <cellStyle name="Output 2 3" xfId="362"/>
    <cellStyle name="Output 2 4" xfId="363"/>
    <cellStyle name="Output 3" xfId="364"/>
    <cellStyle name="Output 4" xfId="365"/>
    <cellStyle name="Style 1" xfId="366"/>
    <cellStyle name="Style 1 2" xfId="367"/>
    <cellStyle name="Style 1 2 2" xfId="368"/>
    <cellStyle name="Style 1 3" xfId="369"/>
    <cellStyle name="Style 1 4" xfId="370"/>
    <cellStyle name="Title" xfId="371" builtinId="15" customBuiltin="1"/>
    <cellStyle name="Title 2" xfId="372"/>
    <cellStyle name="Title 2 2" xfId="373"/>
    <cellStyle name="Title 2 3" xfId="374"/>
    <cellStyle name="Title 2 4" xfId="375"/>
    <cellStyle name="Title 3" xfId="376"/>
    <cellStyle name="Title 4" xfId="377"/>
    <cellStyle name="Total" xfId="378" builtinId="25" customBuiltin="1"/>
    <cellStyle name="Total 2" xfId="379"/>
    <cellStyle name="Total 2 2" xfId="380"/>
    <cellStyle name="Total 2 3" xfId="381"/>
    <cellStyle name="Total 2 4" xfId="382"/>
    <cellStyle name="Total 3" xfId="383"/>
    <cellStyle name="Total 4" xfId="384"/>
    <cellStyle name="Warning Text" xfId="385" builtinId="11" customBuiltin="1"/>
    <cellStyle name="Warning Text 2" xfId="386"/>
    <cellStyle name="Warning Text 2 2" xfId="387"/>
    <cellStyle name="Warning Text 2 3" xfId="388"/>
    <cellStyle name="Warning Text 2 4" xfId="389"/>
    <cellStyle name="Warning Text 3" xfId="390"/>
    <cellStyle name="Warning Text 4" xfId="391"/>
    <cellStyle name="常规_sheet" xfId="392"/>
  </cellStyles>
  <dxfs count="73">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ill>
        <patternFill>
          <bgColor rgb="FFFF6600"/>
        </patternFill>
      </fill>
    </dxf>
    <dxf>
      <fill>
        <patternFill>
          <bgColor rgb="FFFFFF99"/>
        </patternFill>
      </fill>
    </dxf>
    <dxf>
      <fill>
        <patternFill>
          <bgColor rgb="FFFF0000"/>
        </patternFill>
      </fill>
    </dxf>
    <dxf>
      <font>
        <condense val="0"/>
        <extend val="0"/>
        <color rgb="FF9C0006"/>
      </font>
      <fill>
        <patternFill>
          <bgColor rgb="FFFFC7CE"/>
        </patternFill>
      </fill>
    </dxf>
    <dxf>
      <fill>
        <patternFill>
          <bgColor rgb="FFFF6600"/>
        </patternFill>
      </fill>
    </dxf>
    <dxf>
      <fill>
        <patternFill>
          <bgColor rgb="FFFFFF99"/>
        </patternFill>
      </fill>
    </dxf>
    <dxf>
      <fill>
        <patternFill>
          <bgColor rgb="FFFF0000"/>
        </patternFill>
      </fill>
    </dxf>
  </dxfs>
  <tableStyles count="0" defaultTableStyle="TableStyleMedium9" defaultPivotStyle="PivotStyleLight16"/>
  <colors>
    <mruColors>
      <color rgb="FFFFFF99"/>
      <color rgb="FFFFFFCC"/>
      <color rgb="FF0066FF"/>
      <color rgb="FF0000FF"/>
      <color rgb="FF336699"/>
      <color rgb="FF3366FF"/>
      <color rgb="FFFF6600"/>
      <color rgb="FFCDFFFF"/>
      <color rgb="FF8FFFF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10</xdr:col>
      <xdr:colOff>874266</xdr:colOff>
      <xdr:row>0</xdr:row>
      <xdr:rowOff>107154</xdr:rowOff>
    </xdr:from>
    <xdr:to>
      <xdr:col>14</xdr:col>
      <xdr:colOff>18484</xdr:colOff>
      <xdr:row>1</xdr:row>
      <xdr:rowOff>490536</xdr:rowOff>
    </xdr:to>
    <xdr:sp macro="[0]!Outage_Central1" textlink="">
      <xdr:nvSpPr>
        <xdr:cNvPr id="4" name="Flowchart: Decision 3"/>
        <xdr:cNvSpPr/>
      </xdr:nvSpPr>
      <xdr:spPr>
        <a:xfrm>
          <a:off x="11625610" y="107154"/>
          <a:ext cx="1215905" cy="728663"/>
        </a:xfrm>
        <a:prstGeom prst="flowChartDecision">
          <a:avLst/>
        </a:prstGeom>
        <a:solidFill>
          <a:schemeClr val="bg1"/>
        </a:solid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rPr>
            <a:t> Down       Sites</a:t>
          </a:r>
        </a:p>
      </xdr:txBody>
    </xdr:sp>
    <xdr:clientData/>
  </xdr:twoCellAnchor>
  <xdr:twoCellAnchor editAs="absolute">
    <xdr:from>
      <xdr:col>9</xdr:col>
      <xdr:colOff>228831</xdr:colOff>
      <xdr:row>0</xdr:row>
      <xdr:rowOff>107156</xdr:rowOff>
    </xdr:from>
    <xdr:to>
      <xdr:col>10</xdr:col>
      <xdr:colOff>857250</xdr:colOff>
      <xdr:row>1</xdr:row>
      <xdr:rowOff>490538</xdr:rowOff>
    </xdr:to>
    <xdr:sp macro="[0]!Button4_Click" textlink="">
      <xdr:nvSpPr>
        <xdr:cNvPr id="9" name="Flowchart: Decision 8"/>
        <xdr:cNvSpPr/>
      </xdr:nvSpPr>
      <xdr:spPr>
        <a:xfrm>
          <a:off x="10372956" y="107156"/>
          <a:ext cx="1235638" cy="728663"/>
        </a:xfrm>
        <a:prstGeom prst="flowChartDecision">
          <a:avLst/>
        </a:prstGeom>
        <a:solidFill>
          <a:schemeClr val="bg1"/>
        </a:solid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rPr>
            <a:t>Up</a:t>
          </a:r>
          <a:r>
            <a:rPr lang="en-US" sz="1000" baseline="0">
              <a:solidFill>
                <a:sysClr val="windowText" lastClr="000000"/>
              </a:solidFill>
            </a:rPr>
            <a:t>  Sites</a:t>
          </a:r>
          <a:endParaRPr lang="en-US" sz="1000">
            <a:solidFill>
              <a:sysClr val="windowText" lastClr="000000"/>
            </a:solidFill>
          </a:endParaRPr>
        </a:p>
      </xdr:txBody>
    </xdr:sp>
    <xdr:clientData/>
  </xdr:twoCellAnchor>
  <xdr:twoCellAnchor editAs="absolute">
    <xdr:from>
      <xdr:col>14</xdr:col>
      <xdr:colOff>85376</xdr:colOff>
      <xdr:row>0</xdr:row>
      <xdr:rowOff>107156</xdr:rowOff>
    </xdr:from>
    <xdr:to>
      <xdr:col>14</xdr:col>
      <xdr:colOff>1398840</xdr:colOff>
      <xdr:row>1</xdr:row>
      <xdr:rowOff>500063</xdr:rowOff>
    </xdr:to>
    <xdr:sp macro="[0]!MoreThen3hrs" textlink="">
      <xdr:nvSpPr>
        <xdr:cNvPr id="12" name="Flowchart: Decision 11"/>
        <xdr:cNvSpPr/>
      </xdr:nvSpPr>
      <xdr:spPr>
        <a:xfrm>
          <a:off x="12908407" y="107156"/>
          <a:ext cx="1313464" cy="738188"/>
        </a:xfrm>
        <a:prstGeom prst="flowChartDecision">
          <a:avLst/>
        </a:prstGeom>
        <a:blipFill>
          <a:blip xmlns:r="http://schemas.openxmlformats.org/officeDocument/2006/relationships" r:embed="rId1" cstate="print"/>
          <a:tile tx="0" ty="0" sx="100000" sy="100000" flip="none" algn="tl"/>
        </a:blip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t" anchorCtr="1"/>
        <a:lstStyle/>
        <a:p>
          <a:pPr algn="l"/>
          <a:r>
            <a:rPr lang="en-US" sz="900" baseline="0">
              <a:solidFill>
                <a:sysClr val="windowText" lastClr="000000"/>
              </a:solidFill>
            </a:rPr>
            <a:t> </a:t>
          </a:r>
          <a:r>
            <a:rPr lang="en-US" sz="1400" b="1" baseline="0">
              <a:solidFill>
                <a:sysClr val="windowText" lastClr="000000"/>
              </a:solidFill>
            </a:rPr>
            <a:t>&gt;3hrs</a:t>
          </a:r>
          <a:endParaRPr lang="en-US" sz="1400" b="1">
            <a:solidFill>
              <a:sysClr val="windowText" lastClr="000000"/>
            </a:solidFill>
          </a:endParaRPr>
        </a:p>
      </xdr:txBody>
    </xdr:sp>
    <xdr:clientData/>
  </xdr:twoCellAnchor>
  <xdr:twoCellAnchor>
    <xdr:from>
      <xdr:col>18</xdr:col>
      <xdr:colOff>607217</xdr:colOff>
      <xdr:row>1</xdr:row>
      <xdr:rowOff>142875</xdr:rowOff>
    </xdr:from>
    <xdr:to>
      <xdr:col>19</xdr:col>
      <xdr:colOff>500061</xdr:colOff>
      <xdr:row>1</xdr:row>
      <xdr:rowOff>440530</xdr:rowOff>
    </xdr:to>
    <xdr:sp macro="" textlink="">
      <xdr:nvSpPr>
        <xdr:cNvPr id="13" name="Right Arrow 12"/>
        <xdr:cNvSpPr/>
      </xdr:nvSpPr>
      <xdr:spPr>
        <a:xfrm>
          <a:off x="17395030" y="488156"/>
          <a:ext cx="714375" cy="29765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828675</xdr:colOff>
      <xdr:row>3</xdr:row>
      <xdr:rowOff>171450</xdr:rowOff>
    </xdr:from>
    <xdr:to>
      <xdr:col>20</xdr:col>
      <xdr:colOff>1066800</xdr:colOff>
      <xdr:row>4</xdr:row>
      <xdr:rowOff>161925</xdr:rowOff>
    </xdr:to>
    <xdr:pic>
      <xdr:nvPicPr>
        <xdr:cNvPr id="2"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3"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4"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5"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6"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7"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8"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9"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1"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2"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3"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4"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5"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6"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7"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8"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9"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0"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1"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2"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3"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4"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5"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6"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7"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8"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9"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0"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1"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2"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3"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4"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5"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6"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7"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8"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9"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0"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1"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42"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43"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4"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5"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6"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7"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8"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9"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50"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51"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2"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54"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55"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6"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7"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58"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59"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0"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1"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2"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3"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4"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5"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6"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7"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8"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9"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0"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1"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2"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3"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4"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5"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6"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7"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8"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9"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0"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1"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82"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83"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4"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5"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6"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7"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8"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9"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90"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91"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2"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94"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95"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6"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7"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98"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99"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0"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1"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2"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3"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4"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5"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6"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7"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8"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9"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0"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1"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2"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3"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14"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15"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6"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7"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8"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9"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0"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1"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2"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3"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4"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5"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26"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27"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8"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9"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0"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1"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2"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3"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4"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5"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6"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7"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8"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9"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0"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1"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2"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3"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4"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5"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6"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7"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8"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9"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0"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1"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2"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3"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54"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55"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6"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7"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8"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9"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0"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1"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2"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3"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4"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5"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66"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67"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8"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9"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0"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1"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2"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3"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4"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5"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6"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7"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78"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79" name="Picture 1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0"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1"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2"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3"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4"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5"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86"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87"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8"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9"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0"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1"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2"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3"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4"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5"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96"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97"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98"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99"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200"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201"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uhammad.ejaz@waridtel.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hyperlink" Target="mailto:NOC.North@waridtel.com;wind@waridtel.com;WICC.Noc@waridtel.com;waridon@ms.huawei.com" TargetMode="External"/><Relationship Id="rId2" Type="http://schemas.openxmlformats.org/officeDocument/2006/relationships/hyperlink" Target="mailto:NOC.GSM@waridtel.com;ericsson.outages@gmail.com;" TargetMode="External"/><Relationship Id="rId1" Type="http://schemas.openxmlformats.org/officeDocument/2006/relationships/hyperlink" Target="mailto:NOC.GSM@waridtel.com;wind@waridtel.com;ericsson.outages@gmail.com;Ansar.abbasi@huawei.com" TargetMode="External"/><Relationship Id="rId6" Type="http://schemas.openxmlformats.org/officeDocument/2006/relationships/printerSettings" Target="../printerSettings/printerSettings2.bin"/><Relationship Id="rId5" Type="http://schemas.openxmlformats.org/officeDocument/2006/relationships/hyperlink" Target="mailto:NOC.GSM@waridtel.com;wind@waridtel.com;ericsson.outages@gmail.com;Faiz.mian@guest.mobilink.net;Muhammad.Abbas2@Waridtel.com;ahsanmushtaq@mail01.huawei.com;syed.shahzad@huawei.com" TargetMode="External"/><Relationship Id="rId4" Type="http://schemas.openxmlformats.org/officeDocument/2006/relationships/hyperlink" Target="mailto:NOC.C1@waridtel.com;NOC.C2@waridtel.com;WICC.NOC@waridtel.com;KHL.warid.c3@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hyperlink" Target="mailto:Saddiquelail40@gmail.com%20removed." TargetMode="External"/><Relationship Id="rId3" Type="http://schemas.openxmlformats.org/officeDocument/2006/relationships/hyperlink" Target="mailto:Zeeshan.sadique@huawei.com%20excluded" TargetMode="External"/><Relationship Id="rId7" Type="http://schemas.openxmlformats.org/officeDocument/2006/relationships/hyperlink" Target="Abbas.h@khl.com.pk;Sehrish.h@khl.com.pk;saddiquelail40@gmail.com;rashraf.khl@gmail.com;Muhammad.afzal@gmail.com;Raheem.mobilink@gmail.com%20are%20excluded%20from%20C-I%20region%20from%20down%20sites%20recipients%20and%20from%20complete%20centre%20for%20Reason%20required%20recipients." TargetMode="External"/><Relationship Id="rId2" Type="http://schemas.openxmlformats.org/officeDocument/2006/relationships/hyperlink" Target="mailto:waridon@ms.huawei.com%20added" TargetMode="External"/><Relationship Id="rId1" Type="http://schemas.openxmlformats.org/officeDocument/2006/relationships/hyperlink" Target="mailto:sajjid@eespak.com;%20excluded%20from%20email%20recipients%20list" TargetMode="External"/><Relationship Id="rId6" Type="http://schemas.openxmlformats.org/officeDocument/2006/relationships/hyperlink" Target="mailto:hightech.noc@gmail.com%20added%20in%20down%20sites%20email%20recipients%20for%20North%20region" TargetMode="External"/><Relationship Id="rId5" Type="http://schemas.openxmlformats.org/officeDocument/2006/relationships/hyperlink" Target="mailto:saddiquelail40@gmail.com;rashraf.khl@gmail.com;Muhammad.afzal@gmail.com;Raheem.mobilink@gmail.com;Maqsood4396@gmail.com;Abbas.h@khl.com.pk;Sehrish.h@khl.com.pk;Faiz.mian@guest.mobilink.net" TargetMode="External"/><Relationship Id="rId4" Type="http://schemas.openxmlformats.org/officeDocument/2006/relationships/hyperlink" Target="mailto:Ansar.abbasi@huawei.com%20included%20in%20North%20region." TargetMode="External"/><Relationship Id="rId9"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H5886"/>
  <sheetViews>
    <sheetView tabSelected="1" topLeftCell="G1" zoomScale="70" zoomScaleNormal="70" workbookViewId="0">
      <selection activeCell="O5" sqref="O5:S200"/>
    </sheetView>
  </sheetViews>
  <sheetFormatPr defaultRowHeight="12.75"/>
  <cols>
    <col min="1" max="1" width="22.42578125" style="133" customWidth="1"/>
    <col min="2" max="2" width="15.28515625" style="12" customWidth="1"/>
    <col min="3" max="3" width="19.28515625" style="12" customWidth="1"/>
    <col min="4" max="4" width="12.140625" style="12" customWidth="1"/>
    <col min="5" max="5" width="31.85546875" customWidth="1"/>
    <col min="6" max="6" width="20.28515625" style="12" bestFit="1" customWidth="1"/>
    <col min="7" max="7" width="12.5703125" customWidth="1"/>
    <col min="10" max="10" width="9.140625" style="6" customWidth="1"/>
    <col min="11" max="11" width="16.28515625" style="6" customWidth="1"/>
    <col min="12" max="13" width="8.140625" style="6" hidden="1" customWidth="1"/>
    <col min="14" max="14" width="14.85546875" style="146" customWidth="1"/>
    <col min="15" max="15" width="28" style="147" customWidth="1"/>
    <col min="16" max="16" width="15.42578125" style="147" customWidth="1"/>
    <col min="17" max="17" width="16.28515625" style="147" customWidth="1"/>
    <col min="18" max="18" width="12.42578125" style="147" customWidth="1"/>
    <col min="19" max="19" width="12.28515625" style="145" customWidth="1"/>
    <col min="20" max="20" width="9.28515625" style="148" customWidth="1"/>
    <col min="21" max="21" width="9.140625" style="106" customWidth="1"/>
    <col min="22" max="22" width="42.7109375" hidden="1" customWidth="1"/>
    <col min="23" max="23" width="6.42578125" style="3" hidden="1" customWidth="1"/>
    <col min="24" max="24" width="17.7109375" hidden="1" customWidth="1"/>
    <col min="25" max="25" width="70.7109375" style="21" customWidth="1"/>
    <col min="26" max="26" width="15.5703125" customWidth="1"/>
    <col min="27" max="27" width="16.85546875" customWidth="1"/>
    <col min="28" max="28" width="11" customWidth="1"/>
    <col min="29" max="29" width="10.140625" hidden="1" customWidth="1"/>
    <col min="30" max="30" width="21.7109375" hidden="1" customWidth="1"/>
    <col min="31" max="31" width="9.140625" style="6" hidden="1" customWidth="1"/>
    <col min="32" max="32" width="13" hidden="1" customWidth="1"/>
    <col min="33" max="33" width="14.7109375" style="6" hidden="1" customWidth="1"/>
    <col min="34" max="34" width="10.28515625" hidden="1" customWidth="1"/>
    <col min="35" max="35" width="16.140625" hidden="1" customWidth="1"/>
    <col min="36" max="36" width="10.5703125" hidden="1" customWidth="1"/>
    <col min="37" max="37" width="17.7109375" hidden="1" customWidth="1"/>
    <col min="38" max="38" width="14.28515625" hidden="1" customWidth="1"/>
    <col min="39" max="39" width="9.85546875" hidden="1" customWidth="1"/>
    <col min="40" max="40" width="26.7109375" hidden="1" customWidth="1"/>
    <col min="41" max="41" width="48.5703125" hidden="1" customWidth="1"/>
    <col min="42" max="42" width="10.5703125" style="6" hidden="1" customWidth="1"/>
    <col min="43" max="43" width="15.42578125" style="15" hidden="1" customWidth="1"/>
    <col min="44" max="44" width="13.42578125" style="6" hidden="1" customWidth="1"/>
    <col min="45" max="46" width="9.140625" hidden="1" customWidth="1"/>
    <col min="47" max="47" width="9.5703125" hidden="1" customWidth="1"/>
    <col min="48" max="48" width="13.5703125" style="6" hidden="1" customWidth="1"/>
    <col min="49" max="49" width="15.42578125" hidden="1" customWidth="1"/>
    <col min="50" max="50" width="13.42578125" style="5" hidden="1" customWidth="1"/>
    <col min="51" max="51" width="9.140625" style="5" hidden="1" customWidth="1"/>
    <col min="52" max="52" width="13.28515625" hidden="1" customWidth="1"/>
    <col min="53" max="53" width="37.85546875" hidden="1" customWidth="1"/>
    <col min="54" max="55" width="9.140625" hidden="1" customWidth="1"/>
    <col min="56" max="80" width="9.140625" customWidth="1"/>
  </cols>
  <sheetData>
    <row r="1" spans="1:86" ht="27" customHeight="1" thickBot="1">
      <c r="B1" s="18"/>
      <c r="C1" s="215" t="s">
        <v>7944</v>
      </c>
      <c r="D1" s="216" t="s">
        <v>7943</v>
      </c>
      <c r="O1" s="7"/>
      <c r="P1" s="6"/>
      <c r="Q1" s="6"/>
      <c r="R1" s="6"/>
      <c r="S1" s="6"/>
      <c r="T1" s="6"/>
      <c r="U1" s="112"/>
      <c r="W1"/>
      <c r="Y1" s="129" t="s">
        <v>4976</v>
      </c>
      <c r="Z1" s="1"/>
      <c r="AB1" s="20"/>
      <c r="AH1" s="3"/>
      <c r="AI1" s="30"/>
      <c r="AJ1" s="3"/>
      <c r="AL1" s="1">
        <f>MAX(AL5:AL500)</f>
        <v>1</v>
      </c>
    </row>
    <row r="2" spans="1:86" ht="45" customHeight="1">
      <c r="A2" s="134"/>
      <c r="B2" s="28"/>
      <c r="C2" s="18"/>
      <c r="D2" s="18"/>
      <c r="J2" s="154"/>
      <c r="O2" s="8"/>
      <c r="P2" s="6"/>
      <c r="Q2" s="6"/>
      <c r="R2" s="6"/>
      <c r="S2" s="256"/>
      <c r="T2" s="257"/>
      <c r="U2" s="105">
        <v>790</v>
      </c>
      <c r="W2" s="131"/>
      <c r="X2" s="22"/>
      <c r="Y2" s="130" t="str">
        <f>IF(ISBLANK(U2),"",(CONCATENATE(TEXT(U2/1440,"[h]")," hours ",RIGHT(TEXT(U2/1440,"[h]  mm"),2)," minutes")))</f>
        <v>13 hours 10 minutes</v>
      </c>
      <c r="Z2" s="2"/>
      <c r="AH2" s="4"/>
      <c r="AI2" s="1"/>
      <c r="AJ2" s="3"/>
      <c r="AL2" s="2"/>
      <c r="AM2" s="10"/>
    </row>
    <row r="3" spans="1:86" ht="12.75" customHeight="1">
      <c r="A3" s="258" t="s">
        <v>4511</v>
      </c>
      <c r="B3" s="250" t="s">
        <v>8624</v>
      </c>
      <c r="C3" s="250" t="s">
        <v>6598</v>
      </c>
      <c r="D3" s="250" t="s">
        <v>4792</v>
      </c>
      <c r="E3" s="250" t="s">
        <v>8284</v>
      </c>
      <c r="F3" s="250" t="s">
        <v>8654</v>
      </c>
      <c r="G3" s="250" t="s">
        <v>22</v>
      </c>
      <c r="H3" s="250" t="s">
        <v>0</v>
      </c>
      <c r="I3" s="250" t="s">
        <v>1</v>
      </c>
      <c r="J3" s="261"/>
      <c r="K3" s="254" t="s">
        <v>3</v>
      </c>
      <c r="L3" s="254"/>
      <c r="M3" s="254"/>
      <c r="N3" s="254" t="s">
        <v>4</v>
      </c>
      <c r="O3" s="103"/>
      <c r="P3" s="212"/>
      <c r="Q3" s="103"/>
      <c r="R3" s="103"/>
      <c r="S3" s="213"/>
      <c r="T3" s="103"/>
      <c r="U3" s="252" t="s">
        <v>4413</v>
      </c>
      <c r="V3" s="103"/>
      <c r="W3" s="103"/>
      <c r="X3" s="103"/>
      <c r="Y3" s="254" t="s">
        <v>4508</v>
      </c>
      <c r="Z3" s="132"/>
      <c r="AA3" s="132"/>
      <c r="AH3" s="30"/>
      <c r="AI3" s="1"/>
      <c r="AJ3" s="3"/>
    </row>
    <row r="4" spans="1:86" ht="25.5" customHeight="1">
      <c r="A4" s="259"/>
      <c r="B4" s="260"/>
      <c r="C4" s="260"/>
      <c r="D4" s="251"/>
      <c r="E4" s="251"/>
      <c r="F4" s="263"/>
      <c r="G4" s="251"/>
      <c r="H4" s="251"/>
      <c r="I4" s="251"/>
      <c r="J4" s="262"/>
      <c r="K4" s="255" t="s">
        <v>3</v>
      </c>
      <c r="L4" s="255"/>
      <c r="M4" s="255"/>
      <c r="N4" s="255" t="s">
        <v>3</v>
      </c>
      <c r="O4" s="232" t="s">
        <v>7945</v>
      </c>
      <c r="P4" s="232"/>
      <c r="Q4" s="232" t="s">
        <v>4509</v>
      </c>
      <c r="R4" s="232" t="s">
        <v>0</v>
      </c>
      <c r="S4" s="233" t="s">
        <v>1</v>
      </c>
      <c r="T4" s="214" t="s">
        <v>4412</v>
      </c>
      <c r="U4" s="253"/>
      <c r="V4" s="104"/>
      <c r="W4" s="104"/>
      <c r="X4" s="104"/>
      <c r="Y4" s="255"/>
      <c r="Z4" s="4"/>
      <c r="AA4" s="132"/>
      <c r="AE4" s="155"/>
      <c r="AF4" s="11"/>
      <c r="AG4" s="115"/>
      <c r="AH4" s="156"/>
      <c r="AI4" s="157"/>
      <c r="AJ4" s="3"/>
    </row>
    <row r="5" spans="1:86" ht="15.75" customHeight="1">
      <c r="A5" s="135" t="str">
        <f t="shared" ref="A5" si="0">IF(ISNA(VLOOKUP(I5,AC:AD,2,FALSE)),"",VLOOKUP(I5,AC:AD,2,FALSE))</f>
        <v/>
      </c>
      <c r="B5" s="19" t="str">
        <f>IF(ISNA(VLOOKUP(I5,AE:AF,2,FALSE)),"",VLOOKUP(I5,AE:AF,2,FALSE))</f>
        <v/>
      </c>
      <c r="C5" s="19" t="str">
        <f>IF(ISNA(VLOOKUP(I5,AM:AN,2,FALSE)),"",VLOOKUP(I5,AM:AN,2,FALSE))</f>
        <v/>
      </c>
      <c r="D5" s="19" t="str">
        <f t="shared" ref="D5" si="1">IF(ISNA(VLOOKUP(I5,AG:AH,2,FALSE)),"",VLOOKUP(I5,AG:AH,2,FALSE))</f>
        <v/>
      </c>
      <c r="E5" s="5" t="str">
        <f>IF(ISNA(VLOOKUP(I5,AI:AK,2,FALSE)),"",VLOOKUP(I5,AI:AK,2,FALSE))</f>
        <v>Syed Hassan Raza | +92-301-8660047</v>
      </c>
      <c r="F5" s="12" t="str">
        <f>IF(ISNA(VLOOKUP(I5,AI:AK,3,FALSE)),"",VLOOKUP(I5,AI:AK,3,FALSE))</f>
        <v>Syed Hassan Raza | +92-301-8660047</v>
      </c>
      <c r="G5" s="106" t="s">
        <v>7967</v>
      </c>
      <c r="H5" t="s">
        <v>7968</v>
      </c>
      <c r="I5" s="1" t="s">
        <v>7969</v>
      </c>
      <c r="J5" s="7" t="str">
        <f t="shared" ref="J5:J69" si="2">IF(ISNA(VLOOKUP(I5,Z:AA,2,FALSE)),"",VLOOKUP(I5,Z:AA,2,FALSE))</f>
        <v/>
      </c>
      <c r="K5" s="9" t="str">
        <f t="shared" ref="K5" si="3">IF(AND(LEFT(L5,3)&lt;&gt;"IB0",LEFT(L5,3)&lt;&gt;"ME0",LEFT(L5,3)&lt;&gt;"PS0",LEFT(L5,3)&lt;&gt;"RY0",LEFT(L5,3)&lt;&gt;"BU0",LEFT(L5,3)&lt;&gt;"IS0",LEFT(L5,3)&lt;&gt;"KA0",LEFT(L5,3)&lt;&gt;"FB0",LEFT(L5,3)&lt;&gt;"MB0",LEFT(L5,3)&lt;&gt;"LH0",LEFT(L5,3)&lt;&gt;"MU0",LEFT(L5,3)&lt;&gt;"AB0"),"",L5)</f>
        <v/>
      </c>
      <c r="L5" s="6" t="str">
        <f>IF(ISNA(VLOOKUP(I5,$S$5:$S$900,1,FALSE)),I5,"")</f>
        <v/>
      </c>
      <c r="M5" s="6" t="str">
        <f>IF(OR(LEFT(L5,3)="IB0",LEFT(L5,3)="ME0",LEFT(L5,3)="PS0",LEFT(L5,3)="RY0",LEFT(L5,3)="BU0",LEFT(L5,3)="IS0",LEFT(L5,3)="KA0",LEFT(L5,3)="FB0",LEFT(L5,3)="MB0",LEFT(L5,3)="LH0",LEFT(L5,3)="MU0",LEFT(L5,3)="AB0",),"",L5)</f>
        <v/>
      </c>
      <c r="N5" s="94" t="str">
        <f>IF(I5="","",(IF(ISNA(VLOOKUP(M5,$AJ$4:$AK$4000,2,FALSE)),M5,VLOOKUP(M5,$AJ$4:$AK$4000,2,FALSE))))</f>
        <v/>
      </c>
      <c r="O5" s="222" t="s">
        <v>8071</v>
      </c>
      <c r="P5" s="224">
        <v>82136809</v>
      </c>
      <c r="Q5" s="223" t="s">
        <v>7967</v>
      </c>
      <c r="R5" s="223" t="s">
        <v>7968</v>
      </c>
      <c r="S5" s="223" t="s">
        <v>7969</v>
      </c>
      <c r="T5" s="136" t="str">
        <f>IF(ISNA(VLOOKUP(S5,$I$5:$I$900,1,FALSE)),IF(ISBLANK(S5),"","up"),"")</f>
        <v/>
      </c>
      <c r="U5" s="137" t="str">
        <f>IF(T5="up",(IF(ISNA(VLOOKUP(S5,$AV$1:$AX$1200,3,FALSE)),"",VLOOKUP(S5,$AV$1:$AX$1200,3,FALSE))),"")</f>
        <v/>
      </c>
      <c r="V5" s="1"/>
      <c r="Y5" s="90" t="str">
        <f>IFERROR(VLOOKUP(S5,$AV$1:$BA$1200,6,0),"")</f>
        <v/>
      </c>
      <c r="Z5" s="210"/>
      <c r="AA5" s="150"/>
      <c r="AC5" s="6" t="s">
        <v>1237</v>
      </c>
      <c r="AD5" s="6" t="s">
        <v>6737</v>
      </c>
      <c r="AE5" s="158" t="s">
        <v>1683</v>
      </c>
      <c r="AF5" s="159" t="s">
        <v>8287</v>
      </c>
      <c r="AG5" s="160">
        <v>14648</v>
      </c>
      <c r="AH5" s="193" t="s">
        <v>678</v>
      </c>
      <c r="AI5" s="6" t="s">
        <v>4756</v>
      </c>
      <c r="AJ5" s="3" t="s">
        <v>8193</v>
      </c>
      <c r="AK5" t="s">
        <v>8205</v>
      </c>
      <c r="AL5" s="4">
        <f>COUNTIF(G:G,G5)</f>
        <v>1</v>
      </c>
      <c r="AM5" s="6" t="s">
        <v>1218</v>
      </c>
      <c r="AN5" s="6" t="s">
        <v>5815</v>
      </c>
      <c r="AO5" t="str">
        <f t="shared" ref="AO5:AO68" si="4">IFERROR(CONCATENATE(VLOOKUP(I5,$AP$5:$AR$500,3,0),"  (Host-",VLOOKUP(I5,$AP$5:$AR$500,2,0),")"),"")</f>
        <v/>
      </c>
      <c r="AP5" t="s">
        <v>1218</v>
      </c>
      <c r="AQ5" t="s">
        <v>4519</v>
      </c>
      <c r="AR5" s="15" t="s">
        <v>4599</v>
      </c>
      <c r="AV5" t="s">
        <v>1562</v>
      </c>
      <c r="AW5" t="s">
        <v>8129</v>
      </c>
      <c r="AX5" s="5">
        <v>0.63750000000000007</v>
      </c>
      <c r="AZ5" t="str">
        <f t="shared" ref="AZ5:AZ36" si="5">IF(ISBLANK(AW5),"",CONCATENATE("(",RIGHT(AW5,5),"-",TEXT(AX5,"h:mm;@"),")"))</f>
        <v>(15:15-15:18)</v>
      </c>
      <c r="BA5" s="5" t="str">
        <f>IF(AV21=AV5,"",CONCATENATE(IF(AV20=AV5,AZ20,""),IF(AV19=AV5,AZ19,""),IF(AV18=AV5,AZ18,""),IF(AV17=AV5,AZ17,""),IF(AV16=AV5,AZ16,""),IF(AV15=AV5,AZ15,""),IF(AV14=AV5,AZ14,""),IF(AV13=AV5,AZ13,""),IF(AV12=AV5,AZ12,""),IF(AV11=AV5,AZ11,""),IF(AV10=AV5,AZ10,""),IF(AV9=AV5,AZ9,""),IF(AV8=AV5,AZ8,""),IF(AV7=AV5,AZ7,""),IF(AV6=AV5,AZ6,""),IF(AV4=AV5,AZ4,""),AZ5))</f>
        <v>(15:15-15:18)</v>
      </c>
      <c r="CG5" s="6"/>
      <c r="CH5" s="152"/>
    </row>
    <row r="6" spans="1:86" ht="15.75">
      <c r="A6" s="135" t="str">
        <f t="shared" ref="A6:A39" si="6">IF(ISNA(VLOOKUP(I6,AC:AD,2,FALSE)),"",VLOOKUP(I6,AC:AD,2,FALSE))</f>
        <v>Center I | GUJRANWALA</v>
      </c>
      <c r="B6" s="19" t="str">
        <f t="shared" ref="B6:B39" si="7">IF(ISNA(VLOOKUP(I6,AE:AF,2,FALSE)),"",VLOOKUP(I6,AE:AF,2,FALSE))</f>
        <v xml:space="preserve">Non Hub | 1 |  | </v>
      </c>
      <c r="C6" s="19" t="str">
        <f t="shared" ref="C6:C39" si="8">IF(ISNA(VLOOKUP(I6,AM:AN,2,FALSE)),"",VLOOKUP(I6,AM:AN,2,FALSE))</f>
        <v>Mobilink | SRW9972</v>
      </c>
      <c r="D6" s="19" t="str">
        <f t="shared" ref="D6:D39" si="9">IF(ISNA(VLOOKUP(I6,AG:AH,2,FALSE)),"",VLOOKUP(I6,AG:AH,2,FALSE))</f>
        <v>P2</v>
      </c>
      <c r="E6" s="5" t="str">
        <f t="shared" ref="E6:E69" si="10">IF(ISNA(VLOOKUP(I6,AI:AK,2,FALSE)),"",VLOOKUP(I6,AI:AK,2,FALSE))</f>
        <v>Waqas Naeem | 3008711033</v>
      </c>
      <c r="F6" s="12" t="str">
        <f t="shared" ref="F6:F69" si="11">IF(ISNA(VLOOKUP(I6,AI:AK,3,FALSE)),"",VLOOKUP(I6,AI:AK,3,FALSE))</f>
        <v>Waqas Naeem | 3008711033</v>
      </c>
      <c r="G6" s="106" t="s">
        <v>8022</v>
      </c>
      <c r="H6" t="s">
        <v>7980</v>
      </c>
      <c r="I6" s="1" t="s">
        <v>5353</v>
      </c>
      <c r="J6" s="7" t="str">
        <f t="shared" si="2"/>
        <v/>
      </c>
      <c r="K6" s="9" t="str">
        <f t="shared" ref="K6:K69" si="12">IF(AND(LEFT(L6,3)&lt;&gt;"IB0",LEFT(L6,3)&lt;&gt;"ME0",LEFT(L6,3)&lt;&gt;"PS0",LEFT(L6,3)&lt;&gt;"RY0",LEFT(L6,3)&lt;&gt;"BU0",LEFT(L6,3)&lt;&gt;"IS0",LEFT(L6,3)&lt;&gt;"KA0",LEFT(L6,3)&lt;&gt;"FB0",LEFT(L6,3)&lt;&gt;"MB0",LEFT(L6,3)&lt;&gt;"LH0",LEFT(L6,3)&lt;&gt;"MU0",LEFT(L6,3)&lt;&gt;"AB0"),"",L6)</f>
        <v/>
      </c>
      <c r="L6" s="6" t="str">
        <f t="shared" ref="L6:L69" si="13">IF(ISNA(VLOOKUP(I6,$S$5:$S$900,1,FALSE)),I6,"")</f>
        <v/>
      </c>
      <c r="M6" s="6" t="str">
        <f t="shared" ref="M6:M69" si="14">IF(OR(LEFT(L6,3)="IB0",LEFT(L6,3)="ME0",LEFT(L6,3)="PS0",LEFT(L6,3)="RY0",LEFT(L6,3)="BU0",LEFT(L6,3)="IS0",LEFT(L6,3)="KA0",LEFT(L6,3)="FB0",LEFT(L6,3)="MB0",LEFT(L6,3)="LH0",LEFT(L6,3)="MU0",LEFT(L6,3)="AB0",),"",L6)</f>
        <v/>
      </c>
      <c r="N6" s="94" t="str">
        <f t="shared" ref="N6:N69" si="15">IF(I6="","",(IF(ISNA(VLOOKUP(M6,$AJ$4:$AK$4000,2,FALSE)),M6,VLOOKUP(M6,$AJ$4:$AK$4000,2,FALSE))))</f>
        <v/>
      </c>
      <c r="O6" s="222" t="s">
        <v>8125</v>
      </c>
      <c r="P6" s="227" t="s">
        <v>8032</v>
      </c>
      <c r="Q6" s="223" t="s">
        <v>8022</v>
      </c>
      <c r="R6" s="223" t="s">
        <v>7980</v>
      </c>
      <c r="S6" s="223" t="s">
        <v>5353</v>
      </c>
      <c r="T6" s="136" t="str">
        <f t="shared" ref="T6:T69" si="16">IF(ISNA(VLOOKUP(S6,$I$5:$I$900,1,FALSE)),IF(ISBLANK(S6),"","up"),"")</f>
        <v/>
      </c>
      <c r="U6" s="137" t="str">
        <f t="shared" ref="U6:U69" si="17">IF(T6="up",(IF(ISNA(VLOOKUP(S6,$AV$1:$AX$1200,3,FALSE)),"",VLOOKUP(S6,$AV$1:$AX$1200,3,FALSE))),"")</f>
        <v/>
      </c>
      <c r="V6" s="1"/>
      <c r="Y6" s="90" t="str">
        <f t="shared" ref="Y6:Y69" si="18">IFERROR(VLOOKUP(S6,$AV$1:$BA$1200,6,0),"")</f>
        <v>(08:37-8:40)(08:48-8:53)(08:57-9:02)(09:06-9:11)(09:19-9:24)(09:30-9:53)(09:57-10:02)(10:08-10:14)</v>
      </c>
      <c r="Z6" s="142"/>
      <c r="AA6" s="150"/>
      <c r="AC6" s="6" t="s">
        <v>1238</v>
      </c>
      <c r="AD6" s="6" t="s">
        <v>6738</v>
      </c>
      <c r="AE6" s="158" t="s">
        <v>1685</v>
      </c>
      <c r="AF6" s="159" t="s">
        <v>8288</v>
      </c>
      <c r="AG6" s="160">
        <v>15251</v>
      </c>
      <c r="AH6" s="193" t="s">
        <v>679</v>
      </c>
      <c r="AI6" s="6" t="s">
        <v>1244</v>
      </c>
      <c r="AJ6" s="14" t="s">
        <v>8194</v>
      </c>
      <c r="AK6" s="31" t="s">
        <v>8194</v>
      </c>
      <c r="AL6" s="4">
        <f t="shared" ref="AL6:AL69" si="19">COUNTIF(G:G,G6)</f>
        <v>1</v>
      </c>
      <c r="AM6" s="6" t="s">
        <v>2211</v>
      </c>
      <c r="AN6" s="6" t="s">
        <v>5816</v>
      </c>
      <c r="AO6" t="str">
        <f t="shared" si="4"/>
        <v/>
      </c>
      <c r="AP6" t="s">
        <v>2211</v>
      </c>
      <c r="AQ6" t="s">
        <v>4512</v>
      </c>
      <c r="AR6" s="15">
        <v>2468</v>
      </c>
      <c r="AV6" t="s">
        <v>1420</v>
      </c>
      <c r="AW6" t="s">
        <v>8162</v>
      </c>
      <c r="AX6" s="5">
        <v>0.67986111111111114</v>
      </c>
      <c r="AZ6" t="str">
        <f t="shared" si="5"/>
        <v>(16:14-16:19)</v>
      </c>
      <c r="BA6" s="5" t="str">
        <f t="shared" ref="BA6:BA69" si="20">IF(AV22=AV6,"",CONCATENATE(IF(AV21=AV6,AZ21,""),IF(AV20=AV6,AZ20,""),IF(AV19=AV6,AZ19,""),IF(AV18=AV6,AZ18,""),IF(AV17=AV6,AZ17,""),IF(AV16=AV6,AZ16,""),IF(AV15=AV6,AZ15,""),IF(AV14=AV6,AZ14,""),IF(AV13=AV6,AZ13,""),IF(AV12=AV6,AZ12,""),IF(AV11=AV6,AZ11,""),IF(AV10=AV6,AZ10,""),IF(AV9=AV6,AZ9,""),IF(AV8=AV6,AZ8,""),IF(AV7=AV6,AZ7,""),IF(AV5=AV6,AZ5,""),AZ6))</f>
        <v>(08:34-8:37)(16:14-16:19)</v>
      </c>
      <c r="CG6" s="6"/>
      <c r="CH6" s="152"/>
    </row>
    <row r="7" spans="1:86" ht="15.75">
      <c r="A7" s="135" t="str">
        <f t="shared" si="6"/>
        <v>Center II | CHINIOT</v>
      </c>
      <c r="B7" s="19" t="str">
        <f t="shared" si="7"/>
        <v xml:space="preserve">Non Hub | 1 | 0 | </v>
      </c>
      <c r="C7" s="19" t="str">
        <f t="shared" si="8"/>
        <v/>
      </c>
      <c r="D7" s="19" t="str">
        <f t="shared" si="9"/>
        <v>P2</v>
      </c>
      <c r="E7" s="5" t="str">
        <f t="shared" si="10"/>
        <v>Faiq Raza | +92-301-8669957</v>
      </c>
      <c r="F7" s="12" t="str">
        <f t="shared" si="11"/>
        <v>Faiq Raza | +92-301-8669957</v>
      </c>
      <c r="G7" s="106" t="s">
        <v>8081</v>
      </c>
      <c r="H7" t="s">
        <v>7970</v>
      </c>
      <c r="I7" s="1" t="s">
        <v>3642</v>
      </c>
      <c r="J7" s="7" t="str">
        <f t="shared" si="2"/>
        <v/>
      </c>
      <c r="K7" s="9" t="str">
        <f t="shared" si="12"/>
        <v/>
      </c>
      <c r="L7" s="6" t="str">
        <f t="shared" si="13"/>
        <v/>
      </c>
      <c r="M7" s="6" t="str">
        <f t="shared" si="14"/>
        <v/>
      </c>
      <c r="N7" s="94" t="str">
        <f t="shared" si="15"/>
        <v/>
      </c>
      <c r="O7" s="222" t="s">
        <v>8153</v>
      </c>
      <c r="P7" s="226" t="s">
        <v>8065</v>
      </c>
      <c r="Q7" s="226" t="s">
        <v>8044</v>
      </c>
      <c r="R7" s="226" t="s">
        <v>7973</v>
      </c>
      <c r="S7" s="226" t="s">
        <v>284</v>
      </c>
      <c r="T7" s="136" t="str">
        <f t="shared" si="16"/>
        <v>up</v>
      </c>
      <c r="U7" s="137">
        <f t="shared" si="17"/>
        <v>0.66597222222222219</v>
      </c>
      <c r="V7" s="1"/>
      <c r="Y7" s="90" t="str">
        <f t="shared" si="18"/>
        <v>(11:29-15:59)</v>
      </c>
      <c r="Z7" s="144"/>
      <c r="AA7" s="150"/>
      <c r="AC7" s="6" t="s">
        <v>2821</v>
      </c>
      <c r="AD7" s="6" t="s">
        <v>6739</v>
      </c>
      <c r="AE7" s="158" t="s">
        <v>1699</v>
      </c>
      <c r="AF7" s="159" t="s">
        <v>8289</v>
      </c>
      <c r="AG7" s="161">
        <v>15252</v>
      </c>
      <c r="AH7" s="193" t="s">
        <v>678</v>
      </c>
      <c r="AI7" s="6" t="s">
        <v>18</v>
      </c>
      <c r="AJ7" s="14" t="s">
        <v>8195</v>
      </c>
      <c r="AK7" s="16" t="s">
        <v>8195</v>
      </c>
      <c r="AL7" s="4">
        <f t="shared" si="19"/>
        <v>1</v>
      </c>
      <c r="AM7" s="6" t="s">
        <v>814</v>
      </c>
      <c r="AN7" s="6" t="s">
        <v>5817</v>
      </c>
      <c r="AO7" t="str">
        <f t="shared" si="4"/>
        <v/>
      </c>
      <c r="AP7" t="s">
        <v>814</v>
      </c>
      <c r="AQ7" t="s">
        <v>4512</v>
      </c>
      <c r="AR7" s="15">
        <v>8061</v>
      </c>
      <c r="AV7" t="s">
        <v>1420</v>
      </c>
      <c r="AW7" t="s">
        <v>7996</v>
      </c>
      <c r="AX7" s="5">
        <v>0.35902777777777778</v>
      </c>
      <c r="AZ7" t="str">
        <f t="shared" si="5"/>
        <v>(08:34-8:37)</v>
      </c>
      <c r="BA7" s="5" t="str">
        <f t="shared" si="20"/>
        <v>(16:14-16:19)(08:34-8:37)</v>
      </c>
      <c r="CG7" s="6"/>
      <c r="CH7" s="152"/>
    </row>
    <row r="8" spans="1:86" ht="14.25" customHeight="1">
      <c r="A8" s="135" t="str">
        <f t="shared" si="6"/>
        <v>Center I | M2 LAHORE ISLAMABAD ROAD (LAHORE TO BHERA)</v>
      </c>
      <c r="B8" s="19" t="str">
        <f t="shared" si="7"/>
        <v xml:space="preserve">Non Hub | 1 | 0 | </v>
      </c>
      <c r="C8" s="19" t="str">
        <f t="shared" si="8"/>
        <v/>
      </c>
      <c r="D8" s="19" t="str">
        <f t="shared" si="9"/>
        <v>P2</v>
      </c>
      <c r="E8" s="5" t="str">
        <f t="shared" si="10"/>
        <v>Rashid Iqbal | +92-301-8666068</v>
      </c>
      <c r="F8" s="12" t="str">
        <f t="shared" si="11"/>
        <v>Rashid Iqbal | +92-301-8666068</v>
      </c>
      <c r="G8" s="106" t="s">
        <v>8085</v>
      </c>
      <c r="H8" t="s">
        <v>8002</v>
      </c>
      <c r="I8" s="1">
        <v>25262</v>
      </c>
      <c r="J8" s="7" t="str">
        <f t="shared" si="2"/>
        <v/>
      </c>
      <c r="K8" s="9" t="str">
        <f t="shared" si="12"/>
        <v/>
      </c>
      <c r="L8" s="6" t="str">
        <f t="shared" si="13"/>
        <v/>
      </c>
      <c r="M8" s="6" t="str">
        <f t="shared" si="14"/>
        <v/>
      </c>
      <c r="N8" s="94" t="str">
        <f t="shared" si="15"/>
        <v/>
      </c>
      <c r="O8" s="224" t="s">
        <v>8082</v>
      </c>
      <c r="P8" s="224" t="s">
        <v>8116</v>
      </c>
      <c r="Q8" s="222" t="s">
        <v>8078</v>
      </c>
      <c r="R8" s="222" t="s">
        <v>7980</v>
      </c>
      <c r="S8" s="222" t="s">
        <v>166</v>
      </c>
      <c r="T8" s="136" t="str">
        <f t="shared" si="16"/>
        <v>up</v>
      </c>
      <c r="U8" s="137">
        <f t="shared" si="17"/>
        <v>0.65902777777777777</v>
      </c>
      <c r="V8" s="1"/>
      <c r="Y8" s="90" t="str">
        <f t="shared" si="18"/>
        <v>(12:48-15:49)</v>
      </c>
      <c r="Z8" s="6"/>
      <c r="AA8" s="152"/>
      <c r="AC8" s="6" t="s">
        <v>2823</v>
      </c>
      <c r="AD8" s="6" t="s">
        <v>6738</v>
      </c>
      <c r="AE8" s="158" t="s">
        <v>1686</v>
      </c>
      <c r="AF8" s="159" t="s">
        <v>8290</v>
      </c>
      <c r="AG8" s="160">
        <v>15253</v>
      </c>
      <c r="AH8" s="193" t="s">
        <v>4700</v>
      </c>
      <c r="AI8" s="6" t="s">
        <v>957</v>
      </c>
      <c r="AJ8" s="32" t="s">
        <v>8196</v>
      </c>
      <c r="AK8" s="33" t="s">
        <v>8196</v>
      </c>
      <c r="AL8" s="4">
        <f t="shared" si="19"/>
        <v>1</v>
      </c>
      <c r="AM8" s="6" t="s">
        <v>1254</v>
      </c>
      <c r="AN8" s="6" t="s">
        <v>5818</v>
      </c>
      <c r="AO8" t="str">
        <f t="shared" si="4"/>
        <v/>
      </c>
      <c r="AP8" t="s">
        <v>1254</v>
      </c>
      <c r="AQ8" t="s">
        <v>4512</v>
      </c>
      <c r="AR8" s="15">
        <v>8065</v>
      </c>
      <c r="AV8" t="s">
        <v>5096</v>
      </c>
      <c r="AW8" t="s">
        <v>8025</v>
      </c>
      <c r="AX8" s="5">
        <v>0.48402777777777778</v>
      </c>
      <c r="AZ8" t="str">
        <f t="shared" si="5"/>
        <v>(10:30-11:37)</v>
      </c>
      <c r="BA8" s="5" t="str">
        <f t="shared" si="20"/>
        <v>(10:30-11:35)(10:30-11:37)</v>
      </c>
      <c r="CG8" s="6"/>
      <c r="CH8" s="152"/>
    </row>
    <row r="9" spans="1:86" ht="16.5" customHeight="1">
      <c r="A9" s="135" t="str">
        <f t="shared" si="6"/>
        <v>Center I | LAHORE</v>
      </c>
      <c r="B9" s="19" t="str">
        <f t="shared" si="7"/>
        <v xml:space="preserve">Non Hub | 0 | 1 | </v>
      </c>
      <c r="C9" s="19" t="str">
        <f t="shared" si="8"/>
        <v/>
      </c>
      <c r="D9" s="19" t="str">
        <f t="shared" si="9"/>
        <v>P2</v>
      </c>
      <c r="E9" s="5" t="str">
        <f t="shared" si="10"/>
        <v xml:space="preserve"> Muhammad Abbas | 0323-4457641</v>
      </c>
      <c r="F9" s="12" t="str">
        <f t="shared" si="11"/>
        <v xml:space="preserve"> Muhammad Abbas | 0306-5522999</v>
      </c>
      <c r="G9" s="106" t="s">
        <v>8133</v>
      </c>
      <c r="H9" t="s">
        <v>7973</v>
      </c>
      <c r="I9" s="1" t="s">
        <v>587</v>
      </c>
      <c r="J9" s="7" t="str">
        <f t="shared" si="2"/>
        <v/>
      </c>
      <c r="K9" s="9" t="str">
        <f t="shared" si="12"/>
        <v/>
      </c>
      <c r="L9" s="6" t="str">
        <f t="shared" si="13"/>
        <v/>
      </c>
      <c r="M9" s="6" t="str">
        <f t="shared" si="14"/>
        <v/>
      </c>
      <c r="N9" s="94" t="str">
        <f t="shared" si="15"/>
        <v/>
      </c>
      <c r="O9" s="228" t="s">
        <v>8083</v>
      </c>
      <c r="P9" s="234" t="s">
        <v>8117</v>
      </c>
      <c r="Q9" s="235" t="s">
        <v>8081</v>
      </c>
      <c r="R9" s="236" t="s">
        <v>7970</v>
      </c>
      <c r="S9" s="237" t="s">
        <v>3642</v>
      </c>
      <c r="T9" s="136" t="str">
        <f t="shared" si="16"/>
        <v/>
      </c>
      <c r="U9" s="137" t="str">
        <f t="shared" si="17"/>
        <v/>
      </c>
      <c r="V9" s="1"/>
      <c r="Y9" s="90" t="str">
        <f t="shared" si="18"/>
        <v/>
      </c>
      <c r="Z9" s="6"/>
      <c r="AA9" s="152"/>
      <c r="AC9" s="6" t="s">
        <v>5074</v>
      </c>
      <c r="AD9" s="6" t="s">
        <v>6740</v>
      </c>
      <c r="AE9" s="158" t="s">
        <v>1700</v>
      </c>
      <c r="AF9" s="159" t="s">
        <v>8291</v>
      </c>
      <c r="AG9" s="160">
        <v>15254</v>
      </c>
      <c r="AH9" s="193" t="s">
        <v>678</v>
      </c>
      <c r="AI9" s="6" t="s">
        <v>992</v>
      </c>
      <c r="AJ9" s="14" t="s">
        <v>8197</v>
      </c>
      <c r="AK9" s="34" t="s">
        <v>8197</v>
      </c>
      <c r="AL9" s="4">
        <f t="shared" si="19"/>
        <v>1</v>
      </c>
      <c r="AM9" s="6" t="s">
        <v>1217</v>
      </c>
      <c r="AN9" s="6" t="s">
        <v>5819</v>
      </c>
      <c r="AO9" t="str">
        <f t="shared" si="4"/>
        <v/>
      </c>
      <c r="AP9" t="s">
        <v>1217</v>
      </c>
      <c r="AQ9" t="s">
        <v>4518</v>
      </c>
      <c r="AR9" s="15" t="s">
        <v>4598</v>
      </c>
      <c r="AV9" t="s">
        <v>5096</v>
      </c>
      <c r="AW9" t="s">
        <v>8025</v>
      </c>
      <c r="AX9" s="5">
        <v>0.4826388888888889</v>
      </c>
      <c r="AZ9" t="str">
        <f t="shared" si="5"/>
        <v>(10:30-11:35)</v>
      </c>
      <c r="BA9" s="5" t="str">
        <f t="shared" si="20"/>
        <v>(10:30-11:37)(10:30-11:35)</v>
      </c>
      <c r="CG9" s="6"/>
      <c r="CH9" s="152"/>
    </row>
    <row r="10" spans="1:86" ht="17.25" customHeight="1">
      <c r="A10" s="135" t="str">
        <f t="shared" si="6"/>
        <v>Center I | LAHORE</v>
      </c>
      <c r="B10" s="19" t="str">
        <f t="shared" si="7"/>
        <v xml:space="preserve">Non Hub | 0 | 0 | </v>
      </c>
      <c r="C10" s="19" t="str">
        <f t="shared" si="8"/>
        <v/>
      </c>
      <c r="D10" s="19" t="str">
        <f t="shared" si="9"/>
        <v>P2</v>
      </c>
      <c r="E10" s="5" t="str">
        <f t="shared" si="10"/>
        <v>Saqib Saeed | 0323-4478487</v>
      </c>
      <c r="F10" s="12" t="str">
        <f t="shared" si="11"/>
        <v>Saqib Saeed | 0306-5561000</v>
      </c>
      <c r="G10" s="106" t="s">
        <v>8151</v>
      </c>
      <c r="H10" t="s">
        <v>7983</v>
      </c>
      <c r="I10" s="1" t="s">
        <v>1324</v>
      </c>
      <c r="J10" s="7" t="str">
        <f t="shared" si="2"/>
        <v/>
      </c>
      <c r="K10" s="9" t="str">
        <f t="shared" si="12"/>
        <v>LH0147</v>
      </c>
      <c r="L10" s="6" t="str">
        <f t="shared" si="13"/>
        <v>LH0147</v>
      </c>
      <c r="M10" s="6" t="str">
        <f t="shared" si="14"/>
        <v/>
      </c>
      <c r="N10" s="94" t="str">
        <f t="shared" si="15"/>
        <v/>
      </c>
      <c r="O10" s="222" t="s">
        <v>8124</v>
      </c>
      <c r="P10" s="222" t="s">
        <v>8118</v>
      </c>
      <c r="Q10" s="235" t="s">
        <v>8085</v>
      </c>
      <c r="R10" s="236" t="s">
        <v>8002</v>
      </c>
      <c r="S10" s="238">
        <v>25262</v>
      </c>
      <c r="T10" s="136" t="str">
        <f t="shared" si="16"/>
        <v/>
      </c>
      <c r="U10" s="137" t="str">
        <f t="shared" si="17"/>
        <v/>
      </c>
      <c r="V10" s="1"/>
      <c r="Y10" s="90" t="str">
        <f t="shared" si="18"/>
        <v/>
      </c>
      <c r="Z10" s="6"/>
      <c r="AA10" s="152"/>
      <c r="AC10" s="6" t="s">
        <v>2822</v>
      </c>
      <c r="AD10" s="6" t="s">
        <v>6741</v>
      </c>
      <c r="AE10" s="158" t="s">
        <v>1704</v>
      </c>
      <c r="AF10" s="159" t="s">
        <v>8292</v>
      </c>
      <c r="AG10" s="160">
        <v>15255</v>
      </c>
      <c r="AH10" s="193" t="s">
        <v>678</v>
      </c>
      <c r="AI10" s="6" t="s">
        <v>959</v>
      </c>
      <c r="AJ10" s="14" t="s">
        <v>8197</v>
      </c>
      <c r="AK10" s="35" t="s">
        <v>8197</v>
      </c>
      <c r="AL10" s="4">
        <f t="shared" si="19"/>
        <v>1</v>
      </c>
      <c r="AM10" s="6" t="s">
        <v>1286</v>
      </c>
      <c r="AN10" s="6" t="s">
        <v>5820</v>
      </c>
      <c r="AO10" t="str">
        <f>IFERROR(CONCATENATE(VLOOKUP(S41,$AP$5:$AR$500,3,0),"  (Host-",VLOOKUP(S41,$AP$5:$AR$500,2,0),")"),"")</f>
        <v/>
      </c>
      <c r="AP10" t="s">
        <v>1286</v>
      </c>
      <c r="AQ10" t="s">
        <v>4518</v>
      </c>
      <c r="AR10" s="15" t="s">
        <v>4611</v>
      </c>
      <c r="AV10" t="s">
        <v>4152</v>
      </c>
      <c r="AW10" t="s">
        <v>8078</v>
      </c>
      <c r="AX10" s="5">
        <v>0.53819444444444442</v>
      </c>
      <c r="AZ10" t="str">
        <f t="shared" si="5"/>
        <v>(12:48-12:55)</v>
      </c>
      <c r="BA10" s="5" t="str">
        <f t="shared" si="20"/>
        <v>(12:48-12:53)(12:48-12:55)</v>
      </c>
      <c r="CG10" s="6"/>
      <c r="CH10" s="152"/>
    </row>
    <row r="11" spans="1:86" ht="16.5" customHeight="1">
      <c r="A11" s="135" t="str">
        <f t="shared" si="6"/>
        <v>Center I | BHAI PHERU TO KANGANPUR ROAD</v>
      </c>
      <c r="B11" s="19" t="str">
        <f t="shared" si="7"/>
        <v xml:space="preserve">Non Hub | 0 | 0 | </v>
      </c>
      <c r="C11" s="19" t="str">
        <f t="shared" si="8"/>
        <v/>
      </c>
      <c r="D11" s="19" t="str">
        <f t="shared" si="9"/>
        <v>P2</v>
      </c>
      <c r="E11" s="5" t="str">
        <f t="shared" si="10"/>
        <v>Akmal Shahzad | 92-302-8432537</v>
      </c>
      <c r="F11" s="12" t="str">
        <f t="shared" si="11"/>
        <v>Akmal Shahzad | 92-302-8432537</v>
      </c>
      <c r="G11" s="106" t="s">
        <v>8155</v>
      </c>
      <c r="H11" t="s">
        <v>8003</v>
      </c>
      <c r="I11" s="1" t="s">
        <v>114</v>
      </c>
      <c r="J11" s="7" t="str">
        <f t="shared" si="2"/>
        <v/>
      </c>
      <c r="K11" s="9" t="str">
        <f t="shared" si="12"/>
        <v/>
      </c>
      <c r="L11" s="6" t="str">
        <f t="shared" si="13"/>
        <v>1C3444</v>
      </c>
      <c r="M11" s="6" t="str">
        <f t="shared" si="14"/>
        <v>1C3444</v>
      </c>
      <c r="N11" s="94" t="str">
        <f t="shared" si="15"/>
        <v>1C3444</v>
      </c>
      <c r="O11" s="225" t="s">
        <v>7946</v>
      </c>
      <c r="P11" s="229" t="s">
        <v>8121</v>
      </c>
      <c r="Q11" s="235" t="s">
        <v>8093</v>
      </c>
      <c r="R11" s="236" t="s">
        <v>8002</v>
      </c>
      <c r="S11" s="237" t="s">
        <v>5519</v>
      </c>
      <c r="T11" s="136" t="str">
        <f t="shared" si="16"/>
        <v>up</v>
      </c>
      <c r="U11" s="137">
        <f t="shared" si="17"/>
        <v>0.66180555555555554</v>
      </c>
      <c r="V11" s="1"/>
      <c r="Y11" s="90" t="str">
        <f t="shared" si="18"/>
        <v>(11:17-11:34)(11:43-11:44)(13:25-14:37)(15:09-15:53)</v>
      </c>
      <c r="Z11" s="6"/>
      <c r="AA11" s="152"/>
      <c r="AC11" s="6" t="s">
        <v>2816</v>
      </c>
      <c r="AD11" s="6" t="s">
        <v>6742</v>
      </c>
      <c r="AE11" s="158" t="s">
        <v>1690</v>
      </c>
      <c r="AF11" s="159" t="s">
        <v>8293</v>
      </c>
      <c r="AG11" s="160">
        <v>15256</v>
      </c>
      <c r="AH11" s="193" t="s">
        <v>678</v>
      </c>
      <c r="AI11" s="6" t="s">
        <v>4443</v>
      </c>
      <c r="AJ11" s="14" t="s">
        <v>8198</v>
      </c>
      <c r="AK11" s="36" t="s">
        <v>8198</v>
      </c>
      <c r="AL11" s="4">
        <f t="shared" si="19"/>
        <v>1</v>
      </c>
      <c r="AM11" s="6" t="s">
        <v>598</v>
      </c>
      <c r="AN11" s="6" t="s">
        <v>5821</v>
      </c>
      <c r="AO11" t="str">
        <f>IFERROR(CONCATENATE(VLOOKUP(S28,$AP$5:$AR$500,3,0),"  (Host-",VLOOKUP(S28,$AP$5:$AR$500,2,0),")"),"")</f>
        <v/>
      </c>
      <c r="AP11" t="s">
        <v>598</v>
      </c>
      <c r="AQ11" t="s">
        <v>4518</v>
      </c>
      <c r="AR11" s="15" t="s">
        <v>4639</v>
      </c>
      <c r="AV11" t="s">
        <v>4152</v>
      </c>
      <c r="AW11" t="s">
        <v>8078</v>
      </c>
      <c r="AX11" s="5">
        <v>0.53680555555555554</v>
      </c>
      <c r="AZ11" t="str">
        <f t="shared" si="5"/>
        <v>(12:48-12:53)</v>
      </c>
      <c r="BA11" s="5" t="str">
        <f t="shared" si="20"/>
        <v>(12:48-12:55)(12:48-12:53)</v>
      </c>
      <c r="CG11" s="6"/>
      <c r="CH11" s="152"/>
    </row>
    <row r="12" spans="1:86" ht="15" customHeight="1">
      <c r="A12" s="135" t="str">
        <f t="shared" si="6"/>
        <v>Center I | BHAI PHERU TO KANGANPUR ROAD</v>
      </c>
      <c r="B12" s="19" t="str">
        <f t="shared" si="7"/>
        <v xml:space="preserve">Non Hub | 0 | 0 | </v>
      </c>
      <c r="C12" s="19" t="str">
        <f t="shared" si="8"/>
        <v/>
      </c>
      <c r="D12" s="19" t="str">
        <f t="shared" si="9"/>
        <v>P2</v>
      </c>
      <c r="E12" s="5" t="str">
        <f t="shared" si="10"/>
        <v>Akmal Shahzad | 92-302-8432537</v>
      </c>
      <c r="F12" s="12" t="str">
        <f t="shared" si="11"/>
        <v>Akmal Shahzad | 92-302-8432537</v>
      </c>
      <c r="G12" s="106" t="s">
        <v>8156</v>
      </c>
      <c r="H12" t="s">
        <v>7992</v>
      </c>
      <c r="I12" s="1" t="s">
        <v>115</v>
      </c>
      <c r="J12" s="7" t="str">
        <f t="shared" si="2"/>
        <v/>
      </c>
      <c r="K12" s="9" t="str">
        <f t="shared" si="12"/>
        <v/>
      </c>
      <c r="L12" s="6" t="str">
        <f t="shared" si="13"/>
        <v>1C3445</v>
      </c>
      <c r="M12" s="6" t="str">
        <f t="shared" si="14"/>
        <v>1C3445</v>
      </c>
      <c r="N12" s="94" t="str">
        <f t="shared" si="15"/>
        <v>1C3445</v>
      </c>
      <c r="O12" s="230" t="s">
        <v>8145</v>
      </c>
      <c r="P12" s="231" t="s">
        <v>8148</v>
      </c>
      <c r="Q12" s="235" t="s">
        <v>8133</v>
      </c>
      <c r="R12" s="236" t="s">
        <v>7973</v>
      </c>
      <c r="S12" s="237" t="s">
        <v>587</v>
      </c>
      <c r="T12" s="136" t="str">
        <f t="shared" si="16"/>
        <v/>
      </c>
      <c r="U12" s="137" t="str">
        <f t="shared" si="17"/>
        <v/>
      </c>
      <c r="V12" s="1"/>
      <c r="Y12" s="90" t="str">
        <f t="shared" si="18"/>
        <v>(08:26-9:19)(11:24-12:22)</v>
      </c>
      <c r="Z12" s="6"/>
      <c r="AA12" s="152"/>
      <c r="AC12" s="6" t="s">
        <v>2815</v>
      </c>
      <c r="AD12" s="6" t="s">
        <v>6742</v>
      </c>
      <c r="AE12" s="158" t="s">
        <v>1694</v>
      </c>
      <c r="AF12" s="159" t="s">
        <v>8294</v>
      </c>
      <c r="AG12" s="160">
        <v>15343</v>
      </c>
      <c r="AH12" s="193" t="s">
        <v>679</v>
      </c>
      <c r="AI12" s="6" t="s">
        <v>4484</v>
      </c>
      <c r="AJ12" s="14" t="s">
        <v>8199</v>
      </c>
      <c r="AK12" s="37" t="s">
        <v>8199</v>
      </c>
      <c r="AL12" s="4">
        <f t="shared" si="19"/>
        <v>1</v>
      </c>
      <c r="AM12" s="6" t="s">
        <v>56</v>
      </c>
      <c r="AN12" s="6" t="s">
        <v>5822</v>
      </c>
      <c r="AO12" t="str">
        <f>IFERROR(CONCATENATE(VLOOKUP(S29,$AP$5:$AR$500,3,0),"  (Host-",VLOOKUP(S29,$AP$5:$AR$500,2,0),")"),"")</f>
        <v/>
      </c>
      <c r="AP12" t="s">
        <v>56</v>
      </c>
      <c r="AQ12" t="s">
        <v>4518</v>
      </c>
      <c r="AR12" s="15" t="s">
        <v>4557</v>
      </c>
      <c r="AV12" t="s">
        <v>664</v>
      </c>
      <c r="AW12" t="s">
        <v>8108</v>
      </c>
      <c r="AX12" s="5">
        <v>0.59930555555555554</v>
      </c>
      <c r="AZ12" t="str">
        <f t="shared" si="5"/>
        <v>(14:09-14:23)</v>
      </c>
      <c r="BA12" s="5" t="str">
        <f t="shared" si="20"/>
        <v>(14:09-14:23)</v>
      </c>
      <c r="CG12" s="6"/>
      <c r="CH12" s="152"/>
    </row>
    <row r="13" spans="1:86" ht="15.75">
      <c r="A13" s="135" t="str">
        <f t="shared" si="6"/>
        <v>Center I | BHERA</v>
      </c>
      <c r="B13" s="19" t="str">
        <f t="shared" si="7"/>
        <v xml:space="preserve">Non Hub | 1 | 0 | </v>
      </c>
      <c r="C13" s="19" t="str">
        <f t="shared" si="8"/>
        <v/>
      </c>
      <c r="D13" s="19" t="str">
        <f t="shared" si="9"/>
        <v>P2</v>
      </c>
      <c r="E13" s="5" t="str">
        <f t="shared" si="10"/>
        <v>Waleed Bin Tariq | +92-301-8238617</v>
      </c>
      <c r="F13" s="12" t="str">
        <f t="shared" si="11"/>
        <v>Waleed Bin Tariq | +92-301-8238617</v>
      </c>
      <c r="G13" s="106" t="s">
        <v>8154</v>
      </c>
      <c r="H13" t="s">
        <v>7964</v>
      </c>
      <c r="I13" s="1" t="s">
        <v>3576</v>
      </c>
      <c r="J13" s="7" t="str">
        <f t="shared" si="2"/>
        <v/>
      </c>
      <c r="K13" s="9" t="str">
        <f t="shared" si="12"/>
        <v/>
      </c>
      <c r="L13" s="6" t="str">
        <f t="shared" si="13"/>
        <v>BE1550</v>
      </c>
      <c r="M13" s="6" t="str">
        <f t="shared" si="14"/>
        <v>BE1550</v>
      </c>
      <c r="N13" s="94" t="str">
        <f t="shared" si="15"/>
        <v>BE1550</v>
      </c>
      <c r="O13" s="221" t="s">
        <v>8146</v>
      </c>
      <c r="P13" s="234" t="s">
        <v>8149</v>
      </c>
      <c r="Q13" s="235" t="s">
        <v>8143</v>
      </c>
      <c r="R13" s="236" t="s">
        <v>7986</v>
      </c>
      <c r="S13" s="237" t="s">
        <v>661</v>
      </c>
      <c r="T13" s="136" t="str">
        <f t="shared" si="16"/>
        <v>up</v>
      </c>
      <c r="U13" s="137">
        <f t="shared" si="17"/>
        <v>0.68263888888888891</v>
      </c>
      <c r="V13" s="1"/>
      <c r="Y13" s="90" t="str">
        <f t="shared" si="18"/>
        <v>(15:31-16:23)</v>
      </c>
      <c r="Z13" s="6"/>
      <c r="AA13" s="152"/>
      <c r="AC13" s="6" t="s">
        <v>2824</v>
      </c>
      <c r="AD13" s="6" t="s">
        <v>6743</v>
      </c>
      <c r="AE13" s="158" t="s">
        <v>1695</v>
      </c>
      <c r="AF13" s="159" t="s">
        <v>8295</v>
      </c>
      <c r="AG13" s="160">
        <v>15344</v>
      </c>
      <c r="AH13" s="193" t="s">
        <v>679</v>
      </c>
      <c r="AI13" s="6" t="s">
        <v>4832</v>
      </c>
      <c r="AJ13" s="14" t="s">
        <v>8200</v>
      </c>
      <c r="AK13" s="38" t="s">
        <v>8200</v>
      </c>
      <c r="AL13" s="4">
        <f t="shared" si="19"/>
        <v>1</v>
      </c>
      <c r="AM13" s="6" t="s">
        <v>713</v>
      </c>
      <c r="AN13" s="6" t="s">
        <v>5823</v>
      </c>
      <c r="AO13" t="str">
        <f>IFERROR(CONCATENATE(VLOOKUP(I13,$AP$5:$AR$500,3,0),"  (Host-",VLOOKUP(I13,$AP$5:$AR$500,2,0),")"),"")</f>
        <v/>
      </c>
      <c r="AP13" t="s">
        <v>713</v>
      </c>
      <c r="AQ13" t="s">
        <v>4518</v>
      </c>
      <c r="AR13" s="15" t="s">
        <v>4573</v>
      </c>
      <c r="AV13" t="s">
        <v>1569</v>
      </c>
      <c r="AW13" t="s">
        <v>8128</v>
      </c>
      <c r="AX13" s="5">
        <v>0.64097222222222217</v>
      </c>
      <c r="AZ13" t="str">
        <f t="shared" si="5"/>
        <v>(15:06-15:23)</v>
      </c>
      <c r="BA13" s="5" t="str">
        <f t="shared" si="20"/>
        <v>(15:06-15:23)</v>
      </c>
      <c r="CG13" s="6"/>
      <c r="CH13" s="152"/>
    </row>
    <row r="14" spans="1:86" ht="15.75">
      <c r="A14" s="135" t="str">
        <f t="shared" si="6"/>
        <v>Center II | FAISALABAD</v>
      </c>
      <c r="B14" s="19" t="str">
        <f t="shared" si="7"/>
        <v xml:space="preserve">Non Hub | 0 | 1 | </v>
      </c>
      <c r="C14" s="19" t="str">
        <f t="shared" si="8"/>
        <v/>
      </c>
      <c r="D14" s="19" t="str">
        <f t="shared" si="9"/>
        <v>P1</v>
      </c>
      <c r="E14" s="5" t="str">
        <f t="shared" si="10"/>
        <v>Faiq Raza | +92-301-8669957</v>
      </c>
      <c r="F14" s="12" t="str">
        <f t="shared" si="11"/>
        <v>Faiq Raza | +92-301-8669957</v>
      </c>
      <c r="G14" s="106" t="s">
        <v>8159</v>
      </c>
      <c r="H14" t="s">
        <v>7956</v>
      </c>
      <c r="I14" s="1" t="s">
        <v>3763</v>
      </c>
      <c r="J14" s="7" t="str">
        <f t="shared" si="2"/>
        <v/>
      </c>
      <c r="K14" s="9" t="str">
        <f t="shared" si="12"/>
        <v/>
      </c>
      <c r="L14" s="6" t="str">
        <f t="shared" si="13"/>
        <v>FB4042</v>
      </c>
      <c r="M14" s="6" t="str">
        <f t="shared" si="14"/>
        <v>FB4042</v>
      </c>
      <c r="N14" s="94" t="str">
        <f t="shared" si="15"/>
        <v>FB4042</v>
      </c>
      <c r="O14" s="221" t="s">
        <v>8147</v>
      </c>
      <c r="P14" s="234" t="s">
        <v>8150</v>
      </c>
      <c r="Q14" s="235" t="s">
        <v>8142</v>
      </c>
      <c r="R14" s="236" t="s">
        <v>7966</v>
      </c>
      <c r="S14" s="237" t="s">
        <v>485</v>
      </c>
      <c r="T14" s="136" t="str">
        <f t="shared" si="16"/>
        <v>up</v>
      </c>
      <c r="U14" s="137">
        <f t="shared" si="17"/>
        <v>0.68333333333333324</v>
      </c>
      <c r="V14" s="1"/>
      <c r="Y14" s="90" t="str">
        <f t="shared" si="18"/>
        <v>(08:37-9:21)(15:34-16:24)</v>
      </c>
      <c r="Z14" s="6"/>
      <c r="AA14" s="152"/>
      <c r="AC14" s="6" t="s">
        <v>1236</v>
      </c>
      <c r="AD14" s="6" t="s">
        <v>6744</v>
      </c>
      <c r="AE14" s="158" t="s">
        <v>1299</v>
      </c>
      <c r="AF14" s="159" t="s">
        <v>8296</v>
      </c>
      <c r="AG14" s="161">
        <v>15345</v>
      </c>
      <c r="AH14" s="193" t="s">
        <v>679</v>
      </c>
      <c r="AI14" s="6" t="s">
        <v>5280</v>
      </c>
      <c r="AJ14" s="14" t="s">
        <v>8201</v>
      </c>
      <c r="AK14" s="14" t="s">
        <v>8666</v>
      </c>
      <c r="AL14" s="4">
        <f t="shared" si="19"/>
        <v>1</v>
      </c>
      <c r="AM14" s="6" t="s">
        <v>719</v>
      </c>
      <c r="AN14" s="6" t="s">
        <v>5824</v>
      </c>
      <c r="AO14" t="str">
        <f>IFERROR(CONCATENATE(VLOOKUP(I14,$AP$5:$AR$500,3,0),"  (Host-",VLOOKUP(I14,$AP$5:$AR$500,2,0),")"),"")</f>
        <v/>
      </c>
      <c r="AP14" t="s">
        <v>719</v>
      </c>
      <c r="AQ14" t="s">
        <v>4518</v>
      </c>
      <c r="AR14" s="15" t="s">
        <v>4575</v>
      </c>
      <c r="AV14" t="s">
        <v>661</v>
      </c>
      <c r="AW14" t="s">
        <v>8143</v>
      </c>
      <c r="AX14" s="5">
        <v>0.68263888888888891</v>
      </c>
      <c r="AZ14" t="str">
        <f t="shared" si="5"/>
        <v>(15:31-16:23)</v>
      </c>
      <c r="BA14" s="5" t="str">
        <f t="shared" si="20"/>
        <v>(15:31-16:23)</v>
      </c>
      <c r="CG14" s="6"/>
      <c r="CH14" s="152"/>
    </row>
    <row r="15" spans="1:86" ht="15.75">
      <c r="A15" s="135" t="str">
        <f t="shared" si="6"/>
        <v>Center I | LAHORE</v>
      </c>
      <c r="B15" s="19" t="str">
        <f t="shared" si="7"/>
        <v xml:space="preserve">Non Hub | 0 | 0 | </v>
      </c>
      <c r="C15" s="19" t="str">
        <f t="shared" si="8"/>
        <v/>
      </c>
      <c r="D15" s="19" t="str">
        <f t="shared" si="9"/>
        <v>P1</v>
      </c>
      <c r="E15" s="5" t="str">
        <f t="shared" si="10"/>
        <v>Saqib Saeed | 0323-4478487</v>
      </c>
      <c r="F15" s="12" t="str">
        <f t="shared" si="11"/>
        <v>Saqib Saeed | 0306-5561000</v>
      </c>
      <c r="G15" s="106" t="s">
        <v>8158</v>
      </c>
      <c r="H15" t="s">
        <v>7983</v>
      </c>
      <c r="I15" s="1" t="s">
        <v>1652</v>
      </c>
      <c r="J15" s="7" t="str">
        <f t="shared" si="2"/>
        <v/>
      </c>
      <c r="K15" s="9" t="str">
        <f t="shared" si="12"/>
        <v/>
      </c>
      <c r="L15" s="6" t="str">
        <f t="shared" si="13"/>
        <v>LH3905</v>
      </c>
      <c r="M15" s="6" t="str">
        <f t="shared" si="14"/>
        <v>LH3905</v>
      </c>
      <c r="N15" s="94" t="str">
        <f t="shared" si="15"/>
        <v>LH3905</v>
      </c>
      <c r="O15" s="224"/>
      <c r="P15" s="225"/>
      <c r="Q15" s="235"/>
      <c r="R15" s="236"/>
      <c r="S15" s="237"/>
      <c r="T15" s="136" t="str">
        <f t="shared" si="16"/>
        <v/>
      </c>
      <c r="U15" s="137" t="str">
        <f t="shared" si="17"/>
        <v/>
      </c>
      <c r="V15" s="1"/>
      <c r="Y15" s="90" t="str">
        <f t="shared" si="18"/>
        <v/>
      </c>
      <c r="Z15" s="6"/>
      <c r="AA15" s="152"/>
      <c r="AC15" s="6" t="s">
        <v>2333</v>
      </c>
      <c r="AD15" s="6" t="s">
        <v>6744</v>
      </c>
      <c r="AE15" s="158" t="s">
        <v>74</v>
      </c>
      <c r="AF15" s="159" t="s">
        <v>8297</v>
      </c>
      <c r="AG15" s="160">
        <v>21939</v>
      </c>
      <c r="AH15" s="193" t="s">
        <v>679</v>
      </c>
      <c r="AI15" s="6" t="s">
        <v>5135</v>
      </c>
      <c r="AJ15" s="14" t="s">
        <v>8202</v>
      </c>
      <c r="AK15" s="14" t="s">
        <v>8202</v>
      </c>
      <c r="AL15" s="4">
        <f t="shared" si="19"/>
        <v>1</v>
      </c>
      <c r="AM15" s="6" t="s">
        <v>721</v>
      </c>
      <c r="AN15" s="6" t="s">
        <v>5825</v>
      </c>
      <c r="AO15" t="str">
        <f t="shared" si="4"/>
        <v/>
      </c>
      <c r="AP15" t="s">
        <v>721</v>
      </c>
      <c r="AQ15" t="s">
        <v>4518</v>
      </c>
      <c r="AR15" s="15" t="s">
        <v>4577</v>
      </c>
      <c r="AV15" t="s">
        <v>5476</v>
      </c>
      <c r="AW15" t="s">
        <v>8074</v>
      </c>
      <c r="AX15" s="5">
        <v>0.53819444444444442</v>
      </c>
      <c r="AZ15" t="str">
        <f t="shared" si="5"/>
        <v>(12:50-12:55)</v>
      </c>
      <c r="BA15" s="5" t="str">
        <f t="shared" si="20"/>
        <v>(12:50-12:55)</v>
      </c>
      <c r="CG15" s="6"/>
      <c r="CH15" s="152"/>
    </row>
    <row r="16" spans="1:86" ht="15.75">
      <c r="A16" s="135" t="str">
        <f t="shared" si="6"/>
        <v>Center III | MULTAN</v>
      </c>
      <c r="B16" s="19" t="str">
        <f t="shared" si="7"/>
        <v xml:space="preserve">Hub 3 | 2 | 1 | </v>
      </c>
      <c r="C16" s="19" t="str">
        <f t="shared" si="8"/>
        <v/>
      </c>
      <c r="D16" s="19" t="str">
        <f t="shared" si="9"/>
        <v>P2</v>
      </c>
      <c r="E16" s="5" t="str">
        <f t="shared" si="10"/>
        <v>Mohsin Bakhtyar | +92-300-8638369</v>
      </c>
      <c r="F16" s="12" t="str">
        <f t="shared" si="11"/>
        <v>Nauman Ahmed | +92-300-8639099</v>
      </c>
      <c r="G16" s="106" t="s">
        <v>8165</v>
      </c>
      <c r="H16" t="s">
        <v>7968</v>
      </c>
      <c r="I16" s="1" t="s">
        <v>4018</v>
      </c>
      <c r="J16" s="7" t="str">
        <f t="shared" si="2"/>
        <v/>
      </c>
      <c r="K16" s="9" t="str">
        <f t="shared" si="12"/>
        <v/>
      </c>
      <c r="L16" s="6" t="str">
        <f t="shared" si="13"/>
        <v>MU4438</v>
      </c>
      <c r="M16" s="6" t="str">
        <f t="shared" si="14"/>
        <v>MU4438</v>
      </c>
      <c r="N16" s="94" t="str">
        <f t="shared" si="15"/>
        <v>MU4438</v>
      </c>
      <c r="O16"/>
      <c r="P16"/>
      <c r="Q16"/>
      <c r="R16"/>
      <c r="S16"/>
      <c r="T16" s="136" t="str">
        <f t="shared" si="16"/>
        <v/>
      </c>
      <c r="U16" s="137" t="str">
        <f t="shared" si="17"/>
        <v/>
      </c>
      <c r="V16" s="1"/>
      <c r="Y16" s="90" t="str">
        <f t="shared" si="18"/>
        <v/>
      </c>
      <c r="Z16" s="6"/>
      <c r="AA16" s="152"/>
      <c r="AC16" s="6" t="s">
        <v>2748</v>
      </c>
      <c r="AD16" s="6" t="s">
        <v>6744</v>
      </c>
      <c r="AE16" s="158" t="s">
        <v>75</v>
      </c>
      <c r="AF16" s="159" t="s">
        <v>8296</v>
      </c>
      <c r="AG16" s="160">
        <v>23462</v>
      </c>
      <c r="AH16" s="193" t="s">
        <v>1314</v>
      </c>
      <c r="AI16" s="6" t="s">
        <v>1125</v>
      </c>
      <c r="AJ16" s="14" t="s">
        <v>8198</v>
      </c>
      <c r="AK16" s="38" t="s">
        <v>8198</v>
      </c>
      <c r="AL16" s="4">
        <f t="shared" si="19"/>
        <v>1</v>
      </c>
      <c r="AM16" s="6" t="s">
        <v>1231</v>
      </c>
      <c r="AN16" s="6" t="s">
        <v>5826</v>
      </c>
      <c r="AO16" t="str">
        <f t="shared" si="4"/>
        <v/>
      </c>
      <c r="AP16" t="s">
        <v>1231</v>
      </c>
      <c r="AQ16" t="s">
        <v>4518</v>
      </c>
      <c r="AR16" s="15" t="s">
        <v>4609</v>
      </c>
      <c r="AV16" t="s">
        <v>5519</v>
      </c>
      <c r="AW16" t="s">
        <v>8130</v>
      </c>
      <c r="AX16" s="5">
        <v>0.66180555555555554</v>
      </c>
      <c r="AZ16" t="str">
        <f t="shared" si="5"/>
        <v>(15:09-15:53)</v>
      </c>
      <c r="BA16" s="5" t="str">
        <f t="shared" si="20"/>
        <v>(11:17-11:34)(11:43-11:44)(13:25-14:37)(15:09-15:53)</v>
      </c>
      <c r="CG16" s="6"/>
      <c r="CH16" s="152"/>
    </row>
    <row r="17" spans="1:86" ht="15.75">
      <c r="A17" s="135" t="str">
        <f t="shared" si="6"/>
        <v>Center I | GUJRAT</v>
      </c>
      <c r="B17" s="19" t="str">
        <f t="shared" si="7"/>
        <v xml:space="preserve">Hub 2 | 3 | 8 | </v>
      </c>
      <c r="C17" s="19" t="str">
        <f t="shared" si="8"/>
        <v/>
      </c>
      <c r="D17" s="19" t="str">
        <f t="shared" si="9"/>
        <v>P1</v>
      </c>
      <c r="E17" s="5" t="str">
        <f t="shared" si="10"/>
        <v>Wasif Ali | 0301-8237458</v>
      </c>
      <c r="F17" s="12" t="str">
        <f t="shared" si="11"/>
        <v>Wasif Ali | 0301-8237458</v>
      </c>
      <c r="G17" s="106" t="s">
        <v>8166</v>
      </c>
      <c r="H17" t="s">
        <v>7980</v>
      </c>
      <c r="I17" s="1" t="s">
        <v>165</v>
      </c>
      <c r="J17" s="7" t="str">
        <f t="shared" si="2"/>
        <v/>
      </c>
      <c r="K17" s="9" t="str">
        <f t="shared" si="12"/>
        <v/>
      </c>
      <c r="L17" s="6" t="str">
        <f t="shared" si="13"/>
        <v>GU4168</v>
      </c>
      <c r="M17" s="6" t="str">
        <f t="shared" si="14"/>
        <v>GU4168</v>
      </c>
      <c r="N17" s="94" t="str">
        <f t="shared" si="15"/>
        <v>GU4168</v>
      </c>
      <c r="O17"/>
      <c r="P17"/>
      <c r="Q17"/>
      <c r="R17"/>
      <c r="S17"/>
      <c r="T17" s="136" t="str">
        <f t="shared" si="16"/>
        <v/>
      </c>
      <c r="U17" s="137" t="str">
        <f t="shared" si="17"/>
        <v/>
      </c>
      <c r="V17" s="1"/>
      <c r="Y17" s="90" t="str">
        <f t="shared" si="18"/>
        <v/>
      </c>
      <c r="Z17" s="6"/>
      <c r="AA17" s="152"/>
      <c r="AC17" s="6" t="s">
        <v>2747</v>
      </c>
      <c r="AD17" s="6" t="s">
        <v>6744</v>
      </c>
      <c r="AE17" s="158" t="s">
        <v>71</v>
      </c>
      <c r="AF17" s="159" t="s">
        <v>8290</v>
      </c>
      <c r="AG17" s="160">
        <v>23634</v>
      </c>
      <c r="AH17" s="193" t="s">
        <v>678</v>
      </c>
      <c r="AI17" s="6" t="s">
        <v>1226</v>
      </c>
      <c r="AJ17" s="14" t="s">
        <v>8203</v>
      </c>
      <c r="AK17" s="37" t="s">
        <v>8203</v>
      </c>
      <c r="AL17" s="4">
        <f t="shared" si="19"/>
        <v>1</v>
      </c>
      <c r="AM17" s="6" t="s">
        <v>1225</v>
      </c>
      <c r="AN17" s="6" t="s">
        <v>5827</v>
      </c>
      <c r="AO17" t="str">
        <f t="shared" si="4"/>
        <v/>
      </c>
      <c r="AP17" t="s">
        <v>1225</v>
      </c>
      <c r="AQ17" t="s">
        <v>4518</v>
      </c>
      <c r="AR17" s="15" t="s">
        <v>4605</v>
      </c>
      <c r="AV17" t="s">
        <v>5519</v>
      </c>
      <c r="AW17" t="s">
        <v>8093</v>
      </c>
      <c r="AX17" s="5">
        <v>0.60902777777777783</v>
      </c>
      <c r="AZ17" t="str">
        <f t="shared" si="5"/>
        <v>(13:25-14:37)</v>
      </c>
      <c r="BA17" s="5" t="str">
        <f t="shared" si="20"/>
        <v>(11:17-11:34)(11:43-11:44)(15:09-15:53)(13:25-14:37)</v>
      </c>
      <c r="CG17" s="6"/>
      <c r="CH17" s="152"/>
    </row>
    <row r="18" spans="1:86" ht="15.75">
      <c r="A18" s="135" t="str">
        <f t="shared" si="6"/>
        <v/>
      </c>
      <c r="B18" s="19" t="str">
        <f t="shared" si="7"/>
        <v/>
      </c>
      <c r="C18" s="19" t="str">
        <f t="shared" si="8"/>
        <v/>
      </c>
      <c r="D18" s="19" t="str">
        <f t="shared" si="9"/>
        <v/>
      </c>
      <c r="E18" s="5" t="str">
        <f t="shared" si="10"/>
        <v/>
      </c>
      <c r="F18" s="12" t="str">
        <f t="shared" si="11"/>
        <v/>
      </c>
      <c r="G18" s="106"/>
      <c r="I18" s="1"/>
      <c r="J18" s="7" t="str">
        <f t="shared" si="2"/>
        <v/>
      </c>
      <c r="K18" s="9" t="str">
        <f t="shared" si="12"/>
        <v/>
      </c>
      <c r="L18" s="6">
        <f t="shared" si="13"/>
        <v>0</v>
      </c>
      <c r="M18" s="6">
        <f t="shared" si="14"/>
        <v>0</v>
      </c>
      <c r="N18" s="94" t="str">
        <f t="shared" si="15"/>
        <v/>
      </c>
      <c r="O18"/>
      <c r="P18"/>
      <c r="Q18"/>
      <c r="R18"/>
      <c r="S18"/>
      <c r="T18" s="136" t="str">
        <f t="shared" si="16"/>
        <v/>
      </c>
      <c r="U18" s="137" t="str">
        <f t="shared" si="17"/>
        <v/>
      </c>
      <c r="V18" s="1"/>
      <c r="Y18" s="90" t="str">
        <f t="shared" si="18"/>
        <v/>
      </c>
      <c r="Z18" s="6"/>
      <c r="AA18" s="152"/>
      <c r="AC18" s="6">
        <v>976454</v>
      </c>
      <c r="AD18" s="6" t="s">
        <v>6744</v>
      </c>
      <c r="AE18" s="158" t="s">
        <v>73</v>
      </c>
      <c r="AF18" s="159" t="s">
        <v>8298</v>
      </c>
      <c r="AG18" s="160">
        <v>23802</v>
      </c>
      <c r="AH18" s="193" t="s">
        <v>679</v>
      </c>
      <c r="AI18" s="6" t="s">
        <v>3392</v>
      </c>
      <c r="AJ18" s="14" t="s">
        <v>8204</v>
      </c>
      <c r="AK18" s="34" t="s">
        <v>8204</v>
      </c>
      <c r="AL18" s="4">
        <f t="shared" si="19"/>
        <v>0</v>
      </c>
      <c r="AM18" s="6" t="s">
        <v>13</v>
      </c>
      <c r="AN18" s="6" t="s">
        <v>5828</v>
      </c>
      <c r="AO18" t="str">
        <f t="shared" si="4"/>
        <v/>
      </c>
      <c r="AP18" t="s">
        <v>13</v>
      </c>
      <c r="AQ18" t="s">
        <v>4518</v>
      </c>
      <c r="AR18" s="15" t="s">
        <v>4563</v>
      </c>
      <c r="AV18" t="s">
        <v>5519</v>
      </c>
      <c r="AW18" t="s">
        <v>8055</v>
      </c>
      <c r="AX18" s="5">
        <v>0.48888888888888887</v>
      </c>
      <c r="AZ18" t="str">
        <f t="shared" si="5"/>
        <v>(11:43-11:44)</v>
      </c>
      <c r="BA18" s="5" t="str">
        <f t="shared" si="20"/>
        <v>(11:17-11:34)(13:25-14:37)(11:43-11:44)</v>
      </c>
      <c r="CG18" s="6"/>
      <c r="CH18" s="152"/>
    </row>
    <row r="19" spans="1:86" ht="15.75">
      <c r="A19" s="135" t="str">
        <f t="shared" si="6"/>
        <v/>
      </c>
      <c r="B19" s="19" t="str">
        <f t="shared" si="7"/>
        <v/>
      </c>
      <c r="C19" s="19" t="str">
        <f t="shared" si="8"/>
        <v/>
      </c>
      <c r="D19" s="19" t="str">
        <f t="shared" si="9"/>
        <v/>
      </c>
      <c r="E19" s="5" t="str">
        <f t="shared" si="10"/>
        <v/>
      </c>
      <c r="F19" s="12" t="str">
        <f t="shared" si="11"/>
        <v/>
      </c>
      <c r="J19" s="7" t="str">
        <f t="shared" si="2"/>
        <v/>
      </c>
      <c r="K19" s="9" t="str">
        <f t="shared" si="12"/>
        <v/>
      </c>
      <c r="L19" s="6">
        <f t="shared" si="13"/>
        <v>0</v>
      </c>
      <c r="M19" s="6">
        <f t="shared" si="14"/>
        <v>0</v>
      </c>
      <c r="N19" s="94" t="str">
        <f t="shared" si="15"/>
        <v/>
      </c>
      <c r="O19"/>
      <c r="P19"/>
      <c r="Q19"/>
      <c r="R19"/>
      <c r="S19"/>
      <c r="T19" s="136" t="str">
        <f t="shared" si="16"/>
        <v/>
      </c>
      <c r="U19" s="137" t="str">
        <f t="shared" si="17"/>
        <v/>
      </c>
      <c r="V19" s="1"/>
      <c r="Y19" s="90" t="str">
        <f t="shared" si="18"/>
        <v/>
      </c>
      <c r="Z19" s="6"/>
      <c r="AA19" s="152"/>
      <c r="AC19" s="6">
        <v>976453</v>
      </c>
      <c r="AD19" s="6" t="s">
        <v>6744</v>
      </c>
      <c r="AE19" s="158" t="s">
        <v>5329</v>
      </c>
      <c r="AF19" s="159" t="s">
        <v>8299</v>
      </c>
      <c r="AG19" s="160">
        <v>25234</v>
      </c>
      <c r="AH19" s="193" t="s">
        <v>679</v>
      </c>
      <c r="AI19" s="6" t="s">
        <v>5282</v>
      </c>
      <c r="AJ19" s="14" t="s">
        <v>8205</v>
      </c>
      <c r="AK19" s="36" t="s">
        <v>8211</v>
      </c>
      <c r="AL19" s="4">
        <f t="shared" si="19"/>
        <v>0</v>
      </c>
      <c r="AM19" s="6" t="s">
        <v>21</v>
      </c>
      <c r="AN19" s="6" t="s">
        <v>5829</v>
      </c>
      <c r="AO19" t="str">
        <f t="shared" si="4"/>
        <v/>
      </c>
      <c r="AP19" t="s">
        <v>21</v>
      </c>
      <c r="AQ19" t="s">
        <v>4518</v>
      </c>
      <c r="AR19" s="15" t="s">
        <v>4582</v>
      </c>
      <c r="AV19" t="s">
        <v>5519</v>
      </c>
      <c r="AW19" t="s">
        <v>8043</v>
      </c>
      <c r="AX19" s="5">
        <v>0.48194444444444445</v>
      </c>
      <c r="AZ19" t="str">
        <f t="shared" si="5"/>
        <v>(11:17-11:34)</v>
      </c>
      <c r="BA19" s="5" t="str">
        <f t="shared" si="20"/>
        <v>(11:43-11:44)(11:17-11:34)</v>
      </c>
      <c r="CG19" s="6"/>
      <c r="CH19" s="152"/>
    </row>
    <row r="20" spans="1:86" ht="15.75">
      <c r="A20" s="135" t="str">
        <f t="shared" si="6"/>
        <v/>
      </c>
      <c r="B20" s="19" t="str">
        <f t="shared" si="7"/>
        <v/>
      </c>
      <c r="C20" s="19" t="str">
        <f t="shared" si="8"/>
        <v/>
      </c>
      <c r="D20" s="19" t="str">
        <f t="shared" si="9"/>
        <v/>
      </c>
      <c r="E20" s="5" t="str">
        <f t="shared" si="10"/>
        <v/>
      </c>
      <c r="F20" s="12" t="str">
        <f t="shared" si="11"/>
        <v/>
      </c>
      <c r="J20" s="7" t="str">
        <f t="shared" si="2"/>
        <v/>
      </c>
      <c r="K20" s="9" t="str">
        <f t="shared" si="12"/>
        <v/>
      </c>
      <c r="L20" s="6">
        <f t="shared" si="13"/>
        <v>0</v>
      </c>
      <c r="M20" s="6">
        <f t="shared" si="14"/>
        <v>0</v>
      </c>
      <c r="N20" s="94" t="str">
        <f t="shared" si="15"/>
        <v/>
      </c>
      <c r="O20"/>
      <c r="P20"/>
      <c r="Q20"/>
      <c r="R20"/>
      <c r="S20"/>
      <c r="T20" s="136" t="str">
        <f t="shared" si="16"/>
        <v/>
      </c>
      <c r="U20" s="137" t="str">
        <f t="shared" si="17"/>
        <v/>
      </c>
      <c r="V20" s="1"/>
      <c r="Y20" s="90" t="str">
        <f t="shared" si="18"/>
        <v/>
      </c>
      <c r="Z20" s="6"/>
      <c r="AA20" s="152"/>
      <c r="AC20" s="6">
        <v>405678</v>
      </c>
      <c r="AD20" s="6" t="s">
        <v>6745</v>
      </c>
      <c r="AE20" s="158" t="s">
        <v>5330</v>
      </c>
      <c r="AF20" s="159" t="s">
        <v>8299</v>
      </c>
      <c r="AG20" s="160">
        <v>25235</v>
      </c>
      <c r="AH20" s="193" t="s">
        <v>679</v>
      </c>
      <c r="AI20" s="6" t="s">
        <v>1265</v>
      </c>
      <c r="AJ20" s="14" t="s">
        <v>8206</v>
      </c>
      <c r="AK20" s="33" t="s">
        <v>8206</v>
      </c>
      <c r="AL20" s="4">
        <f t="shared" si="19"/>
        <v>0</v>
      </c>
      <c r="AM20" s="6" t="s">
        <v>808</v>
      </c>
      <c r="AN20" s="6" t="s">
        <v>5830</v>
      </c>
      <c r="AO20" t="str">
        <f t="shared" si="4"/>
        <v/>
      </c>
      <c r="AP20" t="s">
        <v>808</v>
      </c>
      <c r="AQ20" t="s">
        <v>4518</v>
      </c>
      <c r="AR20" s="15" t="s">
        <v>4584</v>
      </c>
      <c r="AV20" t="s">
        <v>5155</v>
      </c>
      <c r="AW20" t="s">
        <v>8074</v>
      </c>
      <c r="AX20" s="5">
        <v>0.53888888888888886</v>
      </c>
      <c r="AZ20" t="str">
        <f t="shared" si="5"/>
        <v>(12:50-12:56)</v>
      </c>
      <c r="BA20" s="5" t="str">
        <f t="shared" si="20"/>
        <v>(12:50-12:56)</v>
      </c>
      <c r="CG20" s="6"/>
      <c r="CH20" s="152"/>
    </row>
    <row r="21" spans="1:86" ht="15.75">
      <c r="A21" s="135" t="str">
        <f t="shared" si="6"/>
        <v/>
      </c>
      <c r="B21" s="19" t="str">
        <f t="shared" si="7"/>
        <v/>
      </c>
      <c r="C21" s="19" t="str">
        <f t="shared" si="8"/>
        <v/>
      </c>
      <c r="D21" s="19" t="str">
        <f t="shared" si="9"/>
        <v/>
      </c>
      <c r="E21" s="5" t="str">
        <f t="shared" si="10"/>
        <v/>
      </c>
      <c r="F21" s="12" t="str">
        <f t="shared" si="11"/>
        <v/>
      </c>
      <c r="J21" s="7" t="str">
        <f t="shared" si="2"/>
        <v/>
      </c>
      <c r="K21" s="9" t="str">
        <f t="shared" si="12"/>
        <v/>
      </c>
      <c r="L21" s="6">
        <f t="shared" si="13"/>
        <v>0</v>
      </c>
      <c r="M21" s="6">
        <f t="shared" si="14"/>
        <v>0</v>
      </c>
      <c r="N21" s="94" t="str">
        <f t="shared" si="15"/>
        <v/>
      </c>
      <c r="O21"/>
      <c r="P21"/>
      <c r="Q21"/>
      <c r="R21"/>
      <c r="S21"/>
      <c r="T21" s="136" t="str">
        <f t="shared" si="16"/>
        <v/>
      </c>
      <c r="U21" s="137" t="str">
        <f t="shared" si="17"/>
        <v/>
      </c>
      <c r="V21" s="1"/>
      <c r="Y21" s="90" t="str">
        <f t="shared" si="18"/>
        <v/>
      </c>
      <c r="Z21" s="6"/>
      <c r="AA21" s="152"/>
      <c r="AC21" s="6" t="s">
        <v>2680</v>
      </c>
      <c r="AD21" s="6" t="s">
        <v>6746</v>
      </c>
      <c r="AE21" s="158" t="s">
        <v>5529</v>
      </c>
      <c r="AF21" s="159" t="s">
        <v>8300</v>
      </c>
      <c r="AG21" s="160">
        <v>25236</v>
      </c>
      <c r="AH21" s="193" t="s">
        <v>679</v>
      </c>
      <c r="AI21" s="6" t="s">
        <v>5244</v>
      </c>
      <c r="AJ21" s="14" t="s">
        <v>8197</v>
      </c>
      <c r="AK21" s="40" t="s">
        <v>8197</v>
      </c>
      <c r="AL21" s="4">
        <f t="shared" si="19"/>
        <v>0</v>
      </c>
      <c r="AM21" s="6" t="s">
        <v>1222</v>
      </c>
      <c r="AN21" s="6" t="s">
        <v>5831</v>
      </c>
      <c r="AO21" t="str">
        <f t="shared" si="4"/>
        <v/>
      </c>
      <c r="AP21" t="s">
        <v>1222</v>
      </c>
      <c r="AQ21" t="s">
        <v>4518</v>
      </c>
      <c r="AR21" s="15" t="s">
        <v>4602</v>
      </c>
      <c r="AV21" t="s">
        <v>5182</v>
      </c>
      <c r="AW21" t="s">
        <v>8024</v>
      </c>
      <c r="AX21" s="5">
        <v>0.4375</v>
      </c>
      <c r="AZ21" t="str">
        <f t="shared" si="5"/>
        <v>(10:28-10:30)</v>
      </c>
      <c r="BA21" s="5" t="str">
        <f t="shared" si="20"/>
        <v>(10:28-10:30)</v>
      </c>
      <c r="CG21" s="6"/>
      <c r="CH21" s="152"/>
    </row>
    <row r="22" spans="1:86" ht="15.75">
      <c r="A22" s="135" t="str">
        <f t="shared" si="6"/>
        <v/>
      </c>
      <c r="B22" s="19" t="str">
        <f t="shared" si="7"/>
        <v/>
      </c>
      <c r="C22" s="19" t="str">
        <f t="shared" si="8"/>
        <v/>
      </c>
      <c r="D22" s="19" t="str">
        <f t="shared" si="9"/>
        <v/>
      </c>
      <c r="E22" s="5" t="str">
        <f t="shared" si="10"/>
        <v/>
      </c>
      <c r="F22" s="12" t="str">
        <f t="shared" si="11"/>
        <v/>
      </c>
      <c r="J22" s="7" t="str">
        <f t="shared" si="2"/>
        <v/>
      </c>
      <c r="K22" s="9" t="str">
        <f t="shared" si="12"/>
        <v/>
      </c>
      <c r="L22" s="6">
        <f t="shared" si="13"/>
        <v>0</v>
      </c>
      <c r="M22" s="6">
        <f t="shared" si="14"/>
        <v>0</v>
      </c>
      <c r="N22" s="94" t="str">
        <f t="shared" si="15"/>
        <v/>
      </c>
      <c r="O22"/>
      <c r="P22"/>
      <c r="Q22"/>
      <c r="R22"/>
      <c r="S22"/>
      <c r="T22" s="136" t="str">
        <f t="shared" si="16"/>
        <v/>
      </c>
      <c r="U22" s="137" t="str">
        <f t="shared" si="17"/>
        <v/>
      </c>
      <c r="V22" s="1"/>
      <c r="Y22" s="90" t="str">
        <f t="shared" si="18"/>
        <v/>
      </c>
      <c r="Z22" s="151"/>
      <c r="AA22" s="152"/>
      <c r="AC22" s="6" t="s">
        <v>2544</v>
      </c>
      <c r="AD22" s="6" t="s">
        <v>6747</v>
      </c>
      <c r="AE22" s="158" t="s">
        <v>3584</v>
      </c>
      <c r="AF22" s="159" t="s">
        <v>8296</v>
      </c>
      <c r="AG22" s="160">
        <v>25257</v>
      </c>
      <c r="AH22" s="193" t="s">
        <v>679</v>
      </c>
      <c r="AI22" s="6" t="s">
        <v>940</v>
      </c>
      <c r="AJ22" s="14" t="s">
        <v>8199</v>
      </c>
      <c r="AK22" s="41" t="s">
        <v>8199</v>
      </c>
      <c r="AL22" s="4">
        <f t="shared" si="19"/>
        <v>0</v>
      </c>
      <c r="AM22" s="6" t="s">
        <v>1208</v>
      </c>
      <c r="AN22" s="6" t="s">
        <v>5832</v>
      </c>
      <c r="AO22" t="str">
        <f t="shared" si="4"/>
        <v/>
      </c>
      <c r="AP22" t="s">
        <v>1227</v>
      </c>
      <c r="AQ22" t="s">
        <v>4518</v>
      </c>
      <c r="AR22" s="15" t="s">
        <v>4606</v>
      </c>
      <c r="AV22" t="s">
        <v>5078</v>
      </c>
      <c r="AW22" t="s">
        <v>8074</v>
      </c>
      <c r="AX22" s="5">
        <v>0.53888888888888886</v>
      </c>
      <c r="AZ22" t="str">
        <f t="shared" si="5"/>
        <v>(12:50-12:56)</v>
      </c>
      <c r="BA22" s="5" t="str">
        <f t="shared" si="20"/>
        <v>(12:50-12:56)</v>
      </c>
      <c r="CG22" s="151"/>
      <c r="CH22" s="152"/>
    </row>
    <row r="23" spans="1:86" ht="15">
      <c r="A23" s="135" t="str">
        <f t="shared" si="6"/>
        <v/>
      </c>
      <c r="B23" s="19" t="str">
        <f t="shared" si="7"/>
        <v/>
      </c>
      <c r="C23" s="19" t="str">
        <f t="shared" si="8"/>
        <v/>
      </c>
      <c r="D23" s="19" t="str">
        <f t="shared" si="9"/>
        <v/>
      </c>
      <c r="E23" s="5" t="str">
        <f t="shared" si="10"/>
        <v/>
      </c>
      <c r="F23" s="12" t="str">
        <f t="shared" si="11"/>
        <v/>
      </c>
      <c r="J23" s="7" t="str">
        <f t="shared" si="2"/>
        <v/>
      </c>
      <c r="K23" s="9" t="str">
        <f t="shared" si="12"/>
        <v/>
      </c>
      <c r="L23" s="6">
        <f t="shared" si="13"/>
        <v>0</v>
      </c>
      <c r="M23" s="6">
        <f t="shared" si="14"/>
        <v>0</v>
      </c>
      <c r="N23" s="94" t="str">
        <f t="shared" si="15"/>
        <v/>
      </c>
      <c r="O23"/>
      <c r="P23"/>
      <c r="Q23"/>
      <c r="R23"/>
      <c r="S23"/>
      <c r="T23" s="136" t="str">
        <f t="shared" si="16"/>
        <v/>
      </c>
      <c r="U23" s="137" t="str">
        <f t="shared" si="17"/>
        <v/>
      </c>
      <c r="V23" s="1"/>
      <c r="Y23" s="90" t="str">
        <f t="shared" si="18"/>
        <v/>
      </c>
      <c r="AC23" s="6" t="s">
        <v>1305</v>
      </c>
      <c r="AD23" s="6" t="s">
        <v>6748</v>
      </c>
      <c r="AE23" s="158" t="s">
        <v>4836</v>
      </c>
      <c r="AF23" s="159" t="s">
        <v>8299</v>
      </c>
      <c r="AG23" s="160">
        <v>25258</v>
      </c>
      <c r="AH23" s="193" t="s">
        <v>679</v>
      </c>
      <c r="AI23" s="6" t="s">
        <v>4489</v>
      </c>
      <c r="AJ23" s="14" t="s">
        <v>8199</v>
      </c>
      <c r="AK23" s="33" t="s">
        <v>8199</v>
      </c>
      <c r="AL23" s="4">
        <f t="shared" si="19"/>
        <v>0</v>
      </c>
      <c r="AM23" s="6" t="s">
        <v>109</v>
      </c>
      <c r="AN23" s="6" t="s">
        <v>5833</v>
      </c>
      <c r="AO23" t="str">
        <f t="shared" si="4"/>
        <v/>
      </c>
      <c r="AP23" t="s">
        <v>1208</v>
      </c>
      <c r="AQ23" t="s">
        <v>4518</v>
      </c>
      <c r="AR23" s="15" t="s">
        <v>4654</v>
      </c>
      <c r="AV23" t="s">
        <v>5072</v>
      </c>
      <c r="AW23" t="s">
        <v>8014</v>
      </c>
      <c r="AX23" s="5">
        <v>0.39513888888888887</v>
      </c>
      <c r="AZ23" t="str">
        <f t="shared" si="5"/>
        <v>(09:27-9:29)</v>
      </c>
      <c r="BA23" s="5" t="str">
        <f t="shared" si="20"/>
        <v>(09:27-9:29)</v>
      </c>
    </row>
    <row r="24" spans="1:86" ht="15" customHeight="1">
      <c r="A24" s="135" t="str">
        <f t="shared" si="6"/>
        <v/>
      </c>
      <c r="B24" s="19" t="str">
        <f t="shared" si="7"/>
        <v/>
      </c>
      <c r="C24" s="19" t="str">
        <f t="shared" si="8"/>
        <v/>
      </c>
      <c r="D24" s="19" t="str">
        <f t="shared" si="9"/>
        <v/>
      </c>
      <c r="E24" s="5" t="str">
        <f t="shared" si="10"/>
        <v/>
      </c>
      <c r="F24" s="12" t="str">
        <f t="shared" si="11"/>
        <v/>
      </c>
      <c r="J24" s="7" t="str">
        <f t="shared" si="2"/>
        <v/>
      </c>
      <c r="K24" s="9" t="str">
        <f t="shared" si="12"/>
        <v/>
      </c>
      <c r="L24" s="6">
        <f t="shared" si="13"/>
        <v>0</v>
      </c>
      <c r="M24" s="6">
        <f t="shared" si="14"/>
        <v>0</v>
      </c>
      <c r="N24" s="94" t="str">
        <f t="shared" si="15"/>
        <v/>
      </c>
      <c r="O24"/>
      <c r="P24"/>
      <c r="Q24"/>
      <c r="R24"/>
      <c r="S24"/>
      <c r="T24" s="136" t="str">
        <f t="shared" si="16"/>
        <v/>
      </c>
      <c r="U24" s="137" t="str">
        <f t="shared" si="17"/>
        <v/>
      </c>
      <c r="V24" s="1"/>
      <c r="Y24" s="90" t="str">
        <f t="shared" si="18"/>
        <v/>
      </c>
      <c r="AC24" s="6">
        <v>405677</v>
      </c>
      <c r="AD24" s="6" t="s">
        <v>6749</v>
      </c>
      <c r="AE24" s="158" t="s">
        <v>3646</v>
      </c>
      <c r="AF24" s="159" t="s">
        <v>8301</v>
      </c>
      <c r="AG24" s="160">
        <v>25259</v>
      </c>
      <c r="AH24" s="193" t="s">
        <v>679</v>
      </c>
      <c r="AI24" s="6" t="s">
        <v>399</v>
      </c>
      <c r="AJ24" s="14" t="s">
        <v>8207</v>
      </c>
      <c r="AK24" s="42" t="s">
        <v>8207</v>
      </c>
      <c r="AL24" s="4">
        <f t="shared" si="19"/>
        <v>0</v>
      </c>
      <c r="AM24" s="6" t="s">
        <v>1109</v>
      </c>
      <c r="AN24" s="6" t="s">
        <v>5834</v>
      </c>
      <c r="AO24" t="str">
        <f t="shared" si="4"/>
        <v/>
      </c>
      <c r="AP24" t="s">
        <v>109</v>
      </c>
      <c r="AQ24" t="s">
        <v>4518</v>
      </c>
      <c r="AR24" s="15" t="s">
        <v>4658</v>
      </c>
      <c r="AV24" t="s">
        <v>5475</v>
      </c>
      <c r="AW24" t="s">
        <v>8074</v>
      </c>
      <c r="AX24" s="5">
        <v>0.53819444444444442</v>
      </c>
      <c r="AZ24" t="str">
        <f t="shared" si="5"/>
        <v>(12:50-12:55)</v>
      </c>
      <c r="BA24" s="5" t="str">
        <f t="shared" si="20"/>
        <v>(12:50-12:55)</v>
      </c>
    </row>
    <row r="25" spans="1:86" ht="15" customHeight="1">
      <c r="A25" s="135" t="str">
        <f t="shared" si="6"/>
        <v/>
      </c>
      <c r="B25" s="19" t="str">
        <f t="shared" si="7"/>
        <v/>
      </c>
      <c r="C25" s="19" t="str">
        <f t="shared" si="8"/>
        <v/>
      </c>
      <c r="D25" s="19" t="str">
        <f t="shared" si="9"/>
        <v/>
      </c>
      <c r="E25" s="5" t="str">
        <f t="shared" si="10"/>
        <v/>
      </c>
      <c r="F25" s="12" t="str">
        <f t="shared" si="11"/>
        <v/>
      </c>
      <c r="J25" s="7" t="str">
        <f t="shared" si="2"/>
        <v/>
      </c>
      <c r="K25" s="9" t="str">
        <f t="shared" si="12"/>
        <v/>
      </c>
      <c r="L25" s="6">
        <f t="shared" si="13"/>
        <v>0</v>
      </c>
      <c r="M25" s="6">
        <f t="shared" si="14"/>
        <v>0</v>
      </c>
      <c r="N25" s="94" t="str">
        <f t="shared" si="15"/>
        <v/>
      </c>
      <c r="O25"/>
      <c r="P25"/>
      <c r="Q25"/>
      <c r="R25"/>
      <c r="S25"/>
      <c r="T25" s="136" t="str">
        <f t="shared" si="16"/>
        <v/>
      </c>
      <c r="U25" s="137" t="str">
        <f t="shared" si="17"/>
        <v/>
      </c>
      <c r="V25" s="1"/>
      <c r="Y25" s="90" t="str">
        <f t="shared" si="18"/>
        <v/>
      </c>
      <c r="Z25" s="6"/>
      <c r="AA25" s="132"/>
      <c r="AC25" s="6">
        <v>406391</v>
      </c>
      <c r="AD25" s="6" t="s">
        <v>6750</v>
      </c>
      <c r="AE25" s="158" t="s">
        <v>1251</v>
      </c>
      <c r="AF25" s="159" t="s">
        <v>8299</v>
      </c>
      <c r="AG25" s="160">
        <v>25260</v>
      </c>
      <c r="AH25" s="193" t="s">
        <v>679</v>
      </c>
      <c r="AI25" s="6" t="s">
        <v>1059</v>
      </c>
      <c r="AJ25" s="14" t="s">
        <v>8208</v>
      </c>
      <c r="AK25" s="37" t="s">
        <v>8667</v>
      </c>
      <c r="AL25" s="4">
        <f t="shared" si="19"/>
        <v>0</v>
      </c>
      <c r="AM25" s="6" t="s">
        <v>968</v>
      </c>
      <c r="AN25" s="6" t="s">
        <v>5835</v>
      </c>
      <c r="AO25" t="str">
        <f>IFERROR(CONCATENATE(VLOOKUP(I25,$AP$5:$AR$500,3,0),"  (Host-",VLOOKUP(I25,$AP$5:$AR$500,2,0),")"),"")</f>
        <v/>
      </c>
      <c r="AP25" t="s">
        <v>1109</v>
      </c>
      <c r="AQ25" t="s">
        <v>4518</v>
      </c>
      <c r="AR25" s="15" t="s">
        <v>4655</v>
      </c>
      <c r="AV25" t="s">
        <v>4435</v>
      </c>
      <c r="AW25" t="s">
        <v>8014</v>
      </c>
      <c r="AX25" s="5">
        <v>0.39513888888888887</v>
      </c>
      <c r="AZ25" t="str">
        <f t="shared" si="5"/>
        <v>(09:27-9:29)</v>
      </c>
      <c r="BA25" s="5" t="str">
        <f t="shared" si="20"/>
        <v>(09:27-9:29)</v>
      </c>
      <c r="CG25" s="6"/>
      <c r="CH25" s="132"/>
    </row>
    <row r="26" spans="1:86" ht="13.5">
      <c r="A26" s="135" t="str">
        <f t="shared" si="6"/>
        <v/>
      </c>
      <c r="B26" s="19" t="str">
        <f t="shared" si="7"/>
        <v/>
      </c>
      <c r="C26" s="19" t="str">
        <f t="shared" si="8"/>
        <v/>
      </c>
      <c r="D26" s="19" t="str">
        <f t="shared" si="9"/>
        <v/>
      </c>
      <c r="E26" s="5" t="str">
        <f t="shared" si="10"/>
        <v/>
      </c>
      <c r="F26" s="12" t="str">
        <f t="shared" si="11"/>
        <v/>
      </c>
      <c r="J26" s="7" t="str">
        <f t="shared" si="2"/>
        <v/>
      </c>
      <c r="K26" s="9" t="str">
        <f t="shared" si="12"/>
        <v/>
      </c>
      <c r="L26" s="6">
        <f t="shared" si="13"/>
        <v>0</v>
      </c>
      <c r="M26" s="6">
        <f t="shared" si="14"/>
        <v>0</v>
      </c>
      <c r="N26" s="94" t="str">
        <f t="shared" si="15"/>
        <v/>
      </c>
      <c r="O26"/>
      <c r="P26"/>
      <c r="Q26"/>
      <c r="R26"/>
      <c r="S26"/>
      <c r="T26" s="136" t="str">
        <f t="shared" si="16"/>
        <v/>
      </c>
      <c r="U26" s="137" t="str">
        <f t="shared" si="17"/>
        <v/>
      </c>
      <c r="V26" s="1"/>
      <c r="Y26" s="90" t="str">
        <f t="shared" si="18"/>
        <v/>
      </c>
      <c r="Z26" s="6"/>
      <c r="AA26" s="132"/>
      <c r="AC26" s="6" t="s">
        <v>2554</v>
      </c>
      <c r="AD26" s="6" t="s">
        <v>6751</v>
      </c>
      <c r="AE26" s="158" t="s">
        <v>3681</v>
      </c>
      <c r="AF26" s="159" t="s">
        <v>8290</v>
      </c>
      <c r="AG26" s="160">
        <v>25261</v>
      </c>
      <c r="AH26" s="193" t="s">
        <v>679</v>
      </c>
      <c r="AI26" s="6" t="s">
        <v>490</v>
      </c>
      <c r="AJ26" s="14" t="s">
        <v>8200</v>
      </c>
      <c r="AK26" s="24" t="s">
        <v>8200</v>
      </c>
      <c r="AL26" s="4">
        <f t="shared" si="19"/>
        <v>0</v>
      </c>
      <c r="AM26" s="6" t="s">
        <v>937</v>
      </c>
      <c r="AN26" s="6" t="s">
        <v>5836</v>
      </c>
      <c r="AO26" t="str">
        <f t="shared" si="4"/>
        <v/>
      </c>
      <c r="AP26" t="s">
        <v>968</v>
      </c>
      <c r="AQ26" t="s">
        <v>4512</v>
      </c>
      <c r="AR26" s="15">
        <v>4776</v>
      </c>
      <c r="AV26" t="s">
        <v>4434</v>
      </c>
      <c r="AW26" t="s">
        <v>8119</v>
      </c>
      <c r="AX26" s="5">
        <v>0.60416666666666663</v>
      </c>
      <c r="AZ26" t="str">
        <f t="shared" si="5"/>
        <v>(14:25-14:30)</v>
      </c>
      <c r="BA26" s="5" t="str">
        <f t="shared" si="20"/>
        <v>(09:27-9:29)(13:14-14:22)(14:25-14:30)</v>
      </c>
      <c r="CG26" s="6"/>
      <c r="CH26" s="132"/>
    </row>
    <row r="27" spans="1:86" ht="13.5" customHeight="1">
      <c r="A27" s="135" t="str">
        <f t="shared" si="6"/>
        <v/>
      </c>
      <c r="B27" s="19" t="str">
        <f t="shared" si="7"/>
        <v/>
      </c>
      <c r="C27" s="19" t="str">
        <f t="shared" si="8"/>
        <v/>
      </c>
      <c r="D27" s="19" t="str">
        <f t="shared" si="9"/>
        <v/>
      </c>
      <c r="E27" s="5" t="str">
        <f t="shared" si="10"/>
        <v/>
      </c>
      <c r="F27" s="12" t="str">
        <f t="shared" si="11"/>
        <v/>
      </c>
      <c r="J27" s="7" t="str">
        <f t="shared" si="2"/>
        <v/>
      </c>
      <c r="K27" s="9" t="str">
        <f t="shared" si="12"/>
        <v/>
      </c>
      <c r="L27" s="6">
        <f t="shared" si="13"/>
        <v>0</v>
      </c>
      <c r="M27" s="6">
        <f t="shared" si="14"/>
        <v>0</v>
      </c>
      <c r="N27" s="94" t="str">
        <f t="shared" si="15"/>
        <v/>
      </c>
      <c r="O27"/>
      <c r="P27"/>
      <c r="Q27"/>
      <c r="R27"/>
      <c r="S27"/>
      <c r="T27" s="136" t="str">
        <f t="shared" si="16"/>
        <v/>
      </c>
      <c r="U27" s="137" t="str">
        <f t="shared" si="17"/>
        <v/>
      </c>
      <c r="V27" s="1"/>
      <c r="Y27" s="90" t="str">
        <f t="shared" si="18"/>
        <v/>
      </c>
      <c r="Z27" s="6"/>
      <c r="AA27" s="132"/>
      <c r="AC27" s="6">
        <v>966446</v>
      </c>
      <c r="AD27" s="6" t="s">
        <v>6752</v>
      </c>
      <c r="AE27" s="158" t="s">
        <v>3733</v>
      </c>
      <c r="AF27" s="159" t="s">
        <v>8300</v>
      </c>
      <c r="AG27" s="160">
        <v>25262</v>
      </c>
      <c r="AH27" s="193" t="s">
        <v>679</v>
      </c>
      <c r="AI27" s="6" t="s">
        <v>5</v>
      </c>
      <c r="AJ27" s="14" t="s">
        <v>8200</v>
      </c>
      <c r="AK27" s="41" t="s">
        <v>8200</v>
      </c>
      <c r="AL27" s="4">
        <f t="shared" si="19"/>
        <v>0</v>
      </c>
      <c r="AM27" s="6" t="s">
        <v>1506</v>
      </c>
      <c r="AN27" s="6" t="s">
        <v>5837</v>
      </c>
      <c r="AO27" t="str">
        <f t="shared" si="4"/>
        <v/>
      </c>
      <c r="AP27" t="s">
        <v>937</v>
      </c>
      <c r="AQ27" t="s">
        <v>4841</v>
      </c>
      <c r="AR27" s="15" t="s">
        <v>4674</v>
      </c>
      <c r="AV27" t="s">
        <v>4434</v>
      </c>
      <c r="AW27" t="s">
        <v>8084</v>
      </c>
      <c r="AX27" s="5">
        <v>0.59861111111111109</v>
      </c>
      <c r="AZ27" t="str">
        <f t="shared" si="5"/>
        <v>(13:14-14:22)</v>
      </c>
      <c r="BA27" s="5" t="str">
        <f t="shared" si="20"/>
        <v>(09:27-9:29)(14:25-14:30)(13:14-14:22)</v>
      </c>
      <c r="CG27" s="6"/>
      <c r="CH27" s="132"/>
    </row>
    <row r="28" spans="1:86" ht="16.5" customHeight="1">
      <c r="A28" s="135" t="str">
        <f t="shared" si="6"/>
        <v/>
      </c>
      <c r="B28" s="19" t="str">
        <f t="shared" si="7"/>
        <v/>
      </c>
      <c r="C28" s="19" t="str">
        <f t="shared" si="8"/>
        <v/>
      </c>
      <c r="D28" s="19" t="str">
        <f t="shared" si="9"/>
        <v/>
      </c>
      <c r="E28" s="5" t="str">
        <f t="shared" si="10"/>
        <v/>
      </c>
      <c r="F28" s="12" t="str">
        <f t="shared" si="11"/>
        <v/>
      </c>
      <c r="J28" s="7" t="str">
        <f t="shared" si="2"/>
        <v/>
      </c>
      <c r="K28" s="9" t="str">
        <f t="shared" si="12"/>
        <v/>
      </c>
      <c r="L28" s="6">
        <f t="shared" si="13"/>
        <v>0</v>
      </c>
      <c r="M28" s="6">
        <f t="shared" si="14"/>
        <v>0</v>
      </c>
      <c r="N28" s="94" t="str">
        <f t="shared" si="15"/>
        <v/>
      </c>
      <c r="O28"/>
      <c r="P28"/>
      <c r="Q28"/>
      <c r="R28"/>
      <c r="S28"/>
      <c r="T28" s="136" t="str">
        <f t="shared" si="16"/>
        <v/>
      </c>
      <c r="U28" s="137" t="str">
        <f t="shared" si="17"/>
        <v/>
      </c>
      <c r="V28" s="1"/>
      <c r="Y28" s="90" t="str">
        <f t="shared" si="18"/>
        <v/>
      </c>
      <c r="Z28" s="6"/>
      <c r="AA28" s="132"/>
      <c r="AC28" s="6" t="s">
        <v>5087</v>
      </c>
      <c r="AD28" s="6" t="s">
        <v>6753</v>
      </c>
      <c r="AE28" s="158" t="s">
        <v>3735</v>
      </c>
      <c r="AF28" s="159" t="s">
        <v>8302</v>
      </c>
      <c r="AG28" s="160">
        <v>25263</v>
      </c>
      <c r="AH28" s="193" t="s">
        <v>679</v>
      </c>
      <c r="AI28" s="6" t="s">
        <v>945</v>
      </c>
      <c r="AJ28" s="14" t="s">
        <v>8209</v>
      </c>
      <c r="AK28" s="40" t="s">
        <v>8209</v>
      </c>
      <c r="AL28" s="4">
        <f t="shared" si="19"/>
        <v>0</v>
      </c>
      <c r="AM28" s="6" t="s">
        <v>1256</v>
      </c>
      <c r="AN28" s="6" t="s">
        <v>5838</v>
      </c>
      <c r="AO28" t="str">
        <f t="shared" si="4"/>
        <v/>
      </c>
      <c r="AP28" t="s">
        <v>1506</v>
      </c>
      <c r="AQ28" t="s">
        <v>4518</v>
      </c>
      <c r="AR28" s="15" t="s">
        <v>4675</v>
      </c>
      <c r="AV28" t="s">
        <v>4434</v>
      </c>
      <c r="AW28" t="s">
        <v>8014</v>
      </c>
      <c r="AX28" s="5">
        <v>0.39513888888888887</v>
      </c>
      <c r="AZ28" t="str">
        <f t="shared" si="5"/>
        <v>(09:27-9:29)</v>
      </c>
      <c r="BA28" s="5" t="str">
        <f t="shared" si="20"/>
        <v>(13:14-14:22)(09:27-9:29)</v>
      </c>
      <c r="CG28" s="6"/>
      <c r="CH28" s="132"/>
    </row>
    <row r="29" spans="1:86" ht="15">
      <c r="A29" s="135" t="str">
        <f t="shared" si="6"/>
        <v/>
      </c>
      <c r="B29" s="19" t="str">
        <f t="shared" si="7"/>
        <v/>
      </c>
      <c r="C29" s="19" t="str">
        <f t="shared" si="8"/>
        <v/>
      </c>
      <c r="D29" s="19" t="str">
        <f t="shared" si="9"/>
        <v/>
      </c>
      <c r="E29" s="5" t="str">
        <f t="shared" si="10"/>
        <v/>
      </c>
      <c r="F29" s="12" t="str">
        <f t="shared" si="11"/>
        <v/>
      </c>
      <c r="J29" s="7" t="str">
        <f t="shared" si="2"/>
        <v/>
      </c>
      <c r="K29" s="9" t="str">
        <f t="shared" si="12"/>
        <v/>
      </c>
      <c r="L29" s="6">
        <f t="shared" si="13"/>
        <v>0</v>
      </c>
      <c r="M29" s="6">
        <f t="shared" si="14"/>
        <v>0</v>
      </c>
      <c r="N29" s="94" t="str">
        <f t="shared" si="15"/>
        <v/>
      </c>
      <c r="O29"/>
      <c r="P29"/>
      <c r="Q29"/>
      <c r="R29"/>
      <c r="S29"/>
      <c r="T29" s="136" t="str">
        <f t="shared" si="16"/>
        <v/>
      </c>
      <c r="U29" s="137" t="str">
        <f t="shared" si="17"/>
        <v/>
      </c>
      <c r="V29" s="1"/>
      <c r="Y29" s="90" t="str">
        <f t="shared" si="18"/>
        <v/>
      </c>
      <c r="Z29" s="6"/>
      <c r="AA29" s="132"/>
      <c r="AC29" s="6">
        <v>826336</v>
      </c>
      <c r="AD29" s="6" t="s">
        <v>6754</v>
      </c>
      <c r="AE29" s="158" t="s">
        <v>3739</v>
      </c>
      <c r="AF29" s="159" t="s">
        <v>8303</v>
      </c>
      <c r="AG29" s="160">
        <v>25264</v>
      </c>
      <c r="AH29" s="193" t="s">
        <v>679</v>
      </c>
      <c r="AI29" s="6" t="s">
        <v>5276</v>
      </c>
      <c r="AJ29" s="14" t="s">
        <v>8196</v>
      </c>
      <c r="AK29" s="43" t="s">
        <v>8196</v>
      </c>
      <c r="AL29" s="4">
        <f t="shared" si="19"/>
        <v>0</v>
      </c>
      <c r="AM29" s="6" t="s">
        <v>1294</v>
      </c>
      <c r="AN29" s="6" t="s">
        <v>5839</v>
      </c>
      <c r="AO29" t="str">
        <f t="shared" si="4"/>
        <v/>
      </c>
      <c r="AP29" t="s">
        <v>1256</v>
      </c>
      <c r="AQ29" t="s">
        <v>4841</v>
      </c>
      <c r="AR29" s="15" t="s">
        <v>4846</v>
      </c>
      <c r="AV29" t="s">
        <v>4516</v>
      </c>
      <c r="AW29" t="s">
        <v>8102</v>
      </c>
      <c r="AX29" s="5">
        <v>0.59305555555555556</v>
      </c>
      <c r="AZ29" t="str">
        <f t="shared" si="5"/>
        <v>(13:49-14:14)</v>
      </c>
      <c r="BA29" s="5" t="str">
        <f t="shared" si="20"/>
        <v>(13:49-14:14)</v>
      </c>
      <c r="CG29" s="6"/>
      <c r="CH29" s="132"/>
    </row>
    <row r="30" spans="1:86" ht="15" customHeight="1">
      <c r="A30" s="135" t="str">
        <f t="shared" si="6"/>
        <v/>
      </c>
      <c r="B30" s="19" t="str">
        <f t="shared" si="7"/>
        <v/>
      </c>
      <c r="C30" s="19" t="str">
        <f t="shared" si="8"/>
        <v/>
      </c>
      <c r="D30" s="19" t="str">
        <f t="shared" si="9"/>
        <v/>
      </c>
      <c r="E30" s="5" t="str">
        <f t="shared" si="10"/>
        <v/>
      </c>
      <c r="F30" s="12" t="str">
        <f t="shared" si="11"/>
        <v/>
      </c>
      <c r="J30" s="7" t="str">
        <f t="shared" si="2"/>
        <v/>
      </c>
      <c r="K30" s="9" t="str">
        <f t="shared" si="12"/>
        <v/>
      </c>
      <c r="L30" s="6">
        <f t="shared" si="13"/>
        <v>0</v>
      </c>
      <c r="M30" s="6">
        <f t="shared" si="14"/>
        <v>0</v>
      </c>
      <c r="N30" s="94" t="str">
        <f t="shared" si="15"/>
        <v/>
      </c>
      <c r="O30"/>
      <c r="P30"/>
      <c r="Q30"/>
      <c r="R30"/>
      <c r="S30"/>
      <c r="T30" s="136" t="str">
        <f t="shared" si="16"/>
        <v/>
      </c>
      <c r="U30" s="137" t="str">
        <f t="shared" si="17"/>
        <v/>
      </c>
      <c r="V30" s="1"/>
      <c r="Y30" s="90" t="str">
        <f t="shared" si="18"/>
        <v/>
      </c>
      <c r="Z30" s="6"/>
      <c r="AA30" s="132"/>
      <c r="AC30" s="6" t="s">
        <v>1303</v>
      </c>
      <c r="AD30" s="6" t="s">
        <v>6755</v>
      </c>
      <c r="AE30" s="158" t="s">
        <v>3740</v>
      </c>
      <c r="AF30" s="159" t="s">
        <v>8304</v>
      </c>
      <c r="AG30" s="160">
        <v>25332</v>
      </c>
      <c r="AH30" s="193" t="s">
        <v>679</v>
      </c>
      <c r="AI30" s="6" t="s">
        <v>1276</v>
      </c>
      <c r="AJ30" s="14" t="s">
        <v>8201</v>
      </c>
      <c r="AK30" s="41" t="s">
        <v>8666</v>
      </c>
      <c r="AL30" s="4">
        <f t="shared" si="19"/>
        <v>0</v>
      </c>
      <c r="AM30" s="6" t="s">
        <v>1296</v>
      </c>
      <c r="AN30" s="6" t="s">
        <v>5840</v>
      </c>
      <c r="AO30" t="str">
        <f t="shared" si="4"/>
        <v/>
      </c>
      <c r="AP30" t="s">
        <v>1294</v>
      </c>
      <c r="AQ30" t="s">
        <v>4841</v>
      </c>
      <c r="AR30" s="15" t="s">
        <v>4616</v>
      </c>
      <c r="AV30" t="s">
        <v>979</v>
      </c>
      <c r="AW30" t="s">
        <v>8155</v>
      </c>
      <c r="AX30" s="5">
        <v>0.68333333333333324</v>
      </c>
      <c r="AZ30" t="str">
        <f t="shared" si="5"/>
        <v>(15:49-16:24)</v>
      </c>
      <c r="BA30" s="5" t="str">
        <f t="shared" si="20"/>
        <v>(15:49-16:24)</v>
      </c>
      <c r="CG30" s="6"/>
      <c r="CH30" s="132"/>
    </row>
    <row r="31" spans="1:86" ht="15">
      <c r="A31" s="135" t="str">
        <f t="shared" si="6"/>
        <v/>
      </c>
      <c r="B31" s="19" t="str">
        <f t="shared" si="7"/>
        <v/>
      </c>
      <c r="C31" s="19" t="str">
        <f t="shared" si="8"/>
        <v/>
      </c>
      <c r="D31" s="19" t="str">
        <f t="shared" si="9"/>
        <v/>
      </c>
      <c r="E31" s="5" t="str">
        <f t="shared" si="10"/>
        <v/>
      </c>
      <c r="F31" s="12" t="str">
        <f t="shared" si="11"/>
        <v/>
      </c>
      <c r="J31" s="7" t="str">
        <f t="shared" si="2"/>
        <v/>
      </c>
      <c r="K31" s="9" t="str">
        <f t="shared" si="12"/>
        <v/>
      </c>
      <c r="L31" s="6">
        <f t="shared" si="13"/>
        <v>0</v>
      </c>
      <c r="M31" s="6">
        <f t="shared" si="14"/>
        <v>0</v>
      </c>
      <c r="N31" s="94" t="str">
        <f t="shared" si="15"/>
        <v/>
      </c>
      <c r="O31"/>
      <c r="P31"/>
      <c r="Q31"/>
      <c r="R31"/>
      <c r="S31"/>
      <c r="T31" s="136" t="str">
        <f t="shared" si="16"/>
        <v/>
      </c>
      <c r="U31" s="137" t="str">
        <f t="shared" si="17"/>
        <v/>
      </c>
      <c r="V31" s="1"/>
      <c r="Y31" s="90" t="str">
        <f t="shared" si="18"/>
        <v/>
      </c>
      <c r="Z31" s="6"/>
      <c r="AA31" s="132"/>
      <c r="AC31" s="6" t="s">
        <v>2740</v>
      </c>
      <c r="AD31" s="6" t="s">
        <v>6756</v>
      </c>
      <c r="AE31" s="158" t="s">
        <v>3743</v>
      </c>
      <c r="AF31" s="159" t="s">
        <v>8305</v>
      </c>
      <c r="AG31" s="160">
        <v>25333</v>
      </c>
      <c r="AH31" s="193" t="s">
        <v>679</v>
      </c>
      <c r="AI31" s="6" t="s">
        <v>1074</v>
      </c>
      <c r="AJ31" s="14" t="s">
        <v>8196</v>
      </c>
      <c r="AK31" s="44" t="s">
        <v>8196</v>
      </c>
      <c r="AL31" s="4">
        <f t="shared" si="19"/>
        <v>0</v>
      </c>
      <c r="AM31" s="6" t="s">
        <v>19</v>
      </c>
      <c r="AN31" s="6" t="s">
        <v>5841</v>
      </c>
      <c r="AO31" t="str">
        <f t="shared" si="4"/>
        <v/>
      </c>
      <c r="AP31" t="s">
        <v>1296</v>
      </c>
      <c r="AQ31" t="s">
        <v>4512</v>
      </c>
      <c r="AR31" s="15">
        <v>4476</v>
      </c>
      <c r="AV31" t="s">
        <v>651</v>
      </c>
      <c r="AW31" t="s">
        <v>8169</v>
      </c>
      <c r="AX31" s="5">
        <v>0.65694444444444444</v>
      </c>
      <c r="AZ31" t="str">
        <f t="shared" si="5"/>
        <v>(15:43-15:46)</v>
      </c>
      <c r="BA31" s="5" t="str">
        <f t="shared" si="20"/>
        <v>(15:43-15:46)</v>
      </c>
      <c r="CG31" s="6"/>
      <c r="CH31" s="132"/>
    </row>
    <row r="32" spans="1:86" ht="15" customHeight="1">
      <c r="A32" s="135" t="str">
        <f t="shared" si="6"/>
        <v/>
      </c>
      <c r="B32" s="19" t="str">
        <f t="shared" si="7"/>
        <v/>
      </c>
      <c r="C32" s="19" t="str">
        <f t="shared" si="8"/>
        <v/>
      </c>
      <c r="D32" s="19" t="str">
        <f t="shared" si="9"/>
        <v/>
      </c>
      <c r="E32" s="5" t="str">
        <f t="shared" si="10"/>
        <v/>
      </c>
      <c r="F32" s="12" t="str">
        <f t="shared" si="11"/>
        <v/>
      </c>
      <c r="J32" s="7" t="str">
        <f t="shared" si="2"/>
        <v/>
      </c>
      <c r="K32" s="9" t="str">
        <f t="shared" si="12"/>
        <v/>
      </c>
      <c r="L32" s="6">
        <f t="shared" si="13"/>
        <v>0</v>
      </c>
      <c r="M32" s="6">
        <f t="shared" si="14"/>
        <v>0</v>
      </c>
      <c r="N32" s="94" t="str">
        <f t="shared" si="15"/>
        <v/>
      </c>
      <c r="O32"/>
      <c r="P32"/>
      <c r="Q32"/>
      <c r="R32"/>
      <c r="S32"/>
      <c r="T32" s="136" t="str">
        <f t="shared" si="16"/>
        <v/>
      </c>
      <c r="U32" s="137" t="str">
        <f t="shared" si="17"/>
        <v/>
      </c>
      <c r="V32" s="1"/>
      <c r="Y32" s="90" t="str">
        <f t="shared" si="18"/>
        <v/>
      </c>
      <c r="Z32" s="6"/>
      <c r="AA32" s="132"/>
      <c r="AC32" s="6" t="s">
        <v>2739</v>
      </c>
      <c r="AD32" s="6" t="s">
        <v>6757</v>
      </c>
      <c r="AE32" s="158" t="s">
        <v>3747</v>
      </c>
      <c r="AF32" s="159" t="s">
        <v>8306</v>
      </c>
      <c r="AG32" s="160">
        <v>25334</v>
      </c>
      <c r="AH32" s="193" t="s">
        <v>679</v>
      </c>
      <c r="AI32" s="6" t="s">
        <v>1104</v>
      </c>
      <c r="AJ32" s="45" t="s">
        <v>8201</v>
      </c>
      <c r="AK32" s="41" t="s">
        <v>8666</v>
      </c>
      <c r="AL32" s="4">
        <f t="shared" si="19"/>
        <v>0</v>
      </c>
      <c r="AM32" s="6" t="s">
        <v>1110</v>
      </c>
      <c r="AN32" s="6" t="s">
        <v>5842</v>
      </c>
      <c r="AO32" t="str">
        <f t="shared" si="4"/>
        <v/>
      </c>
      <c r="AP32" t="s">
        <v>19</v>
      </c>
      <c r="AQ32" t="s">
        <v>4512</v>
      </c>
      <c r="AR32" s="15">
        <v>7258</v>
      </c>
      <c r="AV32" t="s">
        <v>5473</v>
      </c>
      <c r="AW32" t="s">
        <v>8164</v>
      </c>
      <c r="AX32" s="5">
        <v>0.68125000000000002</v>
      </c>
      <c r="AZ32" t="str">
        <f t="shared" si="5"/>
        <v>(16:19-16:21)</v>
      </c>
      <c r="BA32" s="5" t="str">
        <f t="shared" si="20"/>
        <v>(16:19-16:21)</v>
      </c>
      <c r="CG32" s="6"/>
      <c r="CH32" s="132"/>
    </row>
    <row r="33" spans="1:86" ht="13.5">
      <c r="A33" s="135" t="str">
        <f t="shared" si="6"/>
        <v/>
      </c>
      <c r="B33" s="19" t="str">
        <f t="shared" si="7"/>
        <v/>
      </c>
      <c r="C33" s="19" t="str">
        <f t="shared" si="8"/>
        <v/>
      </c>
      <c r="D33" s="19" t="str">
        <f t="shared" si="9"/>
        <v/>
      </c>
      <c r="E33" s="5" t="str">
        <f t="shared" si="10"/>
        <v/>
      </c>
      <c r="F33" s="12" t="str">
        <f t="shared" si="11"/>
        <v/>
      </c>
      <c r="J33" s="7" t="str">
        <f t="shared" si="2"/>
        <v/>
      </c>
      <c r="K33" s="9" t="str">
        <f t="shared" si="12"/>
        <v/>
      </c>
      <c r="L33" s="6">
        <f t="shared" si="13"/>
        <v>0</v>
      </c>
      <c r="M33" s="6">
        <f t="shared" si="14"/>
        <v>0</v>
      </c>
      <c r="N33" s="94" t="str">
        <f t="shared" si="15"/>
        <v/>
      </c>
      <c r="O33"/>
      <c r="P33"/>
      <c r="Q33"/>
      <c r="R33"/>
      <c r="S33"/>
      <c r="T33" s="136" t="str">
        <f t="shared" si="16"/>
        <v/>
      </c>
      <c r="U33" s="137" t="str">
        <f t="shared" si="17"/>
        <v/>
      </c>
      <c r="V33" s="1"/>
      <c r="Y33" s="90" t="str">
        <f t="shared" si="18"/>
        <v/>
      </c>
      <c r="Z33" s="6"/>
      <c r="AA33" s="132"/>
      <c r="AC33" s="6" t="s">
        <v>2530</v>
      </c>
      <c r="AD33" s="6" t="s">
        <v>6757</v>
      </c>
      <c r="AE33" s="158" t="s">
        <v>3757</v>
      </c>
      <c r="AF33" s="159" t="s">
        <v>8307</v>
      </c>
      <c r="AG33" s="160">
        <v>25335</v>
      </c>
      <c r="AH33" s="193" t="s">
        <v>679</v>
      </c>
      <c r="AI33" s="6" t="s">
        <v>953</v>
      </c>
      <c r="AJ33" s="46" t="s">
        <v>8195</v>
      </c>
      <c r="AK33" s="47" t="s">
        <v>8195</v>
      </c>
      <c r="AL33" s="4">
        <f t="shared" si="19"/>
        <v>0</v>
      </c>
      <c r="AM33" s="6" t="s">
        <v>941</v>
      </c>
      <c r="AN33" s="6" t="s">
        <v>5843</v>
      </c>
      <c r="AO33" t="str">
        <f t="shared" si="4"/>
        <v/>
      </c>
      <c r="AP33" t="s">
        <v>1110</v>
      </c>
      <c r="AQ33" t="s">
        <v>4518</v>
      </c>
      <c r="AR33" s="15" t="s">
        <v>4656</v>
      </c>
      <c r="AV33" t="s">
        <v>5471</v>
      </c>
      <c r="AW33" t="s">
        <v>8016</v>
      </c>
      <c r="AX33" s="5">
        <v>0.41666666666666669</v>
      </c>
      <c r="AZ33" t="str">
        <f t="shared" si="5"/>
        <v>(09:59-10:00)</v>
      </c>
      <c r="BA33" s="5" t="str">
        <f t="shared" si="20"/>
        <v>(09:59-10:00)</v>
      </c>
      <c r="CG33" s="6"/>
      <c r="CH33" s="132"/>
    </row>
    <row r="34" spans="1:86" ht="13.5" customHeight="1">
      <c r="A34" s="135" t="str">
        <f t="shared" si="6"/>
        <v/>
      </c>
      <c r="B34" s="19" t="str">
        <f t="shared" si="7"/>
        <v/>
      </c>
      <c r="C34" s="19" t="str">
        <f t="shared" si="8"/>
        <v/>
      </c>
      <c r="D34" s="19" t="str">
        <f t="shared" si="9"/>
        <v/>
      </c>
      <c r="E34" s="5" t="str">
        <f t="shared" si="10"/>
        <v/>
      </c>
      <c r="F34" s="12" t="str">
        <f t="shared" si="11"/>
        <v/>
      </c>
      <c r="J34" s="7" t="str">
        <f t="shared" si="2"/>
        <v/>
      </c>
      <c r="K34" s="9" t="str">
        <f t="shared" si="12"/>
        <v/>
      </c>
      <c r="L34" s="6">
        <f t="shared" si="13"/>
        <v>0</v>
      </c>
      <c r="M34" s="6">
        <f t="shared" si="14"/>
        <v>0</v>
      </c>
      <c r="N34" s="94" t="str">
        <f t="shared" si="15"/>
        <v/>
      </c>
      <c r="O34"/>
      <c r="P34"/>
      <c r="Q34"/>
      <c r="R34"/>
      <c r="S34"/>
      <c r="T34" s="136" t="str">
        <f t="shared" si="16"/>
        <v/>
      </c>
      <c r="U34" s="137" t="str">
        <f t="shared" si="17"/>
        <v/>
      </c>
      <c r="V34" s="1"/>
      <c r="Y34" s="90" t="str">
        <f t="shared" si="18"/>
        <v/>
      </c>
      <c r="Z34" s="6"/>
      <c r="AA34" s="132"/>
      <c r="AC34" s="6" t="s">
        <v>5043</v>
      </c>
      <c r="AD34" s="6" t="s">
        <v>6758</v>
      </c>
      <c r="AE34" s="158" t="s">
        <v>3759</v>
      </c>
      <c r="AF34" s="159" t="s">
        <v>8308</v>
      </c>
      <c r="AG34" s="160">
        <v>25336</v>
      </c>
      <c r="AH34" s="193" t="s">
        <v>678</v>
      </c>
      <c r="AI34" s="6" t="s">
        <v>4723</v>
      </c>
      <c r="AJ34" s="14" t="s">
        <v>8210</v>
      </c>
      <c r="AK34" s="37" t="s">
        <v>8210</v>
      </c>
      <c r="AL34" s="4">
        <f t="shared" si="19"/>
        <v>0</v>
      </c>
      <c r="AM34" s="6" t="s">
        <v>712</v>
      </c>
      <c r="AN34" s="6" t="s">
        <v>5844</v>
      </c>
      <c r="AO34" t="str">
        <f t="shared" si="4"/>
        <v/>
      </c>
      <c r="AP34" t="s">
        <v>941</v>
      </c>
      <c r="AQ34" t="s">
        <v>4518</v>
      </c>
      <c r="AR34" s="15" t="s">
        <v>4657</v>
      </c>
      <c r="AV34" t="s">
        <v>4130</v>
      </c>
      <c r="AW34" t="s">
        <v>8022</v>
      </c>
      <c r="AX34" s="5">
        <v>0.43541666666666662</v>
      </c>
      <c r="AZ34" t="str">
        <f t="shared" si="5"/>
        <v>(10:16-10:27)</v>
      </c>
      <c r="BA34" s="5" t="str">
        <f t="shared" si="20"/>
        <v>(10:16-10:27)</v>
      </c>
      <c r="CG34" s="6"/>
      <c r="CH34" s="132"/>
    </row>
    <row r="35" spans="1:86" ht="17.25" customHeight="1">
      <c r="A35" s="135" t="str">
        <f t="shared" si="6"/>
        <v/>
      </c>
      <c r="B35" s="19" t="str">
        <f t="shared" si="7"/>
        <v/>
      </c>
      <c r="C35" s="19" t="str">
        <f t="shared" si="8"/>
        <v/>
      </c>
      <c r="D35" s="19" t="str">
        <f t="shared" si="9"/>
        <v/>
      </c>
      <c r="E35" s="5" t="str">
        <f t="shared" si="10"/>
        <v/>
      </c>
      <c r="F35" s="12" t="str">
        <f t="shared" si="11"/>
        <v/>
      </c>
      <c r="J35" s="7"/>
      <c r="K35" s="9" t="str">
        <f t="shared" si="12"/>
        <v/>
      </c>
      <c r="L35" s="6">
        <f t="shared" si="13"/>
        <v>0</v>
      </c>
      <c r="M35" s="6">
        <f t="shared" si="14"/>
        <v>0</v>
      </c>
      <c r="N35" s="94" t="str">
        <f t="shared" si="15"/>
        <v/>
      </c>
      <c r="O35"/>
      <c r="P35"/>
      <c r="Q35"/>
      <c r="R35"/>
      <c r="S35"/>
      <c r="T35" s="136" t="str">
        <f t="shared" si="16"/>
        <v/>
      </c>
      <c r="U35" s="137" t="str">
        <f t="shared" si="17"/>
        <v/>
      </c>
      <c r="V35" s="1"/>
      <c r="Y35" s="90" t="str">
        <f t="shared" si="18"/>
        <v/>
      </c>
      <c r="Z35" s="6"/>
      <c r="AA35" s="132"/>
      <c r="AC35" s="6" t="s">
        <v>2613</v>
      </c>
      <c r="AD35" s="6" t="s">
        <v>6759</v>
      </c>
      <c r="AE35" s="158" t="s">
        <v>3827</v>
      </c>
      <c r="AF35" s="159" t="s">
        <v>8309</v>
      </c>
      <c r="AG35" s="160">
        <v>25337</v>
      </c>
      <c r="AH35" s="193" t="s">
        <v>679</v>
      </c>
      <c r="AI35" s="6" t="s">
        <v>4480</v>
      </c>
      <c r="AJ35" s="14" t="s">
        <v>8199</v>
      </c>
      <c r="AK35" s="48" t="s">
        <v>8199</v>
      </c>
      <c r="AL35" s="4">
        <f t="shared" si="19"/>
        <v>0</v>
      </c>
      <c r="AM35" s="6" t="s">
        <v>990</v>
      </c>
      <c r="AN35" s="6" t="s">
        <v>5845</v>
      </c>
      <c r="AO35" t="str">
        <f t="shared" si="4"/>
        <v/>
      </c>
      <c r="AP35" t="s">
        <v>712</v>
      </c>
      <c r="AQ35" t="s">
        <v>4512</v>
      </c>
      <c r="AR35" s="15">
        <v>8133</v>
      </c>
      <c r="AV35" t="s">
        <v>4721</v>
      </c>
      <c r="AW35" t="s">
        <v>8053</v>
      </c>
      <c r="AX35" s="5">
        <v>0.49305555555555558</v>
      </c>
      <c r="AZ35" t="str">
        <f t="shared" si="5"/>
        <v>(11:46-11:50)</v>
      </c>
      <c r="BA35" s="5" t="str">
        <f t="shared" si="20"/>
        <v>(11:46-11:50)</v>
      </c>
      <c r="CG35" s="6"/>
      <c r="CH35" s="132"/>
    </row>
    <row r="36" spans="1:86" ht="15">
      <c r="A36" s="135" t="str">
        <f t="shared" si="6"/>
        <v/>
      </c>
      <c r="B36" s="19" t="str">
        <f t="shared" si="7"/>
        <v/>
      </c>
      <c r="C36" s="19" t="str">
        <f t="shared" si="8"/>
        <v/>
      </c>
      <c r="D36" s="19" t="str">
        <f t="shared" si="9"/>
        <v/>
      </c>
      <c r="E36" s="5" t="str">
        <f t="shared" si="10"/>
        <v/>
      </c>
      <c r="F36" s="12" t="str">
        <f t="shared" si="11"/>
        <v/>
      </c>
      <c r="J36" s="7" t="str">
        <f t="shared" si="2"/>
        <v/>
      </c>
      <c r="K36" s="9" t="str">
        <f t="shared" si="12"/>
        <v/>
      </c>
      <c r="L36" s="6">
        <f t="shared" si="13"/>
        <v>0</v>
      </c>
      <c r="M36" s="6">
        <f t="shared" si="14"/>
        <v>0</v>
      </c>
      <c r="N36" s="94" t="str">
        <f t="shared" si="15"/>
        <v/>
      </c>
      <c r="O36"/>
      <c r="P36"/>
      <c r="Q36"/>
      <c r="R36"/>
      <c r="S36"/>
      <c r="T36" s="136" t="str">
        <f t="shared" si="16"/>
        <v/>
      </c>
      <c r="U36" s="137" t="str">
        <f t="shared" si="17"/>
        <v/>
      </c>
      <c r="V36" s="1"/>
      <c r="Y36" s="90" t="str">
        <f t="shared" si="18"/>
        <v/>
      </c>
      <c r="Z36" s="6"/>
      <c r="AA36" s="132"/>
      <c r="AC36" s="6" t="s">
        <v>4834</v>
      </c>
      <c r="AD36" s="6" t="s">
        <v>6760</v>
      </c>
      <c r="AE36" s="158" t="s">
        <v>4790</v>
      </c>
      <c r="AF36" s="159" t="s">
        <v>8299</v>
      </c>
      <c r="AG36" s="160">
        <v>25338</v>
      </c>
      <c r="AH36" s="193" t="s">
        <v>679</v>
      </c>
      <c r="AI36" s="6">
        <v>63855</v>
      </c>
      <c r="AJ36" s="14" t="s">
        <v>8206</v>
      </c>
      <c r="AK36" s="33" t="s">
        <v>8206</v>
      </c>
      <c r="AL36" s="4">
        <f t="shared" si="19"/>
        <v>0</v>
      </c>
      <c r="AM36" s="6" t="s">
        <v>951</v>
      </c>
      <c r="AN36" s="6" t="s">
        <v>5846</v>
      </c>
      <c r="AO36" t="str">
        <f t="shared" si="4"/>
        <v/>
      </c>
      <c r="AP36" t="s">
        <v>990</v>
      </c>
      <c r="AQ36" t="s">
        <v>4841</v>
      </c>
      <c r="AR36" s="15" t="s">
        <v>4567</v>
      </c>
      <c r="AV36" t="s">
        <v>69</v>
      </c>
      <c r="AW36" t="s">
        <v>8004</v>
      </c>
      <c r="AX36" s="5">
        <v>0.44166666666666665</v>
      </c>
      <c r="AZ36" t="str">
        <f t="shared" si="5"/>
        <v>(09:33-10:36)</v>
      </c>
      <c r="BA36" s="5" t="str">
        <f t="shared" si="20"/>
        <v>(09:33-10:36)</v>
      </c>
      <c r="CG36" s="6"/>
      <c r="CH36" s="132"/>
    </row>
    <row r="37" spans="1:86" ht="19.5" customHeight="1">
      <c r="A37" s="135" t="str">
        <f t="shared" si="6"/>
        <v/>
      </c>
      <c r="B37" s="19" t="str">
        <f t="shared" si="7"/>
        <v/>
      </c>
      <c r="C37" s="19" t="str">
        <f t="shared" si="8"/>
        <v/>
      </c>
      <c r="D37" s="19" t="str">
        <f t="shared" si="9"/>
        <v/>
      </c>
      <c r="E37" s="5" t="str">
        <f t="shared" si="10"/>
        <v/>
      </c>
      <c r="F37" s="12" t="str">
        <f t="shared" si="11"/>
        <v/>
      </c>
      <c r="J37" s="7" t="str">
        <f t="shared" si="2"/>
        <v/>
      </c>
      <c r="K37" s="9" t="str">
        <f t="shared" si="12"/>
        <v/>
      </c>
      <c r="L37" s="6">
        <f t="shared" si="13"/>
        <v>0</v>
      </c>
      <c r="M37" s="6">
        <f t="shared" si="14"/>
        <v>0</v>
      </c>
      <c r="N37" s="94" t="str">
        <f t="shared" si="15"/>
        <v/>
      </c>
      <c r="O37"/>
      <c r="P37"/>
      <c r="Q37"/>
      <c r="R37"/>
      <c r="S37"/>
      <c r="T37" s="136" t="str">
        <f t="shared" si="16"/>
        <v/>
      </c>
      <c r="U37" s="137" t="str">
        <f t="shared" si="17"/>
        <v/>
      </c>
      <c r="V37" s="1"/>
      <c r="Y37" s="90" t="str">
        <f t="shared" si="18"/>
        <v/>
      </c>
      <c r="Z37" s="6"/>
      <c r="AA37" s="132"/>
      <c r="AC37" s="6" t="s">
        <v>2631</v>
      </c>
      <c r="AD37" s="6" t="s">
        <v>6761</v>
      </c>
      <c r="AE37" s="158" t="s">
        <v>5254</v>
      </c>
      <c r="AF37" s="159" t="s">
        <v>8299</v>
      </c>
      <c r="AG37" s="160">
        <v>25339</v>
      </c>
      <c r="AH37" s="193" t="s">
        <v>678</v>
      </c>
      <c r="AI37" s="6" t="s">
        <v>3416</v>
      </c>
      <c r="AJ37" s="39" t="s">
        <v>8211</v>
      </c>
      <c r="AK37" s="49" t="s">
        <v>8242</v>
      </c>
      <c r="AL37" s="4">
        <f t="shared" si="19"/>
        <v>0</v>
      </c>
      <c r="AM37" s="6" t="s">
        <v>945</v>
      </c>
      <c r="AN37" s="6" t="s">
        <v>5847</v>
      </c>
      <c r="AO37" t="str">
        <f t="shared" si="4"/>
        <v/>
      </c>
      <c r="AP37" t="s">
        <v>951</v>
      </c>
      <c r="AQ37" t="s">
        <v>4518</v>
      </c>
      <c r="AR37" s="15" t="s">
        <v>4623</v>
      </c>
      <c r="AV37" t="s">
        <v>4102</v>
      </c>
      <c r="AW37" t="s">
        <v>8096</v>
      </c>
      <c r="AX37" s="5">
        <v>0.59166666666666667</v>
      </c>
      <c r="AZ37" t="str">
        <f t="shared" ref="AZ37:AZ68" si="21">IF(ISBLANK(AW37),"",CONCATENATE("(",RIGHT(AW37,5),"-",TEXT(AX37,"h:mm;@"),")"))</f>
        <v>(13:34-14:12)</v>
      </c>
      <c r="BA37" s="5" t="str">
        <f t="shared" si="20"/>
        <v>(13:34-14:12)</v>
      </c>
      <c r="CG37" s="6"/>
      <c r="CH37" s="132"/>
    </row>
    <row r="38" spans="1:86" ht="13.5" customHeight="1">
      <c r="A38" s="135" t="str">
        <f t="shared" si="6"/>
        <v/>
      </c>
      <c r="B38" s="19" t="str">
        <f t="shared" si="7"/>
        <v/>
      </c>
      <c r="C38" s="19" t="str">
        <f t="shared" si="8"/>
        <v/>
      </c>
      <c r="D38" s="19" t="str">
        <f t="shared" si="9"/>
        <v/>
      </c>
      <c r="E38" s="5" t="str">
        <f t="shared" si="10"/>
        <v/>
      </c>
      <c r="F38" s="12" t="str">
        <f t="shared" si="11"/>
        <v/>
      </c>
      <c r="J38" s="7" t="str">
        <f t="shared" si="2"/>
        <v/>
      </c>
      <c r="K38" s="9" t="str">
        <f t="shared" si="12"/>
        <v/>
      </c>
      <c r="L38" s="6">
        <f t="shared" si="13"/>
        <v>0</v>
      </c>
      <c r="M38" s="6">
        <f t="shared" si="14"/>
        <v>0</v>
      </c>
      <c r="N38" s="94" t="str">
        <f t="shared" si="15"/>
        <v/>
      </c>
      <c r="O38"/>
      <c r="P38"/>
      <c r="Q38"/>
      <c r="R38"/>
      <c r="S38"/>
      <c r="T38" s="136" t="str">
        <f t="shared" si="16"/>
        <v/>
      </c>
      <c r="U38" s="137" t="str">
        <f t="shared" si="17"/>
        <v/>
      </c>
      <c r="V38" s="1"/>
      <c r="Y38" s="90" t="str">
        <f t="shared" si="18"/>
        <v/>
      </c>
      <c r="Z38" s="6"/>
      <c r="AA38" s="132"/>
      <c r="AC38" s="6" t="s">
        <v>2553</v>
      </c>
      <c r="AD38" s="6" t="s">
        <v>6762</v>
      </c>
      <c r="AE38" s="158" t="s">
        <v>3920</v>
      </c>
      <c r="AF38" s="159" t="s">
        <v>8300</v>
      </c>
      <c r="AG38" s="160">
        <v>25340</v>
      </c>
      <c r="AH38" s="193" t="s">
        <v>678</v>
      </c>
      <c r="AI38" s="6">
        <v>233700</v>
      </c>
      <c r="AJ38" s="50" t="s">
        <v>8212</v>
      </c>
      <c r="AK38" s="37" t="s">
        <v>8212</v>
      </c>
      <c r="AL38" s="4">
        <f t="shared" si="19"/>
        <v>0</v>
      </c>
      <c r="AM38" s="6" t="s">
        <v>2368</v>
      </c>
      <c r="AN38" s="6" t="s">
        <v>5848</v>
      </c>
      <c r="AO38" t="str">
        <f t="shared" si="4"/>
        <v/>
      </c>
      <c r="AP38" t="s">
        <v>945</v>
      </c>
      <c r="AQ38" t="s">
        <v>4841</v>
      </c>
      <c r="AR38" s="15" t="s">
        <v>4617</v>
      </c>
      <c r="AV38" t="s">
        <v>5536</v>
      </c>
      <c r="AW38" t="s">
        <v>8012</v>
      </c>
      <c r="AX38" s="5">
        <v>0.4236111111111111</v>
      </c>
      <c r="AZ38" t="str">
        <f t="shared" si="21"/>
        <v>(09:53-10:10)</v>
      </c>
      <c r="BA38" s="5" t="str">
        <f t="shared" si="20"/>
        <v>(09:53-10:10)</v>
      </c>
      <c r="CG38" s="6"/>
      <c r="CH38" s="132"/>
    </row>
    <row r="39" spans="1:86" ht="13.5">
      <c r="A39" s="135" t="str">
        <f t="shared" si="6"/>
        <v/>
      </c>
      <c r="B39" s="19" t="str">
        <f t="shared" si="7"/>
        <v/>
      </c>
      <c r="C39" s="19" t="str">
        <f t="shared" si="8"/>
        <v/>
      </c>
      <c r="D39" s="19" t="str">
        <f t="shared" si="9"/>
        <v/>
      </c>
      <c r="E39" s="5" t="str">
        <f t="shared" si="10"/>
        <v/>
      </c>
      <c r="F39" s="12" t="str">
        <f t="shared" si="11"/>
        <v/>
      </c>
      <c r="J39" s="7" t="str">
        <f t="shared" si="2"/>
        <v/>
      </c>
      <c r="K39" s="9" t="str">
        <f t="shared" si="12"/>
        <v/>
      </c>
      <c r="L39" s="6">
        <f t="shared" si="13"/>
        <v>0</v>
      </c>
      <c r="M39" s="6">
        <f t="shared" si="14"/>
        <v>0</v>
      </c>
      <c r="N39" s="94" t="str">
        <f t="shared" si="15"/>
        <v/>
      </c>
      <c r="O39"/>
      <c r="P39"/>
      <c r="Q39"/>
      <c r="R39"/>
      <c r="S39"/>
      <c r="T39" s="136" t="str">
        <f t="shared" si="16"/>
        <v/>
      </c>
      <c r="U39" s="137" t="str">
        <f t="shared" si="17"/>
        <v/>
      </c>
      <c r="V39" s="1"/>
      <c r="Y39" s="90" t="str">
        <f t="shared" si="18"/>
        <v/>
      </c>
      <c r="Z39" s="6"/>
      <c r="AA39" s="132"/>
      <c r="AC39" s="6" t="s">
        <v>2646</v>
      </c>
      <c r="AD39" s="6" t="s">
        <v>6763</v>
      </c>
      <c r="AE39" s="158" t="s">
        <v>5052</v>
      </c>
      <c r="AF39" s="159" t="s">
        <v>8299</v>
      </c>
      <c r="AG39" s="160">
        <v>25341</v>
      </c>
      <c r="AH39" s="193" t="s">
        <v>679</v>
      </c>
      <c r="AI39" s="6" t="s">
        <v>3439</v>
      </c>
      <c r="AJ39" s="14" t="s">
        <v>8205</v>
      </c>
      <c r="AK39" s="24" t="s">
        <v>8211</v>
      </c>
      <c r="AL39" s="4">
        <f t="shared" si="19"/>
        <v>0</v>
      </c>
      <c r="AM39" s="6" t="s">
        <v>1121</v>
      </c>
      <c r="AN39" s="6" t="s">
        <v>5849</v>
      </c>
      <c r="AO39" t="str">
        <f t="shared" si="4"/>
        <v/>
      </c>
      <c r="AP39" t="s">
        <v>2368</v>
      </c>
      <c r="AQ39" t="s">
        <v>4518</v>
      </c>
      <c r="AR39" s="15" t="s">
        <v>4673</v>
      </c>
      <c r="AV39" t="s">
        <v>5531</v>
      </c>
      <c r="AW39" t="s">
        <v>8036</v>
      </c>
      <c r="AX39" s="5">
        <v>0.46180555555555558</v>
      </c>
      <c r="AZ39" t="str">
        <f t="shared" si="21"/>
        <v>(10:57-11:05)</v>
      </c>
      <c r="BA39" s="5" t="str">
        <f t="shared" si="20"/>
        <v>(10:57-11:05)</v>
      </c>
      <c r="CG39" s="6"/>
      <c r="CH39" s="132"/>
    </row>
    <row r="40" spans="1:86" ht="13.5">
      <c r="A40" s="135" t="str">
        <f t="shared" ref="A40:A103" si="22">IF(ISNA(VLOOKUP(I40,AC:AD,2,FALSE)),"",VLOOKUP(I40,AC:AD,2,FALSE))</f>
        <v/>
      </c>
      <c r="B40" s="19" t="str">
        <f t="shared" ref="B40:B103" si="23">IF(ISNA(VLOOKUP(I40,AE:AF,2,FALSE)),"",VLOOKUP(I40,AE:AF,2,FALSE))</f>
        <v/>
      </c>
      <c r="C40" s="19" t="str">
        <f t="shared" ref="C40:C103" si="24">IF(ISNA(VLOOKUP(I40,AM:AN,2,FALSE)),"",VLOOKUP(I40,AM:AN,2,FALSE))</f>
        <v/>
      </c>
      <c r="D40" s="19" t="str">
        <f t="shared" ref="D40:D103" si="25">IF(ISNA(VLOOKUP(I40,AG:AH,2,FALSE)),"",VLOOKUP(I40,AG:AH,2,FALSE))</f>
        <v/>
      </c>
      <c r="E40" s="5" t="str">
        <f t="shared" si="10"/>
        <v/>
      </c>
      <c r="F40" s="12" t="str">
        <f t="shared" si="11"/>
        <v/>
      </c>
      <c r="J40" s="7" t="str">
        <f t="shared" si="2"/>
        <v/>
      </c>
      <c r="K40" s="9" t="str">
        <f t="shared" si="12"/>
        <v/>
      </c>
      <c r="L40" s="6">
        <f t="shared" si="13"/>
        <v>0</v>
      </c>
      <c r="M40" s="6">
        <f t="shared" si="14"/>
        <v>0</v>
      </c>
      <c r="N40" s="94" t="str">
        <f t="shared" si="15"/>
        <v/>
      </c>
      <c r="O40"/>
      <c r="P40"/>
      <c r="Q40"/>
      <c r="R40"/>
      <c r="S40"/>
      <c r="T40" s="136" t="str">
        <f t="shared" si="16"/>
        <v/>
      </c>
      <c r="U40" s="137" t="str">
        <f t="shared" si="17"/>
        <v/>
      </c>
      <c r="V40" s="1"/>
      <c r="Y40" s="90" t="str">
        <f t="shared" si="18"/>
        <v/>
      </c>
      <c r="Z40" s="6"/>
      <c r="AA40" s="132"/>
      <c r="AC40" s="6" t="s">
        <v>2582</v>
      </c>
      <c r="AD40" s="6" t="s">
        <v>6764</v>
      </c>
      <c r="AE40" s="158" t="s">
        <v>4061</v>
      </c>
      <c r="AF40" s="159" t="s">
        <v>8310</v>
      </c>
      <c r="AG40" s="160">
        <v>25342</v>
      </c>
      <c r="AH40" s="193" t="s">
        <v>679</v>
      </c>
      <c r="AI40" s="6" t="s">
        <v>4741</v>
      </c>
      <c r="AJ40" s="24" t="s">
        <v>8197</v>
      </c>
      <c r="AK40" s="51" t="s">
        <v>8197</v>
      </c>
      <c r="AL40" s="4">
        <f t="shared" si="19"/>
        <v>0</v>
      </c>
      <c r="AM40" s="6" t="s">
        <v>3390</v>
      </c>
      <c r="AN40" s="6" t="s">
        <v>5850</v>
      </c>
      <c r="AO40" t="str">
        <f t="shared" si="4"/>
        <v/>
      </c>
      <c r="AP40" t="s">
        <v>1121</v>
      </c>
      <c r="AQ40" t="s">
        <v>4518</v>
      </c>
      <c r="AR40" s="15" t="s">
        <v>4666</v>
      </c>
      <c r="AV40" t="s">
        <v>1473</v>
      </c>
      <c r="AW40" t="s">
        <v>8123</v>
      </c>
      <c r="AX40" s="5">
        <v>0.63263888888888886</v>
      </c>
      <c r="AZ40" t="str">
        <f t="shared" si="21"/>
        <v>(14:54-15:11)</v>
      </c>
      <c r="BA40" s="5" t="str">
        <f t="shared" si="20"/>
        <v>(14:54-15:11)</v>
      </c>
      <c r="CG40" s="6"/>
      <c r="CH40" s="132"/>
    </row>
    <row r="41" spans="1:86" ht="15">
      <c r="A41" s="135" t="str">
        <f t="shared" si="22"/>
        <v/>
      </c>
      <c r="B41" s="19" t="str">
        <f t="shared" si="23"/>
        <v/>
      </c>
      <c r="C41" s="19" t="str">
        <f t="shared" si="24"/>
        <v/>
      </c>
      <c r="D41" s="19" t="str">
        <f t="shared" si="25"/>
        <v/>
      </c>
      <c r="E41" s="5" t="str">
        <f t="shared" si="10"/>
        <v/>
      </c>
      <c r="F41" s="12" t="str">
        <f t="shared" si="11"/>
        <v/>
      </c>
      <c r="J41" s="7" t="str">
        <f t="shared" si="2"/>
        <v/>
      </c>
      <c r="K41" s="9" t="str">
        <f t="shared" si="12"/>
        <v/>
      </c>
      <c r="L41" s="6">
        <f t="shared" si="13"/>
        <v>0</v>
      </c>
      <c r="M41" s="6">
        <f t="shared" si="14"/>
        <v>0</v>
      </c>
      <c r="N41" s="94" t="str">
        <f t="shared" si="15"/>
        <v/>
      </c>
      <c r="O41"/>
      <c r="P41"/>
      <c r="Q41"/>
      <c r="R41"/>
      <c r="S41"/>
      <c r="T41" s="136" t="str">
        <f t="shared" si="16"/>
        <v/>
      </c>
      <c r="U41" s="137" t="str">
        <f t="shared" si="17"/>
        <v/>
      </c>
      <c r="V41" s="1"/>
      <c r="Y41" s="90" t="str">
        <f t="shared" si="18"/>
        <v/>
      </c>
      <c r="Z41" s="6"/>
      <c r="AA41" s="132"/>
      <c r="AC41" s="6" t="s">
        <v>2545</v>
      </c>
      <c r="AD41" s="6" t="s">
        <v>6765</v>
      </c>
      <c r="AE41" s="158" t="s">
        <v>53</v>
      </c>
      <c r="AF41" s="159" t="s">
        <v>8311</v>
      </c>
      <c r="AG41" s="160">
        <v>25413</v>
      </c>
      <c r="AH41" s="193" t="s">
        <v>679</v>
      </c>
      <c r="AI41" s="6" t="s">
        <v>1098</v>
      </c>
      <c r="AJ41" s="43" t="s">
        <v>8209</v>
      </c>
      <c r="AK41" s="52" t="s">
        <v>8209</v>
      </c>
      <c r="AL41" s="4">
        <f t="shared" si="19"/>
        <v>0</v>
      </c>
      <c r="AM41" s="6" t="s">
        <v>1034</v>
      </c>
      <c r="AN41" s="6" t="s">
        <v>5851</v>
      </c>
      <c r="AO41" t="str">
        <f t="shared" si="4"/>
        <v/>
      </c>
      <c r="AP41" t="s">
        <v>3390</v>
      </c>
      <c r="AQ41" t="s">
        <v>4518</v>
      </c>
      <c r="AR41" s="15" t="s">
        <v>4672</v>
      </c>
      <c r="AV41" t="s">
        <v>5255</v>
      </c>
      <c r="AW41" t="s">
        <v>8106</v>
      </c>
      <c r="AX41" s="5">
        <v>0.59166666666666667</v>
      </c>
      <c r="AZ41" t="str">
        <f t="shared" si="21"/>
        <v>(13:55-14:12)</v>
      </c>
      <c r="BA41" s="5" t="str">
        <f t="shared" si="20"/>
        <v>(09:14-9:18)(09:19-9:21)(13:55-14:12)</v>
      </c>
      <c r="CG41" s="6"/>
      <c r="CH41" s="132"/>
    </row>
    <row r="42" spans="1:86" ht="13.5">
      <c r="A42" s="135" t="str">
        <f t="shared" si="22"/>
        <v/>
      </c>
      <c r="B42" s="19" t="str">
        <f t="shared" si="23"/>
        <v/>
      </c>
      <c r="C42" s="19" t="str">
        <f t="shared" si="24"/>
        <v/>
      </c>
      <c r="D42" s="19" t="str">
        <f t="shared" si="25"/>
        <v/>
      </c>
      <c r="E42" s="5" t="str">
        <f t="shared" si="10"/>
        <v/>
      </c>
      <c r="F42" s="12" t="str">
        <f t="shared" si="11"/>
        <v/>
      </c>
      <c r="J42" s="7" t="str">
        <f t="shared" si="2"/>
        <v/>
      </c>
      <c r="K42" s="9" t="str">
        <f t="shared" si="12"/>
        <v/>
      </c>
      <c r="L42" s="6">
        <f t="shared" si="13"/>
        <v>0</v>
      </c>
      <c r="M42" s="6">
        <f t="shared" si="14"/>
        <v>0</v>
      </c>
      <c r="N42" s="94" t="str">
        <f t="shared" si="15"/>
        <v/>
      </c>
      <c r="O42"/>
      <c r="P42"/>
      <c r="Q42"/>
      <c r="R42"/>
      <c r="S42"/>
      <c r="T42" s="136" t="str">
        <f t="shared" si="16"/>
        <v/>
      </c>
      <c r="U42" s="137" t="str">
        <f t="shared" si="17"/>
        <v/>
      </c>
      <c r="V42" s="1"/>
      <c r="Y42" s="90" t="str">
        <f t="shared" si="18"/>
        <v/>
      </c>
      <c r="Z42" s="6"/>
      <c r="AA42" s="132"/>
      <c r="AC42" s="6" t="s">
        <v>2532</v>
      </c>
      <c r="AD42" s="6" t="s">
        <v>6766</v>
      </c>
      <c r="AE42" s="158" t="s">
        <v>4064</v>
      </c>
      <c r="AF42" s="159" t="s">
        <v>8312</v>
      </c>
      <c r="AG42" s="160">
        <v>25414</v>
      </c>
      <c r="AH42" s="193" t="s">
        <v>679</v>
      </c>
      <c r="AI42" s="6" t="s">
        <v>1075</v>
      </c>
      <c r="AJ42" s="14" t="s">
        <v>8195</v>
      </c>
      <c r="AK42" s="53" t="s">
        <v>8195</v>
      </c>
      <c r="AL42" s="4">
        <f t="shared" si="19"/>
        <v>0</v>
      </c>
      <c r="AM42" s="6" t="s">
        <v>1223</v>
      </c>
      <c r="AN42" s="6" t="s">
        <v>5852</v>
      </c>
      <c r="AO42" t="str">
        <f t="shared" si="4"/>
        <v/>
      </c>
      <c r="AP42" t="s">
        <v>1034</v>
      </c>
      <c r="AQ42" t="s">
        <v>4518</v>
      </c>
      <c r="AR42" s="15" t="s">
        <v>4618</v>
      </c>
      <c r="AV42" t="s">
        <v>5255</v>
      </c>
      <c r="AW42" t="s">
        <v>7994</v>
      </c>
      <c r="AX42" s="5">
        <v>0.38958333333333334</v>
      </c>
      <c r="AZ42" t="str">
        <f t="shared" si="21"/>
        <v>(09:19-9:21)</v>
      </c>
      <c r="BA42" s="5" t="str">
        <f t="shared" si="20"/>
        <v>(09:14-9:18)(13:55-14:12)(09:19-9:21)</v>
      </c>
      <c r="CG42" s="6"/>
      <c r="CH42" s="132"/>
    </row>
    <row r="43" spans="1:86" ht="13.5" customHeight="1">
      <c r="A43" s="135" t="str">
        <f t="shared" si="22"/>
        <v/>
      </c>
      <c r="B43" s="19" t="str">
        <f t="shared" si="23"/>
        <v/>
      </c>
      <c r="C43" s="19" t="str">
        <f t="shared" si="24"/>
        <v/>
      </c>
      <c r="D43" s="19" t="str">
        <f t="shared" si="25"/>
        <v/>
      </c>
      <c r="E43" s="5" t="str">
        <f t="shared" si="10"/>
        <v/>
      </c>
      <c r="F43" s="12" t="str">
        <f t="shared" si="11"/>
        <v/>
      </c>
      <c r="J43" s="7" t="str">
        <f t="shared" si="2"/>
        <v/>
      </c>
      <c r="K43" s="9" t="str">
        <f t="shared" si="12"/>
        <v/>
      </c>
      <c r="L43" s="6">
        <f t="shared" si="13"/>
        <v>0</v>
      </c>
      <c r="M43" s="6">
        <f t="shared" si="14"/>
        <v>0</v>
      </c>
      <c r="N43" s="94" t="str">
        <f t="shared" si="15"/>
        <v/>
      </c>
      <c r="O43"/>
      <c r="P43"/>
      <c r="Q43"/>
      <c r="R43"/>
      <c r="S43"/>
      <c r="T43" s="136" t="str">
        <f t="shared" si="16"/>
        <v/>
      </c>
      <c r="U43" s="137" t="str">
        <f t="shared" si="17"/>
        <v/>
      </c>
      <c r="V43" s="1"/>
      <c r="Y43" s="90" t="str">
        <f t="shared" si="18"/>
        <v/>
      </c>
      <c r="Z43" s="6"/>
      <c r="AA43" s="132"/>
      <c r="AC43" s="6" t="s">
        <v>2531</v>
      </c>
      <c r="AD43" s="6" t="s">
        <v>6767</v>
      </c>
      <c r="AE43" s="158" t="s">
        <v>3578</v>
      </c>
      <c r="AF43" s="159" t="s">
        <v>8299</v>
      </c>
      <c r="AG43" s="160">
        <v>25415</v>
      </c>
      <c r="AH43" s="193" t="s">
        <v>679</v>
      </c>
      <c r="AI43" s="6" t="s">
        <v>1274</v>
      </c>
      <c r="AJ43" s="14" t="s">
        <v>8195</v>
      </c>
      <c r="AK43" s="54" t="s">
        <v>8195</v>
      </c>
      <c r="AL43" s="4">
        <f t="shared" si="19"/>
        <v>0</v>
      </c>
      <c r="AM43" s="6" t="s">
        <v>1127</v>
      </c>
      <c r="AN43" s="6" t="s">
        <v>5853</v>
      </c>
      <c r="AO43" t="str">
        <f t="shared" si="4"/>
        <v/>
      </c>
      <c r="AP43" t="s">
        <v>1223</v>
      </c>
      <c r="AQ43" t="s">
        <v>4518</v>
      </c>
      <c r="AR43" s="15" t="s">
        <v>4603</v>
      </c>
      <c r="AV43" t="s">
        <v>5255</v>
      </c>
      <c r="AW43" t="s">
        <v>7991</v>
      </c>
      <c r="AX43" s="5">
        <v>0.38750000000000001</v>
      </c>
      <c r="AZ43" t="str">
        <f t="shared" si="21"/>
        <v>(09:14-9:18)</v>
      </c>
      <c r="BA43" s="5" t="str">
        <f t="shared" si="20"/>
        <v>(09:19-9:21)(09:14-9:18)</v>
      </c>
      <c r="CG43" s="6"/>
      <c r="CH43" s="132"/>
    </row>
    <row r="44" spans="1:86" ht="13.5">
      <c r="A44" s="135" t="str">
        <f t="shared" si="22"/>
        <v/>
      </c>
      <c r="B44" s="19" t="str">
        <f t="shared" si="23"/>
        <v/>
      </c>
      <c r="C44" s="19" t="str">
        <f t="shared" si="24"/>
        <v/>
      </c>
      <c r="D44" s="19" t="str">
        <f t="shared" si="25"/>
        <v/>
      </c>
      <c r="E44" s="5" t="str">
        <f t="shared" si="10"/>
        <v/>
      </c>
      <c r="F44" s="12" t="str">
        <f t="shared" si="11"/>
        <v/>
      </c>
      <c r="J44" s="7" t="str">
        <f t="shared" si="2"/>
        <v/>
      </c>
      <c r="K44" s="9" t="str">
        <f t="shared" si="12"/>
        <v/>
      </c>
      <c r="L44" s="6">
        <f t="shared" si="13"/>
        <v>0</v>
      </c>
      <c r="M44" s="6">
        <f t="shared" si="14"/>
        <v>0</v>
      </c>
      <c r="N44" s="94" t="str">
        <f t="shared" si="15"/>
        <v/>
      </c>
      <c r="O44"/>
      <c r="P44"/>
      <c r="Q44"/>
      <c r="R44"/>
      <c r="S44"/>
      <c r="T44" s="136" t="str">
        <f t="shared" si="16"/>
        <v/>
      </c>
      <c r="U44" s="137" t="str">
        <f t="shared" si="17"/>
        <v/>
      </c>
      <c r="V44" s="1"/>
      <c r="Y44" s="90" t="str">
        <f t="shared" si="18"/>
        <v/>
      </c>
      <c r="Z44" s="6"/>
      <c r="AA44" s="132"/>
      <c r="AC44" s="6">
        <v>906417</v>
      </c>
      <c r="AD44" s="6" t="s">
        <v>6768</v>
      </c>
      <c r="AE44" s="158" t="s">
        <v>5055</v>
      </c>
      <c r="AF44" s="159" t="s">
        <v>8299</v>
      </c>
      <c r="AG44" s="160">
        <v>25416</v>
      </c>
      <c r="AH44" s="193" t="s">
        <v>679</v>
      </c>
      <c r="AI44" s="6" t="s">
        <v>1247</v>
      </c>
      <c r="AJ44" s="14" t="s">
        <v>8195</v>
      </c>
      <c r="AK44" s="13" t="s">
        <v>8195</v>
      </c>
      <c r="AL44" s="4">
        <f t="shared" si="19"/>
        <v>0</v>
      </c>
      <c r="AM44" s="6" t="s">
        <v>1289</v>
      </c>
      <c r="AN44" s="6" t="s">
        <v>5854</v>
      </c>
      <c r="AO44" t="str">
        <f t="shared" si="4"/>
        <v/>
      </c>
      <c r="AP44" t="s">
        <v>1127</v>
      </c>
      <c r="AQ44" t="s">
        <v>4518</v>
      </c>
      <c r="AR44" s="15" t="s">
        <v>4669</v>
      </c>
      <c r="AV44" t="s">
        <v>5731</v>
      </c>
      <c r="AW44" t="s">
        <v>7991</v>
      </c>
      <c r="AX44" s="5">
        <v>0.38611111111111113</v>
      </c>
      <c r="AZ44" t="str">
        <f t="shared" si="21"/>
        <v>(09:14-9:16)</v>
      </c>
      <c r="BA44" s="5" t="str">
        <f t="shared" si="20"/>
        <v>(09:14-9:16)</v>
      </c>
      <c r="CG44" s="6"/>
      <c r="CH44" s="132"/>
    </row>
    <row r="45" spans="1:86" ht="13.5" customHeight="1">
      <c r="A45" s="135" t="str">
        <f t="shared" si="22"/>
        <v/>
      </c>
      <c r="B45" s="19" t="str">
        <f t="shared" si="23"/>
        <v/>
      </c>
      <c r="C45" s="19" t="str">
        <f t="shared" si="24"/>
        <v/>
      </c>
      <c r="D45" s="19" t="str">
        <f t="shared" si="25"/>
        <v/>
      </c>
      <c r="E45" s="5" t="str">
        <f t="shared" si="10"/>
        <v/>
      </c>
      <c r="F45" s="12" t="str">
        <f t="shared" si="11"/>
        <v/>
      </c>
      <c r="J45" s="7" t="str">
        <f t="shared" si="2"/>
        <v/>
      </c>
      <c r="K45" s="9" t="str">
        <f t="shared" si="12"/>
        <v/>
      </c>
      <c r="L45" s="6">
        <f t="shared" si="13"/>
        <v>0</v>
      </c>
      <c r="M45" s="6">
        <f t="shared" si="14"/>
        <v>0</v>
      </c>
      <c r="N45" s="94" t="str">
        <f t="shared" si="15"/>
        <v/>
      </c>
      <c r="O45"/>
      <c r="P45"/>
      <c r="Q45"/>
      <c r="R45"/>
      <c r="S45"/>
      <c r="T45" s="136" t="str">
        <f t="shared" si="16"/>
        <v/>
      </c>
      <c r="U45" s="137" t="str">
        <f t="shared" si="17"/>
        <v/>
      </c>
      <c r="V45" s="1"/>
      <c r="Y45" s="90" t="str">
        <f t="shared" si="18"/>
        <v/>
      </c>
      <c r="AC45" s="6">
        <v>966447</v>
      </c>
      <c r="AD45" s="6" t="s">
        <v>6752</v>
      </c>
      <c r="AE45" s="158" t="s">
        <v>5129</v>
      </c>
      <c r="AF45" s="159" t="s">
        <v>8299</v>
      </c>
      <c r="AG45" s="160">
        <v>25417</v>
      </c>
      <c r="AH45" s="193" t="s">
        <v>679</v>
      </c>
      <c r="AI45" s="6" t="s">
        <v>1034</v>
      </c>
      <c r="AJ45" s="14" t="s">
        <v>8196</v>
      </c>
      <c r="AK45" s="37" t="s">
        <v>8196</v>
      </c>
      <c r="AL45" s="4">
        <f t="shared" si="19"/>
        <v>0</v>
      </c>
      <c r="AM45" s="6" t="s">
        <v>84</v>
      </c>
      <c r="AN45" s="6" t="s">
        <v>5855</v>
      </c>
      <c r="AO45" t="str">
        <f t="shared" si="4"/>
        <v/>
      </c>
      <c r="AP45" t="s">
        <v>1289</v>
      </c>
      <c r="AQ45" t="s">
        <v>4518</v>
      </c>
      <c r="AR45" s="15" t="s">
        <v>4670</v>
      </c>
      <c r="AV45" t="s">
        <v>5218</v>
      </c>
      <c r="AW45" t="s">
        <v>8092</v>
      </c>
      <c r="AX45" s="5">
        <v>0.59513888888888888</v>
      </c>
      <c r="AZ45" t="str">
        <f t="shared" si="21"/>
        <v>(13:17-14:17)</v>
      </c>
      <c r="BA45" s="5" t="str">
        <f t="shared" si="20"/>
        <v>(13:17-14:17)</v>
      </c>
    </row>
    <row r="46" spans="1:86" ht="14.25">
      <c r="A46" s="135" t="str">
        <f t="shared" si="22"/>
        <v/>
      </c>
      <c r="B46" s="19" t="str">
        <f t="shared" si="23"/>
        <v/>
      </c>
      <c r="C46" s="19" t="str">
        <f t="shared" si="24"/>
        <v/>
      </c>
      <c r="D46" s="19" t="str">
        <f t="shared" si="25"/>
        <v/>
      </c>
      <c r="E46" s="5" t="str">
        <f t="shared" si="10"/>
        <v/>
      </c>
      <c r="F46" s="12" t="str">
        <f t="shared" si="11"/>
        <v/>
      </c>
      <c r="J46" s="7" t="str">
        <f t="shared" si="2"/>
        <v/>
      </c>
      <c r="K46" s="9" t="str">
        <f t="shared" si="12"/>
        <v/>
      </c>
      <c r="L46" s="6">
        <f t="shared" si="13"/>
        <v>0</v>
      </c>
      <c r="M46" s="6">
        <f t="shared" si="14"/>
        <v>0</v>
      </c>
      <c r="N46" s="94" t="str">
        <f t="shared" si="15"/>
        <v/>
      </c>
      <c r="O46"/>
      <c r="P46"/>
      <c r="Q46"/>
      <c r="R46"/>
      <c r="S46"/>
      <c r="T46" s="136" t="str">
        <f t="shared" si="16"/>
        <v/>
      </c>
      <c r="U46" s="137" t="str">
        <f t="shared" si="17"/>
        <v/>
      </c>
      <c r="V46" s="1"/>
      <c r="Y46" s="90" t="str">
        <f t="shared" si="18"/>
        <v/>
      </c>
      <c r="Z46" s="151"/>
      <c r="AA46" s="139"/>
      <c r="AC46" s="6" t="s">
        <v>2513</v>
      </c>
      <c r="AD46" s="6" t="s">
        <v>6756</v>
      </c>
      <c r="AE46" s="158">
        <v>83632</v>
      </c>
      <c r="AF46" s="159" t="s">
        <v>8299</v>
      </c>
      <c r="AG46" s="160">
        <v>35265</v>
      </c>
      <c r="AH46" s="193" t="s">
        <v>678</v>
      </c>
      <c r="AI46" s="6" t="s">
        <v>1063</v>
      </c>
      <c r="AJ46" s="14" t="s">
        <v>8196</v>
      </c>
      <c r="AK46" s="55" t="s">
        <v>8196</v>
      </c>
      <c r="AL46" s="4">
        <f t="shared" si="19"/>
        <v>0</v>
      </c>
      <c r="AM46" s="6" t="s">
        <v>5</v>
      </c>
      <c r="AN46" s="6" t="s">
        <v>5856</v>
      </c>
      <c r="AO46" t="str">
        <f t="shared" si="4"/>
        <v/>
      </c>
      <c r="AP46" t="s">
        <v>84</v>
      </c>
      <c r="AQ46" t="s">
        <v>4518</v>
      </c>
      <c r="AR46" s="15" t="s">
        <v>4560</v>
      </c>
      <c r="AV46" t="s">
        <v>4463</v>
      </c>
      <c r="AW46" t="s">
        <v>8092</v>
      </c>
      <c r="AX46" s="5">
        <v>0.59513888888888888</v>
      </c>
      <c r="AZ46" t="str">
        <f t="shared" si="21"/>
        <v>(13:17-14:17)</v>
      </c>
      <c r="BA46" s="5" t="str">
        <f t="shared" si="20"/>
        <v>(13:17-14:17)</v>
      </c>
      <c r="CG46" s="151"/>
      <c r="CH46" s="139"/>
    </row>
    <row r="47" spans="1:86" ht="13.5">
      <c r="A47" s="135" t="str">
        <f t="shared" si="22"/>
        <v/>
      </c>
      <c r="B47" s="19" t="str">
        <f t="shared" si="23"/>
        <v/>
      </c>
      <c r="C47" s="19" t="str">
        <f t="shared" si="24"/>
        <v/>
      </c>
      <c r="D47" s="19" t="str">
        <f t="shared" si="25"/>
        <v/>
      </c>
      <c r="E47" s="5" t="str">
        <f t="shared" si="10"/>
        <v/>
      </c>
      <c r="F47" s="12" t="str">
        <f t="shared" si="11"/>
        <v/>
      </c>
      <c r="J47" s="7" t="str">
        <f t="shared" si="2"/>
        <v/>
      </c>
      <c r="K47" s="9" t="str">
        <f t="shared" si="12"/>
        <v/>
      </c>
      <c r="L47" s="6">
        <f t="shared" si="13"/>
        <v>0</v>
      </c>
      <c r="M47" s="6">
        <f t="shared" si="14"/>
        <v>0</v>
      </c>
      <c r="N47" s="94" t="str">
        <f t="shared" si="15"/>
        <v/>
      </c>
      <c r="O47"/>
      <c r="P47"/>
      <c r="Q47"/>
      <c r="R47"/>
      <c r="S47"/>
      <c r="T47" s="136" t="str">
        <f t="shared" si="16"/>
        <v/>
      </c>
      <c r="U47" s="137" t="str">
        <f t="shared" si="17"/>
        <v/>
      </c>
      <c r="V47" s="1"/>
      <c r="Y47" s="90" t="str">
        <f t="shared" si="18"/>
        <v/>
      </c>
      <c r="AC47" s="6" t="s">
        <v>2547</v>
      </c>
      <c r="AD47" s="6" t="s">
        <v>6769</v>
      </c>
      <c r="AE47" s="158" t="s">
        <v>1144</v>
      </c>
      <c r="AF47" s="159" t="s">
        <v>8311</v>
      </c>
      <c r="AG47" s="160">
        <v>35266</v>
      </c>
      <c r="AH47" s="193" t="s">
        <v>678</v>
      </c>
      <c r="AI47" s="6" t="s">
        <v>972</v>
      </c>
      <c r="AJ47" s="46" t="s">
        <v>8209</v>
      </c>
      <c r="AK47" s="56" t="s">
        <v>8209</v>
      </c>
      <c r="AL47" s="4">
        <f t="shared" si="19"/>
        <v>0</v>
      </c>
      <c r="AM47" s="6" t="s">
        <v>1211</v>
      </c>
      <c r="AN47" s="6" t="s">
        <v>5857</v>
      </c>
      <c r="AO47" t="str">
        <f t="shared" si="4"/>
        <v/>
      </c>
      <c r="AP47" t="s">
        <v>5</v>
      </c>
      <c r="AQ47" t="s">
        <v>4841</v>
      </c>
      <c r="AR47" s="15" t="s">
        <v>4625</v>
      </c>
      <c r="AV47" t="s">
        <v>4073</v>
      </c>
      <c r="AW47" t="s">
        <v>8161</v>
      </c>
      <c r="AX47" s="5">
        <v>0.68125000000000002</v>
      </c>
      <c r="AZ47" t="str">
        <f t="shared" si="21"/>
        <v>(16:16-16:21)</v>
      </c>
      <c r="BA47" s="5" t="str">
        <f t="shared" si="20"/>
        <v>(15:14-15:18)(16:16-16:21)</v>
      </c>
    </row>
    <row r="48" spans="1:86" ht="15">
      <c r="A48" s="135" t="str">
        <f t="shared" si="22"/>
        <v/>
      </c>
      <c r="B48" s="19" t="str">
        <f t="shared" si="23"/>
        <v/>
      </c>
      <c r="C48" s="19" t="str">
        <f t="shared" si="24"/>
        <v/>
      </c>
      <c r="D48" s="19" t="str">
        <f t="shared" si="25"/>
        <v/>
      </c>
      <c r="E48" s="5" t="str">
        <f t="shared" si="10"/>
        <v/>
      </c>
      <c r="F48" s="12" t="str">
        <f t="shared" si="11"/>
        <v/>
      </c>
      <c r="J48" s="7" t="str">
        <f t="shared" si="2"/>
        <v/>
      </c>
      <c r="K48" s="9" t="str">
        <f t="shared" si="12"/>
        <v/>
      </c>
      <c r="L48" s="6">
        <f t="shared" si="13"/>
        <v>0</v>
      </c>
      <c r="M48" s="6">
        <f t="shared" si="14"/>
        <v>0</v>
      </c>
      <c r="N48" s="94" t="str">
        <f t="shared" si="15"/>
        <v/>
      </c>
      <c r="O48"/>
      <c r="P48"/>
      <c r="Q48"/>
      <c r="R48"/>
      <c r="S48"/>
      <c r="T48" s="136" t="str">
        <f t="shared" si="16"/>
        <v/>
      </c>
      <c r="U48" s="137" t="str">
        <f t="shared" si="17"/>
        <v/>
      </c>
      <c r="V48" s="1"/>
      <c r="Y48" s="90" t="str">
        <f t="shared" si="18"/>
        <v/>
      </c>
      <c r="AC48" s="6" t="s">
        <v>2718</v>
      </c>
      <c r="AD48" s="6" t="s">
        <v>6767</v>
      </c>
      <c r="AE48" s="158" t="s">
        <v>4463</v>
      </c>
      <c r="AF48" s="159" t="s">
        <v>8299</v>
      </c>
      <c r="AG48" s="160">
        <v>35267</v>
      </c>
      <c r="AH48" s="193" t="s">
        <v>679</v>
      </c>
      <c r="AI48" s="6" t="s">
        <v>1073</v>
      </c>
      <c r="AJ48" s="14" t="s">
        <v>8209</v>
      </c>
      <c r="AK48" s="57" t="s">
        <v>8209</v>
      </c>
      <c r="AL48" s="4">
        <f t="shared" si="19"/>
        <v>0</v>
      </c>
      <c r="AM48" s="6" t="s">
        <v>1206</v>
      </c>
      <c r="AN48" s="6" t="s">
        <v>5858</v>
      </c>
      <c r="AO48" t="str">
        <f t="shared" si="4"/>
        <v/>
      </c>
      <c r="AP48" t="s">
        <v>1211</v>
      </c>
      <c r="AQ48" t="s">
        <v>4518</v>
      </c>
      <c r="AR48" s="15" t="s">
        <v>4614</v>
      </c>
      <c r="AV48" t="s">
        <v>4073</v>
      </c>
      <c r="AW48" t="s">
        <v>8127</v>
      </c>
      <c r="AX48" s="5">
        <v>0.63750000000000007</v>
      </c>
      <c r="AZ48" t="str">
        <f t="shared" si="21"/>
        <v>(15:14-15:18)</v>
      </c>
      <c r="BA48" s="5" t="str">
        <f t="shared" si="20"/>
        <v>(16:16-16:21)(15:14-15:18)</v>
      </c>
    </row>
    <row r="49" spans="1:86" ht="15">
      <c r="A49" s="135" t="str">
        <f t="shared" si="22"/>
        <v/>
      </c>
      <c r="B49" s="19" t="str">
        <f t="shared" si="23"/>
        <v/>
      </c>
      <c r="C49" s="19" t="str">
        <f t="shared" si="24"/>
        <v/>
      </c>
      <c r="D49" s="19" t="str">
        <f t="shared" si="25"/>
        <v/>
      </c>
      <c r="E49" s="5" t="str">
        <f t="shared" si="10"/>
        <v/>
      </c>
      <c r="F49" s="12" t="str">
        <f t="shared" si="11"/>
        <v/>
      </c>
      <c r="J49" s="7" t="str">
        <f t="shared" si="2"/>
        <v/>
      </c>
      <c r="K49" s="9" t="str">
        <f t="shared" si="12"/>
        <v/>
      </c>
      <c r="L49" s="6">
        <f t="shared" si="13"/>
        <v>0</v>
      </c>
      <c r="M49" s="6">
        <f t="shared" si="14"/>
        <v>0</v>
      </c>
      <c r="N49" s="94" t="str">
        <f t="shared" si="15"/>
        <v/>
      </c>
      <c r="O49"/>
      <c r="P49"/>
      <c r="Q49"/>
      <c r="R49"/>
      <c r="S49"/>
      <c r="T49" s="136" t="str">
        <f t="shared" si="16"/>
        <v/>
      </c>
      <c r="U49" s="137" t="str">
        <f t="shared" si="17"/>
        <v/>
      </c>
      <c r="V49" s="1"/>
      <c r="Y49" s="90" t="str">
        <f t="shared" si="18"/>
        <v/>
      </c>
      <c r="Z49" s="6"/>
      <c r="AA49" s="132"/>
      <c r="AC49" s="6" t="s">
        <v>5186</v>
      </c>
      <c r="AD49" s="6" t="s">
        <v>6770</v>
      </c>
      <c r="AE49" s="158" t="s">
        <v>3731</v>
      </c>
      <c r="AF49" s="159" t="s">
        <v>8313</v>
      </c>
      <c r="AG49" s="160">
        <v>35268</v>
      </c>
      <c r="AH49" s="193" t="s">
        <v>679</v>
      </c>
      <c r="AI49" s="6" t="s">
        <v>1186</v>
      </c>
      <c r="AJ49" s="14" t="s">
        <v>8195</v>
      </c>
      <c r="AK49" s="43" t="s">
        <v>8195</v>
      </c>
      <c r="AL49" s="4">
        <f t="shared" si="19"/>
        <v>0</v>
      </c>
      <c r="AM49" s="6" t="s">
        <v>715</v>
      </c>
      <c r="AN49" s="6" t="s">
        <v>5859</v>
      </c>
      <c r="AO49" t="str">
        <f t="shared" si="4"/>
        <v/>
      </c>
      <c r="AP49" t="s">
        <v>1206</v>
      </c>
      <c r="AQ49" t="s">
        <v>4841</v>
      </c>
      <c r="AR49" s="15" t="s">
        <v>4569</v>
      </c>
      <c r="AV49" t="s">
        <v>1112</v>
      </c>
      <c r="AW49" t="s">
        <v>8162</v>
      </c>
      <c r="AX49" s="5">
        <v>0.6791666666666667</v>
      </c>
      <c r="AZ49" t="str">
        <f t="shared" si="21"/>
        <v>(16:14-16:18)</v>
      </c>
      <c r="BA49" s="5" t="str">
        <f t="shared" si="20"/>
        <v>(15:59-16:01)(16:14-16:18)</v>
      </c>
      <c r="CG49" s="6"/>
      <c r="CH49" s="132"/>
    </row>
    <row r="50" spans="1:86" ht="13.5">
      <c r="A50" s="135" t="str">
        <f t="shared" si="22"/>
        <v/>
      </c>
      <c r="B50" s="19" t="str">
        <f t="shared" si="23"/>
        <v/>
      </c>
      <c r="C50" s="19" t="str">
        <f t="shared" si="24"/>
        <v/>
      </c>
      <c r="D50" s="19" t="str">
        <f t="shared" si="25"/>
        <v/>
      </c>
      <c r="E50" s="5" t="str">
        <f t="shared" si="10"/>
        <v/>
      </c>
      <c r="F50" s="12" t="str">
        <f t="shared" si="11"/>
        <v/>
      </c>
      <c r="J50" s="7" t="str">
        <f t="shared" si="2"/>
        <v/>
      </c>
      <c r="K50" s="9" t="str">
        <f t="shared" si="12"/>
        <v/>
      </c>
      <c r="L50" s="6">
        <f t="shared" si="13"/>
        <v>0</v>
      </c>
      <c r="M50" s="6">
        <f t="shared" si="14"/>
        <v>0</v>
      </c>
      <c r="N50" s="94" t="str">
        <f t="shared" si="15"/>
        <v/>
      </c>
      <c r="O50"/>
      <c r="P50"/>
      <c r="Q50"/>
      <c r="R50"/>
      <c r="S50"/>
      <c r="T50" s="136" t="str">
        <f t="shared" si="16"/>
        <v/>
      </c>
      <c r="U50" s="137" t="str">
        <f t="shared" si="17"/>
        <v/>
      </c>
      <c r="V50" s="1"/>
      <c r="Y50" s="90" t="str">
        <f t="shared" si="18"/>
        <v/>
      </c>
      <c r="Z50" s="6"/>
      <c r="AA50" s="132"/>
      <c r="AC50" s="6">
        <v>966448</v>
      </c>
      <c r="AD50" s="6" t="s">
        <v>6752</v>
      </c>
      <c r="AE50" s="158" t="s">
        <v>3734</v>
      </c>
      <c r="AF50" s="159" t="s">
        <v>8314</v>
      </c>
      <c r="AG50" s="160">
        <v>35326</v>
      </c>
      <c r="AH50" s="193" t="s">
        <v>679</v>
      </c>
      <c r="AI50" s="6" t="s">
        <v>598</v>
      </c>
      <c r="AJ50" s="14" t="s">
        <v>8209</v>
      </c>
      <c r="AK50" s="25" t="s">
        <v>8209</v>
      </c>
      <c r="AL50" s="4">
        <f t="shared" si="19"/>
        <v>0</v>
      </c>
      <c r="AM50" s="6" t="s">
        <v>1210</v>
      </c>
      <c r="AN50" s="6" t="s">
        <v>5860</v>
      </c>
      <c r="AO50" t="str">
        <f t="shared" si="4"/>
        <v/>
      </c>
      <c r="AP50" t="s">
        <v>715</v>
      </c>
      <c r="AQ50" t="s">
        <v>4841</v>
      </c>
      <c r="AR50" s="15" t="s">
        <v>4574</v>
      </c>
      <c r="AV50" t="s">
        <v>1112</v>
      </c>
      <c r="AW50" t="s">
        <v>8157</v>
      </c>
      <c r="AX50" s="5">
        <v>0.66736111111111107</v>
      </c>
      <c r="AZ50" t="str">
        <f t="shared" si="21"/>
        <v>(15:59-16:01)</v>
      </c>
      <c r="BA50" s="5" t="str">
        <f t="shared" si="20"/>
        <v>(16:14-16:18)(15:59-16:01)</v>
      </c>
      <c r="CG50" s="6"/>
      <c r="CH50" s="132"/>
    </row>
    <row r="51" spans="1:86" ht="15">
      <c r="A51" s="135" t="str">
        <f t="shared" si="22"/>
        <v/>
      </c>
      <c r="B51" s="19" t="str">
        <f t="shared" si="23"/>
        <v/>
      </c>
      <c r="C51" s="19" t="str">
        <f t="shared" si="24"/>
        <v/>
      </c>
      <c r="D51" s="19" t="str">
        <f t="shared" si="25"/>
        <v/>
      </c>
      <c r="E51" s="5" t="str">
        <f t="shared" si="10"/>
        <v/>
      </c>
      <c r="F51" s="12" t="str">
        <f t="shared" si="11"/>
        <v/>
      </c>
      <c r="J51" s="7" t="str">
        <f t="shared" si="2"/>
        <v/>
      </c>
      <c r="K51" s="9" t="str">
        <f t="shared" si="12"/>
        <v/>
      </c>
      <c r="L51" s="6">
        <f t="shared" si="13"/>
        <v>0</v>
      </c>
      <c r="M51" s="6">
        <f t="shared" si="14"/>
        <v>0</v>
      </c>
      <c r="N51" s="94" t="str">
        <f t="shared" si="15"/>
        <v/>
      </c>
      <c r="O51"/>
      <c r="P51"/>
      <c r="Q51"/>
      <c r="R51"/>
      <c r="S51"/>
      <c r="T51" s="136" t="str">
        <f t="shared" si="16"/>
        <v/>
      </c>
      <c r="U51" s="137" t="str">
        <f t="shared" si="17"/>
        <v/>
      </c>
      <c r="V51" s="1"/>
      <c r="Y51" s="90" t="str">
        <f t="shared" si="18"/>
        <v/>
      </c>
      <c r="Z51" s="6"/>
      <c r="AA51" s="132"/>
      <c r="AC51" s="6">
        <v>465731</v>
      </c>
      <c r="AD51" s="6" t="s">
        <v>6771</v>
      </c>
      <c r="AE51" s="158" t="s">
        <v>3940</v>
      </c>
      <c r="AF51" s="159" t="s">
        <v>8315</v>
      </c>
      <c r="AG51" s="160">
        <v>35327</v>
      </c>
      <c r="AH51" s="193" t="s">
        <v>679</v>
      </c>
      <c r="AI51" s="6" t="s">
        <v>1275</v>
      </c>
      <c r="AJ51" s="27" t="s">
        <v>8201</v>
      </c>
      <c r="AK51" s="58" t="s">
        <v>8666</v>
      </c>
      <c r="AL51" s="4">
        <f t="shared" si="19"/>
        <v>0</v>
      </c>
      <c r="AM51" s="6" t="s">
        <v>949</v>
      </c>
      <c r="AN51" s="6" t="s">
        <v>5861</v>
      </c>
      <c r="AO51" t="str">
        <f t="shared" si="4"/>
        <v/>
      </c>
      <c r="AP51" t="s">
        <v>1210</v>
      </c>
      <c r="AQ51" t="s">
        <v>4512</v>
      </c>
      <c r="AR51" s="15">
        <v>4507</v>
      </c>
      <c r="AV51" t="s">
        <v>617</v>
      </c>
      <c r="AW51" t="s">
        <v>8114</v>
      </c>
      <c r="AX51" s="5">
        <v>0.59583333333333333</v>
      </c>
      <c r="AZ51" t="str">
        <f t="shared" si="21"/>
        <v>(14:17-14:18)</v>
      </c>
      <c r="BA51" s="5" t="str">
        <f t="shared" si="20"/>
        <v>(14:17-14:18)</v>
      </c>
      <c r="CG51" s="6"/>
      <c r="CH51" s="132"/>
    </row>
    <row r="52" spans="1:86" ht="13.5">
      <c r="A52" s="135" t="str">
        <f t="shared" si="22"/>
        <v/>
      </c>
      <c r="B52" s="19" t="str">
        <f t="shared" si="23"/>
        <v/>
      </c>
      <c r="C52" s="19" t="str">
        <f t="shared" si="24"/>
        <v/>
      </c>
      <c r="D52" s="19" t="str">
        <f t="shared" si="25"/>
        <v/>
      </c>
      <c r="E52" s="5" t="str">
        <f t="shared" si="10"/>
        <v/>
      </c>
      <c r="F52" s="12" t="str">
        <f t="shared" si="11"/>
        <v/>
      </c>
      <c r="J52" s="7" t="str">
        <f t="shared" si="2"/>
        <v/>
      </c>
      <c r="K52" s="9" t="str">
        <f t="shared" si="12"/>
        <v/>
      </c>
      <c r="L52" s="6">
        <f t="shared" si="13"/>
        <v>0</v>
      </c>
      <c r="M52" s="6">
        <f t="shared" si="14"/>
        <v>0</v>
      </c>
      <c r="N52" s="94" t="str">
        <f t="shared" si="15"/>
        <v/>
      </c>
      <c r="O52"/>
      <c r="P52"/>
      <c r="Q52"/>
      <c r="R52"/>
      <c r="S52"/>
      <c r="T52" s="136" t="str">
        <f t="shared" si="16"/>
        <v/>
      </c>
      <c r="U52" s="137" t="str">
        <f t="shared" si="17"/>
        <v/>
      </c>
      <c r="V52" s="1"/>
      <c r="Y52" s="90" t="str">
        <f t="shared" si="18"/>
        <v/>
      </c>
      <c r="Z52" s="6"/>
      <c r="AA52" s="132"/>
      <c r="AC52" s="6">
        <v>405679</v>
      </c>
      <c r="AD52" s="6" t="s">
        <v>6772</v>
      </c>
      <c r="AE52" s="158" t="s">
        <v>3737</v>
      </c>
      <c r="AF52" s="159" t="s">
        <v>8308</v>
      </c>
      <c r="AG52" s="160">
        <v>43635</v>
      </c>
      <c r="AH52" s="193" t="s">
        <v>679</v>
      </c>
      <c r="AI52" s="6" t="s">
        <v>5428</v>
      </c>
      <c r="AJ52" s="59" t="s">
        <v>8201</v>
      </c>
      <c r="AK52" s="56" t="s">
        <v>8666</v>
      </c>
      <c r="AL52" s="4">
        <f t="shared" si="19"/>
        <v>0</v>
      </c>
      <c r="AM52" s="6" t="s">
        <v>1079</v>
      </c>
      <c r="AN52" s="6" t="s">
        <v>5862</v>
      </c>
      <c r="AO52" t="str">
        <f t="shared" si="4"/>
        <v/>
      </c>
      <c r="AP52" t="s">
        <v>949</v>
      </c>
      <c r="AQ52" t="s">
        <v>4518</v>
      </c>
      <c r="AR52" s="15" t="s">
        <v>4583</v>
      </c>
      <c r="AV52" t="s">
        <v>4018</v>
      </c>
      <c r="AW52" t="s">
        <v>8160</v>
      </c>
      <c r="AX52" s="5">
        <v>0.6777777777777777</v>
      </c>
      <c r="AZ52" t="str">
        <f t="shared" si="21"/>
        <v>(16:09-16:16)</v>
      </c>
      <c r="BA52" s="5" t="str">
        <f t="shared" si="20"/>
        <v>(16:09-16:16)</v>
      </c>
      <c r="CG52" s="6"/>
      <c r="CH52" s="132"/>
    </row>
    <row r="53" spans="1:86" ht="13.5">
      <c r="A53" s="135" t="str">
        <f t="shared" si="22"/>
        <v/>
      </c>
      <c r="B53" s="19" t="str">
        <f t="shared" si="23"/>
        <v/>
      </c>
      <c r="C53" s="19" t="str">
        <f t="shared" si="24"/>
        <v/>
      </c>
      <c r="D53" s="19" t="str">
        <f t="shared" si="25"/>
        <v/>
      </c>
      <c r="E53" s="5" t="str">
        <f t="shared" si="10"/>
        <v/>
      </c>
      <c r="F53" s="12" t="str">
        <f t="shared" si="11"/>
        <v/>
      </c>
      <c r="J53" s="7" t="str">
        <f t="shared" si="2"/>
        <v/>
      </c>
      <c r="K53" s="9" t="str">
        <f t="shared" si="12"/>
        <v/>
      </c>
      <c r="L53" s="6">
        <f t="shared" si="13"/>
        <v>0</v>
      </c>
      <c r="M53" s="6">
        <f t="shared" si="14"/>
        <v>0</v>
      </c>
      <c r="N53" s="94" t="str">
        <f t="shared" si="15"/>
        <v/>
      </c>
      <c r="O53"/>
      <c r="P53"/>
      <c r="Q53"/>
      <c r="R53"/>
      <c r="S53"/>
      <c r="T53" s="136" t="str">
        <f t="shared" si="16"/>
        <v/>
      </c>
      <c r="U53" s="137" t="str">
        <f t="shared" si="17"/>
        <v/>
      </c>
      <c r="V53" s="1"/>
      <c r="Y53" s="90" t="str">
        <f t="shared" si="18"/>
        <v/>
      </c>
      <c r="Z53" s="6"/>
      <c r="AA53" s="132"/>
      <c r="AC53" s="6">
        <v>826339</v>
      </c>
      <c r="AD53" s="6" t="s">
        <v>6754</v>
      </c>
      <c r="AE53" s="158" t="s">
        <v>3738</v>
      </c>
      <c r="AF53" s="159" t="s">
        <v>8316</v>
      </c>
      <c r="AG53" s="160">
        <v>45238</v>
      </c>
      <c r="AH53" s="193" t="s">
        <v>679</v>
      </c>
      <c r="AI53" s="6" t="s">
        <v>1207</v>
      </c>
      <c r="AJ53" s="14" t="s">
        <v>8195</v>
      </c>
      <c r="AK53" s="60" t="s">
        <v>8195</v>
      </c>
      <c r="AL53" s="4">
        <f t="shared" si="19"/>
        <v>0</v>
      </c>
      <c r="AM53" s="6" t="s">
        <v>1081</v>
      </c>
      <c r="AN53" s="6" t="s">
        <v>5863</v>
      </c>
      <c r="AO53" t="str">
        <f t="shared" si="4"/>
        <v/>
      </c>
      <c r="AP53" t="s">
        <v>1079</v>
      </c>
      <c r="AQ53" t="s">
        <v>4841</v>
      </c>
      <c r="AR53" s="15" t="s">
        <v>4636</v>
      </c>
      <c r="AV53" t="s">
        <v>109</v>
      </c>
      <c r="AW53" t="s">
        <v>8061</v>
      </c>
      <c r="AX53" s="5">
        <v>0.52708333333333335</v>
      </c>
      <c r="AZ53" t="str">
        <f t="shared" si="21"/>
        <v>(12:07-12:39)</v>
      </c>
      <c r="BA53" s="5" t="str">
        <f t="shared" si="20"/>
        <v>(12:07-12:39)</v>
      </c>
      <c r="CG53" s="6"/>
      <c r="CH53" s="132"/>
    </row>
    <row r="54" spans="1:86" ht="13.5">
      <c r="A54" s="135" t="str">
        <f t="shared" si="22"/>
        <v/>
      </c>
      <c r="B54" s="19" t="str">
        <f t="shared" si="23"/>
        <v/>
      </c>
      <c r="C54" s="19" t="str">
        <f t="shared" si="24"/>
        <v/>
      </c>
      <c r="D54" s="19" t="str">
        <f t="shared" si="25"/>
        <v/>
      </c>
      <c r="E54" s="5" t="str">
        <f t="shared" si="10"/>
        <v/>
      </c>
      <c r="F54" s="12" t="str">
        <f t="shared" si="11"/>
        <v/>
      </c>
      <c r="J54" s="7" t="str">
        <f t="shared" si="2"/>
        <v/>
      </c>
      <c r="K54" s="9" t="str">
        <f t="shared" si="12"/>
        <v/>
      </c>
      <c r="L54" s="6">
        <f t="shared" si="13"/>
        <v>0</v>
      </c>
      <c r="M54" s="6">
        <f t="shared" si="14"/>
        <v>0</v>
      </c>
      <c r="N54" s="94" t="str">
        <f t="shared" si="15"/>
        <v/>
      </c>
      <c r="O54"/>
      <c r="P54"/>
      <c r="Q54"/>
      <c r="R54"/>
      <c r="S54"/>
      <c r="T54" s="136" t="str">
        <f t="shared" si="16"/>
        <v/>
      </c>
      <c r="U54" s="137" t="str">
        <f t="shared" si="17"/>
        <v/>
      </c>
      <c r="V54" s="1"/>
      <c r="Y54" s="90" t="str">
        <f t="shared" si="18"/>
        <v/>
      </c>
      <c r="Z54" s="6"/>
      <c r="AA54" s="132"/>
      <c r="AC54" s="6" t="s">
        <v>2744</v>
      </c>
      <c r="AD54" s="6" t="s">
        <v>6773</v>
      </c>
      <c r="AE54" s="158" t="s">
        <v>3742</v>
      </c>
      <c r="AF54" s="159" t="s">
        <v>8317</v>
      </c>
      <c r="AG54" s="160">
        <v>45239</v>
      </c>
      <c r="AH54" s="193" t="s">
        <v>679</v>
      </c>
      <c r="AI54" s="6" t="s">
        <v>4742</v>
      </c>
      <c r="AJ54" s="14" t="s">
        <v>8196</v>
      </c>
      <c r="AK54" s="26" t="s">
        <v>8196</v>
      </c>
      <c r="AL54" s="4">
        <f t="shared" si="19"/>
        <v>0</v>
      </c>
      <c r="AM54" s="6" t="s">
        <v>1078</v>
      </c>
      <c r="AN54" s="6" t="s">
        <v>5864</v>
      </c>
      <c r="AO54" t="str">
        <f t="shared" si="4"/>
        <v/>
      </c>
      <c r="AP54" t="s">
        <v>1081</v>
      </c>
      <c r="AQ54" t="s">
        <v>4841</v>
      </c>
      <c r="AR54" s="15" t="s">
        <v>4638</v>
      </c>
      <c r="AV54" t="s">
        <v>98</v>
      </c>
      <c r="AW54" t="s">
        <v>8077</v>
      </c>
      <c r="AX54" s="5">
        <v>0.54375000000000007</v>
      </c>
      <c r="AZ54" t="str">
        <f t="shared" si="21"/>
        <v>(12:34-13:03)</v>
      </c>
      <c r="BA54" s="5" t="str">
        <f t="shared" si="20"/>
        <v>(12:34-13:03)</v>
      </c>
      <c r="CG54" s="6"/>
      <c r="CH54" s="132"/>
    </row>
    <row r="55" spans="1:86" ht="15">
      <c r="A55" s="135" t="str">
        <f t="shared" si="22"/>
        <v/>
      </c>
      <c r="B55" s="19" t="str">
        <f t="shared" si="23"/>
        <v/>
      </c>
      <c r="C55" s="19" t="str">
        <f t="shared" si="24"/>
        <v/>
      </c>
      <c r="D55" s="19" t="str">
        <f t="shared" si="25"/>
        <v/>
      </c>
      <c r="E55" s="5" t="str">
        <f t="shared" si="10"/>
        <v/>
      </c>
      <c r="F55" s="12" t="str">
        <f t="shared" si="11"/>
        <v/>
      </c>
      <c r="J55" s="7" t="str">
        <f t="shared" si="2"/>
        <v/>
      </c>
      <c r="K55" s="9" t="str">
        <f t="shared" si="12"/>
        <v/>
      </c>
      <c r="L55" s="6">
        <f t="shared" si="13"/>
        <v>0</v>
      </c>
      <c r="M55" s="6">
        <f t="shared" si="14"/>
        <v>0</v>
      </c>
      <c r="N55" s="94" t="str">
        <f t="shared" si="15"/>
        <v/>
      </c>
      <c r="O55"/>
      <c r="P55"/>
      <c r="Q55"/>
      <c r="R55"/>
      <c r="S55"/>
      <c r="T55" s="136" t="str">
        <f t="shared" si="16"/>
        <v/>
      </c>
      <c r="U55" s="137" t="str">
        <f t="shared" si="17"/>
        <v/>
      </c>
      <c r="V55" s="1"/>
      <c r="Y55" s="90" t="str">
        <f t="shared" si="18"/>
        <v/>
      </c>
      <c r="Z55" s="6"/>
      <c r="AA55" s="132"/>
      <c r="AC55" s="6" t="s">
        <v>5234</v>
      </c>
      <c r="AD55" s="6" t="s">
        <v>6767</v>
      </c>
      <c r="AE55" s="158" t="s">
        <v>3949</v>
      </c>
      <c r="AF55" s="159" t="s">
        <v>8300</v>
      </c>
      <c r="AG55" s="160">
        <v>45269</v>
      </c>
      <c r="AH55" s="193" t="s">
        <v>679</v>
      </c>
      <c r="AI55" s="6" t="s">
        <v>4788</v>
      </c>
      <c r="AJ55" s="14" t="s">
        <v>8213</v>
      </c>
      <c r="AK55" s="34" t="s">
        <v>8213</v>
      </c>
      <c r="AL55" s="4">
        <f t="shared" si="19"/>
        <v>0</v>
      </c>
      <c r="AM55" s="6" t="s">
        <v>958</v>
      </c>
      <c r="AN55" s="6" t="s">
        <v>5865</v>
      </c>
      <c r="AO55" t="str">
        <f t="shared" si="4"/>
        <v/>
      </c>
      <c r="AP55" t="s">
        <v>1078</v>
      </c>
      <c r="AQ55" t="s">
        <v>4841</v>
      </c>
      <c r="AR55" s="15" t="s">
        <v>4637</v>
      </c>
      <c r="AV55" t="s">
        <v>4012</v>
      </c>
      <c r="AW55" t="s">
        <v>7985</v>
      </c>
      <c r="AX55" s="5">
        <v>0.40347222222222223</v>
      </c>
      <c r="AZ55" t="str">
        <f t="shared" si="21"/>
        <v>(09:02-9:41)</v>
      </c>
      <c r="BA55" s="5" t="str">
        <f t="shared" si="20"/>
        <v>(09:02-9:41)</v>
      </c>
      <c r="CG55" s="6"/>
      <c r="CH55" s="132"/>
    </row>
    <row r="56" spans="1:86" ht="13.5">
      <c r="A56" s="135" t="str">
        <f t="shared" si="22"/>
        <v/>
      </c>
      <c r="B56" s="19" t="str">
        <f t="shared" si="23"/>
        <v/>
      </c>
      <c r="C56" s="19" t="str">
        <f t="shared" si="24"/>
        <v/>
      </c>
      <c r="D56" s="19" t="str">
        <f t="shared" si="25"/>
        <v/>
      </c>
      <c r="E56" s="5" t="str">
        <f t="shared" si="10"/>
        <v/>
      </c>
      <c r="F56" s="12" t="str">
        <f t="shared" si="11"/>
        <v/>
      </c>
      <c r="J56" s="7" t="str">
        <f t="shared" si="2"/>
        <v/>
      </c>
      <c r="K56" s="9" t="str">
        <f t="shared" si="12"/>
        <v/>
      </c>
      <c r="L56" s="6">
        <f t="shared" si="13"/>
        <v>0</v>
      </c>
      <c r="M56" s="6">
        <f t="shared" si="14"/>
        <v>0</v>
      </c>
      <c r="N56" s="94" t="str">
        <f t="shared" si="15"/>
        <v/>
      </c>
      <c r="O56"/>
      <c r="P56"/>
      <c r="Q56"/>
      <c r="R56"/>
      <c r="S56"/>
      <c r="T56" s="136" t="str">
        <f t="shared" si="16"/>
        <v/>
      </c>
      <c r="U56" s="137" t="str">
        <f t="shared" si="17"/>
        <v/>
      </c>
      <c r="V56" s="1"/>
      <c r="Y56" s="90" t="str">
        <f t="shared" si="18"/>
        <v/>
      </c>
      <c r="Z56" s="6"/>
      <c r="AA56" s="132"/>
      <c r="AC56" s="6" t="s">
        <v>2725</v>
      </c>
      <c r="AD56" s="6" t="s">
        <v>6774</v>
      </c>
      <c r="AE56" s="158" t="s">
        <v>3829</v>
      </c>
      <c r="AF56" s="159" t="s">
        <v>8309</v>
      </c>
      <c r="AG56" s="160">
        <v>45270</v>
      </c>
      <c r="AH56" s="193" t="s">
        <v>679</v>
      </c>
      <c r="AI56" s="6" t="s">
        <v>4487</v>
      </c>
      <c r="AJ56" s="14" t="s">
        <v>8214</v>
      </c>
      <c r="AK56" s="61" t="s">
        <v>8214</v>
      </c>
      <c r="AL56" s="4">
        <f t="shared" si="19"/>
        <v>0</v>
      </c>
      <c r="AM56" s="6" t="s">
        <v>1309</v>
      </c>
      <c r="AN56" s="6" t="s">
        <v>5866</v>
      </c>
      <c r="AO56" t="str">
        <f t="shared" si="4"/>
        <v/>
      </c>
      <c r="AP56" t="s">
        <v>958</v>
      </c>
      <c r="AQ56" t="s">
        <v>4841</v>
      </c>
      <c r="AR56" s="15" t="s">
        <v>4652</v>
      </c>
      <c r="AV56" t="s">
        <v>92</v>
      </c>
      <c r="AW56" t="s">
        <v>8058</v>
      </c>
      <c r="AX56" s="5">
        <v>0.52638888888888891</v>
      </c>
      <c r="AZ56" t="str">
        <f t="shared" si="21"/>
        <v>(12:03-12:38)</v>
      </c>
      <c r="BA56" s="5" t="str">
        <f t="shared" si="20"/>
        <v>(12:03-12:38)</v>
      </c>
      <c r="CG56" s="6"/>
      <c r="CH56" s="132"/>
    </row>
    <row r="57" spans="1:86" ht="13.5">
      <c r="A57" s="135" t="str">
        <f t="shared" si="22"/>
        <v/>
      </c>
      <c r="B57" s="19" t="str">
        <f t="shared" si="23"/>
        <v/>
      </c>
      <c r="C57" s="19" t="str">
        <f t="shared" si="24"/>
        <v/>
      </c>
      <c r="D57" s="19" t="str">
        <f t="shared" si="25"/>
        <v/>
      </c>
      <c r="E57" s="5" t="str">
        <f t="shared" si="10"/>
        <v/>
      </c>
      <c r="F57" s="12" t="str">
        <f t="shared" si="11"/>
        <v/>
      </c>
      <c r="J57" s="7" t="str">
        <f t="shared" si="2"/>
        <v/>
      </c>
      <c r="K57" s="9" t="str">
        <f t="shared" si="12"/>
        <v/>
      </c>
      <c r="L57" s="6">
        <f t="shared" si="13"/>
        <v>0</v>
      </c>
      <c r="M57" s="6">
        <f t="shared" si="14"/>
        <v>0</v>
      </c>
      <c r="N57" s="94" t="str">
        <f t="shared" si="15"/>
        <v/>
      </c>
      <c r="O57"/>
      <c r="P57"/>
      <c r="Q57"/>
      <c r="R57"/>
      <c r="S57"/>
      <c r="T57" s="136" t="str">
        <f t="shared" si="16"/>
        <v/>
      </c>
      <c r="U57" s="137" t="str">
        <f t="shared" si="17"/>
        <v/>
      </c>
      <c r="V57" s="1"/>
      <c r="Y57" s="90" t="str">
        <f t="shared" si="18"/>
        <v/>
      </c>
      <c r="AC57" s="6" t="s">
        <v>2726</v>
      </c>
      <c r="AD57" s="6" t="s">
        <v>6774</v>
      </c>
      <c r="AE57" s="158" t="s">
        <v>3695</v>
      </c>
      <c r="AF57" s="159" t="s">
        <v>8309</v>
      </c>
      <c r="AG57" s="160">
        <v>53854</v>
      </c>
      <c r="AH57" s="193" t="s">
        <v>679</v>
      </c>
      <c r="AI57" s="6" t="s">
        <v>5463</v>
      </c>
      <c r="AJ57" s="14" t="s">
        <v>8215</v>
      </c>
      <c r="AK57" s="62" t="s">
        <v>8215</v>
      </c>
      <c r="AL57" s="4">
        <f t="shared" si="19"/>
        <v>0</v>
      </c>
      <c r="AM57" s="6" t="s">
        <v>1235</v>
      </c>
      <c r="AN57" s="6" t="s">
        <v>5867</v>
      </c>
      <c r="AO57" t="str">
        <f t="shared" si="4"/>
        <v/>
      </c>
      <c r="AP57" t="s">
        <v>1309</v>
      </c>
      <c r="AQ57" t="s">
        <v>4841</v>
      </c>
      <c r="AR57" s="15" t="s">
        <v>4847</v>
      </c>
      <c r="AV57" t="s">
        <v>4006</v>
      </c>
      <c r="AW57" t="s">
        <v>8063</v>
      </c>
      <c r="AX57" s="5">
        <v>0.5229166666666667</v>
      </c>
      <c r="AZ57" t="str">
        <f t="shared" si="21"/>
        <v>(12:12-12:33)</v>
      </c>
      <c r="BA57" s="5" t="str">
        <f t="shared" si="20"/>
        <v>(12:06-12:09)(12:12-12:33)</v>
      </c>
    </row>
    <row r="58" spans="1:86" ht="13.5">
      <c r="A58" s="135" t="str">
        <f t="shared" si="22"/>
        <v/>
      </c>
      <c r="B58" s="19" t="str">
        <f t="shared" si="23"/>
        <v/>
      </c>
      <c r="C58" s="19" t="str">
        <f t="shared" si="24"/>
        <v/>
      </c>
      <c r="D58" s="19" t="str">
        <f t="shared" si="25"/>
        <v/>
      </c>
      <c r="E58" s="5" t="str">
        <f t="shared" si="10"/>
        <v/>
      </c>
      <c r="F58" s="12" t="str">
        <f t="shared" si="11"/>
        <v/>
      </c>
      <c r="J58" s="7" t="str">
        <f t="shared" si="2"/>
        <v/>
      </c>
      <c r="K58" s="9" t="str">
        <f t="shared" si="12"/>
        <v/>
      </c>
      <c r="L58" s="6">
        <f t="shared" si="13"/>
        <v>0</v>
      </c>
      <c r="M58" s="6">
        <f t="shared" si="14"/>
        <v>0</v>
      </c>
      <c r="N58" s="94" t="str">
        <f t="shared" si="15"/>
        <v/>
      </c>
      <c r="O58"/>
      <c r="P58"/>
      <c r="Q58"/>
      <c r="R58"/>
      <c r="S58"/>
      <c r="T58" s="136" t="str">
        <f t="shared" si="16"/>
        <v/>
      </c>
      <c r="U58" s="137" t="str">
        <f t="shared" si="17"/>
        <v/>
      </c>
      <c r="V58" s="1"/>
      <c r="Y58" s="90" t="str">
        <f t="shared" si="18"/>
        <v/>
      </c>
      <c r="Z58" s="6"/>
      <c r="AA58" s="132"/>
      <c r="AC58" s="6" t="s">
        <v>2716</v>
      </c>
      <c r="AD58" s="6" t="s">
        <v>6775</v>
      </c>
      <c r="AE58" s="158">
        <v>315319</v>
      </c>
      <c r="AF58" s="159" t="s">
        <v>8309</v>
      </c>
      <c r="AG58" s="160">
        <v>55271</v>
      </c>
      <c r="AH58" s="193" t="s">
        <v>679</v>
      </c>
      <c r="AI58" s="6" t="s">
        <v>1201</v>
      </c>
      <c r="AJ58" s="63" t="s">
        <v>8216</v>
      </c>
      <c r="AK58" s="39" t="s">
        <v>8216</v>
      </c>
      <c r="AL58" s="4">
        <f t="shared" si="19"/>
        <v>0</v>
      </c>
      <c r="AM58" s="6" t="s">
        <v>1298</v>
      </c>
      <c r="AN58" s="6" t="s">
        <v>5868</v>
      </c>
      <c r="AO58" t="str">
        <f t="shared" si="4"/>
        <v/>
      </c>
      <c r="AP58" t="s">
        <v>1235</v>
      </c>
      <c r="AQ58" t="s">
        <v>4518</v>
      </c>
      <c r="AR58" s="15" t="s">
        <v>4571</v>
      </c>
      <c r="AV58" t="s">
        <v>4006</v>
      </c>
      <c r="AW58" t="s">
        <v>8068</v>
      </c>
      <c r="AX58" s="5">
        <v>0.50624999999999998</v>
      </c>
      <c r="AZ58" t="str">
        <f t="shared" si="21"/>
        <v>(12:06-12:09)</v>
      </c>
      <c r="BA58" s="5" t="str">
        <f t="shared" si="20"/>
        <v>(12:12-12:33)(12:06-12:09)</v>
      </c>
      <c r="CG58" s="6"/>
      <c r="CH58" s="132"/>
    </row>
    <row r="59" spans="1:86" ht="13.5">
      <c r="A59" s="135" t="str">
        <f t="shared" si="22"/>
        <v/>
      </c>
      <c r="B59" s="19" t="str">
        <f t="shared" si="23"/>
        <v/>
      </c>
      <c r="C59" s="19" t="str">
        <f t="shared" si="24"/>
        <v/>
      </c>
      <c r="D59" s="19" t="str">
        <f t="shared" si="25"/>
        <v/>
      </c>
      <c r="E59" s="5" t="str">
        <f t="shared" si="10"/>
        <v/>
      </c>
      <c r="F59" s="12" t="str">
        <f t="shared" si="11"/>
        <v/>
      </c>
      <c r="J59" s="7" t="str">
        <f t="shared" si="2"/>
        <v/>
      </c>
      <c r="K59" s="9" t="str">
        <f t="shared" si="12"/>
        <v/>
      </c>
      <c r="L59" s="6">
        <f t="shared" si="13"/>
        <v>0</v>
      </c>
      <c r="M59" s="6">
        <f t="shared" si="14"/>
        <v>0</v>
      </c>
      <c r="N59" s="94" t="str">
        <f t="shared" si="15"/>
        <v/>
      </c>
      <c r="O59"/>
      <c r="P59"/>
      <c r="Q59"/>
      <c r="R59"/>
      <c r="S59"/>
      <c r="T59" s="136" t="str">
        <f t="shared" si="16"/>
        <v/>
      </c>
      <c r="U59" s="137" t="str">
        <f t="shared" si="17"/>
        <v/>
      </c>
      <c r="V59" s="1"/>
      <c r="Y59" s="90" t="str">
        <f t="shared" si="18"/>
        <v/>
      </c>
      <c r="Z59" s="6"/>
      <c r="AA59" s="132"/>
      <c r="AC59" s="6" t="s">
        <v>2541</v>
      </c>
      <c r="AD59" s="6" t="s">
        <v>6776</v>
      </c>
      <c r="AE59" s="158">
        <v>495358</v>
      </c>
      <c r="AF59" s="159" t="s">
        <v>8296</v>
      </c>
      <c r="AG59" s="160">
        <v>55272</v>
      </c>
      <c r="AH59" s="193" t="s">
        <v>678</v>
      </c>
      <c r="AI59" s="6" t="s">
        <v>2262</v>
      </c>
      <c r="AJ59" s="14" t="s">
        <v>8217</v>
      </c>
      <c r="AK59" s="64" t="s">
        <v>8668</v>
      </c>
      <c r="AL59" s="4">
        <f t="shared" si="19"/>
        <v>0</v>
      </c>
      <c r="AM59" s="6" t="s">
        <v>1242</v>
      </c>
      <c r="AN59" s="6" t="s">
        <v>5869</v>
      </c>
      <c r="AO59" t="str">
        <f t="shared" si="4"/>
        <v/>
      </c>
      <c r="AP59" t="s">
        <v>1298</v>
      </c>
      <c r="AQ59" t="s">
        <v>4512</v>
      </c>
      <c r="AR59" s="15">
        <v>4662</v>
      </c>
      <c r="AV59" t="s">
        <v>52</v>
      </c>
      <c r="AW59" t="s">
        <v>7971</v>
      </c>
      <c r="AX59" s="5">
        <v>0.38472222222222219</v>
      </c>
      <c r="AZ59" t="str">
        <f t="shared" si="21"/>
        <v>(08:08-9:14)</v>
      </c>
      <c r="BA59" s="5" t="str">
        <f t="shared" si="20"/>
        <v>(08:08-9:14)</v>
      </c>
      <c r="CG59" s="6"/>
      <c r="CH59" s="132"/>
    </row>
    <row r="60" spans="1:86" ht="13.5">
      <c r="A60" s="135" t="str">
        <f t="shared" si="22"/>
        <v/>
      </c>
      <c r="B60" s="19" t="str">
        <f t="shared" si="23"/>
        <v/>
      </c>
      <c r="C60" s="19" t="str">
        <f t="shared" si="24"/>
        <v/>
      </c>
      <c r="D60" s="19" t="str">
        <f t="shared" si="25"/>
        <v/>
      </c>
      <c r="E60" s="5" t="str">
        <f t="shared" si="10"/>
        <v/>
      </c>
      <c r="F60" s="12" t="str">
        <f t="shared" si="11"/>
        <v/>
      </c>
      <c r="J60" s="7" t="str">
        <f t="shared" si="2"/>
        <v/>
      </c>
      <c r="K60" s="9" t="str">
        <f t="shared" si="12"/>
        <v/>
      </c>
      <c r="L60" s="6">
        <f t="shared" si="13"/>
        <v>0</v>
      </c>
      <c r="M60" s="6">
        <f t="shared" si="14"/>
        <v>0</v>
      </c>
      <c r="N60" s="94" t="str">
        <f t="shared" si="15"/>
        <v/>
      </c>
      <c r="O60"/>
      <c r="P60"/>
      <c r="Q60"/>
      <c r="R60"/>
      <c r="S60"/>
      <c r="T60" s="136" t="str">
        <f t="shared" si="16"/>
        <v/>
      </c>
      <c r="U60" s="137" t="str">
        <f t="shared" si="17"/>
        <v/>
      </c>
      <c r="V60" s="1"/>
      <c r="Y60" s="90" t="str">
        <f t="shared" si="18"/>
        <v/>
      </c>
      <c r="Z60" s="6"/>
      <c r="AA60" s="132"/>
      <c r="AC60" s="6">
        <v>986465</v>
      </c>
      <c r="AD60" s="6" t="s">
        <v>6777</v>
      </c>
      <c r="AE60" s="158">
        <v>535371</v>
      </c>
      <c r="AF60" s="159" t="s">
        <v>8318</v>
      </c>
      <c r="AG60" s="160">
        <v>55273</v>
      </c>
      <c r="AH60" s="193" t="s">
        <v>679</v>
      </c>
      <c r="AI60" s="6" t="s">
        <v>2853</v>
      </c>
      <c r="AJ60" s="46" t="s">
        <v>8203</v>
      </c>
      <c r="AK60" s="45" t="s">
        <v>8203</v>
      </c>
      <c r="AL60" s="4">
        <f t="shared" si="19"/>
        <v>0</v>
      </c>
      <c r="AM60" s="6" t="s">
        <v>1292</v>
      </c>
      <c r="AN60" s="6" t="s">
        <v>5870</v>
      </c>
      <c r="AO60" t="str">
        <f t="shared" si="4"/>
        <v/>
      </c>
      <c r="AP60" t="s">
        <v>1242</v>
      </c>
      <c r="AQ60" t="s">
        <v>4841</v>
      </c>
      <c r="AR60" s="15" t="s">
        <v>4572</v>
      </c>
      <c r="AV60" t="s">
        <v>5501</v>
      </c>
      <c r="AW60" t="s">
        <v>8010</v>
      </c>
      <c r="AX60" s="5">
        <v>0.41180555555555554</v>
      </c>
      <c r="AZ60" t="str">
        <f t="shared" si="21"/>
        <v>(09:51-9:53)</v>
      </c>
      <c r="BA60" s="5" t="str">
        <f t="shared" si="20"/>
        <v>(09:51-9:53)</v>
      </c>
      <c r="CG60" s="6"/>
      <c r="CH60" s="132"/>
    </row>
    <row r="61" spans="1:86" ht="13.5">
      <c r="A61" s="135" t="str">
        <f t="shared" si="22"/>
        <v/>
      </c>
      <c r="B61" s="19" t="str">
        <f t="shared" si="23"/>
        <v/>
      </c>
      <c r="C61" s="19" t="str">
        <f t="shared" si="24"/>
        <v/>
      </c>
      <c r="D61" s="19" t="str">
        <f t="shared" si="25"/>
        <v/>
      </c>
      <c r="E61" s="5" t="str">
        <f t="shared" si="10"/>
        <v/>
      </c>
      <c r="F61" s="12" t="str">
        <f t="shared" si="11"/>
        <v/>
      </c>
      <c r="J61" s="7" t="str">
        <f t="shared" si="2"/>
        <v/>
      </c>
      <c r="K61" s="9" t="str">
        <f t="shared" si="12"/>
        <v/>
      </c>
      <c r="L61" s="6">
        <f t="shared" si="13"/>
        <v>0</v>
      </c>
      <c r="M61" s="6">
        <f t="shared" si="14"/>
        <v>0</v>
      </c>
      <c r="N61" s="94" t="str">
        <f t="shared" si="15"/>
        <v/>
      </c>
      <c r="O61"/>
      <c r="P61"/>
      <c r="Q61"/>
      <c r="R61"/>
      <c r="S61"/>
      <c r="T61" s="136" t="str">
        <f t="shared" si="16"/>
        <v/>
      </c>
      <c r="U61" s="137" t="str">
        <f t="shared" si="17"/>
        <v/>
      </c>
      <c r="V61" s="1"/>
      <c r="Y61" s="90" t="str">
        <f t="shared" si="18"/>
        <v/>
      </c>
      <c r="AC61" s="6" t="s">
        <v>2715</v>
      </c>
      <c r="AD61" s="6" t="s">
        <v>6756</v>
      </c>
      <c r="AE61" s="158">
        <v>535372</v>
      </c>
      <c r="AF61" s="159" t="s">
        <v>8319</v>
      </c>
      <c r="AG61" s="160">
        <v>55464</v>
      </c>
      <c r="AH61" s="193" t="s">
        <v>679</v>
      </c>
      <c r="AI61" s="6" t="s">
        <v>418</v>
      </c>
      <c r="AJ61" s="14" t="s">
        <v>8196</v>
      </c>
      <c r="AK61" s="16" t="s">
        <v>8196</v>
      </c>
      <c r="AL61" s="4">
        <f t="shared" si="19"/>
        <v>0</v>
      </c>
      <c r="AM61" s="6" t="s">
        <v>1263</v>
      </c>
      <c r="AN61" s="6" t="s">
        <v>5871</v>
      </c>
      <c r="AO61" t="str">
        <f t="shared" si="4"/>
        <v/>
      </c>
      <c r="AP61" t="s">
        <v>1292</v>
      </c>
      <c r="AQ61" t="s">
        <v>4512</v>
      </c>
      <c r="AR61" s="15">
        <v>4573</v>
      </c>
      <c r="AV61" t="s">
        <v>5047</v>
      </c>
      <c r="AW61" t="s">
        <v>8010</v>
      </c>
      <c r="AX61" s="5">
        <v>0.41180555555555554</v>
      </c>
      <c r="AZ61" t="str">
        <f t="shared" si="21"/>
        <v>(09:51-9:53)</v>
      </c>
      <c r="BA61" s="5" t="str">
        <f t="shared" si="20"/>
        <v>(09:51-9:53)</v>
      </c>
    </row>
    <row r="62" spans="1:86" ht="15">
      <c r="A62" s="135" t="str">
        <f t="shared" si="22"/>
        <v/>
      </c>
      <c r="B62" s="19" t="str">
        <f t="shared" si="23"/>
        <v/>
      </c>
      <c r="C62" s="19" t="str">
        <f t="shared" si="24"/>
        <v/>
      </c>
      <c r="D62" s="19" t="str">
        <f t="shared" si="25"/>
        <v/>
      </c>
      <c r="E62" s="5" t="str">
        <f t="shared" si="10"/>
        <v/>
      </c>
      <c r="F62" s="12" t="str">
        <f t="shared" si="11"/>
        <v/>
      </c>
      <c r="J62" s="7" t="str">
        <f t="shared" si="2"/>
        <v/>
      </c>
      <c r="K62" s="9" t="str">
        <f t="shared" si="12"/>
        <v/>
      </c>
      <c r="L62" s="6">
        <f t="shared" si="13"/>
        <v>0</v>
      </c>
      <c r="M62" s="6">
        <f t="shared" si="14"/>
        <v>0</v>
      </c>
      <c r="N62" s="94" t="str">
        <f t="shared" si="15"/>
        <v/>
      </c>
      <c r="O62"/>
      <c r="P62"/>
      <c r="Q62"/>
      <c r="R62"/>
      <c r="S62"/>
      <c r="T62" s="136" t="str">
        <f t="shared" si="16"/>
        <v/>
      </c>
      <c r="U62" s="137" t="str">
        <f t="shared" si="17"/>
        <v/>
      </c>
      <c r="V62" s="1"/>
      <c r="Y62" s="90" t="str">
        <f t="shared" si="18"/>
        <v/>
      </c>
      <c r="Z62" s="6"/>
      <c r="AA62" s="153"/>
      <c r="AC62" s="6" t="s">
        <v>2714</v>
      </c>
      <c r="AD62" s="6" t="s">
        <v>6756</v>
      </c>
      <c r="AE62" s="158">
        <v>535373</v>
      </c>
      <c r="AF62" s="159" t="s">
        <v>8309</v>
      </c>
      <c r="AG62" s="160">
        <v>55465</v>
      </c>
      <c r="AH62" s="193" t="s">
        <v>679</v>
      </c>
      <c r="AI62" s="6" t="s">
        <v>31</v>
      </c>
      <c r="AJ62" s="59" t="s">
        <v>8201</v>
      </c>
      <c r="AK62" s="45" t="s">
        <v>8666</v>
      </c>
      <c r="AL62" s="4">
        <f t="shared" si="19"/>
        <v>0</v>
      </c>
      <c r="AM62" s="6" t="s">
        <v>1039</v>
      </c>
      <c r="AN62" s="6" t="s">
        <v>5872</v>
      </c>
      <c r="AO62" t="str">
        <f t="shared" si="4"/>
        <v/>
      </c>
      <c r="AP62" t="s">
        <v>1263</v>
      </c>
      <c r="AQ62" t="s">
        <v>4518</v>
      </c>
      <c r="AR62" s="15" t="s">
        <v>4680</v>
      </c>
      <c r="AV62" t="s">
        <v>5142</v>
      </c>
      <c r="AW62" t="s">
        <v>8010</v>
      </c>
      <c r="AX62" s="5">
        <v>0.41180555555555554</v>
      </c>
      <c r="AZ62" t="str">
        <f t="shared" si="21"/>
        <v>(09:51-9:53)</v>
      </c>
      <c r="BA62" s="5" t="str">
        <f t="shared" si="20"/>
        <v>(09:51-9:53)</v>
      </c>
      <c r="CG62" s="6"/>
      <c r="CH62" s="153"/>
    </row>
    <row r="63" spans="1:86" ht="15">
      <c r="A63" s="135" t="str">
        <f t="shared" si="22"/>
        <v/>
      </c>
      <c r="B63" s="19" t="str">
        <f t="shared" si="23"/>
        <v/>
      </c>
      <c r="C63" s="19" t="str">
        <f t="shared" si="24"/>
        <v/>
      </c>
      <c r="D63" s="19" t="str">
        <f t="shared" si="25"/>
        <v/>
      </c>
      <c r="E63" s="5" t="str">
        <f t="shared" si="10"/>
        <v/>
      </c>
      <c r="F63" s="12" t="str">
        <f t="shared" si="11"/>
        <v/>
      </c>
      <c r="J63" s="7" t="str">
        <f t="shared" si="2"/>
        <v/>
      </c>
      <c r="K63" s="9" t="str">
        <f t="shared" si="12"/>
        <v/>
      </c>
      <c r="L63" s="6">
        <f t="shared" si="13"/>
        <v>0</v>
      </c>
      <c r="M63" s="6">
        <f t="shared" si="14"/>
        <v>0</v>
      </c>
      <c r="N63" s="94" t="str">
        <f t="shared" si="15"/>
        <v/>
      </c>
      <c r="O63"/>
      <c r="P63"/>
      <c r="Q63"/>
      <c r="R63"/>
      <c r="S63"/>
      <c r="T63" s="136" t="str">
        <f t="shared" si="16"/>
        <v/>
      </c>
      <c r="U63" s="137" t="str">
        <f t="shared" si="17"/>
        <v/>
      </c>
      <c r="V63" s="1"/>
      <c r="Y63" s="90" t="str">
        <f t="shared" si="18"/>
        <v/>
      </c>
      <c r="Z63" s="6"/>
      <c r="AA63" s="153"/>
      <c r="AC63" s="6" t="s">
        <v>2605</v>
      </c>
      <c r="AD63" s="6" t="s">
        <v>6778</v>
      </c>
      <c r="AE63" s="158">
        <v>595396</v>
      </c>
      <c r="AF63" s="159" t="s">
        <v>8320</v>
      </c>
      <c r="AG63" s="160">
        <v>63855</v>
      </c>
      <c r="AH63" s="193" t="s">
        <v>678</v>
      </c>
      <c r="AI63" s="6" t="s">
        <v>368</v>
      </c>
      <c r="AJ63" s="14" t="s">
        <v>8200</v>
      </c>
      <c r="AK63" s="44" t="s">
        <v>8200</v>
      </c>
      <c r="AL63" s="4">
        <f t="shared" si="19"/>
        <v>0</v>
      </c>
      <c r="AM63" s="6" t="s">
        <v>448</v>
      </c>
      <c r="AN63" s="6" t="s">
        <v>5873</v>
      </c>
      <c r="AO63" t="str">
        <f t="shared" si="4"/>
        <v/>
      </c>
      <c r="AP63" t="s">
        <v>1039</v>
      </c>
      <c r="AQ63" t="s">
        <v>4512</v>
      </c>
      <c r="AR63" s="15">
        <v>7196</v>
      </c>
      <c r="AV63" t="s">
        <v>5265</v>
      </c>
      <c r="AW63" t="s">
        <v>8010</v>
      </c>
      <c r="AX63" s="5">
        <v>0.41180555555555554</v>
      </c>
      <c r="AZ63" t="str">
        <f t="shared" si="21"/>
        <v>(09:51-9:53)</v>
      </c>
      <c r="BA63" s="5" t="str">
        <f t="shared" si="20"/>
        <v>(09:51-9:53)</v>
      </c>
      <c r="CG63" s="6"/>
      <c r="CH63" s="153"/>
    </row>
    <row r="64" spans="1:86" ht="15">
      <c r="A64" s="135" t="str">
        <f t="shared" si="22"/>
        <v/>
      </c>
      <c r="B64" s="19" t="str">
        <f t="shared" si="23"/>
        <v/>
      </c>
      <c r="C64" s="19" t="str">
        <f t="shared" si="24"/>
        <v/>
      </c>
      <c r="D64" s="19" t="str">
        <f t="shared" si="25"/>
        <v/>
      </c>
      <c r="E64" s="5" t="str">
        <f t="shared" si="10"/>
        <v/>
      </c>
      <c r="F64" s="12" t="str">
        <f t="shared" si="11"/>
        <v/>
      </c>
      <c r="J64" s="7" t="str">
        <f t="shared" si="2"/>
        <v/>
      </c>
      <c r="K64" s="9" t="str">
        <f t="shared" si="12"/>
        <v/>
      </c>
      <c r="L64" s="6">
        <f t="shared" si="13"/>
        <v>0</v>
      </c>
      <c r="M64" s="6">
        <f t="shared" si="14"/>
        <v>0</v>
      </c>
      <c r="N64" s="94" t="str">
        <f t="shared" si="15"/>
        <v/>
      </c>
      <c r="O64"/>
      <c r="P64"/>
      <c r="Q64"/>
      <c r="R64"/>
      <c r="S64"/>
      <c r="T64" s="136" t="str">
        <f t="shared" si="16"/>
        <v/>
      </c>
      <c r="U64" s="137" t="str">
        <f t="shared" si="17"/>
        <v/>
      </c>
      <c r="V64" s="1"/>
      <c r="Y64" s="90" t="str">
        <f t="shared" si="18"/>
        <v/>
      </c>
      <c r="Z64" s="6"/>
      <c r="AA64" s="153"/>
      <c r="AC64" s="6" t="s">
        <v>5321</v>
      </c>
      <c r="AD64" s="6" t="s">
        <v>6767</v>
      </c>
      <c r="AE64" s="158">
        <v>595397</v>
      </c>
      <c r="AF64" s="159" t="s">
        <v>8321</v>
      </c>
      <c r="AG64" s="160">
        <v>64598</v>
      </c>
      <c r="AH64" s="193" t="s">
        <v>678</v>
      </c>
      <c r="AI64" s="6" t="s">
        <v>488</v>
      </c>
      <c r="AJ64" s="14" t="s">
        <v>8200</v>
      </c>
      <c r="AK64" s="24" t="s">
        <v>8200</v>
      </c>
      <c r="AL64" s="4">
        <f t="shared" si="19"/>
        <v>0</v>
      </c>
      <c r="AM64" s="6" t="s">
        <v>18</v>
      </c>
      <c r="AN64" s="6" t="s">
        <v>5874</v>
      </c>
      <c r="AO64" t="str">
        <f t="shared" si="4"/>
        <v/>
      </c>
      <c r="AP64" t="s">
        <v>448</v>
      </c>
      <c r="AQ64" t="s">
        <v>4512</v>
      </c>
      <c r="AR64" s="15">
        <v>7060</v>
      </c>
      <c r="AV64" t="s">
        <v>5208</v>
      </c>
      <c r="AW64" t="s">
        <v>8010</v>
      </c>
      <c r="AX64" s="5">
        <v>0.41180555555555554</v>
      </c>
      <c r="AZ64" t="str">
        <f t="shared" si="21"/>
        <v>(09:51-9:53)</v>
      </c>
      <c r="BA64" s="5" t="str">
        <f t="shared" si="20"/>
        <v>(09:51-9:53)</v>
      </c>
      <c r="CG64" s="6"/>
      <c r="CH64" s="153"/>
    </row>
    <row r="65" spans="1:86" ht="15">
      <c r="A65" s="135" t="str">
        <f t="shared" si="22"/>
        <v/>
      </c>
      <c r="B65" s="19" t="str">
        <f t="shared" si="23"/>
        <v/>
      </c>
      <c r="C65" s="19" t="str">
        <f t="shared" si="24"/>
        <v/>
      </c>
      <c r="D65" s="19" t="str">
        <f t="shared" si="25"/>
        <v/>
      </c>
      <c r="E65" s="5" t="str">
        <f t="shared" si="10"/>
        <v/>
      </c>
      <c r="F65" s="12" t="str">
        <f t="shared" si="11"/>
        <v/>
      </c>
      <c r="J65" s="7" t="str">
        <f t="shared" si="2"/>
        <v/>
      </c>
      <c r="K65" s="9" t="str">
        <f t="shared" si="12"/>
        <v/>
      </c>
      <c r="L65" s="6">
        <f t="shared" si="13"/>
        <v>0</v>
      </c>
      <c r="M65" s="6">
        <f t="shared" si="14"/>
        <v>0</v>
      </c>
      <c r="N65" s="94" t="str">
        <f t="shared" si="15"/>
        <v/>
      </c>
      <c r="O65"/>
      <c r="P65"/>
      <c r="Q65"/>
      <c r="R65"/>
      <c r="S65"/>
      <c r="T65" s="136" t="str">
        <f t="shared" si="16"/>
        <v/>
      </c>
      <c r="U65" s="137" t="str">
        <f t="shared" si="17"/>
        <v/>
      </c>
      <c r="V65" s="1"/>
      <c r="Y65" s="90" t="str">
        <f t="shared" si="18"/>
        <v/>
      </c>
      <c r="Z65" s="6"/>
      <c r="AA65" s="153"/>
      <c r="AC65" s="6">
        <v>986457</v>
      </c>
      <c r="AD65" s="6" t="s">
        <v>6777</v>
      </c>
      <c r="AE65" s="158">
        <v>75421</v>
      </c>
      <c r="AF65" s="159" t="s">
        <v>8299</v>
      </c>
      <c r="AG65" s="160">
        <v>65237</v>
      </c>
      <c r="AH65" s="193" t="s">
        <v>678</v>
      </c>
      <c r="AI65" s="6" t="s">
        <v>1898</v>
      </c>
      <c r="AJ65" s="14" t="s">
        <v>8217</v>
      </c>
      <c r="AK65" s="65" t="s">
        <v>8668</v>
      </c>
      <c r="AL65" s="4">
        <f t="shared" si="19"/>
        <v>0</v>
      </c>
      <c r="AM65" s="6" t="s">
        <v>948</v>
      </c>
      <c r="AN65" s="6" t="s">
        <v>5875</v>
      </c>
      <c r="AO65" t="str">
        <f t="shared" si="4"/>
        <v/>
      </c>
      <c r="AP65" t="s">
        <v>18</v>
      </c>
      <c r="AQ65" t="s">
        <v>4512</v>
      </c>
      <c r="AR65" s="15">
        <v>3029</v>
      </c>
      <c r="AV65" t="s">
        <v>4447</v>
      </c>
      <c r="AW65" t="s">
        <v>8010</v>
      </c>
      <c r="AX65" s="5">
        <v>0.41180555555555554</v>
      </c>
      <c r="AZ65" t="str">
        <f t="shared" si="21"/>
        <v>(09:51-9:53)</v>
      </c>
      <c r="BA65" s="5" t="str">
        <f t="shared" si="20"/>
        <v>(09:51-9:53)</v>
      </c>
      <c r="CG65" s="6"/>
      <c r="CH65" s="153"/>
    </row>
    <row r="66" spans="1:86" ht="15">
      <c r="A66" s="135" t="str">
        <f t="shared" si="22"/>
        <v/>
      </c>
      <c r="B66" s="19" t="str">
        <f t="shared" si="23"/>
        <v/>
      </c>
      <c r="C66" s="19" t="str">
        <f t="shared" si="24"/>
        <v/>
      </c>
      <c r="D66" s="19" t="str">
        <f t="shared" si="25"/>
        <v/>
      </c>
      <c r="E66" s="5" t="str">
        <f t="shared" si="10"/>
        <v/>
      </c>
      <c r="F66" s="12" t="str">
        <f t="shared" si="11"/>
        <v/>
      </c>
      <c r="J66" s="7" t="str">
        <f t="shared" si="2"/>
        <v/>
      </c>
      <c r="K66" s="9" t="str">
        <f t="shared" si="12"/>
        <v/>
      </c>
      <c r="L66" s="6">
        <f t="shared" si="13"/>
        <v>0</v>
      </c>
      <c r="M66" s="6">
        <f t="shared" si="14"/>
        <v>0</v>
      </c>
      <c r="N66" s="94" t="str">
        <f t="shared" si="15"/>
        <v/>
      </c>
      <c r="O66"/>
      <c r="P66"/>
      <c r="Q66"/>
      <c r="R66"/>
      <c r="S66"/>
      <c r="T66" s="136" t="str">
        <f t="shared" si="16"/>
        <v/>
      </c>
      <c r="U66" s="137" t="str">
        <f t="shared" si="17"/>
        <v/>
      </c>
      <c r="V66" s="1"/>
      <c r="Y66" s="90" t="str">
        <f t="shared" si="18"/>
        <v/>
      </c>
      <c r="Z66" s="6"/>
      <c r="AA66" s="153"/>
      <c r="AC66" s="6" t="s">
        <v>2502</v>
      </c>
      <c r="AD66" s="6" t="s">
        <v>6779</v>
      </c>
      <c r="AE66" s="158" t="s">
        <v>5108</v>
      </c>
      <c r="AF66" s="159" t="s">
        <v>8300</v>
      </c>
      <c r="AG66" s="160">
        <v>65274</v>
      </c>
      <c r="AH66" s="193" t="s">
        <v>678</v>
      </c>
      <c r="AI66" s="6" t="s">
        <v>3803</v>
      </c>
      <c r="AJ66" s="66" t="s">
        <v>8199</v>
      </c>
      <c r="AK66" s="63" t="s">
        <v>8199</v>
      </c>
      <c r="AL66" s="4">
        <f t="shared" si="19"/>
        <v>0</v>
      </c>
      <c r="AM66" s="6" t="s">
        <v>1028</v>
      </c>
      <c r="AN66" s="6" t="s">
        <v>5876</v>
      </c>
      <c r="AO66" t="str">
        <f t="shared" si="4"/>
        <v/>
      </c>
      <c r="AP66" t="s">
        <v>948</v>
      </c>
      <c r="AQ66" t="s">
        <v>4841</v>
      </c>
      <c r="AR66" s="15" t="s">
        <v>4580</v>
      </c>
      <c r="AV66" t="s">
        <v>5440</v>
      </c>
      <c r="AW66" t="s">
        <v>7991</v>
      </c>
      <c r="AX66" s="5">
        <v>0.39097222222222222</v>
      </c>
      <c r="AZ66" t="str">
        <f t="shared" si="21"/>
        <v>(09:14-9:23)</v>
      </c>
      <c r="BA66" s="5" t="str">
        <f t="shared" si="20"/>
        <v>(09:14-9:23)</v>
      </c>
      <c r="CG66" s="6"/>
      <c r="CH66" s="153"/>
    </row>
    <row r="67" spans="1:86" ht="15">
      <c r="A67" s="135" t="str">
        <f t="shared" si="22"/>
        <v/>
      </c>
      <c r="B67" s="19" t="str">
        <f t="shared" si="23"/>
        <v/>
      </c>
      <c r="C67" s="19" t="str">
        <f t="shared" si="24"/>
        <v/>
      </c>
      <c r="D67" s="19" t="str">
        <f t="shared" si="25"/>
        <v/>
      </c>
      <c r="E67" s="5" t="str">
        <f t="shared" si="10"/>
        <v/>
      </c>
      <c r="F67" s="12" t="str">
        <f t="shared" si="11"/>
        <v/>
      </c>
      <c r="J67" s="7" t="str">
        <f t="shared" si="2"/>
        <v/>
      </c>
      <c r="K67" s="9" t="str">
        <f t="shared" si="12"/>
        <v/>
      </c>
      <c r="L67" s="6">
        <f t="shared" si="13"/>
        <v>0</v>
      </c>
      <c r="M67" s="6">
        <f t="shared" si="14"/>
        <v>0</v>
      </c>
      <c r="N67" s="94" t="str">
        <f t="shared" si="15"/>
        <v/>
      </c>
      <c r="O67"/>
      <c r="P67"/>
      <c r="Q67"/>
      <c r="R67"/>
      <c r="S67"/>
      <c r="T67" s="136" t="str">
        <f t="shared" si="16"/>
        <v/>
      </c>
      <c r="U67" s="137" t="str">
        <f t="shared" si="17"/>
        <v/>
      </c>
      <c r="V67" s="1"/>
      <c r="Y67" s="90" t="str">
        <f t="shared" si="18"/>
        <v/>
      </c>
      <c r="Z67" s="6"/>
      <c r="AA67" s="153"/>
      <c r="AC67" s="6" t="s">
        <v>2606</v>
      </c>
      <c r="AD67" s="6" t="s">
        <v>6780</v>
      </c>
      <c r="AE67" s="158" t="s">
        <v>63</v>
      </c>
      <c r="AF67" s="159" t="s">
        <v>8320</v>
      </c>
      <c r="AG67" s="160">
        <v>65275</v>
      </c>
      <c r="AH67" s="193" t="s">
        <v>679</v>
      </c>
      <c r="AI67" s="6" t="s">
        <v>3815</v>
      </c>
      <c r="AJ67" s="14" t="s">
        <v>8218</v>
      </c>
      <c r="AK67" s="67" t="s">
        <v>8218</v>
      </c>
      <c r="AL67" s="4">
        <f t="shared" si="19"/>
        <v>0</v>
      </c>
      <c r="AM67" s="6" t="s">
        <v>963</v>
      </c>
      <c r="AN67" s="6" t="s">
        <v>5877</v>
      </c>
      <c r="AO67" t="str">
        <f t="shared" si="4"/>
        <v/>
      </c>
      <c r="AP67" t="s">
        <v>1028</v>
      </c>
      <c r="AQ67" t="s">
        <v>4841</v>
      </c>
      <c r="AR67" s="15" t="s">
        <v>4592</v>
      </c>
      <c r="AV67" t="s">
        <v>5789</v>
      </c>
      <c r="AW67" t="s">
        <v>8022</v>
      </c>
      <c r="AX67" s="5">
        <v>0.4284722222222222</v>
      </c>
      <c r="AZ67" t="str">
        <f t="shared" si="21"/>
        <v>(10:16-10:17)</v>
      </c>
      <c r="BA67" s="5" t="str">
        <f t="shared" si="20"/>
        <v>(10:16-10:17)</v>
      </c>
      <c r="CG67" s="6"/>
      <c r="CH67" s="153"/>
    </row>
    <row r="68" spans="1:86" ht="15">
      <c r="A68" s="135" t="str">
        <f t="shared" si="22"/>
        <v/>
      </c>
      <c r="B68" s="19" t="str">
        <f t="shared" si="23"/>
        <v/>
      </c>
      <c r="C68" s="19" t="str">
        <f t="shared" si="24"/>
        <v/>
      </c>
      <c r="D68" s="19" t="str">
        <f t="shared" si="25"/>
        <v/>
      </c>
      <c r="E68" s="5" t="str">
        <f t="shared" si="10"/>
        <v/>
      </c>
      <c r="F68" s="12" t="str">
        <f t="shared" si="11"/>
        <v/>
      </c>
      <c r="J68" s="7" t="str">
        <f t="shared" si="2"/>
        <v/>
      </c>
      <c r="K68" s="9" t="str">
        <f t="shared" si="12"/>
        <v/>
      </c>
      <c r="L68" s="6">
        <f t="shared" si="13"/>
        <v>0</v>
      </c>
      <c r="M68" s="6">
        <f t="shared" si="14"/>
        <v>0</v>
      </c>
      <c r="N68" s="94" t="str">
        <f t="shared" si="15"/>
        <v/>
      </c>
      <c r="O68"/>
      <c r="P68"/>
      <c r="Q68"/>
      <c r="R68"/>
      <c r="S68"/>
      <c r="T68" s="136" t="str">
        <f t="shared" si="16"/>
        <v/>
      </c>
      <c r="U68" s="137" t="str">
        <f t="shared" si="17"/>
        <v/>
      </c>
      <c r="V68" s="1"/>
      <c r="Y68" s="90" t="str">
        <f t="shared" si="18"/>
        <v/>
      </c>
      <c r="Z68" s="6"/>
      <c r="AA68" s="153"/>
      <c r="AC68" s="6">
        <v>405680</v>
      </c>
      <c r="AD68" s="6" t="s">
        <v>6781</v>
      </c>
      <c r="AE68" s="158" t="s">
        <v>64</v>
      </c>
      <c r="AF68" s="159" t="s">
        <v>8311</v>
      </c>
      <c r="AG68" s="160">
        <v>65276</v>
      </c>
      <c r="AH68" s="193" t="s">
        <v>678</v>
      </c>
      <c r="AI68" s="6" t="s">
        <v>1416</v>
      </c>
      <c r="AJ68" s="50" t="s">
        <v>8219</v>
      </c>
      <c r="AK68" s="37" t="s">
        <v>8219</v>
      </c>
      <c r="AL68" s="4">
        <f t="shared" si="19"/>
        <v>0</v>
      </c>
      <c r="AM68" s="6" t="s">
        <v>938</v>
      </c>
      <c r="AN68" s="6" t="s">
        <v>5878</v>
      </c>
      <c r="AO68" t="str">
        <f t="shared" si="4"/>
        <v/>
      </c>
      <c r="AP68" t="s">
        <v>963</v>
      </c>
      <c r="AQ68" t="s">
        <v>4841</v>
      </c>
      <c r="AR68" s="15" t="s">
        <v>4565</v>
      </c>
      <c r="AV68" t="s">
        <v>6645</v>
      </c>
      <c r="AW68" t="s">
        <v>8020</v>
      </c>
      <c r="AX68" s="5">
        <v>0.45416666666666666</v>
      </c>
      <c r="AZ68" t="str">
        <f t="shared" si="21"/>
        <v>(10:11-10:54)</v>
      </c>
      <c r="BA68" s="5" t="str">
        <f t="shared" si="20"/>
        <v>(08:25-8:54)(10:11-10:54)</v>
      </c>
      <c r="CG68" s="6"/>
      <c r="CH68" s="153"/>
    </row>
    <row r="69" spans="1:86" ht="15">
      <c r="A69" s="135" t="str">
        <f t="shared" si="22"/>
        <v/>
      </c>
      <c r="B69" s="19" t="str">
        <f t="shared" si="23"/>
        <v/>
      </c>
      <c r="C69" s="19" t="str">
        <f t="shared" si="24"/>
        <v/>
      </c>
      <c r="D69" s="19" t="str">
        <f t="shared" si="25"/>
        <v/>
      </c>
      <c r="E69" s="5" t="str">
        <f t="shared" si="10"/>
        <v/>
      </c>
      <c r="F69" s="12" t="str">
        <f t="shared" si="11"/>
        <v/>
      </c>
      <c r="J69" s="7" t="str">
        <f t="shared" si="2"/>
        <v/>
      </c>
      <c r="K69" s="9" t="str">
        <f t="shared" si="12"/>
        <v/>
      </c>
      <c r="L69" s="6">
        <f t="shared" si="13"/>
        <v>0</v>
      </c>
      <c r="M69" s="6">
        <f t="shared" si="14"/>
        <v>0</v>
      </c>
      <c r="N69" s="94" t="str">
        <f t="shared" si="15"/>
        <v/>
      </c>
      <c r="O69"/>
      <c r="P69"/>
      <c r="Q69"/>
      <c r="R69"/>
      <c r="S69"/>
      <c r="T69" s="136" t="str">
        <f t="shared" si="16"/>
        <v/>
      </c>
      <c r="U69" s="137" t="str">
        <f t="shared" si="17"/>
        <v/>
      </c>
      <c r="V69" s="1"/>
      <c r="Y69" s="90" t="str">
        <f t="shared" si="18"/>
        <v/>
      </c>
      <c r="Z69" s="6"/>
      <c r="AA69" s="153"/>
      <c r="AC69" s="6">
        <v>826345</v>
      </c>
      <c r="AD69" s="6" t="s">
        <v>6754</v>
      </c>
      <c r="AE69" s="158" t="s">
        <v>3954</v>
      </c>
      <c r="AF69" s="159" t="s">
        <v>8322</v>
      </c>
      <c r="AG69" s="160">
        <v>65277</v>
      </c>
      <c r="AH69" s="193" t="s">
        <v>678</v>
      </c>
      <c r="AI69" s="6" t="s">
        <v>3297</v>
      </c>
      <c r="AJ69" s="59" t="s">
        <v>8220</v>
      </c>
      <c r="AK69" s="37" t="s">
        <v>8220</v>
      </c>
      <c r="AL69" s="4">
        <f t="shared" si="19"/>
        <v>0</v>
      </c>
      <c r="AM69" s="6" t="s">
        <v>1060</v>
      </c>
      <c r="AN69" s="6" t="s">
        <v>5879</v>
      </c>
      <c r="AO69" t="str">
        <f t="shared" ref="AO69:AO132" si="26">IFERROR(CONCATENATE(VLOOKUP(I69,$AP$5:$AR$500,3,0),"  (Host-",VLOOKUP(I69,$AP$5:$AR$500,2,0),")"),"")</f>
        <v/>
      </c>
      <c r="AP69" t="s">
        <v>1060</v>
      </c>
      <c r="AQ69" t="s">
        <v>4841</v>
      </c>
      <c r="AR69" s="15" t="s">
        <v>4629</v>
      </c>
      <c r="AV69" t="s">
        <v>6645</v>
      </c>
      <c r="AW69" t="s">
        <v>7998</v>
      </c>
      <c r="AX69" s="5">
        <v>0.37083333333333335</v>
      </c>
      <c r="AZ69" t="str">
        <f t="shared" ref="AZ69:AZ100" si="27">IF(ISBLANK(AW69),"",CONCATENATE("(",RIGHT(AW69,5),"-",TEXT(AX69,"h:mm;@"),")"))</f>
        <v>(08:25-8:54)</v>
      </c>
      <c r="BA69" s="5" t="str">
        <f t="shared" si="20"/>
        <v>(10:11-10:54)(08:25-8:54)</v>
      </c>
      <c r="CG69" s="6"/>
      <c r="CH69" s="153"/>
    </row>
    <row r="70" spans="1:86" ht="15">
      <c r="A70" s="135" t="str">
        <f t="shared" si="22"/>
        <v/>
      </c>
      <c r="B70" s="19" t="str">
        <f t="shared" si="23"/>
        <v/>
      </c>
      <c r="C70" s="19" t="str">
        <f t="shared" si="24"/>
        <v/>
      </c>
      <c r="D70" s="19" t="str">
        <f t="shared" si="25"/>
        <v/>
      </c>
      <c r="E70" s="5" t="str">
        <f t="shared" ref="E70:E133" si="28">IF(ISNA(VLOOKUP(I70,AI:AK,2,FALSE)),"",VLOOKUP(I70,AI:AK,2,FALSE))</f>
        <v/>
      </c>
      <c r="F70" s="12" t="str">
        <f t="shared" ref="F70:F133" si="29">IF(ISNA(VLOOKUP(I70,AI:AK,3,FALSE)),"",VLOOKUP(I70,AI:AK,3,FALSE))</f>
        <v/>
      </c>
      <c r="J70" s="7" t="str">
        <f t="shared" ref="J70:J133" si="30">IF(ISNA(VLOOKUP(I70,Z:AA,2,FALSE)),"",VLOOKUP(I70,Z:AA,2,FALSE))</f>
        <v/>
      </c>
      <c r="K70" s="9" t="str">
        <f t="shared" ref="K70:K133" si="31">IF(AND(LEFT(L70,3)&lt;&gt;"IB0",LEFT(L70,3)&lt;&gt;"ME0",LEFT(L70,3)&lt;&gt;"PS0",LEFT(L70,3)&lt;&gt;"RY0",LEFT(L70,3)&lt;&gt;"BU0",LEFT(L70,3)&lt;&gt;"IS0",LEFT(L70,3)&lt;&gt;"KA0",LEFT(L70,3)&lt;&gt;"FB0",LEFT(L70,3)&lt;&gt;"MB0",LEFT(L70,3)&lt;&gt;"LH0",LEFT(L70,3)&lt;&gt;"MU0",LEFT(L70,3)&lt;&gt;"AB0"),"",L70)</f>
        <v/>
      </c>
      <c r="L70" s="6">
        <f t="shared" ref="L70:L133" si="32">IF(ISNA(VLOOKUP(I70,$S$5:$S$900,1,FALSE)),I70,"")</f>
        <v>0</v>
      </c>
      <c r="M70" s="6">
        <f t="shared" ref="M70:M133" si="33">IF(OR(LEFT(L70,3)="IB0",LEFT(L70,3)="ME0",LEFT(L70,3)="PS0",LEFT(L70,3)="RY0",LEFT(L70,3)="BU0",LEFT(L70,3)="IS0",LEFT(L70,3)="KA0",LEFT(L70,3)="FB0",LEFT(L70,3)="MB0",LEFT(L70,3)="LH0",LEFT(L70,3)="MU0",LEFT(L70,3)="AB0",),"",L70)</f>
        <v>0</v>
      </c>
      <c r="N70" s="94" t="str">
        <f t="shared" ref="N70:N133" si="34">IF(I70="","",(IF(ISNA(VLOOKUP(M70,$AJ$4:$AK$4000,2,FALSE)),M70,VLOOKUP(M70,$AJ$4:$AK$4000,2,FALSE))))</f>
        <v/>
      </c>
      <c r="O70"/>
      <c r="P70"/>
      <c r="Q70"/>
      <c r="R70"/>
      <c r="S70"/>
      <c r="T70" s="136" t="str">
        <f t="shared" ref="T70:T133" si="35">IF(ISNA(VLOOKUP(S70,$I$5:$I$900,1,FALSE)),IF(ISBLANK(S70),"","up"),"")</f>
        <v/>
      </c>
      <c r="U70" s="137" t="str">
        <f t="shared" ref="U70:U133" si="36">IF(T70="up",(IF(ISNA(VLOOKUP(S70,$AV$1:$AX$1200,3,FALSE)),"",VLOOKUP(S70,$AV$1:$AX$1200,3,FALSE))),"")</f>
        <v/>
      </c>
      <c r="V70" s="1"/>
      <c r="Y70" s="90" t="str">
        <f t="shared" ref="Y70:Y133" si="37">IFERROR(VLOOKUP(S70,$AV$1:$BA$1200,6,0),"")</f>
        <v/>
      </c>
      <c r="AC70" s="6" t="s">
        <v>2632</v>
      </c>
      <c r="AD70" s="6" t="s">
        <v>6782</v>
      </c>
      <c r="AE70" s="158" t="s">
        <v>4095</v>
      </c>
      <c r="AF70" s="159" t="s">
        <v>8323</v>
      </c>
      <c r="AG70" s="160">
        <v>65329</v>
      </c>
      <c r="AH70" s="193" t="s">
        <v>679</v>
      </c>
      <c r="AI70" s="6" t="s">
        <v>279</v>
      </c>
      <c r="AJ70" s="59" t="s">
        <v>8196</v>
      </c>
      <c r="AK70" s="68" t="s">
        <v>8196</v>
      </c>
      <c r="AL70" s="4">
        <f t="shared" ref="AL70:AL133" si="38">COUNTIF(G:G,G70)</f>
        <v>0</v>
      </c>
      <c r="AM70" s="6" t="s">
        <v>4515</v>
      </c>
      <c r="AN70" s="6" t="s">
        <v>5880</v>
      </c>
      <c r="AO70" t="str">
        <f t="shared" si="26"/>
        <v/>
      </c>
      <c r="AP70" t="s">
        <v>4515</v>
      </c>
      <c r="AQ70" t="s">
        <v>4841</v>
      </c>
      <c r="AR70" s="15" t="s">
        <v>4692</v>
      </c>
      <c r="AV70" t="s">
        <v>5433</v>
      </c>
      <c r="AW70" t="s">
        <v>8164</v>
      </c>
      <c r="AX70" s="5">
        <v>0.68333333333333324</v>
      </c>
      <c r="AZ70" t="str">
        <f t="shared" si="27"/>
        <v>(16:19-16:24)</v>
      </c>
      <c r="BA70" s="5" t="str">
        <f t="shared" ref="BA70:BA133" si="39">IF(AV86=AV70,"",CONCATENATE(IF(AV85=AV70,AZ85,""),IF(AV84=AV70,AZ84,""),IF(AV83=AV70,AZ83,""),IF(AV82=AV70,AZ82,""),IF(AV81=AV70,AZ81,""),IF(AV80=AV70,AZ80,""),IF(AV79=AV70,AZ79,""),IF(AV78=AV70,AZ78,""),IF(AV77=AV70,AZ77,""),IF(AV76=AV70,AZ76,""),IF(AV75=AV70,AZ75,""),IF(AV74=AV70,AZ74,""),IF(AV73=AV70,AZ73,""),IF(AV72=AV70,AZ72,""),IF(AV71=AV70,AZ71,""),IF(AV69=AV70,AZ69,""),AZ70))</f>
        <v>(16:21-16:24)(16:19-16:24)</v>
      </c>
    </row>
    <row r="71" spans="1:86" ht="13.5">
      <c r="A71" s="135" t="str">
        <f t="shared" si="22"/>
        <v/>
      </c>
      <c r="B71" s="19" t="str">
        <f t="shared" si="23"/>
        <v/>
      </c>
      <c r="C71" s="19" t="str">
        <f t="shared" si="24"/>
        <v/>
      </c>
      <c r="D71" s="19" t="str">
        <f t="shared" si="25"/>
        <v/>
      </c>
      <c r="E71" s="5" t="str">
        <f t="shared" si="28"/>
        <v/>
      </c>
      <c r="F71" s="12" t="str">
        <f t="shared" si="29"/>
        <v/>
      </c>
      <c r="J71" s="7" t="str">
        <f t="shared" si="30"/>
        <v/>
      </c>
      <c r="K71" s="9" t="str">
        <f t="shared" si="31"/>
        <v/>
      </c>
      <c r="L71" s="6">
        <f t="shared" si="32"/>
        <v>0</v>
      </c>
      <c r="M71" s="6">
        <f t="shared" si="33"/>
        <v>0</v>
      </c>
      <c r="N71" s="94" t="str">
        <f t="shared" si="34"/>
        <v/>
      </c>
      <c r="O71"/>
      <c r="P71"/>
      <c r="Q71"/>
      <c r="R71"/>
      <c r="S71"/>
      <c r="T71" s="136" t="str">
        <f t="shared" si="35"/>
        <v/>
      </c>
      <c r="U71" s="137" t="str">
        <f t="shared" si="36"/>
        <v/>
      </c>
      <c r="V71" s="1"/>
      <c r="Y71" s="90" t="str">
        <f t="shared" si="37"/>
        <v/>
      </c>
      <c r="AC71" s="6">
        <v>826341</v>
      </c>
      <c r="AD71" s="6" t="s">
        <v>6754</v>
      </c>
      <c r="AE71" s="158" t="s">
        <v>3956</v>
      </c>
      <c r="AF71" s="159" t="s">
        <v>8311</v>
      </c>
      <c r="AG71" s="160">
        <v>65330</v>
      </c>
      <c r="AH71" s="193" t="s">
        <v>678</v>
      </c>
      <c r="AI71" s="6" t="s">
        <v>1363</v>
      </c>
      <c r="AJ71" s="24" t="s">
        <v>8196</v>
      </c>
      <c r="AK71" s="16" t="s">
        <v>8196</v>
      </c>
      <c r="AL71" s="4">
        <f t="shared" si="38"/>
        <v>0</v>
      </c>
      <c r="AM71" s="6" t="s">
        <v>20</v>
      </c>
      <c r="AN71" s="6" t="s">
        <v>5881</v>
      </c>
      <c r="AO71" t="str">
        <f t="shared" si="26"/>
        <v/>
      </c>
      <c r="AP71" t="s">
        <v>20</v>
      </c>
      <c r="AQ71" t="s">
        <v>4512</v>
      </c>
      <c r="AR71" s="15">
        <v>7221</v>
      </c>
      <c r="AV71" t="s">
        <v>5433</v>
      </c>
      <c r="AW71" t="s">
        <v>8163</v>
      </c>
      <c r="AX71" s="5">
        <v>0.68333333333333324</v>
      </c>
      <c r="AZ71" t="str">
        <f t="shared" si="27"/>
        <v>(16:21-16:24)</v>
      </c>
      <c r="BA71" s="5" t="str">
        <f t="shared" si="39"/>
        <v>(16:19-16:24)(16:21-16:24)</v>
      </c>
    </row>
    <row r="72" spans="1:86" ht="15">
      <c r="A72" s="135" t="str">
        <f t="shared" si="22"/>
        <v/>
      </c>
      <c r="B72" s="19" t="str">
        <f t="shared" si="23"/>
        <v/>
      </c>
      <c r="C72" s="19" t="str">
        <f t="shared" si="24"/>
        <v/>
      </c>
      <c r="D72" s="19" t="str">
        <f t="shared" si="25"/>
        <v/>
      </c>
      <c r="E72" s="5" t="str">
        <f t="shared" si="28"/>
        <v/>
      </c>
      <c r="F72" s="12" t="str">
        <f t="shared" si="29"/>
        <v/>
      </c>
      <c r="J72" s="7" t="str">
        <f t="shared" si="30"/>
        <v/>
      </c>
      <c r="K72" s="9" t="str">
        <f t="shared" si="31"/>
        <v/>
      </c>
      <c r="L72" s="6">
        <f t="shared" si="32"/>
        <v>0</v>
      </c>
      <c r="M72" s="6">
        <f t="shared" si="33"/>
        <v>0</v>
      </c>
      <c r="N72" s="94" t="str">
        <f t="shared" si="34"/>
        <v/>
      </c>
      <c r="O72"/>
      <c r="P72"/>
      <c r="Q72"/>
      <c r="R72"/>
      <c r="S72"/>
      <c r="T72" s="136" t="str">
        <f t="shared" si="35"/>
        <v/>
      </c>
      <c r="U72" s="137" t="str">
        <f t="shared" si="36"/>
        <v/>
      </c>
      <c r="V72" s="1"/>
      <c r="Y72" s="90" t="str">
        <f t="shared" si="37"/>
        <v/>
      </c>
      <c r="AC72" s="6" t="s">
        <v>2607</v>
      </c>
      <c r="AD72" s="6" t="s">
        <v>6780</v>
      </c>
      <c r="AE72" s="158">
        <v>85608</v>
      </c>
      <c r="AF72" s="159" t="s">
        <v>8324</v>
      </c>
      <c r="AG72" s="160">
        <v>65331</v>
      </c>
      <c r="AH72" s="193" t="s">
        <v>679</v>
      </c>
      <c r="AI72" s="6" t="s">
        <v>417</v>
      </c>
      <c r="AJ72" s="50" t="s">
        <v>8196</v>
      </c>
      <c r="AK72" s="58" t="s">
        <v>8196</v>
      </c>
      <c r="AL72" s="4">
        <f t="shared" si="38"/>
        <v>0</v>
      </c>
      <c r="AM72" s="6" t="s">
        <v>1243</v>
      </c>
      <c r="AN72" s="6" t="s">
        <v>5882</v>
      </c>
      <c r="AO72" t="str">
        <f t="shared" si="26"/>
        <v/>
      </c>
      <c r="AP72" t="s">
        <v>1243</v>
      </c>
      <c r="AQ72" t="s">
        <v>4512</v>
      </c>
      <c r="AR72" s="15">
        <v>2327</v>
      </c>
      <c r="AV72" t="s">
        <v>4839</v>
      </c>
      <c r="AW72" t="s">
        <v>8171</v>
      </c>
      <c r="AX72" s="5">
        <v>0.68263888888888891</v>
      </c>
      <c r="AZ72" t="str">
        <f t="shared" si="27"/>
        <v>(16:18-16:23)</v>
      </c>
      <c r="BA72" s="5" t="str">
        <f t="shared" si="39"/>
        <v>(16:18-16:23)</v>
      </c>
    </row>
    <row r="73" spans="1:86" ht="15">
      <c r="A73" s="135" t="str">
        <f t="shared" si="22"/>
        <v/>
      </c>
      <c r="B73" s="19" t="str">
        <f t="shared" si="23"/>
        <v/>
      </c>
      <c r="C73" s="19" t="str">
        <f t="shared" si="24"/>
        <v/>
      </c>
      <c r="D73" s="19" t="str">
        <f t="shared" si="25"/>
        <v/>
      </c>
      <c r="E73" s="5" t="str">
        <f t="shared" si="28"/>
        <v/>
      </c>
      <c r="F73" s="12" t="str">
        <f t="shared" si="29"/>
        <v/>
      </c>
      <c r="J73" s="7" t="str">
        <f t="shared" si="30"/>
        <v/>
      </c>
      <c r="K73" s="9" t="str">
        <f t="shared" si="31"/>
        <v/>
      </c>
      <c r="L73" s="6">
        <f t="shared" si="32"/>
        <v>0</v>
      </c>
      <c r="M73" s="6">
        <f t="shared" si="33"/>
        <v>0</v>
      </c>
      <c r="N73" s="94" t="str">
        <f t="shared" si="34"/>
        <v/>
      </c>
      <c r="O73"/>
      <c r="P73"/>
      <c r="Q73"/>
      <c r="R73"/>
      <c r="S73"/>
      <c r="T73" s="136" t="str">
        <f t="shared" si="35"/>
        <v/>
      </c>
      <c r="U73" s="137" t="str">
        <f t="shared" si="36"/>
        <v/>
      </c>
      <c r="V73" s="1"/>
      <c r="Y73" s="90" t="str">
        <f t="shared" si="37"/>
        <v/>
      </c>
      <c r="Z73" s="6"/>
      <c r="AA73" s="132"/>
      <c r="AC73" s="6">
        <v>986464</v>
      </c>
      <c r="AD73" s="6" t="s">
        <v>6777</v>
      </c>
      <c r="AE73" s="158" t="s">
        <v>3958</v>
      </c>
      <c r="AF73" s="159" t="s">
        <v>8320</v>
      </c>
      <c r="AG73" s="160">
        <v>66841</v>
      </c>
      <c r="AH73" s="193" t="s">
        <v>678</v>
      </c>
      <c r="AI73" s="6" t="s">
        <v>477</v>
      </c>
      <c r="AJ73" s="27" t="s">
        <v>8200</v>
      </c>
      <c r="AK73" s="43" t="s">
        <v>8200</v>
      </c>
      <c r="AL73" s="4">
        <f t="shared" si="38"/>
        <v>0</v>
      </c>
      <c r="AM73" s="6" t="s">
        <v>1266</v>
      </c>
      <c r="AN73" s="6" t="s">
        <v>5883</v>
      </c>
      <c r="AO73" t="str">
        <f t="shared" si="26"/>
        <v/>
      </c>
      <c r="AP73" t="s">
        <v>1266</v>
      </c>
      <c r="AQ73" t="s">
        <v>4518</v>
      </c>
      <c r="AR73" s="15" t="s">
        <v>4681</v>
      </c>
      <c r="AV73" t="s">
        <v>5422</v>
      </c>
      <c r="AW73" t="s">
        <v>7982</v>
      </c>
      <c r="AX73" s="5">
        <v>0.39097222222222222</v>
      </c>
      <c r="AZ73" t="str">
        <f t="shared" si="27"/>
        <v>(08:51-9:23)</v>
      </c>
      <c r="BA73" s="5" t="str">
        <f t="shared" si="39"/>
        <v>(08:51-9:23)</v>
      </c>
      <c r="CG73" s="6"/>
      <c r="CH73" s="132"/>
    </row>
    <row r="74" spans="1:86" ht="15">
      <c r="A74" s="135" t="str">
        <f t="shared" si="22"/>
        <v/>
      </c>
      <c r="B74" s="19" t="str">
        <f t="shared" si="23"/>
        <v/>
      </c>
      <c r="C74" s="19" t="str">
        <f t="shared" si="24"/>
        <v/>
      </c>
      <c r="D74" s="19" t="str">
        <f t="shared" si="25"/>
        <v/>
      </c>
      <c r="E74" s="5" t="str">
        <f t="shared" si="28"/>
        <v/>
      </c>
      <c r="F74" s="12" t="str">
        <f t="shared" si="29"/>
        <v/>
      </c>
      <c r="J74" s="7" t="str">
        <f t="shared" si="30"/>
        <v/>
      </c>
      <c r="K74" s="9" t="str">
        <f t="shared" si="31"/>
        <v/>
      </c>
      <c r="L74" s="6">
        <f t="shared" si="32"/>
        <v>0</v>
      </c>
      <c r="M74" s="6">
        <f t="shared" si="33"/>
        <v>0</v>
      </c>
      <c r="N74" s="94" t="str">
        <f t="shared" si="34"/>
        <v/>
      </c>
      <c r="O74"/>
      <c r="P74"/>
      <c r="Q74"/>
      <c r="R74"/>
      <c r="S74"/>
      <c r="T74" s="136" t="str">
        <f t="shared" si="35"/>
        <v/>
      </c>
      <c r="U74" s="137" t="str">
        <f t="shared" si="36"/>
        <v/>
      </c>
      <c r="V74" s="1"/>
      <c r="Y74" s="90" t="str">
        <f t="shared" si="37"/>
        <v/>
      </c>
      <c r="Z74" s="6"/>
      <c r="AA74" s="132"/>
      <c r="AC74" s="6" t="s">
        <v>1304</v>
      </c>
      <c r="AD74" s="6" t="s">
        <v>6783</v>
      </c>
      <c r="AE74" s="158" t="s">
        <v>4047</v>
      </c>
      <c r="AF74" s="159" t="s">
        <v>8325</v>
      </c>
      <c r="AG74" s="160">
        <v>75280</v>
      </c>
      <c r="AH74" s="193" t="s">
        <v>679</v>
      </c>
      <c r="AI74" s="6" t="s">
        <v>529</v>
      </c>
      <c r="AJ74" s="46" t="s">
        <v>8200</v>
      </c>
      <c r="AK74" s="58" t="s">
        <v>8200</v>
      </c>
      <c r="AL74" s="4">
        <f t="shared" si="38"/>
        <v>0</v>
      </c>
      <c r="AM74" s="6" t="s">
        <v>1015</v>
      </c>
      <c r="AN74" s="6" t="s">
        <v>5884</v>
      </c>
      <c r="AO74" t="str">
        <f t="shared" si="26"/>
        <v/>
      </c>
      <c r="AP74" t="s">
        <v>1015</v>
      </c>
      <c r="AQ74" t="s">
        <v>4841</v>
      </c>
      <c r="AR74" s="15" t="s">
        <v>4576</v>
      </c>
      <c r="AV74" t="s">
        <v>5419</v>
      </c>
      <c r="AW74" t="s">
        <v>8141</v>
      </c>
      <c r="AX74" s="5">
        <v>0.67986111111111114</v>
      </c>
      <c r="AZ74" t="str">
        <f t="shared" si="27"/>
        <v>(15:41-16:19)</v>
      </c>
      <c r="BA74" s="5" t="str">
        <f t="shared" si="39"/>
        <v>(08:43-9:19)(08:43-9:21)(11:37-12:20)(15:41-16:19)</v>
      </c>
      <c r="CG74" s="6"/>
      <c r="CH74" s="132"/>
    </row>
    <row r="75" spans="1:86" ht="13.5">
      <c r="A75" s="135" t="str">
        <f t="shared" si="22"/>
        <v/>
      </c>
      <c r="B75" s="19" t="str">
        <f t="shared" si="23"/>
        <v/>
      </c>
      <c r="C75" s="19" t="str">
        <f t="shared" si="24"/>
        <v/>
      </c>
      <c r="D75" s="19" t="str">
        <f t="shared" si="25"/>
        <v/>
      </c>
      <c r="E75" s="5" t="str">
        <f t="shared" si="28"/>
        <v/>
      </c>
      <c r="F75" s="12" t="str">
        <f t="shared" si="29"/>
        <v/>
      </c>
      <c r="J75" s="7" t="str">
        <f t="shared" si="30"/>
        <v/>
      </c>
      <c r="K75" s="9" t="str">
        <f t="shared" si="31"/>
        <v/>
      </c>
      <c r="L75" s="6">
        <f t="shared" si="32"/>
        <v>0</v>
      </c>
      <c r="M75" s="6">
        <f t="shared" si="33"/>
        <v>0</v>
      </c>
      <c r="N75" s="94" t="str">
        <f t="shared" si="34"/>
        <v/>
      </c>
      <c r="O75"/>
      <c r="P75"/>
      <c r="Q75"/>
      <c r="R75"/>
      <c r="S75"/>
      <c r="T75" s="136" t="str">
        <f t="shared" si="35"/>
        <v/>
      </c>
      <c r="U75" s="137" t="str">
        <f t="shared" si="36"/>
        <v/>
      </c>
      <c r="V75" s="1"/>
      <c r="Y75" s="90" t="str">
        <f t="shared" si="37"/>
        <v/>
      </c>
      <c r="Z75" s="6"/>
      <c r="AA75" s="132"/>
      <c r="AC75" s="6" t="s">
        <v>2684</v>
      </c>
      <c r="AD75" s="6" t="s">
        <v>6784</v>
      </c>
      <c r="AE75" s="158" t="s">
        <v>1691</v>
      </c>
      <c r="AF75" s="159" t="s">
        <v>8326</v>
      </c>
      <c r="AG75" s="160">
        <v>75281</v>
      </c>
      <c r="AH75" s="193" t="s">
        <v>679</v>
      </c>
      <c r="AI75" s="6" t="s">
        <v>1440</v>
      </c>
      <c r="AJ75" s="59" t="s">
        <v>8196</v>
      </c>
      <c r="AK75" s="25" t="s">
        <v>8196</v>
      </c>
      <c r="AL75" s="4">
        <f t="shared" si="38"/>
        <v>0</v>
      </c>
      <c r="AM75" s="6" t="s">
        <v>992</v>
      </c>
      <c r="AN75" s="6" t="s">
        <v>5885</v>
      </c>
      <c r="AO75" t="str">
        <f t="shared" si="26"/>
        <v/>
      </c>
      <c r="AP75" t="s">
        <v>992</v>
      </c>
      <c r="AQ75" t="s">
        <v>4512</v>
      </c>
      <c r="AR75" s="15">
        <v>3317</v>
      </c>
      <c r="AV75" t="s">
        <v>5419</v>
      </c>
      <c r="AW75" t="s">
        <v>8050</v>
      </c>
      <c r="AX75" s="5">
        <v>0.51388888888888895</v>
      </c>
      <c r="AZ75" t="str">
        <f t="shared" si="27"/>
        <v>(11:37-12:20)</v>
      </c>
      <c r="BA75" s="5" t="str">
        <f t="shared" si="39"/>
        <v>(08:43-9:19)(08:43-9:21)(15:41-16:19)(11:37-12:20)</v>
      </c>
      <c r="CG75" s="6"/>
      <c r="CH75" s="132"/>
    </row>
    <row r="76" spans="1:86" ht="15">
      <c r="A76" s="135" t="str">
        <f t="shared" si="22"/>
        <v/>
      </c>
      <c r="B76" s="19" t="str">
        <f t="shared" si="23"/>
        <v/>
      </c>
      <c r="C76" s="19" t="str">
        <f t="shared" si="24"/>
        <v/>
      </c>
      <c r="D76" s="19" t="str">
        <f t="shared" si="25"/>
        <v/>
      </c>
      <c r="E76" s="5" t="str">
        <f t="shared" si="28"/>
        <v/>
      </c>
      <c r="F76" s="12" t="str">
        <f t="shared" si="29"/>
        <v/>
      </c>
      <c r="J76" s="7" t="str">
        <f t="shared" si="30"/>
        <v/>
      </c>
      <c r="K76" s="9" t="str">
        <f t="shared" si="31"/>
        <v/>
      </c>
      <c r="L76" s="6">
        <f t="shared" si="32"/>
        <v>0</v>
      </c>
      <c r="M76" s="6">
        <f t="shared" si="33"/>
        <v>0</v>
      </c>
      <c r="N76" s="94" t="str">
        <f t="shared" si="34"/>
        <v/>
      </c>
      <c r="O76"/>
      <c r="P76"/>
      <c r="Q76"/>
      <c r="R76"/>
      <c r="S76"/>
      <c r="T76" s="136" t="str">
        <f t="shared" si="35"/>
        <v/>
      </c>
      <c r="U76" s="137" t="str">
        <f t="shared" si="36"/>
        <v/>
      </c>
      <c r="V76" s="1"/>
      <c r="Y76" s="90" t="str">
        <f t="shared" si="37"/>
        <v/>
      </c>
      <c r="Z76" s="6"/>
      <c r="AA76" s="132"/>
      <c r="AC76" s="6" t="s">
        <v>2523</v>
      </c>
      <c r="AD76" s="6" t="s">
        <v>6785</v>
      </c>
      <c r="AE76" s="158" t="s">
        <v>1296</v>
      </c>
      <c r="AF76" s="159" t="s">
        <v>8299</v>
      </c>
      <c r="AG76" s="160">
        <v>75282</v>
      </c>
      <c r="AH76" s="193" t="s">
        <v>679</v>
      </c>
      <c r="AI76" s="6" t="s">
        <v>567</v>
      </c>
      <c r="AJ76" s="46" t="s">
        <v>8207</v>
      </c>
      <c r="AK76" s="58" t="s">
        <v>8207</v>
      </c>
      <c r="AL76" s="4">
        <f t="shared" si="38"/>
        <v>0</v>
      </c>
      <c r="AM76" s="6" t="s">
        <v>1048</v>
      </c>
      <c r="AN76" s="6" t="s">
        <v>5886</v>
      </c>
      <c r="AO76" t="str">
        <f t="shared" si="26"/>
        <v/>
      </c>
      <c r="AP76" t="s">
        <v>1048</v>
      </c>
      <c r="AQ76" t="s">
        <v>4841</v>
      </c>
      <c r="AR76" s="15" t="s">
        <v>4624</v>
      </c>
      <c r="AV76" t="s">
        <v>5419</v>
      </c>
      <c r="AW76" t="s">
        <v>7977</v>
      </c>
      <c r="AX76" s="5">
        <v>0.38958333333333334</v>
      </c>
      <c r="AZ76" t="str">
        <f t="shared" si="27"/>
        <v>(08:43-9:21)</v>
      </c>
      <c r="BA76" s="5" t="str">
        <f t="shared" si="39"/>
        <v>(08:43-9:19)(11:37-12:20)(08:43-9:21)</v>
      </c>
      <c r="CG76" s="6"/>
      <c r="CH76" s="132"/>
    </row>
    <row r="77" spans="1:86" ht="13.5">
      <c r="A77" s="135" t="str">
        <f t="shared" si="22"/>
        <v/>
      </c>
      <c r="B77" s="19" t="str">
        <f t="shared" si="23"/>
        <v/>
      </c>
      <c r="C77" s="19" t="str">
        <f t="shared" si="24"/>
        <v/>
      </c>
      <c r="D77" s="19" t="str">
        <f t="shared" si="25"/>
        <v/>
      </c>
      <c r="E77" s="5" t="str">
        <f t="shared" si="28"/>
        <v/>
      </c>
      <c r="F77" s="12" t="str">
        <f t="shared" si="29"/>
        <v/>
      </c>
      <c r="J77" s="7" t="str">
        <f t="shared" si="30"/>
        <v/>
      </c>
      <c r="K77" s="9" t="str">
        <f t="shared" si="31"/>
        <v/>
      </c>
      <c r="L77" s="6">
        <f t="shared" si="32"/>
        <v>0</v>
      </c>
      <c r="M77" s="6">
        <f t="shared" si="33"/>
        <v>0</v>
      </c>
      <c r="N77" s="94" t="str">
        <f t="shared" si="34"/>
        <v/>
      </c>
      <c r="O77"/>
      <c r="P77"/>
      <c r="Q77"/>
      <c r="R77"/>
      <c r="S77"/>
      <c r="T77" s="136" t="str">
        <f t="shared" si="35"/>
        <v/>
      </c>
      <c r="U77" s="137" t="str">
        <f t="shared" si="36"/>
        <v/>
      </c>
      <c r="V77" s="1"/>
      <c r="Y77" s="90" t="str">
        <f t="shared" si="37"/>
        <v/>
      </c>
      <c r="Z77" s="6"/>
      <c r="AA77" s="132"/>
      <c r="AC77" s="6" t="s">
        <v>5709</v>
      </c>
      <c r="AD77" s="6" t="s">
        <v>6786</v>
      </c>
      <c r="AE77" s="158" t="s">
        <v>4477</v>
      </c>
      <c r="AF77" s="159" t="s">
        <v>8300</v>
      </c>
      <c r="AG77" s="160">
        <v>75283</v>
      </c>
      <c r="AH77" s="193" t="s">
        <v>679</v>
      </c>
      <c r="AI77" s="6" t="s">
        <v>1094</v>
      </c>
      <c r="AJ77" s="47" t="s">
        <v>8200</v>
      </c>
      <c r="AK77" s="69" t="s">
        <v>8200</v>
      </c>
      <c r="AL77" s="4">
        <f t="shared" si="38"/>
        <v>0</v>
      </c>
      <c r="AM77" s="6" t="s">
        <v>1250</v>
      </c>
      <c r="AN77" s="6" t="s">
        <v>5887</v>
      </c>
      <c r="AO77" t="str">
        <f t="shared" si="26"/>
        <v/>
      </c>
      <c r="AP77" t="s">
        <v>1250</v>
      </c>
      <c r="AQ77" t="s">
        <v>4841</v>
      </c>
      <c r="AR77" s="15" t="s">
        <v>4558</v>
      </c>
      <c r="AV77" t="s">
        <v>5419</v>
      </c>
      <c r="AW77" t="s">
        <v>7977</v>
      </c>
      <c r="AX77" s="5">
        <v>0.38819444444444445</v>
      </c>
      <c r="AZ77" t="str">
        <f t="shared" si="27"/>
        <v>(08:43-9:19)</v>
      </c>
      <c r="BA77" s="5" t="str">
        <f t="shared" si="39"/>
        <v>(08:43-9:21)(08:43-9:19)</v>
      </c>
      <c r="CG77" s="6"/>
      <c r="CH77" s="132"/>
    </row>
    <row r="78" spans="1:86" ht="15">
      <c r="A78" s="135" t="str">
        <f t="shared" si="22"/>
        <v/>
      </c>
      <c r="B78" s="19" t="str">
        <f t="shared" si="23"/>
        <v/>
      </c>
      <c r="C78" s="19" t="str">
        <f t="shared" si="24"/>
        <v/>
      </c>
      <c r="D78" s="19" t="str">
        <f t="shared" si="25"/>
        <v/>
      </c>
      <c r="E78" s="5" t="str">
        <f t="shared" si="28"/>
        <v/>
      </c>
      <c r="F78" s="12" t="str">
        <f t="shared" si="29"/>
        <v/>
      </c>
      <c r="J78" s="7" t="str">
        <f t="shared" si="30"/>
        <v/>
      </c>
      <c r="K78" s="9" t="str">
        <f t="shared" si="31"/>
        <v/>
      </c>
      <c r="L78" s="6">
        <f t="shared" si="32"/>
        <v>0</v>
      </c>
      <c r="M78" s="6">
        <f t="shared" si="33"/>
        <v>0</v>
      </c>
      <c r="N78" s="94" t="str">
        <f t="shared" si="34"/>
        <v/>
      </c>
      <c r="O78"/>
      <c r="P78"/>
      <c r="Q78"/>
      <c r="R78"/>
      <c r="S78"/>
      <c r="T78" s="136" t="str">
        <f t="shared" si="35"/>
        <v/>
      </c>
      <c r="U78" s="137" t="str">
        <f t="shared" si="36"/>
        <v/>
      </c>
      <c r="V78" s="1"/>
      <c r="Y78" s="90" t="str">
        <f t="shared" si="37"/>
        <v/>
      </c>
      <c r="Z78" s="6"/>
      <c r="AA78" s="132"/>
      <c r="AC78" s="6">
        <v>986462</v>
      </c>
      <c r="AD78" s="6" t="s">
        <v>6777</v>
      </c>
      <c r="AE78" s="158" t="s">
        <v>4467</v>
      </c>
      <c r="AF78" s="159" t="s">
        <v>8297</v>
      </c>
      <c r="AG78" s="160">
        <v>75419</v>
      </c>
      <c r="AH78" s="193" t="s">
        <v>679</v>
      </c>
      <c r="AI78" s="6" t="s">
        <v>1660</v>
      </c>
      <c r="AJ78" s="14" t="s">
        <v>8195</v>
      </c>
      <c r="AK78" s="70" t="s">
        <v>8195</v>
      </c>
      <c r="AL78" s="4">
        <f t="shared" si="38"/>
        <v>0</v>
      </c>
      <c r="AM78" s="6" t="s">
        <v>1293</v>
      </c>
      <c r="AN78" s="6" t="s">
        <v>5888</v>
      </c>
      <c r="AO78" t="str">
        <f t="shared" si="26"/>
        <v/>
      </c>
      <c r="AP78" t="s">
        <v>1293</v>
      </c>
      <c r="AQ78" t="s">
        <v>4841</v>
      </c>
      <c r="AR78" s="15" t="s">
        <v>4555</v>
      </c>
      <c r="AV78" t="s">
        <v>4720</v>
      </c>
      <c r="AW78" t="s">
        <v>8090</v>
      </c>
      <c r="AX78" s="5">
        <v>0.59722222222222221</v>
      </c>
      <c r="AZ78" t="str">
        <f t="shared" si="27"/>
        <v>(13:27-14:20)</v>
      </c>
      <c r="BA78" s="5" t="str">
        <f t="shared" si="39"/>
        <v>(13:27-14:20)</v>
      </c>
      <c r="CG78" s="6"/>
      <c r="CH78" s="132"/>
    </row>
    <row r="79" spans="1:86" ht="15">
      <c r="A79" s="135" t="str">
        <f t="shared" si="22"/>
        <v/>
      </c>
      <c r="B79" s="19" t="str">
        <f t="shared" si="23"/>
        <v/>
      </c>
      <c r="C79" s="19" t="str">
        <f t="shared" si="24"/>
        <v/>
      </c>
      <c r="D79" s="19" t="str">
        <f t="shared" si="25"/>
        <v/>
      </c>
      <c r="E79" s="5" t="str">
        <f t="shared" si="28"/>
        <v/>
      </c>
      <c r="F79" s="12" t="str">
        <f t="shared" si="29"/>
        <v/>
      </c>
      <c r="J79" s="7" t="str">
        <f t="shared" si="30"/>
        <v/>
      </c>
      <c r="K79" s="9" t="str">
        <f t="shared" si="31"/>
        <v/>
      </c>
      <c r="L79" s="6">
        <f t="shared" si="32"/>
        <v>0</v>
      </c>
      <c r="M79" s="6">
        <f t="shared" si="33"/>
        <v>0</v>
      </c>
      <c r="N79" s="94" t="str">
        <f t="shared" si="34"/>
        <v/>
      </c>
      <c r="O79"/>
      <c r="P79"/>
      <c r="Q79"/>
      <c r="R79"/>
      <c r="S79"/>
      <c r="T79" s="136" t="str">
        <f t="shared" si="35"/>
        <v/>
      </c>
      <c r="U79" s="137" t="str">
        <f t="shared" si="36"/>
        <v/>
      </c>
      <c r="V79" s="1"/>
      <c r="Y79" s="90" t="str">
        <f t="shared" si="37"/>
        <v/>
      </c>
      <c r="Z79" s="6"/>
      <c r="AA79" s="132"/>
      <c r="AC79" s="6" t="s">
        <v>2503</v>
      </c>
      <c r="AD79" s="6" t="s">
        <v>6787</v>
      </c>
      <c r="AE79" s="158" t="s">
        <v>3963</v>
      </c>
      <c r="AF79" s="159" t="s">
        <v>8327</v>
      </c>
      <c r="AG79" s="160">
        <v>75420</v>
      </c>
      <c r="AH79" s="193" t="s">
        <v>679</v>
      </c>
      <c r="AI79" s="6" t="s">
        <v>2158</v>
      </c>
      <c r="AJ79" s="14" t="s">
        <v>8221</v>
      </c>
      <c r="AK79" s="71" t="s">
        <v>8669</v>
      </c>
      <c r="AL79" s="4">
        <f t="shared" si="38"/>
        <v>0</v>
      </c>
      <c r="AM79" s="6" t="s">
        <v>4820</v>
      </c>
      <c r="AN79" s="6" t="s">
        <v>5889</v>
      </c>
      <c r="AO79" t="str">
        <f t="shared" si="26"/>
        <v/>
      </c>
      <c r="AP79" t="s">
        <v>4820</v>
      </c>
      <c r="AQ79" t="s">
        <v>4841</v>
      </c>
      <c r="AR79" s="15" t="s">
        <v>4848</v>
      </c>
      <c r="AV79" t="s">
        <v>5788</v>
      </c>
      <c r="AW79" t="s">
        <v>8170</v>
      </c>
      <c r="AX79" s="5">
        <v>0.67986111111111114</v>
      </c>
      <c r="AZ79" t="str">
        <f t="shared" si="27"/>
        <v>(16:02-16:19)</v>
      </c>
      <c r="BA79" s="5" t="str">
        <f t="shared" si="39"/>
        <v>(09:05-9:16)(16:02-16:07)(16:09-16:19)(16:04-16:19)(16:02-16:19)</v>
      </c>
      <c r="CG79" s="6"/>
      <c r="CH79" s="132"/>
    </row>
    <row r="80" spans="1:86" ht="13.5">
      <c r="A80" s="135" t="str">
        <f t="shared" si="22"/>
        <v/>
      </c>
      <c r="B80" s="19" t="str">
        <f t="shared" si="23"/>
        <v/>
      </c>
      <c r="C80" s="19" t="str">
        <f t="shared" si="24"/>
        <v/>
      </c>
      <c r="D80" s="19" t="str">
        <f t="shared" si="25"/>
        <v/>
      </c>
      <c r="E80" s="5" t="str">
        <f t="shared" si="28"/>
        <v/>
      </c>
      <c r="F80" s="12" t="str">
        <f t="shared" si="29"/>
        <v/>
      </c>
      <c r="J80" s="7" t="str">
        <f t="shared" si="30"/>
        <v/>
      </c>
      <c r="K80" s="9" t="str">
        <f t="shared" si="31"/>
        <v/>
      </c>
      <c r="L80" s="6">
        <f t="shared" si="32"/>
        <v>0</v>
      </c>
      <c r="M80" s="6">
        <f t="shared" si="33"/>
        <v>0</v>
      </c>
      <c r="N80" s="94" t="str">
        <f t="shared" si="34"/>
        <v/>
      </c>
      <c r="O80"/>
      <c r="P80"/>
      <c r="Q80"/>
      <c r="R80"/>
      <c r="S80"/>
      <c r="T80" s="136" t="str">
        <f t="shared" si="35"/>
        <v/>
      </c>
      <c r="U80" s="137" t="str">
        <f t="shared" si="36"/>
        <v/>
      </c>
      <c r="V80" s="1"/>
      <c r="Y80" s="90" t="str">
        <f t="shared" si="37"/>
        <v/>
      </c>
      <c r="Z80" s="6"/>
      <c r="AA80" s="132"/>
      <c r="AC80" s="6" t="s">
        <v>2683</v>
      </c>
      <c r="AD80" s="6" t="s">
        <v>6784</v>
      </c>
      <c r="AE80" s="158" t="s">
        <v>4276</v>
      </c>
      <c r="AF80" s="159" t="s">
        <v>8321</v>
      </c>
      <c r="AG80" s="160">
        <v>75421</v>
      </c>
      <c r="AH80" s="193" t="s">
        <v>679</v>
      </c>
      <c r="AI80" s="6">
        <v>15256</v>
      </c>
      <c r="AJ80" s="14" t="s">
        <v>8222</v>
      </c>
      <c r="AK80" s="37" t="s">
        <v>8670</v>
      </c>
      <c r="AL80" s="4">
        <f t="shared" si="38"/>
        <v>0</v>
      </c>
      <c r="AM80" s="6" t="s">
        <v>993</v>
      </c>
      <c r="AN80" s="6" t="s">
        <v>5890</v>
      </c>
      <c r="AO80" t="str">
        <f t="shared" si="26"/>
        <v/>
      </c>
      <c r="AP80" t="s">
        <v>993</v>
      </c>
      <c r="AQ80" t="s">
        <v>4841</v>
      </c>
      <c r="AR80" s="15" t="s">
        <v>4566</v>
      </c>
      <c r="AV80" t="s">
        <v>5788</v>
      </c>
      <c r="AW80" t="s">
        <v>8159</v>
      </c>
      <c r="AX80" s="5">
        <v>0.67986111111111114</v>
      </c>
      <c r="AZ80" t="str">
        <f t="shared" si="27"/>
        <v>(16:04-16:19)</v>
      </c>
      <c r="BA80" s="5" t="str">
        <f t="shared" si="39"/>
        <v>(09:05-9:16)(16:02-16:07)(16:09-16:19)(16:02-16:19)(16:04-16:19)</v>
      </c>
      <c r="CG80" s="6"/>
      <c r="CH80" s="132"/>
    </row>
    <row r="81" spans="1:86" ht="15">
      <c r="A81" s="135" t="str">
        <f t="shared" si="22"/>
        <v/>
      </c>
      <c r="B81" s="19" t="str">
        <f t="shared" si="23"/>
        <v/>
      </c>
      <c r="C81" s="19" t="str">
        <f t="shared" si="24"/>
        <v/>
      </c>
      <c r="D81" s="19" t="str">
        <f t="shared" si="25"/>
        <v/>
      </c>
      <c r="E81" s="5" t="str">
        <f t="shared" si="28"/>
        <v/>
      </c>
      <c r="F81" s="12" t="str">
        <f t="shared" si="29"/>
        <v/>
      </c>
      <c r="J81" s="7" t="str">
        <f t="shared" si="30"/>
        <v/>
      </c>
      <c r="K81" s="9" t="str">
        <f t="shared" si="31"/>
        <v/>
      </c>
      <c r="L81" s="6">
        <f t="shared" si="32"/>
        <v>0</v>
      </c>
      <c r="M81" s="6">
        <f t="shared" si="33"/>
        <v>0</v>
      </c>
      <c r="N81" s="94" t="str">
        <f t="shared" si="34"/>
        <v/>
      </c>
      <c r="O81"/>
      <c r="P81"/>
      <c r="Q81"/>
      <c r="R81"/>
      <c r="S81"/>
      <c r="T81" s="136" t="str">
        <f t="shared" si="35"/>
        <v/>
      </c>
      <c r="U81" s="137" t="str">
        <f t="shared" si="36"/>
        <v/>
      </c>
      <c r="V81" s="1"/>
      <c r="Y81" s="90" t="str">
        <f t="shared" si="37"/>
        <v/>
      </c>
      <c r="Z81" s="6"/>
      <c r="AA81" s="132"/>
      <c r="AC81" s="6" t="s">
        <v>2501</v>
      </c>
      <c r="AD81" s="6" t="s">
        <v>6788</v>
      </c>
      <c r="AE81" s="158" t="s">
        <v>4277</v>
      </c>
      <c r="AF81" s="159" t="s">
        <v>8296</v>
      </c>
      <c r="AG81" s="160">
        <v>75422</v>
      </c>
      <c r="AH81" s="193" t="s">
        <v>679</v>
      </c>
      <c r="AI81" s="6">
        <v>223806</v>
      </c>
      <c r="AJ81" s="14" t="s">
        <v>8216</v>
      </c>
      <c r="AK81" s="72" t="s">
        <v>8216</v>
      </c>
      <c r="AL81" s="4">
        <f t="shared" si="38"/>
        <v>0</v>
      </c>
      <c r="AM81" s="6" t="s">
        <v>939</v>
      </c>
      <c r="AN81" s="6" t="s">
        <v>5891</v>
      </c>
      <c r="AO81" t="str">
        <f t="shared" si="26"/>
        <v/>
      </c>
      <c r="AP81" t="s">
        <v>939</v>
      </c>
      <c r="AQ81" t="s">
        <v>4512</v>
      </c>
      <c r="AR81" s="15">
        <v>7117</v>
      </c>
      <c r="AV81" t="s">
        <v>5788</v>
      </c>
      <c r="AW81" t="s">
        <v>8160</v>
      </c>
      <c r="AX81" s="5">
        <v>0.67986111111111114</v>
      </c>
      <c r="AZ81" t="str">
        <f t="shared" si="27"/>
        <v>(16:09-16:19)</v>
      </c>
      <c r="BA81" s="5" t="str">
        <f t="shared" si="39"/>
        <v>(09:05-9:16)(16:02-16:07)(16:04-16:19)(16:09-16:19)</v>
      </c>
      <c r="CG81" s="6"/>
      <c r="CH81" s="132"/>
    </row>
    <row r="82" spans="1:86" ht="13.5">
      <c r="A82" s="135" t="str">
        <f t="shared" si="22"/>
        <v/>
      </c>
      <c r="B82" s="19" t="str">
        <f t="shared" si="23"/>
        <v/>
      </c>
      <c r="C82" s="19" t="str">
        <f t="shared" si="24"/>
        <v/>
      </c>
      <c r="D82" s="19" t="str">
        <f t="shared" si="25"/>
        <v/>
      </c>
      <c r="E82" s="5" t="str">
        <f t="shared" si="28"/>
        <v/>
      </c>
      <c r="F82" s="12" t="str">
        <f t="shared" si="29"/>
        <v/>
      </c>
      <c r="J82" s="7" t="str">
        <f t="shared" si="30"/>
        <v/>
      </c>
      <c r="K82" s="9" t="str">
        <f t="shared" si="31"/>
        <v/>
      </c>
      <c r="L82" s="6">
        <f t="shared" si="32"/>
        <v>0</v>
      </c>
      <c r="M82" s="6">
        <f t="shared" si="33"/>
        <v>0</v>
      </c>
      <c r="N82" s="94" t="str">
        <f t="shared" si="34"/>
        <v/>
      </c>
      <c r="O82"/>
      <c r="P82"/>
      <c r="Q82"/>
      <c r="R82"/>
      <c r="S82"/>
      <c r="T82" s="136" t="str">
        <f t="shared" si="35"/>
        <v/>
      </c>
      <c r="U82" s="137" t="str">
        <f t="shared" si="36"/>
        <v/>
      </c>
      <c r="V82" s="1"/>
      <c r="Y82" s="90" t="str">
        <f t="shared" si="37"/>
        <v/>
      </c>
      <c r="Z82" s="6"/>
      <c r="AA82" s="132"/>
      <c r="AC82" s="6" t="s">
        <v>2682</v>
      </c>
      <c r="AD82" s="6" t="s">
        <v>6784</v>
      </c>
      <c r="AE82" s="158" t="s">
        <v>4285</v>
      </c>
      <c r="AF82" s="159" t="s">
        <v>8328</v>
      </c>
      <c r="AG82" s="160">
        <v>83632</v>
      </c>
      <c r="AH82" s="193" t="s">
        <v>679</v>
      </c>
      <c r="AI82" s="6">
        <v>495356</v>
      </c>
      <c r="AJ82" s="59" t="s">
        <v>8223</v>
      </c>
      <c r="AK82" s="37" t="s">
        <v>8223</v>
      </c>
      <c r="AL82" s="4">
        <f t="shared" si="38"/>
        <v>0</v>
      </c>
      <c r="AM82" s="6" t="s">
        <v>1125</v>
      </c>
      <c r="AN82" s="6" t="s">
        <v>5892</v>
      </c>
      <c r="AO82" t="str">
        <f t="shared" si="26"/>
        <v/>
      </c>
      <c r="AP82" t="s">
        <v>1125</v>
      </c>
      <c r="AQ82" t="s">
        <v>4512</v>
      </c>
      <c r="AR82" s="15">
        <v>7877</v>
      </c>
      <c r="AV82" t="s">
        <v>5788</v>
      </c>
      <c r="AW82" t="s">
        <v>8170</v>
      </c>
      <c r="AX82" s="5">
        <v>0.67152777777777783</v>
      </c>
      <c r="AZ82" t="str">
        <f t="shared" si="27"/>
        <v>(16:02-16:07)</v>
      </c>
      <c r="BA82" s="5" t="str">
        <f t="shared" si="39"/>
        <v>(09:05-9:16)(16:09-16:19)(16:02-16:07)</v>
      </c>
      <c r="CG82" s="6"/>
      <c r="CH82" s="132"/>
    </row>
    <row r="83" spans="1:86" ht="15">
      <c r="A83" s="135" t="str">
        <f t="shared" si="22"/>
        <v/>
      </c>
      <c r="B83" s="19" t="str">
        <f t="shared" si="23"/>
        <v/>
      </c>
      <c r="C83" s="19" t="str">
        <f t="shared" si="24"/>
        <v/>
      </c>
      <c r="D83" s="19" t="str">
        <f t="shared" si="25"/>
        <v/>
      </c>
      <c r="E83" s="5" t="str">
        <f t="shared" si="28"/>
        <v/>
      </c>
      <c r="F83" s="12" t="str">
        <f t="shared" si="29"/>
        <v/>
      </c>
      <c r="J83" s="7" t="str">
        <f t="shared" si="30"/>
        <v/>
      </c>
      <c r="K83" s="9" t="str">
        <f t="shared" si="31"/>
        <v/>
      </c>
      <c r="L83" s="6">
        <f t="shared" si="32"/>
        <v>0</v>
      </c>
      <c r="M83" s="6">
        <f t="shared" si="33"/>
        <v>0</v>
      </c>
      <c r="N83" s="94" t="str">
        <f t="shared" si="34"/>
        <v/>
      </c>
      <c r="O83"/>
      <c r="P83"/>
      <c r="Q83"/>
      <c r="R83"/>
      <c r="S83"/>
      <c r="T83" s="136" t="str">
        <f t="shared" si="35"/>
        <v/>
      </c>
      <c r="U83" s="137" t="str">
        <f t="shared" si="36"/>
        <v/>
      </c>
      <c r="V83" s="1"/>
      <c r="Y83" s="90" t="str">
        <f t="shared" si="37"/>
        <v/>
      </c>
      <c r="Z83" s="6"/>
      <c r="AA83" s="132"/>
      <c r="AC83" s="6">
        <v>246445</v>
      </c>
      <c r="AD83" s="6" t="s">
        <v>6789</v>
      </c>
      <c r="AE83" s="158" t="s">
        <v>4286</v>
      </c>
      <c r="AF83" s="159" t="s">
        <v>8329</v>
      </c>
      <c r="AG83" s="161">
        <v>83633</v>
      </c>
      <c r="AH83" s="193" t="s">
        <v>679</v>
      </c>
      <c r="AI83" s="6" t="s">
        <v>516</v>
      </c>
      <c r="AJ83" s="73" t="s">
        <v>8216</v>
      </c>
      <c r="AK83" s="57" t="s">
        <v>8216</v>
      </c>
      <c r="AL83" s="4">
        <f t="shared" si="38"/>
        <v>0</v>
      </c>
      <c r="AM83" s="6" t="s">
        <v>1118</v>
      </c>
      <c r="AN83" s="6" t="s">
        <v>5893</v>
      </c>
      <c r="AO83" t="str">
        <f t="shared" si="26"/>
        <v/>
      </c>
      <c r="AP83" t="s">
        <v>1118</v>
      </c>
      <c r="AQ83" t="s">
        <v>4841</v>
      </c>
      <c r="AR83" s="15" t="s">
        <v>4665</v>
      </c>
      <c r="AV83" t="s">
        <v>5788</v>
      </c>
      <c r="AW83" t="s">
        <v>7988</v>
      </c>
      <c r="AX83" s="5">
        <v>0.38611111111111113</v>
      </c>
      <c r="AZ83" t="str">
        <f t="shared" si="27"/>
        <v>(09:05-9:16)</v>
      </c>
      <c r="BA83" s="5" t="str">
        <f t="shared" si="39"/>
        <v>(16:02-16:07)(09:05-9:16)</v>
      </c>
      <c r="CG83" s="6"/>
      <c r="CH83" s="132"/>
    </row>
    <row r="84" spans="1:86" ht="13.5">
      <c r="A84" s="135" t="str">
        <f t="shared" si="22"/>
        <v/>
      </c>
      <c r="B84" s="19" t="str">
        <f t="shared" si="23"/>
        <v/>
      </c>
      <c r="C84" s="19" t="str">
        <f t="shared" si="24"/>
        <v/>
      </c>
      <c r="D84" s="19" t="str">
        <f t="shared" si="25"/>
        <v/>
      </c>
      <c r="E84" s="5" t="str">
        <f t="shared" si="28"/>
        <v/>
      </c>
      <c r="F84" s="12" t="str">
        <f t="shared" si="29"/>
        <v/>
      </c>
      <c r="J84" s="7" t="str">
        <f t="shared" si="30"/>
        <v/>
      </c>
      <c r="K84" s="9" t="str">
        <f t="shared" si="31"/>
        <v/>
      </c>
      <c r="L84" s="6">
        <f t="shared" si="32"/>
        <v>0</v>
      </c>
      <c r="M84" s="6">
        <f t="shared" si="33"/>
        <v>0</v>
      </c>
      <c r="N84" s="94" t="str">
        <f t="shared" si="34"/>
        <v/>
      </c>
      <c r="O84"/>
      <c r="P84"/>
      <c r="Q84"/>
      <c r="R84"/>
      <c r="S84"/>
      <c r="T84" s="136" t="str">
        <f t="shared" si="35"/>
        <v/>
      </c>
      <c r="U84" s="137" t="str">
        <f t="shared" si="36"/>
        <v/>
      </c>
      <c r="V84" s="1"/>
      <c r="Y84" s="90" t="str">
        <f t="shared" si="37"/>
        <v/>
      </c>
      <c r="Z84" s="6"/>
      <c r="AA84" s="132"/>
      <c r="AC84" s="6" t="s">
        <v>2636</v>
      </c>
      <c r="AD84" s="6" t="s">
        <v>6790</v>
      </c>
      <c r="AE84" s="158" t="s">
        <v>4287</v>
      </c>
      <c r="AF84" s="159" t="s">
        <v>8330</v>
      </c>
      <c r="AG84" s="160">
        <v>85608</v>
      </c>
      <c r="AH84" s="193" t="s">
        <v>679</v>
      </c>
      <c r="AI84" s="6" t="s">
        <v>1521</v>
      </c>
      <c r="AJ84" s="47" t="s">
        <v>8201</v>
      </c>
      <c r="AK84" s="47" t="s">
        <v>8666</v>
      </c>
      <c r="AL84" s="4">
        <f t="shared" si="38"/>
        <v>0</v>
      </c>
      <c r="AM84" s="6" t="s">
        <v>1297</v>
      </c>
      <c r="AN84" s="6" t="s">
        <v>5894</v>
      </c>
      <c r="AO84" t="str">
        <f t="shared" si="26"/>
        <v/>
      </c>
      <c r="AP84" t="s">
        <v>1297</v>
      </c>
      <c r="AQ84" t="s">
        <v>4512</v>
      </c>
      <c r="AR84" s="15">
        <v>4475</v>
      </c>
      <c r="AV84" t="s">
        <v>4751</v>
      </c>
      <c r="AW84" t="s">
        <v>8023</v>
      </c>
      <c r="AX84" s="5">
        <v>0.51597222222222217</v>
      </c>
      <c r="AZ84" t="str">
        <f t="shared" si="27"/>
        <v>(10:07-12:23)</v>
      </c>
      <c r="BA84" s="5" t="str">
        <f t="shared" si="39"/>
        <v>(10:07-12:23)</v>
      </c>
      <c r="CG84" s="6"/>
      <c r="CH84" s="132"/>
    </row>
    <row r="85" spans="1:86" ht="13.5">
      <c r="A85" s="135" t="str">
        <f t="shared" si="22"/>
        <v/>
      </c>
      <c r="B85" s="19" t="str">
        <f t="shared" si="23"/>
        <v/>
      </c>
      <c r="C85" s="19" t="str">
        <f t="shared" si="24"/>
        <v/>
      </c>
      <c r="D85" s="19" t="str">
        <f t="shared" si="25"/>
        <v/>
      </c>
      <c r="E85" s="5" t="str">
        <f t="shared" si="28"/>
        <v/>
      </c>
      <c r="F85" s="12" t="str">
        <f t="shared" si="29"/>
        <v/>
      </c>
      <c r="J85" s="7" t="str">
        <f t="shared" si="30"/>
        <v/>
      </c>
      <c r="K85" s="9" t="str">
        <f t="shared" si="31"/>
        <v/>
      </c>
      <c r="L85" s="6">
        <f t="shared" si="32"/>
        <v>0</v>
      </c>
      <c r="M85" s="6">
        <f t="shared" si="33"/>
        <v>0</v>
      </c>
      <c r="N85" s="94" t="str">
        <f t="shared" si="34"/>
        <v/>
      </c>
      <c r="O85"/>
      <c r="P85"/>
      <c r="Q85"/>
      <c r="R85"/>
      <c r="S85"/>
      <c r="T85" s="136" t="str">
        <f t="shared" si="35"/>
        <v/>
      </c>
      <c r="U85" s="137" t="str">
        <f t="shared" si="36"/>
        <v/>
      </c>
      <c r="V85" s="1"/>
      <c r="Y85" s="90" t="str">
        <f t="shared" si="37"/>
        <v/>
      </c>
      <c r="Z85" s="6"/>
      <c r="AA85" s="132"/>
      <c r="AC85" s="6" t="s">
        <v>2522</v>
      </c>
      <c r="AD85" s="6" t="s">
        <v>6791</v>
      </c>
      <c r="AE85" s="158" t="s">
        <v>4289</v>
      </c>
      <c r="AF85" s="159" t="s">
        <v>8331</v>
      </c>
      <c r="AG85" s="160">
        <v>85609</v>
      </c>
      <c r="AH85" s="193" t="s">
        <v>679</v>
      </c>
      <c r="AI85" s="6" t="s">
        <v>3167</v>
      </c>
      <c r="AJ85" s="14" t="s">
        <v>8205</v>
      </c>
      <c r="AK85" s="74" t="s">
        <v>8211</v>
      </c>
      <c r="AL85" s="4">
        <f t="shared" si="38"/>
        <v>0</v>
      </c>
      <c r="AM85" s="6" t="s">
        <v>944</v>
      </c>
      <c r="AN85" s="6" t="s">
        <v>5895</v>
      </c>
      <c r="AO85" t="str">
        <f t="shared" si="26"/>
        <v/>
      </c>
      <c r="AP85" t="s">
        <v>944</v>
      </c>
      <c r="AQ85" t="s">
        <v>4512</v>
      </c>
      <c r="AR85" s="15">
        <v>7098</v>
      </c>
      <c r="AV85" t="s">
        <v>3977</v>
      </c>
      <c r="AW85" t="s">
        <v>8035</v>
      </c>
      <c r="AX85" s="5">
        <v>0.47291666666666665</v>
      </c>
      <c r="AZ85" t="str">
        <f t="shared" si="27"/>
        <v>(10:54-11:21)</v>
      </c>
      <c r="BA85" s="5" t="str">
        <f t="shared" si="39"/>
        <v>(10:54-11:21)</v>
      </c>
      <c r="CG85" s="6"/>
      <c r="CH85" s="132"/>
    </row>
    <row r="86" spans="1:86" ht="13.5">
      <c r="A86" s="135" t="str">
        <f t="shared" si="22"/>
        <v/>
      </c>
      <c r="B86" s="19" t="str">
        <f t="shared" si="23"/>
        <v/>
      </c>
      <c r="C86" s="19" t="str">
        <f t="shared" si="24"/>
        <v/>
      </c>
      <c r="D86" s="19" t="str">
        <f t="shared" si="25"/>
        <v/>
      </c>
      <c r="E86" s="5" t="str">
        <f t="shared" si="28"/>
        <v/>
      </c>
      <c r="F86" s="12" t="str">
        <f t="shared" si="29"/>
        <v/>
      </c>
      <c r="J86" s="7" t="str">
        <f t="shared" si="30"/>
        <v/>
      </c>
      <c r="K86" s="9" t="str">
        <f t="shared" si="31"/>
        <v/>
      </c>
      <c r="L86" s="6">
        <f t="shared" si="32"/>
        <v>0</v>
      </c>
      <c r="M86" s="6">
        <f t="shared" si="33"/>
        <v>0</v>
      </c>
      <c r="N86" s="94" t="str">
        <f t="shared" si="34"/>
        <v/>
      </c>
      <c r="O86"/>
      <c r="P86"/>
      <c r="Q86"/>
      <c r="R86"/>
      <c r="S86"/>
      <c r="T86" s="136" t="str">
        <f t="shared" si="35"/>
        <v/>
      </c>
      <c r="U86" s="137" t="str">
        <f t="shared" si="36"/>
        <v/>
      </c>
      <c r="V86" s="1"/>
      <c r="Y86" s="90" t="str">
        <f t="shared" si="37"/>
        <v/>
      </c>
      <c r="Z86" s="6"/>
      <c r="AA86" s="132"/>
      <c r="AC86" s="6">
        <v>986461</v>
      </c>
      <c r="AD86" s="6" t="s">
        <v>6777</v>
      </c>
      <c r="AE86" s="158" t="s">
        <v>4290</v>
      </c>
      <c r="AF86" s="159" t="s">
        <v>8332</v>
      </c>
      <c r="AG86" s="160">
        <v>85610</v>
      </c>
      <c r="AH86" s="193" t="s">
        <v>679</v>
      </c>
      <c r="AI86" s="6" t="s">
        <v>3802</v>
      </c>
      <c r="AJ86" s="63" t="s">
        <v>8199</v>
      </c>
      <c r="AK86" s="75" t="s">
        <v>8199</v>
      </c>
      <c r="AL86" s="4">
        <f t="shared" si="38"/>
        <v>0</v>
      </c>
      <c r="AM86" s="6" t="s">
        <v>1311</v>
      </c>
      <c r="AN86" s="6" t="s">
        <v>5896</v>
      </c>
      <c r="AO86" t="str">
        <f t="shared" si="26"/>
        <v/>
      </c>
      <c r="AP86" t="s">
        <v>1311</v>
      </c>
      <c r="AQ86" t="s">
        <v>4518</v>
      </c>
      <c r="AR86" s="15" t="s">
        <v>4651</v>
      </c>
      <c r="AV86" t="s">
        <v>1523</v>
      </c>
      <c r="AW86" t="s">
        <v>8008</v>
      </c>
      <c r="AX86" s="5">
        <v>0.4375</v>
      </c>
      <c r="AZ86" t="str">
        <f t="shared" si="27"/>
        <v>(09:47-10:30)</v>
      </c>
      <c r="BA86" s="5" t="str">
        <f t="shared" si="39"/>
        <v>(09:47-10:30)</v>
      </c>
      <c r="CG86" s="6"/>
      <c r="CH86" s="132"/>
    </row>
    <row r="87" spans="1:86" ht="15">
      <c r="A87" s="135" t="str">
        <f t="shared" si="22"/>
        <v/>
      </c>
      <c r="B87" s="19" t="str">
        <f t="shared" si="23"/>
        <v/>
      </c>
      <c r="C87" s="19" t="str">
        <f t="shared" si="24"/>
        <v/>
      </c>
      <c r="D87" s="19" t="str">
        <f t="shared" si="25"/>
        <v/>
      </c>
      <c r="E87" s="5" t="str">
        <f t="shared" si="28"/>
        <v/>
      </c>
      <c r="F87" s="12" t="str">
        <f t="shared" si="29"/>
        <v/>
      </c>
      <c r="J87" s="7" t="str">
        <f t="shared" si="30"/>
        <v/>
      </c>
      <c r="K87" s="9" t="str">
        <f t="shared" si="31"/>
        <v/>
      </c>
      <c r="L87" s="6">
        <f t="shared" si="32"/>
        <v>0</v>
      </c>
      <c r="M87" s="6">
        <f t="shared" si="33"/>
        <v>0</v>
      </c>
      <c r="N87" s="94" t="str">
        <f t="shared" si="34"/>
        <v/>
      </c>
      <c r="O87"/>
      <c r="P87"/>
      <c r="Q87"/>
      <c r="R87"/>
      <c r="S87"/>
      <c r="T87" s="136" t="str">
        <f t="shared" si="35"/>
        <v/>
      </c>
      <c r="U87" s="137" t="str">
        <f t="shared" si="36"/>
        <v/>
      </c>
      <c r="V87" s="1"/>
      <c r="Y87" s="90" t="str">
        <f t="shared" si="37"/>
        <v/>
      </c>
      <c r="Z87" s="6"/>
      <c r="AA87" s="132"/>
      <c r="AC87" s="6" t="s">
        <v>1307</v>
      </c>
      <c r="AD87" s="6" t="s">
        <v>6784</v>
      </c>
      <c r="AE87" s="158" t="s">
        <v>4297</v>
      </c>
      <c r="AF87" s="159" t="s">
        <v>8333</v>
      </c>
      <c r="AG87" s="160">
        <v>85611</v>
      </c>
      <c r="AH87" s="193" t="s">
        <v>679</v>
      </c>
      <c r="AI87" s="6" t="s">
        <v>6673</v>
      </c>
      <c r="AJ87" s="59" t="s">
        <v>8197</v>
      </c>
      <c r="AK87" s="43" t="s">
        <v>8197</v>
      </c>
      <c r="AL87" s="4">
        <f t="shared" si="38"/>
        <v>0</v>
      </c>
      <c r="AM87" s="6" t="s">
        <v>1226</v>
      </c>
      <c r="AN87" s="6" t="s">
        <v>5897</v>
      </c>
      <c r="AO87" t="str">
        <f t="shared" si="26"/>
        <v/>
      </c>
      <c r="AP87" t="s">
        <v>1226</v>
      </c>
      <c r="AQ87" t="s">
        <v>4512</v>
      </c>
      <c r="AR87" s="15">
        <v>9193</v>
      </c>
      <c r="AV87" t="s">
        <v>969</v>
      </c>
      <c r="AW87" t="s">
        <v>8115</v>
      </c>
      <c r="AX87" s="5">
        <v>0.60138888888888886</v>
      </c>
      <c r="AZ87" t="str">
        <f t="shared" si="27"/>
        <v>(14:22-14:26)</v>
      </c>
      <c r="BA87" s="5" t="str">
        <f t="shared" si="39"/>
        <v>(14:15-14:20)(14:22-14:26)</v>
      </c>
      <c r="CG87" s="6"/>
      <c r="CH87" s="132"/>
    </row>
    <row r="88" spans="1:86" ht="13.5">
      <c r="A88" s="135" t="str">
        <f t="shared" si="22"/>
        <v/>
      </c>
      <c r="B88" s="19" t="str">
        <f t="shared" si="23"/>
        <v/>
      </c>
      <c r="C88" s="19" t="str">
        <f t="shared" si="24"/>
        <v/>
      </c>
      <c r="D88" s="19" t="str">
        <f t="shared" si="25"/>
        <v/>
      </c>
      <c r="E88" s="5" t="str">
        <f t="shared" si="28"/>
        <v/>
      </c>
      <c r="F88" s="12" t="str">
        <f t="shared" si="29"/>
        <v/>
      </c>
      <c r="J88" s="7" t="str">
        <f t="shared" si="30"/>
        <v/>
      </c>
      <c r="K88" s="9" t="str">
        <f t="shared" si="31"/>
        <v/>
      </c>
      <c r="L88" s="6">
        <f t="shared" si="32"/>
        <v>0</v>
      </c>
      <c r="M88" s="6">
        <f t="shared" si="33"/>
        <v>0</v>
      </c>
      <c r="N88" s="94" t="str">
        <f t="shared" si="34"/>
        <v/>
      </c>
      <c r="O88"/>
      <c r="P88"/>
      <c r="Q88"/>
      <c r="R88"/>
      <c r="S88"/>
      <c r="T88" s="136" t="str">
        <f t="shared" si="35"/>
        <v/>
      </c>
      <c r="U88" s="137" t="str">
        <f t="shared" si="36"/>
        <v/>
      </c>
      <c r="V88" s="1"/>
      <c r="Y88" s="90" t="str">
        <f t="shared" si="37"/>
        <v/>
      </c>
      <c r="Z88" s="6"/>
      <c r="AA88" s="132"/>
      <c r="AC88" s="6" t="s">
        <v>2828</v>
      </c>
      <c r="AD88" s="6" t="s">
        <v>6784</v>
      </c>
      <c r="AE88" s="158" t="s">
        <v>4331</v>
      </c>
      <c r="AF88" s="159" t="s">
        <v>8299</v>
      </c>
      <c r="AG88" s="160">
        <v>85612</v>
      </c>
      <c r="AH88" s="193" t="s">
        <v>679</v>
      </c>
      <c r="AI88" s="6" t="s">
        <v>194</v>
      </c>
      <c r="AJ88" s="14" t="s">
        <v>8212</v>
      </c>
      <c r="AK88" s="76" t="s">
        <v>8212</v>
      </c>
      <c r="AL88" s="4">
        <f t="shared" si="38"/>
        <v>0</v>
      </c>
      <c r="AM88" s="6" t="s">
        <v>1285</v>
      </c>
      <c r="AN88" s="6" t="s">
        <v>5898</v>
      </c>
      <c r="AO88" t="str">
        <f t="shared" si="26"/>
        <v/>
      </c>
      <c r="AP88" t="s">
        <v>1285</v>
      </c>
      <c r="AQ88" t="s">
        <v>4841</v>
      </c>
      <c r="AR88" s="15" t="s">
        <v>4684</v>
      </c>
      <c r="AV88" t="s">
        <v>969</v>
      </c>
      <c r="AW88" t="s">
        <v>8113</v>
      </c>
      <c r="AX88" s="5">
        <v>0.59722222222222221</v>
      </c>
      <c r="AZ88" t="str">
        <f t="shared" si="27"/>
        <v>(14:15-14:20)</v>
      </c>
      <c r="BA88" s="5" t="str">
        <f t="shared" si="39"/>
        <v>(14:22-14:26)(14:15-14:20)</v>
      </c>
      <c r="CG88" s="6"/>
      <c r="CH88" s="132"/>
    </row>
    <row r="89" spans="1:86" ht="13.5">
      <c r="A89" s="135" t="str">
        <f t="shared" si="22"/>
        <v/>
      </c>
      <c r="B89" s="19" t="str">
        <f t="shared" si="23"/>
        <v/>
      </c>
      <c r="C89" s="19" t="str">
        <f t="shared" si="24"/>
        <v/>
      </c>
      <c r="D89" s="19" t="str">
        <f t="shared" si="25"/>
        <v/>
      </c>
      <c r="E89" s="5" t="str">
        <f t="shared" si="28"/>
        <v/>
      </c>
      <c r="F89" s="12" t="str">
        <f t="shared" si="29"/>
        <v/>
      </c>
      <c r="J89" s="7" t="str">
        <f t="shared" si="30"/>
        <v/>
      </c>
      <c r="K89" s="9" t="str">
        <f t="shared" si="31"/>
        <v/>
      </c>
      <c r="L89" s="6">
        <f t="shared" si="32"/>
        <v>0</v>
      </c>
      <c r="M89" s="6">
        <f t="shared" si="33"/>
        <v>0</v>
      </c>
      <c r="N89" s="94" t="str">
        <f t="shared" si="34"/>
        <v/>
      </c>
      <c r="O89"/>
      <c r="P89"/>
      <c r="Q89"/>
      <c r="R89"/>
      <c r="S89"/>
      <c r="T89" s="136" t="str">
        <f t="shared" si="35"/>
        <v/>
      </c>
      <c r="U89" s="137" t="str">
        <f t="shared" si="36"/>
        <v/>
      </c>
      <c r="V89" s="1"/>
      <c r="Y89" s="90" t="str">
        <f t="shared" si="37"/>
        <v/>
      </c>
      <c r="Z89" s="6"/>
      <c r="AA89" s="132"/>
      <c r="AC89" s="6" t="s">
        <v>2546</v>
      </c>
      <c r="AD89" s="6" t="s">
        <v>6792</v>
      </c>
      <c r="AE89" s="158" t="s">
        <v>3936</v>
      </c>
      <c r="AF89" s="159" t="s">
        <v>8334</v>
      </c>
      <c r="AG89" s="160">
        <v>95629</v>
      </c>
      <c r="AH89" s="193" t="s">
        <v>4700</v>
      </c>
      <c r="AI89" s="6" t="s">
        <v>200</v>
      </c>
      <c r="AJ89" s="14" t="s">
        <v>8212</v>
      </c>
      <c r="AK89" s="42" t="s">
        <v>8212</v>
      </c>
      <c r="AL89" s="4">
        <f t="shared" si="38"/>
        <v>0</v>
      </c>
      <c r="AM89" s="6" t="s">
        <v>1019</v>
      </c>
      <c r="AN89" s="6" t="s">
        <v>5899</v>
      </c>
      <c r="AO89" t="str">
        <f t="shared" si="26"/>
        <v/>
      </c>
      <c r="AP89" t="s">
        <v>1019</v>
      </c>
      <c r="AQ89" t="s">
        <v>4518</v>
      </c>
      <c r="AR89" s="15" t="s">
        <v>4581</v>
      </c>
      <c r="AV89" t="s">
        <v>1521</v>
      </c>
      <c r="AW89" t="s">
        <v>8026</v>
      </c>
      <c r="AX89" s="5">
        <v>0.5708333333333333</v>
      </c>
      <c r="AZ89" t="str">
        <f t="shared" si="27"/>
        <v>(10:31-13:42)</v>
      </c>
      <c r="BA89" s="5" t="str">
        <f t="shared" si="39"/>
        <v>(10:31-13:42)</v>
      </c>
      <c r="CG89" s="6"/>
      <c r="CH89" s="132"/>
    </row>
    <row r="90" spans="1:86" ht="13.5">
      <c r="A90" s="135" t="str">
        <f t="shared" si="22"/>
        <v/>
      </c>
      <c r="B90" s="19" t="str">
        <f t="shared" si="23"/>
        <v/>
      </c>
      <c r="C90" s="19" t="str">
        <f t="shared" si="24"/>
        <v/>
      </c>
      <c r="D90" s="19" t="str">
        <f t="shared" si="25"/>
        <v/>
      </c>
      <c r="E90" s="5" t="str">
        <f t="shared" si="28"/>
        <v/>
      </c>
      <c r="F90" s="12" t="str">
        <f t="shared" si="29"/>
        <v/>
      </c>
      <c r="J90" s="7" t="str">
        <f t="shared" si="30"/>
        <v/>
      </c>
      <c r="K90" s="9" t="str">
        <f t="shared" si="31"/>
        <v/>
      </c>
      <c r="L90" s="6">
        <f t="shared" si="32"/>
        <v>0</v>
      </c>
      <c r="M90" s="6">
        <f t="shared" si="33"/>
        <v>0</v>
      </c>
      <c r="N90" s="94" t="str">
        <f t="shared" si="34"/>
        <v/>
      </c>
      <c r="O90"/>
      <c r="P90"/>
      <c r="Q90"/>
      <c r="R90"/>
      <c r="S90"/>
      <c r="T90" s="136" t="str">
        <f t="shared" si="35"/>
        <v/>
      </c>
      <c r="U90" s="137" t="str">
        <f t="shared" si="36"/>
        <v/>
      </c>
      <c r="V90" s="1"/>
      <c r="Y90" s="90" t="str">
        <f t="shared" si="37"/>
        <v/>
      </c>
      <c r="Z90" s="6"/>
      <c r="AA90" s="132"/>
      <c r="AC90" s="6" t="s">
        <v>2717</v>
      </c>
      <c r="AD90" s="6" t="s">
        <v>6792</v>
      </c>
      <c r="AE90" s="158" t="s">
        <v>3985</v>
      </c>
      <c r="AF90" s="159" t="s">
        <v>8331</v>
      </c>
      <c r="AG90" s="160">
        <v>95630</v>
      </c>
      <c r="AH90" s="193" t="s">
        <v>1314</v>
      </c>
      <c r="AI90" s="6" t="s">
        <v>420</v>
      </c>
      <c r="AJ90" s="59" t="s">
        <v>8196</v>
      </c>
      <c r="AK90" s="37" t="s">
        <v>8196</v>
      </c>
      <c r="AL90" s="4">
        <f t="shared" si="38"/>
        <v>0</v>
      </c>
      <c r="AM90" s="6" t="s">
        <v>4821</v>
      </c>
      <c r="AN90" s="6" t="s">
        <v>5900</v>
      </c>
      <c r="AO90" t="str">
        <f t="shared" si="26"/>
        <v/>
      </c>
      <c r="AP90" t="s">
        <v>4821</v>
      </c>
      <c r="AQ90" t="s">
        <v>4841</v>
      </c>
      <c r="AR90" s="15" t="s">
        <v>4676</v>
      </c>
      <c r="AV90" t="s">
        <v>1080</v>
      </c>
      <c r="AW90" t="s">
        <v>8045</v>
      </c>
      <c r="AX90" s="5">
        <v>0.49027777777777781</v>
      </c>
      <c r="AZ90" t="str">
        <f t="shared" si="27"/>
        <v>(11:23-11:46)</v>
      </c>
      <c r="BA90" s="5" t="str">
        <f t="shared" si="39"/>
        <v>(11:23-11:44)(11:23-11:46)</v>
      </c>
      <c r="CG90" s="6"/>
      <c r="CH90" s="132"/>
    </row>
    <row r="91" spans="1:86" ht="13.5">
      <c r="A91" s="135" t="str">
        <f t="shared" si="22"/>
        <v/>
      </c>
      <c r="B91" s="19" t="str">
        <f t="shared" si="23"/>
        <v/>
      </c>
      <c r="C91" s="19" t="str">
        <f t="shared" si="24"/>
        <v/>
      </c>
      <c r="D91" s="19" t="str">
        <f t="shared" si="25"/>
        <v/>
      </c>
      <c r="E91" s="5" t="str">
        <f t="shared" si="28"/>
        <v/>
      </c>
      <c r="F91" s="12" t="str">
        <f t="shared" si="29"/>
        <v/>
      </c>
      <c r="J91" s="7" t="str">
        <f t="shared" si="30"/>
        <v/>
      </c>
      <c r="K91" s="9" t="str">
        <f t="shared" si="31"/>
        <v/>
      </c>
      <c r="L91" s="6">
        <f t="shared" si="32"/>
        <v>0</v>
      </c>
      <c r="M91" s="6">
        <f t="shared" si="33"/>
        <v>0</v>
      </c>
      <c r="N91" s="94" t="str">
        <f t="shared" si="34"/>
        <v/>
      </c>
      <c r="O91"/>
      <c r="P91"/>
      <c r="Q91"/>
      <c r="R91"/>
      <c r="S91"/>
      <c r="T91" s="136" t="str">
        <f t="shared" si="35"/>
        <v/>
      </c>
      <c r="U91" s="137" t="str">
        <f t="shared" si="36"/>
        <v/>
      </c>
      <c r="V91" s="1"/>
      <c r="Y91" s="90" t="str">
        <f t="shared" si="37"/>
        <v/>
      </c>
      <c r="Z91" s="6"/>
      <c r="AA91" s="132"/>
      <c r="AC91" s="6" t="s">
        <v>5469</v>
      </c>
      <c r="AD91" s="6" t="s">
        <v>6793</v>
      </c>
      <c r="AE91" s="158">
        <v>105570</v>
      </c>
      <c r="AF91" s="159" t="s">
        <v>8335</v>
      </c>
      <c r="AG91" s="160">
        <v>95631</v>
      </c>
      <c r="AH91" s="193" t="s">
        <v>679</v>
      </c>
      <c r="AI91" s="6" t="s">
        <v>667</v>
      </c>
      <c r="AJ91" s="63" t="s">
        <v>8198</v>
      </c>
      <c r="AK91" s="42" t="s">
        <v>8198</v>
      </c>
      <c r="AL91" s="4">
        <f t="shared" si="38"/>
        <v>0</v>
      </c>
      <c r="AM91" s="6" t="s">
        <v>940</v>
      </c>
      <c r="AN91" s="6" t="s">
        <v>5901</v>
      </c>
      <c r="AO91" t="str">
        <f t="shared" si="26"/>
        <v/>
      </c>
      <c r="AP91" t="s">
        <v>940</v>
      </c>
      <c r="AQ91" t="s">
        <v>4841</v>
      </c>
      <c r="AR91" s="15" t="s">
        <v>4562</v>
      </c>
      <c r="AV91" t="s">
        <v>1080</v>
      </c>
      <c r="AW91" t="s">
        <v>8045</v>
      </c>
      <c r="AX91" s="5">
        <v>0.48888888888888887</v>
      </c>
      <c r="AZ91" t="str">
        <f t="shared" si="27"/>
        <v>(11:23-11:44)</v>
      </c>
      <c r="BA91" s="5" t="str">
        <f t="shared" si="39"/>
        <v>(11:23-11:46)(11:23-11:44)</v>
      </c>
      <c r="CG91" s="6"/>
      <c r="CH91" s="132"/>
    </row>
    <row r="92" spans="1:86" ht="13.5">
      <c r="A92" s="135" t="str">
        <f t="shared" si="22"/>
        <v/>
      </c>
      <c r="B92" s="19" t="str">
        <f t="shared" si="23"/>
        <v/>
      </c>
      <c r="C92" s="19" t="str">
        <f t="shared" si="24"/>
        <v/>
      </c>
      <c r="D92" s="19" t="str">
        <f t="shared" si="25"/>
        <v/>
      </c>
      <c r="E92" s="5" t="str">
        <f t="shared" si="28"/>
        <v/>
      </c>
      <c r="F92" s="12" t="str">
        <f t="shared" si="29"/>
        <v/>
      </c>
      <c r="J92" s="7" t="str">
        <f t="shared" si="30"/>
        <v/>
      </c>
      <c r="K92" s="9" t="str">
        <f t="shared" si="31"/>
        <v/>
      </c>
      <c r="L92" s="6">
        <f t="shared" si="32"/>
        <v>0</v>
      </c>
      <c r="M92" s="6">
        <f t="shared" si="33"/>
        <v>0</v>
      </c>
      <c r="N92" s="94" t="str">
        <f t="shared" si="34"/>
        <v/>
      </c>
      <c r="O92"/>
      <c r="P92"/>
      <c r="Q92"/>
      <c r="R92"/>
      <c r="S92"/>
      <c r="T92" s="136" t="str">
        <f t="shared" si="35"/>
        <v/>
      </c>
      <c r="U92" s="137" t="str">
        <f t="shared" si="36"/>
        <v/>
      </c>
      <c r="V92" s="1"/>
      <c r="Y92" s="90" t="str">
        <f t="shared" si="37"/>
        <v/>
      </c>
      <c r="Z92" s="6"/>
      <c r="AA92" s="132"/>
      <c r="AC92" s="6" t="s">
        <v>2524</v>
      </c>
      <c r="AD92" s="6" t="s">
        <v>6794</v>
      </c>
      <c r="AE92" s="158">
        <v>95633</v>
      </c>
      <c r="AF92" s="159" t="s">
        <v>8309</v>
      </c>
      <c r="AG92" s="160">
        <v>95632</v>
      </c>
      <c r="AH92" s="193" t="s">
        <v>679</v>
      </c>
      <c r="AI92" s="6" t="s">
        <v>125</v>
      </c>
      <c r="AJ92" s="77" t="s">
        <v>8224</v>
      </c>
      <c r="AK92" s="78" t="s">
        <v>8224</v>
      </c>
      <c r="AL92" s="4">
        <f t="shared" si="38"/>
        <v>0</v>
      </c>
      <c r="AM92" s="6" t="s">
        <v>1204</v>
      </c>
      <c r="AN92" s="6" t="s">
        <v>5902</v>
      </c>
      <c r="AO92" t="str">
        <f t="shared" si="26"/>
        <v/>
      </c>
      <c r="AP92" t="s">
        <v>1204</v>
      </c>
      <c r="AQ92" t="s">
        <v>4518</v>
      </c>
      <c r="AR92" s="15" t="s">
        <v>4849</v>
      </c>
      <c r="AV92" t="s">
        <v>1077</v>
      </c>
      <c r="AW92" t="s">
        <v>8140</v>
      </c>
      <c r="AX92" s="5">
        <v>0.67986111111111114</v>
      </c>
      <c r="AZ92" t="str">
        <f t="shared" si="27"/>
        <v>(15:37-16:19)</v>
      </c>
      <c r="BA92" s="5" t="str">
        <f t="shared" si="39"/>
        <v>(08:39-9:19)(15:37-16:19)</v>
      </c>
      <c r="CG92" s="6"/>
      <c r="CH92" s="132"/>
    </row>
    <row r="93" spans="1:86" ht="13.5">
      <c r="A93" s="135" t="str">
        <f t="shared" si="22"/>
        <v/>
      </c>
      <c r="B93" s="19" t="str">
        <f t="shared" si="23"/>
        <v/>
      </c>
      <c r="C93" s="19" t="str">
        <f t="shared" si="24"/>
        <v/>
      </c>
      <c r="D93" s="19" t="str">
        <f t="shared" si="25"/>
        <v/>
      </c>
      <c r="E93" s="5" t="str">
        <f t="shared" si="28"/>
        <v/>
      </c>
      <c r="F93" s="12" t="str">
        <f t="shared" si="29"/>
        <v/>
      </c>
      <c r="J93" s="7" t="str">
        <f t="shared" si="30"/>
        <v/>
      </c>
      <c r="K93" s="9" t="str">
        <f t="shared" si="31"/>
        <v/>
      </c>
      <c r="L93" s="6">
        <f t="shared" si="32"/>
        <v>0</v>
      </c>
      <c r="M93" s="6">
        <f t="shared" si="33"/>
        <v>0</v>
      </c>
      <c r="N93" s="94" t="str">
        <f t="shared" si="34"/>
        <v/>
      </c>
      <c r="O93"/>
      <c r="P93"/>
      <c r="Q93"/>
      <c r="R93"/>
      <c r="S93"/>
      <c r="T93" s="136" t="str">
        <f t="shared" si="35"/>
        <v/>
      </c>
      <c r="U93" s="137" t="str">
        <f t="shared" si="36"/>
        <v/>
      </c>
      <c r="V93" s="1"/>
      <c r="Y93" s="90" t="str">
        <f t="shared" si="37"/>
        <v/>
      </c>
      <c r="Z93" s="6"/>
      <c r="AA93" s="132"/>
      <c r="AC93" s="6">
        <v>185846</v>
      </c>
      <c r="AD93" s="6" t="s">
        <v>6795</v>
      </c>
      <c r="AE93" s="158">
        <v>165815</v>
      </c>
      <c r="AF93" s="159" t="s">
        <v>8292</v>
      </c>
      <c r="AG93" s="160">
        <v>95633</v>
      </c>
      <c r="AH93" s="193" t="s">
        <v>679</v>
      </c>
      <c r="AI93" s="6" t="s">
        <v>1158</v>
      </c>
      <c r="AJ93" s="59" t="s">
        <v>8225</v>
      </c>
      <c r="AK93" s="24" t="s">
        <v>8225</v>
      </c>
      <c r="AL93" s="4">
        <f t="shared" si="38"/>
        <v>0</v>
      </c>
      <c r="AM93" s="6" t="s">
        <v>1272</v>
      </c>
      <c r="AN93" s="6" t="s">
        <v>5903</v>
      </c>
      <c r="AO93" t="str">
        <f t="shared" si="26"/>
        <v/>
      </c>
      <c r="AP93" t="s">
        <v>1272</v>
      </c>
      <c r="AQ93" t="s">
        <v>4841</v>
      </c>
      <c r="AR93" s="15" t="s">
        <v>4610</v>
      </c>
      <c r="AV93" t="s">
        <v>1077</v>
      </c>
      <c r="AW93" t="s">
        <v>7976</v>
      </c>
      <c r="AX93" s="5">
        <v>0.38819444444444445</v>
      </c>
      <c r="AZ93" t="str">
        <f t="shared" si="27"/>
        <v>(08:39-9:19)</v>
      </c>
      <c r="BA93" s="5" t="str">
        <f t="shared" si="39"/>
        <v>(15:37-16:19)(08:39-9:19)</v>
      </c>
      <c r="CG93" s="6"/>
      <c r="CH93" s="132"/>
    </row>
    <row r="94" spans="1:86" ht="13.5">
      <c r="A94" s="135" t="str">
        <f t="shared" si="22"/>
        <v/>
      </c>
      <c r="B94" s="19" t="str">
        <f t="shared" si="23"/>
        <v/>
      </c>
      <c r="C94" s="19" t="str">
        <f t="shared" si="24"/>
        <v/>
      </c>
      <c r="D94" s="19" t="str">
        <f t="shared" si="25"/>
        <v/>
      </c>
      <c r="E94" s="5" t="str">
        <f t="shared" si="28"/>
        <v/>
      </c>
      <c r="F94" s="12" t="str">
        <f t="shared" si="29"/>
        <v/>
      </c>
      <c r="J94" s="7" t="str">
        <f t="shared" si="30"/>
        <v/>
      </c>
      <c r="K94" s="9" t="str">
        <f t="shared" si="31"/>
        <v/>
      </c>
      <c r="L94" s="6">
        <f t="shared" si="32"/>
        <v>0</v>
      </c>
      <c r="M94" s="6">
        <f t="shared" si="33"/>
        <v>0</v>
      </c>
      <c r="N94" s="94" t="str">
        <f t="shared" si="34"/>
        <v/>
      </c>
      <c r="O94"/>
      <c r="P94"/>
      <c r="Q94"/>
      <c r="R94"/>
      <c r="S94"/>
      <c r="T94" s="136" t="str">
        <f t="shared" si="35"/>
        <v/>
      </c>
      <c r="U94" s="137" t="str">
        <f t="shared" si="36"/>
        <v/>
      </c>
      <c r="V94" s="1"/>
      <c r="Y94" s="90" t="str">
        <f t="shared" si="37"/>
        <v/>
      </c>
      <c r="Z94" s="6"/>
      <c r="AA94" s="132"/>
      <c r="AC94" s="6" t="s">
        <v>2624</v>
      </c>
      <c r="AD94" s="6" t="s">
        <v>6796</v>
      </c>
      <c r="AE94" s="158">
        <v>165817</v>
      </c>
      <c r="AF94" s="159" t="s">
        <v>8324</v>
      </c>
      <c r="AG94" s="160">
        <v>95634</v>
      </c>
      <c r="AH94" s="193" t="s">
        <v>679</v>
      </c>
      <c r="AI94" s="6" t="s">
        <v>936</v>
      </c>
      <c r="AJ94" s="24" t="s">
        <v>8208</v>
      </c>
      <c r="AK94" s="24" t="s">
        <v>8667</v>
      </c>
      <c r="AL94" s="4">
        <f t="shared" si="38"/>
        <v>0</v>
      </c>
      <c r="AM94" s="6" t="s">
        <v>964</v>
      </c>
      <c r="AN94" s="6" t="s">
        <v>5904</v>
      </c>
      <c r="AO94" t="str">
        <f t="shared" si="26"/>
        <v/>
      </c>
      <c r="AP94" t="s">
        <v>964</v>
      </c>
      <c r="AQ94" t="s">
        <v>4841</v>
      </c>
      <c r="AR94" s="15" t="s">
        <v>4667</v>
      </c>
      <c r="AV94" t="s">
        <v>1072</v>
      </c>
      <c r="AW94" t="s">
        <v>8059</v>
      </c>
      <c r="AX94" s="5">
        <v>0.50416666666666665</v>
      </c>
      <c r="AZ94" t="str">
        <f t="shared" si="27"/>
        <v>(12:01-12:06)</v>
      </c>
      <c r="BA94" s="5" t="str">
        <f t="shared" si="39"/>
        <v>(09:26-10:21)(12:01-12:06)</v>
      </c>
      <c r="CG94" s="6"/>
      <c r="CH94" s="132"/>
    </row>
    <row r="95" spans="1:86" ht="13.5">
      <c r="A95" s="135" t="str">
        <f t="shared" si="22"/>
        <v/>
      </c>
      <c r="B95" s="19" t="str">
        <f t="shared" si="23"/>
        <v/>
      </c>
      <c r="C95" s="19" t="str">
        <f t="shared" si="24"/>
        <v/>
      </c>
      <c r="D95" s="19" t="str">
        <f t="shared" si="25"/>
        <v/>
      </c>
      <c r="E95" s="5" t="str">
        <f t="shared" si="28"/>
        <v/>
      </c>
      <c r="F95" s="12" t="str">
        <f t="shared" si="29"/>
        <v/>
      </c>
      <c r="J95" s="7" t="str">
        <f t="shared" si="30"/>
        <v/>
      </c>
      <c r="K95" s="9" t="str">
        <f t="shared" si="31"/>
        <v/>
      </c>
      <c r="L95" s="6">
        <f t="shared" si="32"/>
        <v>0</v>
      </c>
      <c r="M95" s="6">
        <f t="shared" si="33"/>
        <v>0</v>
      </c>
      <c r="N95" s="94" t="str">
        <f t="shared" si="34"/>
        <v/>
      </c>
      <c r="O95"/>
      <c r="P95"/>
      <c r="Q95"/>
      <c r="R95"/>
      <c r="S95"/>
      <c r="T95" s="136" t="str">
        <f t="shared" si="35"/>
        <v/>
      </c>
      <c r="U95" s="137" t="str">
        <f t="shared" si="36"/>
        <v/>
      </c>
      <c r="V95" s="1"/>
      <c r="Y95" s="90" t="str">
        <f t="shared" si="37"/>
        <v/>
      </c>
      <c r="Z95" s="6"/>
      <c r="AA95" s="132"/>
      <c r="AC95" s="6">
        <v>986460</v>
      </c>
      <c r="AD95" s="6" t="s">
        <v>6777</v>
      </c>
      <c r="AE95" s="158">
        <v>165818</v>
      </c>
      <c r="AF95" s="159" t="s">
        <v>8323</v>
      </c>
      <c r="AG95" s="160">
        <v>95636</v>
      </c>
      <c r="AH95" s="193" t="s">
        <v>679</v>
      </c>
      <c r="AI95" s="6" t="s">
        <v>3703</v>
      </c>
      <c r="AJ95" s="1" t="s">
        <v>8199</v>
      </c>
      <c r="AK95" s="79" t="s">
        <v>8199</v>
      </c>
      <c r="AL95" s="4">
        <f t="shared" si="38"/>
        <v>0</v>
      </c>
      <c r="AM95" s="6" t="s">
        <v>1251</v>
      </c>
      <c r="AN95" s="6" t="s">
        <v>5905</v>
      </c>
      <c r="AO95" t="str">
        <f t="shared" si="26"/>
        <v/>
      </c>
      <c r="AP95" t="s">
        <v>1251</v>
      </c>
      <c r="AQ95" t="s">
        <v>4518</v>
      </c>
      <c r="AR95" s="15" t="s">
        <v>4559</v>
      </c>
      <c r="AV95" t="s">
        <v>1072</v>
      </c>
      <c r="AW95" t="s">
        <v>8006</v>
      </c>
      <c r="AX95" s="5">
        <v>0.43124999999999997</v>
      </c>
      <c r="AZ95" t="str">
        <f t="shared" si="27"/>
        <v>(09:26-10:21)</v>
      </c>
      <c r="BA95" s="5" t="str">
        <f t="shared" si="39"/>
        <v>(12:01-12:06)(09:26-10:21)</v>
      </c>
      <c r="CG95" s="6"/>
      <c r="CH95" s="132"/>
    </row>
    <row r="96" spans="1:86" ht="13.5">
      <c r="A96" s="135" t="str">
        <f t="shared" si="22"/>
        <v/>
      </c>
      <c r="B96" s="19" t="str">
        <f t="shared" si="23"/>
        <v/>
      </c>
      <c r="C96" s="19" t="str">
        <f t="shared" si="24"/>
        <v/>
      </c>
      <c r="D96" s="19" t="str">
        <f t="shared" si="25"/>
        <v/>
      </c>
      <c r="E96" s="5" t="str">
        <f t="shared" si="28"/>
        <v/>
      </c>
      <c r="F96" s="12" t="str">
        <f t="shared" si="29"/>
        <v/>
      </c>
      <c r="J96" s="7" t="str">
        <f t="shared" si="30"/>
        <v/>
      </c>
      <c r="K96" s="9" t="str">
        <f t="shared" si="31"/>
        <v/>
      </c>
      <c r="L96" s="6">
        <f t="shared" si="32"/>
        <v>0</v>
      </c>
      <c r="M96" s="6">
        <f t="shared" si="33"/>
        <v>0</v>
      </c>
      <c r="N96" s="94" t="str">
        <f t="shared" si="34"/>
        <v/>
      </c>
      <c r="O96"/>
      <c r="P96"/>
      <c r="Q96"/>
      <c r="R96"/>
      <c r="S96"/>
      <c r="T96" s="136" t="str">
        <f t="shared" si="35"/>
        <v/>
      </c>
      <c r="U96" s="137" t="str">
        <f t="shared" si="36"/>
        <v/>
      </c>
      <c r="V96" s="1"/>
      <c r="Y96" s="90" t="str">
        <f t="shared" si="37"/>
        <v/>
      </c>
      <c r="Z96" s="6"/>
      <c r="AA96" s="132"/>
      <c r="AC96" s="6">
        <v>385665</v>
      </c>
      <c r="AD96" s="6" t="s">
        <v>6797</v>
      </c>
      <c r="AE96" s="158">
        <v>165819</v>
      </c>
      <c r="AF96" s="159" t="s">
        <v>8332</v>
      </c>
      <c r="AG96" s="160">
        <v>95637</v>
      </c>
      <c r="AH96" s="193" t="s">
        <v>679</v>
      </c>
      <c r="AI96" s="6" t="s">
        <v>2651</v>
      </c>
      <c r="AJ96" s="4" t="s">
        <v>8226</v>
      </c>
      <c r="AK96" s="60" t="s">
        <v>8671</v>
      </c>
      <c r="AL96" s="4">
        <f t="shared" si="38"/>
        <v>0</v>
      </c>
      <c r="AM96" s="6" t="s">
        <v>1258</v>
      </c>
      <c r="AN96" s="6" t="s">
        <v>5906</v>
      </c>
      <c r="AO96" t="str">
        <f t="shared" si="26"/>
        <v/>
      </c>
      <c r="AP96" t="s">
        <v>1258</v>
      </c>
      <c r="AQ96" t="s">
        <v>4841</v>
      </c>
      <c r="AR96" s="15" t="s">
        <v>4585</v>
      </c>
      <c r="AV96" t="s">
        <v>1069</v>
      </c>
      <c r="AW96" t="s">
        <v>8066</v>
      </c>
      <c r="AX96" s="5">
        <v>0.55625000000000002</v>
      </c>
      <c r="AZ96" t="str">
        <f t="shared" si="27"/>
        <v>(12:22-13:21)</v>
      </c>
      <c r="BA96" s="5" t="str">
        <f t="shared" si="39"/>
        <v>(12:22-13:21)</v>
      </c>
      <c r="CG96" s="6"/>
      <c r="CH96" s="132"/>
    </row>
    <row r="97" spans="1:86" ht="13.5">
      <c r="A97" s="135" t="str">
        <f t="shared" si="22"/>
        <v/>
      </c>
      <c r="B97" s="19" t="str">
        <f t="shared" si="23"/>
        <v/>
      </c>
      <c r="C97" s="19" t="str">
        <f t="shared" si="24"/>
        <v/>
      </c>
      <c r="D97" s="19" t="str">
        <f t="shared" si="25"/>
        <v/>
      </c>
      <c r="E97" s="5" t="str">
        <f t="shared" si="28"/>
        <v/>
      </c>
      <c r="F97" s="12" t="str">
        <f t="shared" si="29"/>
        <v/>
      </c>
      <c r="J97" s="7" t="str">
        <f t="shared" si="30"/>
        <v/>
      </c>
      <c r="K97" s="9" t="str">
        <f t="shared" si="31"/>
        <v/>
      </c>
      <c r="L97" s="6">
        <f t="shared" si="32"/>
        <v>0</v>
      </c>
      <c r="M97" s="6">
        <f t="shared" si="33"/>
        <v>0</v>
      </c>
      <c r="N97" s="94" t="str">
        <f t="shared" si="34"/>
        <v/>
      </c>
      <c r="O97"/>
      <c r="P97"/>
      <c r="Q97"/>
      <c r="R97"/>
      <c r="S97"/>
      <c r="T97" s="136" t="str">
        <f t="shared" si="35"/>
        <v/>
      </c>
      <c r="U97" s="137" t="str">
        <f t="shared" si="36"/>
        <v/>
      </c>
      <c r="V97" s="1"/>
      <c r="Y97" s="90" t="str">
        <f t="shared" si="37"/>
        <v/>
      </c>
      <c r="Z97" s="6"/>
      <c r="AA97" s="132"/>
      <c r="AC97" s="6" t="s">
        <v>2614</v>
      </c>
      <c r="AD97" s="6" t="s">
        <v>6798</v>
      </c>
      <c r="AE97" s="158" t="s">
        <v>4138</v>
      </c>
      <c r="AF97" s="159" t="s">
        <v>8321</v>
      </c>
      <c r="AG97" s="161">
        <v>95638</v>
      </c>
      <c r="AH97" s="193" t="s">
        <v>679</v>
      </c>
      <c r="AI97" s="6">
        <v>505360</v>
      </c>
      <c r="AJ97" s="80" t="s">
        <v>8196</v>
      </c>
      <c r="AK97" s="75" t="s">
        <v>8196</v>
      </c>
      <c r="AL97" s="4">
        <f t="shared" si="38"/>
        <v>0</v>
      </c>
      <c r="AM97" s="6" t="s">
        <v>1072</v>
      </c>
      <c r="AN97" s="6" t="s">
        <v>5907</v>
      </c>
      <c r="AO97" t="str">
        <f t="shared" si="26"/>
        <v/>
      </c>
      <c r="AP97" t="s">
        <v>1072</v>
      </c>
      <c r="AQ97" t="s">
        <v>4512</v>
      </c>
      <c r="AR97" s="15">
        <v>7093</v>
      </c>
      <c r="AV97" t="s">
        <v>1471</v>
      </c>
      <c r="AW97" t="s">
        <v>8171</v>
      </c>
      <c r="AX97" s="5">
        <v>0.68263888888888891</v>
      </c>
      <c r="AZ97" t="str">
        <f t="shared" si="27"/>
        <v>(16:18-16:23)</v>
      </c>
      <c r="BA97" s="5" t="str">
        <f t="shared" si="39"/>
        <v>(09:19-9:24)(11:00-11:06)(11:14-11:20)(16:18-16:23)</v>
      </c>
      <c r="CG97" s="6"/>
      <c r="CH97" s="132"/>
    </row>
    <row r="98" spans="1:86" ht="13.5">
      <c r="A98" s="135" t="str">
        <f t="shared" si="22"/>
        <v/>
      </c>
      <c r="B98" s="19" t="str">
        <f t="shared" si="23"/>
        <v/>
      </c>
      <c r="C98" s="19" t="str">
        <f t="shared" si="24"/>
        <v/>
      </c>
      <c r="D98" s="19" t="str">
        <f t="shared" si="25"/>
        <v/>
      </c>
      <c r="E98" s="5" t="str">
        <f t="shared" si="28"/>
        <v/>
      </c>
      <c r="F98" s="12" t="str">
        <f t="shared" si="29"/>
        <v/>
      </c>
      <c r="J98" s="7" t="str">
        <f t="shared" si="30"/>
        <v/>
      </c>
      <c r="K98" s="9" t="str">
        <f t="shared" si="31"/>
        <v/>
      </c>
      <c r="L98" s="6">
        <f t="shared" si="32"/>
        <v>0</v>
      </c>
      <c r="M98" s="6">
        <f t="shared" si="33"/>
        <v>0</v>
      </c>
      <c r="N98" s="94" t="str">
        <f t="shared" si="34"/>
        <v/>
      </c>
      <c r="O98"/>
      <c r="P98"/>
      <c r="Q98"/>
      <c r="R98"/>
      <c r="S98"/>
      <c r="T98" s="136" t="str">
        <f t="shared" si="35"/>
        <v/>
      </c>
      <c r="U98" s="137" t="str">
        <f t="shared" si="36"/>
        <v/>
      </c>
      <c r="V98" s="1"/>
      <c r="Y98" s="90" t="str">
        <f t="shared" si="37"/>
        <v/>
      </c>
      <c r="Z98" s="6"/>
      <c r="AA98" s="132"/>
      <c r="AC98" s="6" t="s">
        <v>2612</v>
      </c>
      <c r="AD98" s="6" t="s">
        <v>6799</v>
      </c>
      <c r="AE98" s="158">
        <v>165821</v>
      </c>
      <c r="AF98" s="159" t="s">
        <v>8296</v>
      </c>
      <c r="AG98" s="160">
        <v>96046</v>
      </c>
      <c r="AH98" s="193" t="s">
        <v>1314</v>
      </c>
      <c r="AI98" s="6" t="s">
        <v>280</v>
      </c>
      <c r="AJ98" s="80" t="s">
        <v>8196</v>
      </c>
      <c r="AK98" s="81" t="s">
        <v>8196</v>
      </c>
      <c r="AL98" s="4">
        <f t="shared" si="38"/>
        <v>0</v>
      </c>
      <c r="AM98" s="6" t="s">
        <v>952</v>
      </c>
      <c r="AN98" s="6" t="s">
        <v>5908</v>
      </c>
      <c r="AO98" t="str">
        <f t="shared" si="26"/>
        <v/>
      </c>
      <c r="AP98" t="s">
        <v>952</v>
      </c>
      <c r="AQ98" t="s">
        <v>4519</v>
      </c>
      <c r="AR98" s="15" t="s">
        <v>4641</v>
      </c>
      <c r="AV98" t="s">
        <v>1471</v>
      </c>
      <c r="AW98" t="s">
        <v>8047</v>
      </c>
      <c r="AX98" s="5">
        <v>0.47222222222222227</v>
      </c>
      <c r="AZ98" t="str">
        <f t="shared" si="27"/>
        <v>(11:14-11:20)</v>
      </c>
      <c r="BA98" s="5" t="str">
        <f t="shared" si="39"/>
        <v>(09:19-9:24)(11:00-11:06)(16:18-16:23)(11:14-11:20)</v>
      </c>
      <c r="CG98" s="6"/>
      <c r="CH98" s="132"/>
    </row>
    <row r="99" spans="1:86" ht="13.5">
      <c r="A99" s="135" t="str">
        <f t="shared" si="22"/>
        <v/>
      </c>
      <c r="B99" s="19" t="str">
        <f t="shared" si="23"/>
        <v/>
      </c>
      <c r="C99" s="19" t="str">
        <f t="shared" si="24"/>
        <v/>
      </c>
      <c r="D99" s="19" t="str">
        <f t="shared" si="25"/>
        <v/>
      </c>
      <c r="E99" s="5" t="str">
        <f t="shared" si="28"/>
        <v/>
      </c>
      <c r="F99" s="12" t="str">
        <f t="shared" si="29"/>
        <v/>
      </c>
      <c r="J99" s="7" t="str">
        <f t="shared" si="30"/>
        <v/>
      </c>
      <c r="K99" s="9" t="str">
        <f t="shared" si="31"/>
        <v/>
      </c>
      <c r="L99" s="6">
        <f t="shared" si="32"/>
        <v>0</v>
      </c>
      <c r="M99" s="6">
        <f t="shared" si="33"/>
        <v>0</v>
      </c>
      <c r="N99" s="94" t="str">
        <f t="shared" si="34"/>
        <v/>
      </c>
      <c r="O99"/>
      <c r="P99"/>
      <c r="Q99"/>
      <c r="R99"/>
      <c r="S99"/>
      <c r="T99" s="136" t="str">
        <f t="shared" si="35"/>
        <v/>
      </c>
      <c r="U99" s="137" t="str">
        <f t="shared" si="36"/>
        <v/>
      </c>
      <c r="V99" s="1"/>
      <c r="Y99" s="90" t="str">
        <f t="shared" si="37"/>
        <v/>
      </c>
      <c r="Z99" s="6"/>
      <c r="AA99" s="132"/>
      <c r="AC99" s="6">
        <v>986459</v>
      </c>
      <c r="AD99" s="6" t="s">
        <v>6777</v>
      </c>
      <c r="AE99" s="158" t="s">
        <v>3913</v>
      </c>
      <c r="AF99" s="159" t="s">
        <v>8325</v>
      </c>
      <c r="AG99" s="160">
        <v>105570</v>
      </c>
      <c r="AH99" s="193" t="s">
        <v>1314</v>
      </c>
      <c r="AI99" s="6" t="s">
        <v>1365</v>
      </c>
      <c r="AJ99" s="80" t="s">
        <v>8196</v>
      </c>
      <c r="AK99" s="82" t="s">
        <v>8196</v>
      </c>
      <c r="AL99" s="4">
        <f t="shared" si="38"/>
        <v>0</v>
      </c>
      <c r="AM99" s="6" t="s">
        <v>1307</v>
      </c>
      <c r="AN99" s="6" t="s">
        <v>5909</v>
      </c>
      <c r="AO99" t="str">
        <f t="shared" si="26"/>
        <v/>
      </c>
      <c r="AP99" t="s">
        <v>1307</v>
      </c>
      <c r="AQ99" t="s">
        <v>4841</v>
      </c>
      <c r="AR99" s="15" t="s">
        <v>4663</v>
      </c>
      <c r="AV99" t="s">
        <v>1471</v>
      </c>
      <c r="AW99" t="s">
        <v>8037</v>
      </c>
      <c r="AX99" s="5">
        <v>0.46249999999999997</v>
      </c>
      <c r="AZ99" t="str">
        <f t="shared" si="27"/>
        <v>(11:00-11:06)</v>
      </c>
      <c r="BA99" s="5" t="str">
        <f t="shared" si="39"/>
        <v>(09:19-9:24)(11:14-11:20)(11:00-11:06)</v>
      </c>
      <c r="CG99" s="6"/>
      <c r="CH99" s="132"/>
    </row>
    <row r="100" spans="1:86" ht="15">
      <c r="A100" s="135" t="str">
        <f t="shared" si="22"/>
        <v/>
      </c>
      <c r="B100" s="19" t="str">
        <f t="shared" si="23"/>
        <v/>
      </c>
      <c r="C100" s="19" t="str">
        <f t="shared" si="24"/>
        <v/>
      </c>
      <c r="D100" s="19" t="str">
        <f t="shared" si="25"/>
        <v/>
      </c>
      <c r="E100" s="5" t="str">
        <f t="shared" si="28"/>
        <v/>
      </c>
      <c r="F100" s="12" t="str">
        <f t="shared" si="29"/>
        <v/>
      </c>
      <c r="J100" s="7" t="str">
        <f t="shared" si="30"/>
        <v/>
      </c>
      <c r="K100" s="9" t="str">
        <f t="shared" si="31"/>
        <v/>
      </c>
      <c r="L100" s="6">
        <f t="shared" si="32"/>
        <v>0</v>
      </c>
      <c r="M100" s="6">
        <f t="shared" si="33"/>
        <v>0</v>
      </c>
      <c r="N100" s="94" t="str">
        <f t="shared" si="34"/>
        <v/>
      </c>
      <c r="O100"/>
      <c r="P100"/>
      <c r="Q100"/>
      <c r="R100"/>
      <c r="S100"/>
      <c r="T100" s="136" t="str">
        <f t="shared" si="35"/>
        <v/>
      </c>
      <c r="U100" s="137" t="str">
        <f t="shared" si="36"/>
        <v/>
      </c>
      <c r="V100" s="1"/>
      <c r="Y100" s="90" t="str">
        <f t="shared" si="37"/>
        <v/>
      </c>
      <c r="Z100" s="6"/>
      <c r="AA100" s="132"/>
      <c r="AC100" s="6">
        <v>986456</v>
      </c>
      <c r="AD100" s="6" t="s">
        <v>6777</v>
      </c>
      <c r="AE100" s="158" t="s">
        <v>4032</v>
      </c>
      <c r="AF100" s="159" t="s">
        <v>8299</v>
      </c>
      <c r="AG100" s="160">
        <v>105571</v>
      </c>
      <c r="AH100" s="193" t="s">
        <v>679</v>
      </c>
      <c r="AI100" s="6" t="s">
        <v>416</v>
      </c>
      <c r="AJ100" s="14" t="s">
        <v>8196</v>
      </c>
      <c r="AK100" s="83" t="s">
        <v>8196</v>
      </c>
      <c r="AL100" s="4">
        <f t="shared" si="38"/>
        <v>0</v>
      </c>
      <c r="AM100" s="6" t="s">
        <v>1265</v>
      </c>
      <c r="AN100" s="6" t="s">
        <v>5910</v>
      </c>
      <c r="AO100" t="str">
        <f t="shared" si="26"/>
        <v/>
      </c>
      <c r="AP100" t="s">
        <v>1265</v>
      </c>
      <c r="AQ100" t="s">
        <v>4512</v>
      </c>
      <c r="AR100" s="15">
        <v>9874</v>
      </c>
      <c r="AV100" t="s">
        <v>1471</v>
      </c>
      <c r="AW100" t="s">
        <v>7994</v>
      </c>
      <c r="AX100" s="5">
        <v>0.39166666666666666</v>
      </c>
      <c r="AZ100" t="str">
        <f t="shared" si="27"/>
        <v>(09:19-9:24)</v>
      </c>
      <c r="BA100" s="5" t="str">
        <f t="shared" si="39"/>
        <v>(11:00-11:06)(09:19-9:24)</v>
      </c>
      <c r="CG100" s="6"/>
      <c r="CH100" s="132"/>
    </row>
    <row r="101" spans="1:86" ht="13.5">
      <c r="A101" s="135" t="str">
        <f t="shared" si="22"/>
        <v/>
      </c>
      <c r="B101" s="19" t="str">
        <f t="shared" si="23"/>
        <v/>
      </c>
      <c r="C101" s="19" t="str">
        <f t="shared" si="24"/>
        <v/>
      </c>
      <c r="D101" s="19" t="str">
        <f t="shared" si="25"/>
        <v/>
      </c>
      <c r="E101" s="5" t="str">
        <f t="shared" si="28"/>
        <v/>
      </c>
      <c r="F101" s="12" t="str">
        <f t="shared" si="29"/>
        <v/>
      </c>
      <c r="J101" s="7" t="str">
        <f t="shared" si="30"/>
        <v/>
      </c>
      <c r="K101" s="9" t="str">
        <f t="shared" si="31"/>
        <v/>
      </c>
      <c r="L101" s="6">
        <f t="shared" si="32"/>
        <v>0</v>
      </c>
      <c r="M101" s="6">
        <f t="shared" si="33"/>
        <v>0</v>
      </c>
      <c r="N101" s="94" t="str">
        <f t="shared" si="34"/>
        <v/>
      </c>
      <c r="O101"/>
      <c r="P101"/>
      <c r="Q101"/>
      <c r="R101"/>
      <c r="S101"/>
      <c r="T101" s="136" t="str">
        <f t="shared" si="35"/>
        <v/>
      </c>
      <c r="U101" s="137" t="str">
        <f t="shared" si="36"/>
        <v/>
      </c>
      <c r="V101" s="1"/>
      <c r="Y101" s="90" t="str">
        <f t="shared" si="37"/>
        <v/>
      </c>
      <c r="Z101" s="6"/>
      <c r="AA101" s="132"/>
      <c r="AC101" s="6">
        <v>826342</v>
      </c>
      <c r="AD101" s="6" t="s">
        <v>6754</v>
      </c>
      <c r="AE101" s="158" t="s">
        <v>2616</v>
      </c>
      <c r="AF101" s="159" t="s">
        <v>8292</v>
      </c>
      <c r="AG101" s="160">
        <v>105572</v>
      </c>
      <c r="AH101" s="193" t="s">
        <v>679</v>
      </c>
      <c r="AI101" s="6" t="s">
        <v>562</v>
      </c>
      <c r="AJ101" s="84" t="s">
        <v>8207</v>
      </c>
      <c r="AK101" s="39" t="s">
        <v>8207</v>
      </c>
      <c r="AL101" s="4">
        <f t="shared" si="38"/>
        <v>0</v>
      </c>
      <c r="AM101" s="6" t="s">
        <v>1215</v>
      </c>
      <c r="AN101" s="6" t="s">
        <v>5911</v>
      </c>
      <c r="AO101" t="str">
        <f t="shared" si="26"/>
        <v/>
      </c>
      <c r="AP101" t="s">
        <v>1215</v>
      </c>
      <c r="AQ101" t="s">
        <v>4841</v>
      </c>
      <c r="AR101" s="15" t="s">
        <v>4597</v>
      </c>
      <c r="AV101" t="s">
        <v>587</v>
      </c>
      <c r="AW101" t="s">
        <v>8046</v>
      </c>
      <c r="AX101" s="5">
        <v>0.51527777777777783</v>
      </c>
      <c r="AZ101" t="str">
        <f t="shared" ref="AZ101:AZ132" si="40">IF(ISBLANK(AW101),"",CONCATENATE("(",RIGHT(AW101,5),"-",TEXT(AX101,"h:mm;@"),")"))</f>
        <v>(11:24-12:22)</v>
      </c>
      <c r="BA101" s="5" t="str">
        <f t="shared" si="39"/>
        <v>(08:26-9:19)(11:24-12:22)</v>
      </c>
      <c r="CG101" s="6"/>
      <c r="CH101" s="132"/>
    </row>
    <row r="102" spans="1:86" ht="15">
      <c r="A102" s="135" t="str">
        <f t="shared" si="22"/>
        <v/>
      </c>
      <c r="B102" s="19" t="str">
        <f t="shared" si="23"/>
        <v/>
      </c>
      <c r="C102" s="19" t="str">
        <f t="shared" si="24"/>
        <v/>
      </c>
      <c r="D102" s="19" t="str">
        <f t="shared" si="25"/>
        <v/>
      </c>
      <c r="E102" s="5" t="str">
        <f t="shared" si="28"/>
        <v/>
      </c>
      <c r="F102" s="12" t="str">
        <f t="shared" si="29"/>
        <v/>
      </c>
      <c r="J102" s="7" t="str">
        <f t="shared" si="30"/>
        <v/>
      </c>
      <c r="K102" s="9" t="str">
        <f t="shared" si="31"/>
        <v/>
      </c>
      <c r="L102" s="6">
        <f t="shared" si="32"/>
        <v>0</v>
      </c>
      <c r="M102" s="6">
        <f t="shared" si="33"/>
        <v>0</v>
      </c>
      <c r="N102" s="94" t="str">
        <f t="shared" si="34"/>
        <v/>
      </c>
      <c r="O102"/>
      <c r="P102"/>
      <c r="Q102"/>
      <c r="R102"/>
      <c r="S102"/>
      <c r="T102" s="136" t="str">
        <f t="shared" si="35"/>
        <v/>
      </c>
      <c r="U102" s="137" t="str">
        <f t="shared" si="36"/>
        <v/>
      </c>
      <c r="V102" s="1"/>
      <c r="Y102" s="90" t="str">
        <f t="shared" si="37"/>
        <v/>
      </c>
      <c r="Z102" s="6"/>
      <c r="AA102" s="132"/>
      <c r="AC102" s="6" t="s">
        <v>2678</v>
      </c>
      <c r="AD102" s="6" t="s">
        <v>6800</v>
      </c>
      <c r="AE102" s="158" t="s">
        <v>3875</v>
      </c>
      <c r="AF102" s="159" t="s">
        <v>8325</v>
      </c>
      <c r="AG102" s="160">
        <v>105573</v>
      </c>
      <c r="AH102" s="193" t="s">
        <v>679</v>
      </c>
      <c r="AI102" s="6" t="s">
        <v>1520</v>
      </c>
      <c r="AJ102" s="27" t="s">
        <v>8201</v>
      </c>
      <c r="AK102" s="34" t="s">
        <v>8666</v>
      </c>
      <c r="AL102" s="4">
        <f t="shared" si="38"/>
        <v>0</v>
      </c>
      <c r="AM102" s="6" t="s">
        <v>1228</v>
      </c>
      <c r="AN102" s="6" t="s">
        <v>5912</v>
      </c>
      <c r="AO102" t="str">
        <f t="shared" si="26"/>
        <v/>
      </c>
      <c r="AP102" t="s">
        <v>1228</v>
      </c>
      <c r="AQ102" t="s">
        <v>4519</v>
      </c>
      <c r="AR102" s="15" t="s">
        <v>4607</v>
      </c>
      <c r="AV102" t="s">
        <v>587</v>
      </c>
      <c r="AW102" t="s">
        <v>7974</v>
      </c>
      <c r="AX102" s="5">
        <v>0.38819444444444445</v>
      </c>
      <c r="AZ102" t="str">
        <f t="shared" si="40"/>
        <v>(08:26-9:19)</v>
      </c>
      <c r="BA102" s="5" t="str">
        <f t="shared" si="39"/>
        <v>(11:24-12:22)(08:26-9:19)</v>
      </c>
      <c r="CG102" s="6"/>
      <c r="CH102" s="132"/>
    </row>
    <row r="103" spans="1:86" ht="15">
      <c r="A103" s="135" t="str">
        <f t="shared" si="22"/>
        <v/>
      </c>
      <c r="B103" s="19" t="str">
        <f t="shared" si="23"/>
        <v/>
      </c>
      <c r="C103" s="19" t="str">
        <f t="shared" si="24"/>
        <v/>
      </c>
      <c r="D103" s="19" t="str">
        <f t="shared" si="25"/>
        <v/>
      </c>
      <c r="E103" s="5" t="str">
        <f t="shared" si="28"/>
        <v/>
      </c>
      <c r="F103" s="12" t="str">
        <f t="shared" si="29"/>
        <v/>
      </c>
      <c r="J103" s="7" t="str">
        <f t="shared" si="30"/>
        <v/>
      </c>
      <c r="K103" s="9" t="str">
        <f t="shared" si="31"/>
        <v/>
      </c>
      <c r="L103" s="6">
        <f t="shared" si="32"/>
        <v>0</v>
      </c>
      <c r="M103" s="6">
        <f t="shared" si="33"/>
        <v>0</v>
      </c>
      <c r="N103" s="94" t="str">
        <f t="shared" si="34"/>
        <v/>
      </c>
      <c r="O103"/>
      <c r="P103"/>
      <c r="Q103"/>
      <c r="R103"/>
      <c r="S103"/>
      <c r="T103" s="136" t="str">
        <f t="shared" si="35"/>
        <v/>
      </c>
      <c r="U103" s="137" t="str">
        <f t="shared" si="36"/>
        <v/>
      </c>
      <c r="V103" s="1"/>
      <c r="Y103" s="90" t="str">
        <f t="shared" si="37"/>
        <v/>
      </c>
      <c r="Z103" s="6"/>
      <c r="AA103" s="132"/>
      <c r="AC103" s="6">
        <v>385664</v>
      </c>
      <c r="AD103" s="6" t="s">
        <v>6801</v>
      </c>
      <c r="AE103" s="158" t="s">
        <v>3878</v>
      </c>
      <c r="AF103" s="159" t="s">
        <v>8332</v>
      </c>
      <c r="AG103" s="160">
        <v>105574</v>
      </c>
      <c r="AH103" s="193" t="s">
        <v>679</v>
      </c>
      <c r="AI103" s="6" t="s">
        <v>76</v>
      </c>
      <c r="AJ103" s="27" t="s">
        <v>8225</v>
      </c>
      <c r="AK103" s="85" t="s">
        <v>8225</v>
      </c>
      <c r="AL103" s="4">
        <f t="shared" si="38"/>
        <v>0</v>
      </c>
      <c r="AM103" s="6" t="s">
        <v>1277</v>
      </c>
      <c r="AN103" s="6" t="s">
        <v>5913</v>
      </c>
      <c r="AO103" t="str">
        <f t="shared" si="26"/>
        <v/>
      </c>
      <c r="AP103" t="s">
        <v>1277</v>
      </c>
      <c r="AQ103" t="s">
        <v>4841</v>
      </c>
      <c r="AR103" s="15" t="s">
        <v>4671</v>
      </c>
      <c r="AV103" t="s">
        <v>585</v>
      </c>
      <c r="AW103" t="s">
        <v>8000</v>
      </c>
      <c r="AX103" s="5">
        <v>0.38611111111111113</v>
      </c>
      <c r="AZ103" t="str">
        <f t="shared" si="40"/>
        <v>(09:13-9:16)</v>
      </c>
      <c r="BA103" s="5" t="str">
        <f t="shared" si="39"/>
        <v>(09:06-9:11)(09:13-9:16)</v>
      </c>
      <c r="CG103" s="6"/>
      <c r="CH103" s="132"/>
    </row>
    <row r="104" spans="1:86" ht="13.5">
      <c r="A104" s="135" t="str">
        <f t="shared" ref="A104:A167" si="41">IF(ISNA(VLOOKUP(I104,AC:AD,2,FALSE)),"",VLOOKUP(I104,AC:AD,2,FALSE))</f>
        <v/>
      </c>
      <c r="B104" s="19" t="str">
        <f t="shared" ref="B104:B167" si="42">IF(ISNA(VLOOKUP(I104,AE:AF,2,FALSE)),"",VLOOKUP(I104,AE:AF,2,FALSE))</f>
        <v/>
      </c>
      <c r="C104" s="19" t="str">
        <f t="shared" ref="C104:C167" si="43">IF(ISNA(VLOOKUP(I104,AM:AN,2,FALSE)),"",VLOOKUP(I104,AM:AN,2,FALSE))</f>
        <v/>
      </c>
      <c r="D104" s="19" t="str">
        <f t="shared" ref="D104:D167" si="44">IF(ISNA(VLOOKUP(I104,AG:AH,2,FALSE)),"",VLOOKUP(I104,AG:AH,2,FALSE))</f>
        <v/>
      </c>
      <c r="E104" s="5" t="str">
        <f t="shared" si="28"/>
        <v/>
      </c>
      <c r="F104" s="12" t="str">
        <f t="shared" si="29"/>
        <v/>
      </c>
      <c r="J104" s="7" t="str">
        <f t="shared" si="30"/>
        <v/>
      </c>
      <c r="K104" s="9" t="str">
        <f t="shared" si="31"/>
        <v/>
      </c>
      <c r="L104" s="6">
        <f t="shared" si="32"/>
        <v>0</v>
      </c>
      <c r="M104" s="6">
        <f t="shared" si="33"/>
        <v>0</v>
      </c>
      <c r="N104" s="94" t="str">
        <f t="shared" si="34"/>
        <v/>
      </c>
      <c r="O104"/>
      <c r="P104"/>
      <c r="Q104"/>
      <c r="R104"/>
      <c r="S104"/>
      <c r="T104" s="136" t="str">
        <f t="shared" si="35"/>
        <v/>
      </c>
      <c r="U104" s="137" t="str">
        <f t="shared" si="36"/>
        <v/>
      </c>
      <c r="V104" s="1"/>
      <c r="Y104" s="90" t="str">
        <f t="shared" si="37"/>
        <v/>
      </c>
      <c r="Z104" s="6"/>
      <c r="AA104" s="132"/>
      <c r="AC104" s="6">
        <v>243766</v>
      </c>
      <c r="AD104" s="6" t="s">
        <v>6802</v>
      </c>
      <c r="AE104" s="158" t="s">
        <v>4060</v>
      </c>
      <c r="AF104" s="159" t="s">
        <v>8299</v>
      </c>
      <c r="AG104" s="160">
        <v>105575</v>
      </c>
      <c r="AH104" s="193" t="s">
        <v>1314</v>
      </c>
      <c r="AI104" s="6" t="s">
        <v>1992</v>
      </c>
      <c r="AJ104" s="1" t="s">
        <v>8227</v>
      </c>
      <c r="AK104" s="86" t="s">
        <v>8227</v>
      </c>
      <c r="AL104" s="4">
        <f t="shared" si="38"/>
        <v>0</v>
      </c>
      <c r="AM104" s="6" t="s">
        <v>1224</v>
      </c>
      <c r="AN104" s="6" t="s">
        <v>5914</v>
      </c>
      <c r="AO104" t="str">
        <f t="shared" si="26"/>
        <v/>
      </c>
      <c r="AP104" t="s">
        <v>1224</v>
      </c>
      <c r="AQ104" t="s">
        <v>4519</v>
      </c>
      <c r="AR104" s="15" t="s">
        <v>4604</v>
      </c>
      <c r="AV104" t="s">
        <v>585</v>
      </c>
      <c r="AW104" t="s">
        <v>7989</v>
      </c>
      <c r="AX104" s="5">
        <v>0.38263888888888892</v>
      </c>
      <c r="AZ104" t="str">
        <f t="shared" si="40"/>
        <v>(09:06-9:11)</v>
      </c>
      <c r="BA104" s="5" t="str">
        <f t="shared" si="39"/>
        <v>(09:13-9:16)(09:06-9:11)</v>
      </c>
      <c r="CG104" s="6"/>
      <c r="CH104" s="132"/>
    </row>
    <row r="105" spans="1:86" ht="13.5">
      <c r="A105" s="135" t="str">
        <f t="shared" si="41"/>
        <v/>
      </c>
      <c r="B105" s="19" t="str">
        <f t="shared" si="42"/>
        <v/>
      </c>
      <c r="C105" s="19" t="str">
        <f t="shared" si="43"/>
        <v/>
      </c>
      <c r="D105" s="19" t="str">
        <f t="shared" si="44"/>
        <v/>
      </c>
      <c r="E105" s="5" t="str">
        <f t="shared" si="28"/>
        <v/>
      </c>
      <c r="F105" s="12" t="str">
        <f t="shared" si="29"/>
        <v/>
      </c>
      <c r="J105" s="7" t="str">
        <f t="shared" si="30"/>
        <v/>
      </c>
      <c r="K105" s="9" t="str">
        <f t="shared" si="31"/>
        <v/>
      </c>
      <c r="L105" s="6">
        <f t="shared" si="32"/>
        <v>0</v>
      </c>
      <c r="M105" s="6">
        <f t="shared" si="33"/>
        <v>0</v>
      </c>
      <c r="N105" s="94" t="str">
        <f t="shared" si="34"/>
        <v/>
      </c>
      <c r="O105"/>
      <c r="P105"/>
      <c r="Q105"/>
      <c r="R105"/>
      <c r="S105"/>
      <c r="T105" s="136" t="str">
        <f t="shared" si="35"/>
        <v/>
      </c>
      <c r="U105" s="137" t="str">
        <f t="shared" si="36"/>
        <v/>
      </c>
      <c r="V105" s="1"/>
      <c r="Y105" s="90" t="str">
        <f t="shared" si="37"/>
        <v/>
      </c>
      <c r="Z105" s="6"/>
      <c r="AA105" s="132"/>
      <c r="AC105" s="6" t="s">
        <v>2640</v>
      </c>
      <c r="AD105" s="6" t="s">
        <v>6803</v>
      </c>
      <c r="AE105" s="158" t="s">
        <v>4089</v>
      </c>
      <c r="AF105" s="159" t="s">
        <v>8332</v>
      </c>
      <c r="AG105" s="160">
        <v>105576</v>
      </c>
      <c r="AH105" s="193" t="s">
        <v>1314</v>
      </c>
      <c r="AI105" s="6" t="s">
        <v>1367</v>
      </c>
      <c r="AJ105" s="87" t="s">
        <v>8196</v>
      </c>
      <c r="AK105" s="81" t="s">
        <v>8196</v>
      </c>
      <c r="AL105" s="4">
        <f t="shared" si="38"/>
        <v>0</v>
      </c>
      <c r="AM105" s="6" t="s">
        <v>1270</v>
      </c>
      <c r="AN105" s="6" t="s">
        <v>5915</v>
      </c>
      <c r="AO105" t="str">
        <f t="shared" si="26"/>
        <v/>
      </c>
      <c r="AP105" t="s">
        <v>1270</v>
      </c>
      <c r="AQ105" t="s">
        <v>4841</v>
      </c>
      <c r="AR105" s="15" t="s">
        <v>4660</v>
      </c>
      <c r="AV105" t="s">
        <v>5414</v>
      </c>
      <c r="AW105" t="s">
        <v>8144</v>
      </c>
      <c r="AX105" s="5">
        <v>0.68263888888888891</v>
      </c>
      <c r="AZ105" t="str">
        <f t="shared" si="40"/>
        <v>(15:38-16:23)</v>
      </c>
      <c r="BA105" s="5" t="str">
        <f t="shared" si="39"/>
        <v>(15:38-16:23)</v>
      </c>
      <c r="CG105" s="6"/>
      <c r="CH105" s="132"/>
    </row>
    <row r="106" spans="1:86" ht="15">
      <c r="A106" s="135" t="str">
        <f t="shared" si="41"/>
        <v/>
      </c>
      <c r="B106" s="19" t="str">
        <f t="shared" si="42"/>
        <v/>
      </c>
      <c r="C106" s="19" t="str">
        <f t="shared" si="43"/>
        <v/>
      </c>
      <c r="D106" s="19" t="str">
        <f t="shared" si="44"/>
        <v/>
      </c>
      <c r="E106" s="5" t="str">
        <f t="shared" si="28"/>
        <v/>
      </c>
      <c r="F106" s="12" t="str">
        <f t="shared" si="29"/>
        <v/>
      </c>
      <c r="J106" s="7" t="str">
        <f t="shared" si="30"/>
        <v/>
      </c>
      <c r="K106" s="9" t="str">
        <f t="shared" si="31"/>
        <v/>
      </c>
      <c r="L106" s="6">
        <f t="shared" si="32"/>
        <v>0</v>
      </c>
      <c r="M106" s="6">
        <f t="shared" si="33"/>
        <v>0</v>
      </c>
      <c r="N106" s="94" t="str">
        <f t="shared" si="34"/>
        <v/>
      </c>
      <c r="O106"/>
      <c r="P106"/>
      <c r="Q106"/>
      <c r="R106"/>
      <c r="S106"/>
      <c r="T106" s="136" t="str">
        <f t="shared" si="35"/>
        <v/>
      </c>
      <c r="U106" s="137" t="str">
        <f t="shared" si="36"/>
        <v/>
      </c>
      <c r="V106" s="1"/>
      <c r="Y106" s="90" t="str">
        <f t="shared" si="37"/>
        <v/>
      </c>
      <c r="AC106" s="6">
        <v>185847</v>
      </c>
      <c r="AD106" s="6" t="s">
        <v>6804</v>
      </c>
      <c r="AE106" s="158">
        <v>886403</v>
      </c>
      <c r="AF106" s="159" t="s">
        <v>8332</v>
      </c>
      <c r="AG106" s="160">
        <v>105577</v>
      </c>
      <c r="AH106" s="193" t="s">
        <v>1314</v>
      </c>
      <c r="AI106" s="6" t="s">
        <v>1097</v>
      </c>
      <c r="AJ106" s="30" t="s">
        <v>8228</v>
      </c>
      <c r="AK106" s="95" t="s">
        <v>8228</v>
      </c>
      <c r="AL106" s="4">
        <f t="shared" si="38"/>
        <v>0</v>
      </c>
      <c r="AM106" s="6" t="s">
        <v>2229</v>
      </c>
      <c r="AN106" s="6" t="s">
        <v>5916</v>
      </c>
      <c r="AO106" t="str">
        <f t="shared" si="26"/>
        <v/>
      </c>
      <c r="AP106" t="s">
        <v>2229</v>
      </c>
      <c r="AQ106" t="s">
        <v>4519</v>
      </c>
      <c r="AR106" s="15" t="s">
        <v>4685</v>
      </c>
      <c r="AV106" t="s">
        <v>4715</v>
      </c>
      <c r="AW106" t="s">
        <v>8006</v>
      </c>
      <c r="AX106" s="5">
        <v>0.39374999999999999</v>
      </c>
      <c r="AZ106" t="str">
        <f t="shared" si="40"/>
        <v>(09:26-9:27)</v>
      </c>
      <c r="BA106" s="5" t="str">
        <f t="shared" si="39"/>
        <v>(09:26-9:27)</v>
      </c>
    </row>
    <row r="107" spans="1:86" ht="13.5">
      <c r="A107" s="135" t="str">
        <f t="shared" si="41"/>
        <v/>
      </c>
      <c r="B107" s="19" t="str">
        <f t="shared" si="42"/>
        <v/>
      </c>
      <c r="C107" s="19" t="str">
        <f t="shared" si="43"/>
        <v/>
      </c>
      <c r="D107" s="19" t="str">
        <f t="shared" si="44"/>
        <v/>
      </c>
      <c r="E107" s="5" t="str">
        <f t="shared" si="28"/>
        <v/>
      </c>
      <c r="F107" s="12" t="str">
        <f t="shared" si="29"/>
        <v/>
      </c>
      <c r="J107" s="7" t="str">
        <f t="shared" si="30"/>
        <v/>
      </c>
      <c r="K107" s="9" t="str">
        <f t="shared" si="31"/>
        <v/>
      </c>
      <c r="L107" s="6">
        <f t="shared" si="32"/>
        <v>0</v>
      </c>
      <c r="M107" s="6">
        <f t="shared" si="33"/>
        <v>0</v>
      </c>
      <c r="N107" s="94" t="str">
        <f t="shared" si="34"/>
        <v/>
      </c>
      <c r="O107"/>
      <c r="P107"/>
      <c r="Q107"/>
      <c r="R107"/>
      <c r="S107"/>
      <c r="T107" s="136" t="str">
        <f t="shared" si="35"/>
        <v/>
      </c>
      <c r="U107" s="137" t="str">
        <f t="shared" si="36"/>
        <v/>
      </c>
      <c r="V107" s="1"/>
      <c r="Y107" s="90" t="str">
        <f t="shared" si="37"/>
        <v/>
      </c>
      <c r="AC107" s="6" t="s">
        <v>2820</v>
      </c>
      <c r="AD107" s="6" t="s">
        <v>6805</v>
      </c>
      <c r="AE107" s="158">
        <v>886410</v>
      </c>
      <c r="AF107" s="159" t="s">
        <v>8322</v>
      </c>
      <c r="AG107" s="160">
        <v>105578</v>
      </c>
      <c r="AH107" s="193" t="s">
        <v>679</v>
      </c>
      <c r="AI107" s="6" t="s">
        <v>4120</v>
      </c>
      <c r="AJ107" s="30" t="s">
        <v>8229</v>
      </c>
      <c r="AK107" t="s">
        <v>8229</v>
      </c>
      <c r="AL107" s="4">
        <f t="shared" si="38"/>
        <v>0</v>
      </c>
      <c r="AM107" s="6" t="s">
        <v>1305</v>
      </c>
      <c r="AN107" s="6" t="s">
        <v>5917</v>
      </c>
      <c r="AO107" t="str">
        <f t="shared" si="26"/>
        <v/>
      </c>
      <c r="AP107" t="s">
        <v>1305</v>
      </c>
      <c r="AQ107" t="s">
        <v>4512</v>
      </c>
      <c r="AR107" s="15">
        <v>1695</v>
      </c>
      <c r="AV107" t="s">
        <v>579</v>
      </c>
      <c r="AW107" t="s">
        <v>8141</v>
      </c>
      <c r="AX107" s="5">
        <v>0.66736111111111107</v>
      </c>
      <c r="AZ107" t="str">
        <f t="shared" si="40"/>
        <v>(15:41-16:01)</v>
      </c>
      <c r="BA107" s="5" t="str">
        <f t="shared" si="39"/>
        <v>(15:41-16:01)</v>
      </c>
    </row>
    <row r="108" spans="1:86" ht="13.5">
      <c r="A108" s="135" t="str">
        <f t="shared" si="41"/>
        <v/>
      </c>
      <c r="B108" s="19" t="str">
        <f t="shared" si="42"/>
        <v/>
      </c>
      <c r="C108" s="19" t="str">
        <f t="shared" si="43"/>
        <v/>
      </c>
      <c r="D108" s="19" t="str">
        <f t="shared" si="44"/>
        <v/>
      </c>
      <c r="E108" s="5" t="str">
        <f t="shared" si="28"/>
        <v/>
      </c>
      <c r="F108" s="12" t="str">
        <f t="shared" si="29"/>
        <v/>
      </c>
      <c r="J108" s="7" t="str">
        <f t="shared" si="30"/>
        <v/>
      </c>
      <c r="K108" s="9" t="str">
        <f t="shared" si="31"/>
        <v/>
      </c>
      <c r="L108" s="6">
        <f t="shared" si="32"/>
        <v>0</v>
      </c>
      <c r="M108" s="6">
        <f t="shared" si="33"/>
        <v>0</v>
      </c>
      <c r="N108" s="94" t="str">
        <f t="shared" si="34"/>
        <v/>
      </c>
      <c r="O108"/>
      <c r="P108"/>
      <c r="Q108"/>
      <c r="R108"/>
      <c r="S108"/>
      <c r="T108" s="136" t="str">
        <f t="shared" si="35"/>
        <v/>
      </c>
      <c r="U108" s="137" t="str">
        <f t="shared" si="36"/>
        <v/>
      </c>
      <c r="V108" s="1"/>
      <c r="Y108" s="90" t="str">
        <f t="shared" si="37"/>
        <v/>
      </c>
      <c r="AC108" s="6" t="s">
        <v>2622</v>
      </c>
      <c r="AD108" s="6" t="s">
        <v>6805</v>
      </c>
      <c r="AE108" s="158">
        <v>886411</v>
      </c>
      <c r="AF108" s="159" t="s">
        <v>8325</v>
      </c>
      <c r="AG108" s="160">
        <v>105579</v>
      </c>
      <c r="AH108" s="193" t="s">
        <v>1314</v>
      </c>
      <c r="AI108" s="6" t="s">
        <v>4320</v>
      </c>
      <c r="AJ108" s="30" t="s">
        <v>8230</v>
      </c>
      <c r="AK108" t="s">
        <v>8230</v>
      </c>
      <c r="AL108" s="4">
        <f t="shared" si="38"/>
        <v>0</v>
      </c>
      <c r="AM108" s="6" t="s">
        <v>1306</v>
      </c>
      <c r="AN108" s="6" t="s">
        <v>5918</v>
      </c>
      <c r="AO108" t="str">
        <f t="shared" si="26"/>
        <v/>
      </c>
      <c r="AP108" t="s">
        <v>1306</v>
      </c>
      <c r="AQ108" t="s">
        <v>4841</v>
      </c>
      <c r="AR108" s="15" t="s">
        <v>4661</v>
      </c>
      <c r="AV108" t="s">
        <v>574</v>
      </c>
      <c r="AW108" t="s">
        <v>8139</v>
      </c>
      <c r="AX108" s="5">
        <v>0.64027777777777783</v>
      </c>
      <c r="AZ108" t="str">
        <f t="shared" si="40"/>
        <v>(15:17-15:22)</v>
      </c>
      <c r="BA108" s="5" t="str">
        <f t="shared" si="39"/>
        <v>(15:17-15:22)</v>
      </c>
    </row>
    <row r="109" spans="1:86" ht="13.5">
      <c r="A109" s="135" t="str">
        <f t="shared" si="41"/>
        <v/>
      </c>
      <c r="B109" s="19" t="str">
        <f t="shared" si="42"/>
        <v/>
      </c>
      <c r="C109" s="19" t="str">
        <f t="shared" si="43"/>
        <v/>
      </c>
      <c r="D109" s="19" t="str">
        <f t="shared" si="44"/>
        <v/>
      </c>
      <c r="E109" s="5" t="str">
        <f t="shared" si="28"/>
        <v/>
      </c>
      <c r="F109" s="12" t="str">
        <f t="shared" si="29"/>
        <v/>
      </c>
      <c r="J109" s="7" t="str">
        <f t="shared" si="30"/>
        <v/>
      </c>
      <c r="K109" s="9" t="str">
        <f t="shared" si="31"/>
        <v/>
      </c>
      <c r="L109" s="6">
        <f t="shared" si="32"/>
        <v>0</v>
      </c>
      <c r="M109" s="6">
        <f t="shared" si="33"/>
        <v>0</v>
      </c>
      <c r="N109" s="94" t="str">
        <f t="shared" si="34"/>
        <v/>
      </c>
      <c r="O109"/>
      <c r="P109"/>
      <c r="Q109"/>
      <c r="R109"/>
      <c r="S109"/>
      <c r="T109" s="136" t="str">
        <f t="shared" si="35"/>
        <v/>
      </c>
      <c r="U109" s="137" t="str">
        <f t="shared" si="36"/>
        <v/>
      </c>
      <c r="V109" s="1"/>
      <c r="Y109" s="90" t="str">
        <f t="shared" si="37"/>
        <v/>
      </c>
      <c r="AC109" s="6" t="s">
        <v>2621</v>
      </c>
      <c r="AD109" s="6" t="s">
        <v>6805</v>
      </c>
      <c r="AE109" s="158">
        <v>916421</v>
      </c>
      <c r="AF109" s="159" t="s">
        <v>8300</v>
      </c>
      <c r="AG109" s="160">
        <v>105580</v>
      </c>
      <c r="AH109" s="193" t="s">
        <v>1314</v>
      </c>
      <c r="AI109" s="6" t="s">
        <v>2174</v>
      </c>
      <c r="AJ109" s="30" t="s">
        <v>8231</v>
      </c>
      <c r="AK109" t="s">
        <v>8238</v>
      </c>
      <c r="AL109" s="4">
        <f t="shared" si="38"/>
        <v>0</v>
      </c>
      <c r="AM109" s="6" t="s">
        <v>935</v>
      </c>
      <c r="AN109" s="6" t="s">
        <v>5919</v>
      </c>
      <c r="AO109" t="str">
        <f t="shared" si="26"/>
        <v/>
      </c>
      <c r="AP109" t="s">
        <v>935</v>
      </c>
      <c r="AQ109" t="s">
        <v>4841</v>
      </c>
      <c r="AR109" s="15" t="s">
        <v>4556</v>
      </c>
      <c r="AV109" t="s">
        <v>5784</v>
      </c>
      <c r="AW109" t="s">
        <v>8063</v>
      </c>
      <c r="AX109" s="5">
        <v>0.55486111111111114</v>
      </c>
      <c r="AZ109" t="str">
        <f t="shared" si="40"/>
        <v>(12:12-13:19)</v>
      </c>
      <c r="BA109" s="5" t="str">
        <f t="shared" si="39"/>
        <v>(12:12-13:19)</v>
      </c>
    </row>
    <row r="110" spans="1:86" ht="13.5">
      <c r="A110" s="135" t="str">
        <f t="shared" si="41"/>
        <v/>
      </c>
      <c r="B110" s="19" t="str">
        <f t="shared" si="42"/>
        <v/>
      </c>
      <c r="C110" s="19" t="str">
        <f t="shared" si="43"/>
        <v/>
      </c>
      <c r="D110" s="19" t="str">
        <f t="shared" si="44"/>
        <v/>
      </c>
      <c r="E110" s="5" t="str">
        <f t="shared" si="28"/>
        <v/>
      </c>
      <c r="F110" s="12" t="str">
        <f t="shared" si="29"/>
        <v/>
      </c>
      <c r="J110" s="7" t="str">
        <f t="shared" si="30"/>
        <v/>
      </c>
      <c r="K110" s="9" t="str">
        <f t="shared" si="31"/>
        <v/>
      </c>
      <c r="L110" s="6">
        <f t="shared" si="32"/>
        <v>0</v>
      </c>
      <c r="M110" s="6">
        <f t="shared" si="33"/>
        <v>0</v>
      </c>
      <c r="N110" s="94" t="str">
        <f t="shared" si="34"/>
        <v/>
      </c>
      <c r="O110"/>
      <c r="P110"/>
      <c r="Q110"/>
      <c r="R110"/>
      <c r="S110"/>
      <c r="T110" s="136" t="str">
        <f t="shared" si="35"/>
        <v/>
      </c>
      <c r="U110" s="137" t="str">
        <f t="shared" si="36"/>
        <v/>
      </c>
      <c r="V110" s="1"/>
      <c r="Y110" s="90" t="str">
        <f t="shared" si="37"/>
        <v/>
      </c>
      <c r="AC110" s="6" t="s">
        <v>2534</v>
      </c>
      <c r="AD110" s="6" t="s">
        <v>6805</v>
      </c>
      <c r="AE110" s="158">
        <v>926428</v>
      </c>
      <c r="AF110" s="159" t="s">
        <v>8309</v>
      </c>
      <c r="AG110" s="160">
        <v>105584</v>
      </c>
      <c r="AH110" s="193" t="s">
        <v>1314</v>
      </c>
      <c r="AI110" s="6" t="s">
        <v>1776</v>
      </c>
      <c r="AJ110" s="30" t="s">
        <v>8232</v>
      </c>
      <c r="AK110" t="s">
        <v>8232</v>
      </c>
      <c r="AL110" s="4">
        <f t="shared" si="38"/>
        <v>0</v>
      </c>
      <c r="AM110" s="6" t="s">
        <v>1291</v>
      </c>
      <c r="AN110" s="6" t="s">
        <v>5920</v>
      </c>
      <c r="AO110" t="str">
        <f t="shared" si="26"/>
        <v/>
      </c>
      <c r="AP110" t="s">
        <v>1291</v>
      </c>
      <c r="AQ110" t="s">
        <v>4512</v>
      </c>
      <c r="AR110" s="15">
        <v>8763</v>
      </c>
      <c r="AV110" t="s">
        <v>559</v>
      </c>
      <c r="AW110" t="s">
        <v>8163</v>
      </c>
      <c r="AX110" s="5">
        <v>0.68472222222222223</v>
      </c>
      <c r="AZ110" t="str">
        <f t="shared" si="40"/>
        <v>(16:21-16:26)</v>
      </c>
      <c r="BA110" s="5" t="str">
        <f t="shared" si="39"/>
        <v>(09:13-9:18)(16:21-16:26)</v>
      </c>
    </row>
    <row r="111" spans="1:86" ht="13.5">
      <c r="A111" s="135" t="str">
        <f t="shared" si="41"/>
        <v/>
      </c>
      <c r="B111" s="19" t="str">
        <f t="shared" si="42"/>
        <v/>
      </c>
      <c r="C111" s="19" t="str">
        <f t="shared" si="43"/>
        <v/>
      </c>
      <c r="D111" s="19" t="str">
        <f t="shared" si="44"/>
        <v/>
      </c>
      <c r="E111" s="5" t="str">
        <f t="shared" si="28"/>
        <v/>
      </c>
      <c r="F111" s="12" t="str">
        <f t="shared" si="29"/>
        <v/>
      </c>
      <c r="J111" s="7" t="str">
        <f t="shared" si="30"/>
        <v/>
      </c>
      <c r="K111" s="9" t="str">
        <f t="shared" si="31"/>
        <v/>
      </c>
      <c r="L111" s="6">
        <f t="shared" si="32"/>
        <v>0</v>
      </c>
      <c r="M111" s="6">
        <f t="shared" si="33"/>
        <v>0</v>
      </c>
      <c r="N111" s="94" t="str">
        <f t="shared" si="34"/>
        <v/>
      </c>
      <c r="O111"/>
      <c r="P111"/>
      <c r="Q111"/>
      <c r="R111"/>
      <c r="S111"/>
      <c r="T111" s="136" t="str">
        <f t="shared" si="35"/>
        <v/>
      </c>
      <c r="U111" s="137" t="str">
        <f t="shared" si="36"/>
        <v/>
      </c>
      <c r="V111" s="1"/>
      <c r="Y111" s="90" t="str">
        <f t="shared" si="37"/>
        <v/>
      </c>
      <c r="AC111" s="6">
        <v>244881</v>
      </c>
      <c r="AD111" s="6" t="s">
        <v>6806</v>
      </c>
      <c r="AE111" s="158">
        <v>926429</v>
      </c>
      <c r="AF111" s="159" t="s">
        <v>8297</v>
      </c>
      <c r="AG111" s="160">
        <v>106332</v>
      </c>
      <c r="AH111" s="193" t="s">
        <v>1314</v>
      </c>
      <c r="AI111" s="6" t="s">
        <v>3637</v>
      </c>
      <c r="AJ111" s="30" t="s">
        <v>8199</v>
      </c>
      <c r="AK111" t="s">
        <v>8199</v>
      </c>
      <c r="AL111" s="4">
        <f t="shared" si="38"/>
        <v>0</v>
      </c>
      <c r="AM111" s="6" t="s">
        <v>1302</v>
      </c>
      <c r="AN111" s="6" t="s">
        <v>5921</v>
      </c>
      <c r="AO111" t="str">
        <f t="shared" si="26"/>
        <v/>
      </c>
      <c r="AP111" t="s">
        <v>1302</v>
      </c>
      <c r="AQ111" t="s">
        <v>4512</v>
      </c>
      <c r="AR111" s="15">
        <v>1958</v>
      </c>
      <c r="AV111" t="s">
        <v>559</v>
      </c>
      <c r="AW111" t="s">
        <v>8000</v>
      </c>
      <c r="AX111" s="5">
        <v>0.38750000000000001</v>
      </c>
      <c r="AZ111" t="str">
        <f t="shared" si="40"/>
        <v>(09:13-9:18)</v>
      </c>
      <c r="BA111" s="5" t="str">
        <f t="shared" si="39"/>
        <v>(16:21-16:26)(09:13-9:18)</v>
      </c>
    </row>
    <row r="112" spans="1:86" ht="13.5">
      <c r="A112" s="135" t="str">
        <f t="shared" si="41"/>
        <v/>
      </c>
      <c r="B112" s="19" t="str">
        <f t="shared" si="42"/>
        <v/>
      </c>
      <c r="C112" s="19" t="str">
        <f t="shared" si="43"/>
        <v/>
      </c>
      <c r="D112" s="19" t="str">
        <f t="shared" si="44"/>
        <v/>
      </c>
      <c r="E112" s="5" t="str">
        <f t="shared" si="28"/>
        <v/>
      </c>
      <c r="F112" s="12" t="str">
        <f t="shared" si="29"/>
        <v/>
      </c>
      <c r="J112" s="7" t="str">
        <f t="shared" si="30"/>
        <v/>
      </c>
      <c r="K112" s="9" t="str">
        <f t="shared" si="31"/>
        <v/>
      </c>
      <c r="L112" s="6">
        <f t="shared" si="32"/>
        <v>0</v>
      </c>
      <c r="M112" s="6">
        <f t="shared" si="33"/>
        <v>0</v>
      </c>
      <c r="N112" s="94" t="str">
        <f t="shared" si="34"/>
        <v/>
      </c>
      <c r="O112"/>
      <c r="P112"/>
      <c r="Q112"/>
      <c r="R112"/>
      <c r="S112"/>
      <c r="T112" s="136" t="str">
        <f t="shared" si="35"/>
        <v/>
      </c>
      <c r="U112" s="137" t="str">
        <f t="shared" si="36"/>
        <v/>
      </c>
      <c r="V112" s="1"/>
      <c r="Y112" s="90" t="str">
        <f t="shared" si="37"/>
        <v/>
      </c>
      <c r="AC112" s="6" t="s">
        <v>2480</v>
      </c>
      <c r="AD112" s="6" t="s">
        <v>6805</v>
      </c>
      <c r="AE112" s="158">
        <v>936430</v>
      </c>
      <c r="AF112" s="159" t="s">
        <v>8299</v>
      </c>
      <c r="AG112" s="160">
        <v>113598</v>
      </c>
      <c r="AH112" s="193" t="s">
        <v>679</v>
      </c>
      <c r="AI112" s="6" t="s">
        <v>3711</v>
      </c>
      <c r="AJ112" s="30" t="s">
        <v>8199</v>
      </c>
      <c r="AK112" t="s">
        <v>8199</v>
      </c>
      <c r="AL112" s="4">
        <f t="shared" si="38"/>
        <v>0</v>
      </c>
      <c r="AM112" s="6" t="s">
        <v>1290</v>
      </c>
      <c r="AN112" s="6" t="s">
        <v>5922</v>
      </c>
      <c r="AO112" t="str">
        <f t="shared" si="26"/>
        <v/>
      </c>
      <c r="AP112" t="s">
        <v>1290</v>
      </c>
      <c r="AQ112" t="s">
        <v>4519</v>
      </c>
      <c r="AR112" s="15" t="s">
        <v>4593</v>
      </c>
      <c r="AV112" t="s">
        <v>986</v>
      </c>
      <c r="AW112" t="s">
        <v>7990</v>
      </c>
      <c r="AX112" s="5">
        <v>0.39097222222222222</v>
      </c>
      <c r="AZ112" t="str">
        <f t="shared" si="40"/>
        <v>(09:10-9:23)</v>
      </c>
      <c r="BA112" s="5" t="str">
        <f t="shared" si="39"/>
        <v>(09:10-9:23)</v>
      </c>
    </row>
    <row r="113" spans="1:53" ht="13.5">
      <c r="A113" s="135" t="str">
        <f t="shared" si="41"/>
        <v/>
      </c>
      <c r="B113" s="19" t="str">
        <f t="shared" si="42"/>
        <v/>
      </c>
      <c r="C113" s="19" t="str">
        <f t="shared" si="43"/>
        <v/>
      </c>
      <c r="D113" s="19" t="str">
        <f t="shared" si="44"/>
        <v/>
      </c>
      <c r="E113" s="5" t="str">
        <f t="shared" si="28"/>
        <v/>
      </c>
      <c r="F113" s="12" t="str">
        <f t="shared" si="29"/>
        <v/>
      </c>
      <c r="J113" s="7" t="str">
        <f t="shared" si="30"/>
        <v/>
      </c>
      <c r="K113" s="9" t="str">
        <f t="shared" si="31"/>
        <v/>
      </c>
      <c r="L113" s="6">
        <f t="shared" si="32"/>
        <v>0</v>
      </c>
      <c r="M113" s="6">
        <f t="shared" si="33"/>
        <v>0</v>
      </c>
      <c r="N113" s="94" t="str">
        <f t="shared" si="34"/>
        <v/>
      </c>
      <c r="O113"/>
      <c r="P113"/>
      <c r="Q113"/>
      <c r="R113"/>
      <c r="S113"/>
      <c r="T113" s="136" t="str">
        <f t="shared" si="35"/>
        <v/>
      </c>
      <c r="U113" s="137" t="str">
        <f t="shared" si="36"/>
        <v/>
      </c>
      <c r="V113" s="1"/>
      <c r="Y113" s="90" t="str">
        <f t="shared" si="37"/>
        <v/>
      </c>
      <c r="AC113" s="6">
        <v>456476</v>
      </c>
      <c r="AD113" s="6" t="s">
        <v>6807</v>
      </c>
      <c r="AE113" s="158" t="s">
        <v>2771</v>
      </c>
      <c r="AF113" s="159" t="s">
        <v>8336</v>
      </c>
      <c r="AG113" s="160">
        <v>113599</v>
      </c>
      <c r="AH113" s="193" t="s">
        <v>679</v>
      </c>
      <c r="AI113" s="6" t="s">
        <v>3800</v>
      </c>
      <c r="AJ113" s="30" t="s">
        <v>8199</v>
      </c>
      <c r="AK113" t="s">
        <v>8199</v>
      </c>
      <c r="AL113" s="4">
        <f t="shared" si="38"/>
        <v>0</v>
      </c>
      <c r="AM113" s="6" t="s">
        <v>1308</v>
      </c>
      <c r="AN113" s="6" t="s">
        <v>5923</v>
      </c>
      <c r="AO113" t="str">
        <f t="shared" si="26"/>
        <v/>
      </c>
      <c r="AP113" t="s">
        <v>1308</v>
      </c>
      <c r="AQ113" t="s">
        <v>4519</v>
      </c>
      <c r="AR113" s="15" t="s">
        <v>4662</v>
      </c>
      <c r="AV113" t="s">
        <v>558</v>
      </c>
      <c r="AW113" t="s">
        <v>7987</v>
      </c>
      <c r="AX113" s="5">
        <v>0.39097222222222222</v>
      </c>
      <c r="AZ113" t="str">
        <f t="shared" si="40"/>
        <v>(09:03-9:23)</v>
      </c>
      <c r="BA113" s="5" t="str">
        <f t="shared" si="39"/>
        <v>(09:03-9:23)</v>
      </c>
    </row>
    <row r="114" spans="1:53" ht="13.5">
      <c r="A114" s="135" t="str">
        <f t="shared" si="41"/>
        <v/>
      </c>
      <c r="B114" s="19" t="str">
        <f t="shared" si="42"/>
        <v/>
      </c>
      <c r="C114" s="19" t="str">
        <f t="shared" si="43"/>
        <v/>
      </c>
      <c r="D114" s="19" t="str">
        <f t="shared" si="44"/>
        <v/>
      </c>
      <c r="E114" s="5" t="str">
        <f t="shared" si="28"/>
        <v/>
      </c>
      <c r="F114" s="12" t="str">
        <f t="shared" si="29"/>
        <v/>
      </c>
      <c r="J114" s="7" t="str">
        <f t="shared" si="30"/>
        <v/>
      </c>
      <c r="K114" s="9" t="str">
        <f t="shared" si="31"/>
        <v/>
      </c>
      <c r="L114" s="6">
        <f t="shared" si="32"/>
        <v>0</v>
      </c>
      <c r="M114" s="6">
        <f t="shared" si="33"/>
        <v>0</v>
      </c>
      <c r="N114" s="94" t="str">
        <f t="shared" si="34"/>
        <v/>
      </c>
      <c r="O114"/>
      <c r="P114"/>
      <c r="Q114"/>
      <c r="R114"/>
      <c r="S114"/>
      <c r="T114" s="136" t="str">
        <f t="shared" si="35"/>
        <v/>
      </c>
      <c r="U114" s="137" t="str">
        <f t="shared" si="36"/>
        <v/>
      </c>
      <c r="V114" s="1"/>
      <c r="Y114" s="90" t="str">
        <f t="shared" si="37"/>
        <v/>
      </c>
      <c r="AC114" s="6" t="s">
        <v>2689</v>
      </c>
      <c r="AD114" s="6" t="s">
        <v>6808</v>
      </c>
      <c r="AE114" s="158" t="s">
        <v>4372</v>
      </c>
      <c r="AF114" s="159" t="s">
        <v>8300</v>
      </c>
      <c r="AG114" s="160">
        <v>113600</v>
      </c>
      <c r="AH114" s="193" t="s">
        <v>679</v>
      </c>
      <c r="AI114" s="6" t="s">
        <v>6661</v>
      </c>
      <c r="AJ114" s="30" t="s">
        <v>8219</v>
      </c>
      <c r="AK114" t="s">
        <v>8219</v>
      </c>
      <c r="AL114" s="4">
        <f t="shared" si="38"/>
        <v>0</v>
      </c>
      <c r="AM114" s="6" t="s">
        <v>1310</v>
      </c>
      <c r="AN114" s="6" t="s">
        <v>5924</v>
      </c>
      <c r="AO114" t="str">
        <f t="shared" si="26"/>
        <v/>
      </c>
      <c r="AP114" t="s">
        <v>1310</v>
      </c>
      <c r="AQ114" t="s">
        <v>4841</v>
      </c>
      <c r="AR114" s="15" t="s">
        <v>4650</v>
      </c>
      <c r="AV114" t="s">
        <v>1438</v>
      </c>
      <c r="AW114" t="s">
        <v>8005</v>
      </c>
      <c r="AX114" s="5">
        <v>0.47638888888888892</v>
      </c>
      <c r="AZ114" t="str">
        <f t="shared" si="40"/>
        <v>(09:30-11:26)</v>
      </c>
      <c r="BA114" s="5" t="str">
        <f t="shared" si="39"/>
        <v>(19:12-8:48)(09:30-11:26)</v>
      </c>
    </row>
    <row r="115" spans="1:53" ht="13.5">
      <c r="A115" s="135" t="str">
        <f t="shared" si="41"/>
        <v/>
      </c>
      <c r="B115" s="19" t="str">
        <f t="shared" si="42"/>
        <v/>
      </c>
      <c r="C115" s="19" t="str">
        <f t="shared" si="43"/>
        <v/>
      </c>
      <c r="D115" s="19" t="str">
        <f t="shared" si="44"/>
        <v/>
      </c>
      <c r="E115" s="5" t="str">
        <f t="shared" si="28"/>
        <v/>
      </c>
      <c r="F115" s="12" t="str">
        <f t="shared" si="29"/>
        <v/>
      </c>
      <c r="J115" s="7" t="str">
        <f t="shared" si="30"/>
        <v/>
      </c>
      <c r="K115" s="9" t="str">
        <f t="shared" si="31"/>
        <v/>
      </c>
      <c r="L115" s="6">
        <f t="shared" si="32"/>
        <v>0</v>
      </c>
      <c r="M115" s="6">
        <f t="shared" si="33"/>
        <v>0</v>
      </c>
      <c r="N115" s="94" t="str">
        <f t="shared" si="34"/>
        <v/>
      </c>
      <c r="O115"/>
      <c r="P115"/>
      <c r="Q115"/>
      <c r="R115"/>
      <c r="S115"/>
      <c r="T115" s="136" t="str">
        <f t="shared" si="35"/>
        <v/>
      </c>
      <c r="U115" s="137" t="str">
        <f t="shared" si="36"/>
        <v/>
      </c>
      <c r="V115" s="1"/>
      <c r="Y115" s="90" t="str">
        <f t="shared" si="37"/>
        <v/>
      </c>
      <c r="AC115" s="6" t="s">
        <v>2325</v>
      </c>
      <c r="AD115" s="6" t="s">
        <v>6809</v>
      </c>
      <c r="AE115" s="158" t="s">
        <v>4373</v>
      </c>
      <c r="AF115" s="159" t="s">
        <v>8300</v>
      </c>
      <c r="AG115" s="160">
        <v>113601</v>
      </c>
      <c r="AH115" s="193" t="s">
        <v>679</v>
      </c>
      <c r="AI115" s="6" t="s">
        <v>2917</v>
      </c>
      <c r="AJ115" s="30" t="s">
        <v>8193</v>
      </c>
      <c r="AK115" t="s">
        <v>8205</v>
      </c>
      <c r="AL115" s="4">
        <f t="shared" si="38"/>
        <v>0</v>
      </c>
      <c r="AM115" s="6" t="s">
        <v>1287</v>
      </c>
      <c r="AN115" s="6" t="s">
        <v>5925</v>
      </c>
      <c r="AO115" t="str">
        <f t="shared" si="26"/>
        <v/>
      </c>
      <c r="AP115" t="s">
        <v>1287</v>
      </c>
      <c r="AQ115" t="s">
        <v>4519</v>
      </c>
      <c r="AR115" s="15" t="s">
        <v>4612</v>
      </c>
      <c r="AV115" t="s">
        <v>1438</v>
      </c>
      <c r="AW115" t="s">
        <v>7962</v>
      </c>
      <c r="AX115" s="5">
        <v>0.3666666666666667</v>
      </c>
      <c r="AZ115" t="str">
        <f t="shared" si="40"/>
        <v>(19:12-8:48)</v>
      </c>
      <c r="BA115" s="5" t="str">
        <f t="shared" si="39"/>
        <v>(09:30-11:26)(19:12-8:48)</v>
      </c>
    </row>
    <row r="116" spans="1:53" ht="13.5">
      <c r="A116" s="135" t="str">
        <f t="shared" si="41"/>
        <v/>
      </c>
      <c r="B116" s="19" t="str">
        <f t="shared" si="42"/>
        <v/>
      </c>
      <c r="C116" s="19" t="str">
        <f t="shared" si="43"/>
        <v/>
      </c>
      <c r="D116" s="19" t="str">
        <f t="shared" si="44"/>
        <v/>
      </c>
      <c r="E116" s="5" t="str">
        <f t="shared" si="28"/>
        <v/>
      </c>
      <c r="F116" s="12" t="str">
        <f t="shared" si="29"/>
        <v/>
      </c>
      <c r="J116" s="7" t="str">
        <f t="shared" si="30"/>
        <v/>
      </c>
      <c r="K116" s="9" t="str">
        <f t="shared" si="31"/>
        <v/>
      </c>
      <c r="L116" s="6">
        <f t="shared" si="32"/>
        <v>0</v>
      </c>
      <c r="M116" s="6">
        <f t="shared" si="33"/>
        <v>0</v>
      </c>
      <c r="N116" s="94" t="str">
        <f t="shared" si="34"/>
        <v/>
      </c>
      <c r="O116"/>
      <c r="P116"/>
      <c r="Q116"/>
      <c r="R116"/>
      <c r="S116"/>
      <c r="T116" s="136" t="str">
        <f t="shared" si="35"/>
        <v/>
      </c>
      <c r="U116" s="137" t="str">
        <f t="shared" si="36"/>
        <v/>
      </c>
      <c r="V116" s="1"/>
      <c r="Y116" s="90" t="str">
        <f t="shared" si="37"/>
        <v/>
      </c>
      <c r="AC116" s="6">
        <v>245214</v>
      </c>
      <c r="AD116" s="6" t="s">
        <v>6806</v>
      </c>
      <c r="AE116" s="158" t="s">
        <v>4184</v>
      </c>
      <c r="AF116" s="159" t="s">
        <v>8309</v>
      </c>
      <c r="AG116" s="160">
        <v>113602</v>
      </c>
      <c r="AH116" s="193" t="s">
        <v>679</v>
      </c>
      <c r="AI116" s="6" t="s">
        <v>3255</v>
      </c>
      <c r="AJ116" s="30" t="s">
        <v>8220</v>
      </c>
      <c r="AK116" t="s">
        <v>8220</v>
      </c>
      <c r="AL116" s="4">
        <f t="shared" si="38"/>
        <v>0</v>
      </c>
      <c r="AM116" s="6" t="s">
        <v>1220</v>
      </c>
      <c r="AN116" s="6" t="s">
        <v>5926</v>
      </c>
      <c r="AO116" t="str">
        <f t="shared" si="26"/>
        <v/>
      </c>
      <c r="AP116" t="s">
        <v>1220</v>
      </c>
      <c r="AQ116" t="s">
        <v>4512</v>
      </c>
      <c r="AR116" s="15">
        <v>9226</v>
      </c>
      <c r="AV116" t="s">
        <v>1048</v>
      </c>
      <c r="AW116" t="s">
        <v>8157</v>
      </c>
      <c r="AX116" s="5">
        <v>0.68472222222222223</v>
      </c>
      <c r="AZ116" t="str">
        <f t="shared" si="40"/>
        <v>(15:59-16:26)</v>
      </c>
      <c r="BA116" s="5" t="str">
        <f t="shared" si="39"/>
        <v>(15:59-16:26)</v>
      </c>
    </row>
    <row r="117" spans="1:53" ht="13.5">
      <c r="A117" s="135" t="str">
        <f t="shared" si="41"/>
        <v/>
      </c>
      <c r="B117" s="19" t="str">
        <f t="shared" si="42"/>
        <v/>
      </c>
      <c r="C117" s="19" t="str">
        <f t="shared" si="43"/>
        <v/>
      </c>
      <c r="D117" s="19" t="str">
        <f t="shared" si="44"/>
        <v/>
      </c>
      <c r="E117" s="5" t="str">
        <f t="shared" si="28"/>
        <v/>
      </c>
      <c r="F117" s="12" t="str">
        <f t="shared" si="29"/>
        <v/>
      </c>
      <c r="J117" s="7" t="str">
        <f t="shared" si="30"/>
        <v/>
      </c>
      <c r="K117" s="9" t="str">
        <f t="shared" si="31"/>
        <v/>
      </c>
      <c r="L117" s="6">
        <f t="shared" si="32"/>
        <v>0</v>
      </c>
      <c r="M117" s="6">
        <f t="shared" si="33"/>
        <v>0</v>
      </c>
      <c r="N117" s="94" t="str">
        <f t="shared" si="34"/>
        <v/>
      </c>
      <c r="O117"/>
      <c r="P117"/>
      <c r="Q117"/>
      <c r="R117"/>
      <c r="S117"/>
      <c r="T117" s="136" t="str">
        <f t="shared" si="35"/>
        <v/>
      </c>
      <c r="U117" s="137" t="str">
        <f t="shared" si="36"/>
        <v/>
      </c>
      <c r="V117" s="1"/>
      <c r="Y117" s="90" t="str">
        <f t="shared" si="37"/>
        <v/>
      </c>
      <c r="AC117" s="6" t="s">
        <v>2537</v>
      </c>
      <c r="AD117" s="6" t="s">
        <v>6810</v>
      </c>
      <c r="AE117" s="158" t="s">
        <v>4226</v>
      </c>
      <c r="AF117" s="159" t="s">
        <v>8297</v>
      </c>
      <c r="AG117" s="160">
        <v>115591</v>
      </c>
      <c r="AH117" s="193" t="s">
        <v>679</v>
      </c>
      <c r="AI117" s="6" t="s">
        <v>3267</v>
      </c>
      <c r="AJ117" s="30" t="s">
        <v>8205</v>
      </c>
      <c r="AK117" t="s">
        <v>8211</v>
      </c>
      <c r="AL117" s="4">
        <f t="shared" si="38"/>
        <v>0</v>
      </c>
      <c r="AM117" s="6" t="s">
        <v>1260</v>
      </c>
      <c r="AN117" s="6" t="s">
        <v>5927</v>
      </c>
      <c r="AO117" t="str">
        <f t="shared" si="26"/>
        <v/>
      </c>
      <c r="AP117" t="s">
        <v>1260</v>
      </c>
      <c r="AQ117" t="s">
        <v>4841</v>
      </c>
      <c r="AR117" s="15" t="s">
        <v>4587</v>
      </c>
      <c r="AV117" t="s">
        <v>519</v>
      </c>
      <c r="AW117" t="s">
        <v>8018</v>
      </c>
      <c r="AX117" s="5">
        <v>0.42986111111111108</v>
      </c>
      <c r="AZ117" t="str">
        <f t="shared" si="40"/>
        <v>(10:10-10:19)</v>
      </c>
      <c r="BA117" s="5" t="str">
        <f t="shared" si="39"/>
        <v>(10:10-10:19)</v>
      </c>
    </row>
    <row r="118" spans="1:53" ht="13.5">
      <c r="A118" s="135" t="str">
        <f t="shared" si="41"/>
        <v/>
      </c>
      <c r="B118" s="19" t="str">
        <f t="shared" si="42"/>
        <v/>
      </c>
      <c r="C118" s="19" t="str">
        <f t="shared" si="43"/>
        <v/>
      </c>
      <c r="D118" s="19" t="str">
        <f t="shared" si="44"/>
        <v/>
      </c>
      <c r="E118" s="5" t="str">
        <f t="shared" si="28"/>
        <v/>
      </c>
      <c r="F118" s="12" t="str">
        <f t="shared" si="29"/>
        <v/>
      </c>
      <c r="J118" s="7" t="str">
        <f t="shared" si="30"/>
        <v/>
      </c>
      <c r="K118" s="9" t="str">
        <f t="shared" si="31"/>
        <v/>
      </c>
      <c r="L118" s="6">
        <f t="shared" si="32"/>
        <v>0</v>
      </c>
      <c r="M118" s="6">
        <f t="shared" si="33"/>
        <v>0</v>
      </c>
      <c r="N118" s="94" t="str">
        <f t="shared" si="34"/>
        <v/>
      </c>
      <c r="O118"/>
      <c r="P118"/>
      <c r="Q118"/>
      <c r="R118"/>
      <c r="S118"/>
      <c r="T118" s="136" t="str">
        <f t="shared" si="35"/>
        <v/>
      </c>
      <c r="U118" s="137" t="str">
        <f t="shared" si="36"/>
        <v/>
      </c>
      <c r="V118" s="1"/>
      <c r="Y118" s="90" t="str">
        <f t="shared" si="37"/>
        <v/>
      </c>
      <c r="AC118" s="6" t="s">
        <v>2500</v>
      </c>
      <c r="AD118" s="6" t="s">
        <v>6811</v>
      </c>
      <c r="AE118" s="158" t="s">
        <v>4238</v>
      </c>
      <c r="AF118" s="159" t="s">
        <v>8299</v>
      </c>
      <c r="AG118" s="160">
        <v>115592</v>
      </c>
      <c r="AH118" s="193" t="s">
        <v>679</v>
      </c>
      <c r="AI118" s="6" t="s">
        <v>310</v>
      </c>
      <c r="AJ118" s="30" t="s">
        <v>8195</v>
      </c>
      <c r="AK118" t="s">
        <v>8195</v>
      </c>
      <c r="AL118" s="4">
        <f t="shared" si="38"/>
        <v>0</v>
      </c>
      <c r="AM118" s="6" t="s">
        <v>1212</v>
      </c>
      <c r="AN118" s="6" t="s">
        <v>5928</v>
      </c>
      <c r="AO118" t="str">
        <f t="shared" si="26"/>
        <v/>
      </c>
      <c r="AP118" t="s">
        <v>1212</v>
      </c>
      <c r="AQ118" t="s">
        <v>4841</v>
      </c>
      <c r="AR118" s="15" t="s">
        <v>4595</v>
      </c>
      <c r="AV118" t="s">
        <v>510</v>
      </c>
      <c r="AW118" t="s">
        <v>8041</v>
      </c>
      <c r="AX118" s="5">
        <v>0.47013888888888888</v>
      </c>
      <c r="AZ118" t="str">
        <f t="shared" si="40"/>
        <v>(11:02-11:17)</v>
      </c>
      <c r="BA118" s="5" t="str">
        <f t="shared" si="39"/>
        <v>(11:02-11:17)</v>
      </c>
    </row>
    <row r="119" spans="1:53" ht="13.5">
      <c r="A119" s="135" t="str">
        <f t="shared" si="41"/>
        <v/>
      </c>
      <c r="B119" s="19" t="str">
        <f t="shared" si="42"/>
        <v/>
      </c>
      <c r="C119" s="19" t="str">
        <f t="shared" si="43"/>
        <v/>
      </c>
      <c r="D119" s="19" t="str">
        <f t="shared" si="44"/>
        <v/>
      </c>
      <c r="E119" s="5" t="str">
        <f t="shared" si="28"/>
        <v/>
      </c>
      <c r="F119" s="12" t="str">
        <f t="shared" si="29"/>
        <v/>
      </c>
      <c r="J119" s="7" t="str">
        <f t="shared" si="30"/>
        <v/>
      </c>
      <c r="K119" s="9" t="str">
        <f t="shared" si="31"/>
        <v/>
      </c>
      <c r="L119" s="6">
        <f t="shared" si="32"/>
        <v>0</v>
      </c>
      <c r="M119" s="6">
        <f t="shared" si="33"/>
        <v>0</v>
      </c>
      <c r="N119" s="94" t="str">
        <f t="shared" si="34"/>
        <v/>
      </c>
      <c r="O119"/>
      <c r="P119"/>
      <c r="Q119"/>
      <c r="R119"/>
      <c r="S119"/>
      <c r="T119" s="136" t="str">
        <f t="shared" si="35"/>
        <v/>
      </c>
      <c r="U119" s="137" t="str">
        <f t="shared" si="36"/>
        <v/>
      </c>
      <c r="V119" s="1"/>
      <c r="Y119" s="90" t="str">
        <f t="shared" si="37"/>
        <v/>
      </c>
      <c r="AC119" s="6" t="s">
        <v>2533</v>
      </c>
      <c r="AD119" s="6" t="s">
        <v>6812</v>
      </c>
      <c r="AE119" s="158" t="s">
        <v>1701</v>
      </c>
      <c r="AF119" s="159" t="s">
        <v>8337</v>
      </c>
      <c r="AG119" s="160">
        <v>115593</v>
      </c>
      <c r="AH119" s="193" t="s">
        <v>679</v>
      </c>
      <c r="AI119" s="6" t="s">
        <v>320</v>
      </c>
      <c r="AJ119" s="30" t="s">
        <v>8201</v>
      </c>
      <c r="AK119" t="s">
        <v>8666</v>
      </c>
      <c r="AL119" s="4">
        <f t="shared" si="38"/>
        <v>0</v>
      </c>
      <c r="AM119" s="6" t="s">
        <v>1117</v>
      </c>
      <c r="AN119" s="6" t="s">
        <v>5929</v>
      </c>
      <c r="AO119" t="str">
        <f t="shared" si="26"/>
        <v/>
      </c>
      <c r="AP119" t="s">
        <v>1117</v>
      </c>
      <c r="AQ119" t="s">
        <v>4841</v>
      </c>
      <c r="AR119" s="15" t="s">
        <v>4664</v>
      </c>
      <c r="AV119" t="s">
        <v>502</v>
      </c>
      <c r="AW119" t="s">
        <v>7991</v>
      </c>
      <c r="AX119" s="5">
        <v>0.39166666666666666</v>
      </c>
      <c r="AZ119" t="str">
        <f t="shared" si="40"/>
        <v>(09:14-9:24)</v>
      </c>
      <c r="BA119" s="5" t="str">
        <f t="shared" si="39"/>
        <v>(09:14-9:24)</v>
      </c>
    </row>
    <row r="120" spans="1:53" ht="13.5">
      <c r="A120" s="135" t="str">
        <f t="shared" si="41"/>
        <v/>
      </c>
      <c r="B120" s="19" t="str">
        <f t="shared" si="42"/>
        <v/>
      </c>
      <c r="C120" s="19" t="str">
        <f t="shared" si="43"/>
        <v/>
      </c>
      <c r="D120" s="19" t="str">
        <f t="shared" si="44"/>
        <v/>
      </c>
      <c r="E120" s="5" t="str">
        <f t="shared" si="28"/>
        <v/>
      </c>
      <c r="F120" s="12" t="str">
        <f t="shared" si="29"/>
        <v/>
      </c>
      <c r="J120" s="7" t="str">
        <f t="shared" si="30"/>
        <v/>
      </c>
      <c r="K120" s="9" t="str">
        <f t="shared" si="31"/>
        <v/>
      </c>
      <c r="L120" s="6">
        <f t="shared" si="32"/>
        <v>0</v>
      </c>
      <c r="M120" s="6">
        <f t="shared" si="33"/>
        <v>0</v>
      </c>
      <c r="N120" s="94" t="str">
        <f t="shared" si="34"/>
        <v/>
      </c>
      <c r="O120"/>
      <c r="P120"/>
      <c r="Q120"/>
      <c r="R120"/>
      <c r="S120"/>
      <c r="T120" s="136" t="str">
        <f t="shared" si="35"/>
        <v/>
      </c>
      <c r="U120" s="137" t="str">
        <f t="shared" si="36"/>
        <v/>
      </c>
      <c r="V120" s="1"/>
      <c r="Y120" s="90" t="str">
        <f t="shared" si="37"/>
        <v/>
      </c>
      <c r="AC120" s="6" t="s">
        <v>1302</v>
      </c>
      <c r="AD120" s="6" t="s">
        <v>6813</v>
      </c>
      <c r="AE120" s="158" t="s">
        <v>1706</v>
      </c>
      <c r="AF120" s="159" t="s">
        <v>8287</v>
      </c>
      <c r="AG120" s="160">
        <v>115594</v>
      </c>
      <c r="AH120" s="193" t="s">
        <v>679</v>
      </c>
      <c r="AI120" s="6" t="s">
        <v>358</v>
      </c>
      <c r="AJ120" s="30" t="s">
        <v>8200</v>
      </c>
      <c r="AK120" t="s">
        <v>8200</v>
      </c>
      <c r="AL120" s="4">
        <f t="shared" si="38"/>
        <v>0</v>
      </c>
      <c r="AM120" s="6" t="s">
        <v>1214</v>
      </c>
      <c r="AN120" s="6" t="s">
        <v>5930</v>
      </c>
      <c r="AO120" t="str">
        <f t="shared" si="26"/>
        <v/>
      </c>
      <c r="AP120" t="s">
        <v>1214</v>
      </c>
      <c r="AQ120" t="s">
        <v>4519</v>
      </c>
      <c r="AR120" s="15" t="s">
        <v>4596</v>
      </c>
      <c r="AV120" t="s">
        <v>501</v>
      </c>
      <c r="AW120" t="s">
        <v>8155</v>
      </c>
      <c r="AX120" s="5">
        <v>0.68125000000000002</v>
      </c>
      <c r="AZ120" t="str">
        <f t="shared" si="40"/>
        <v>(15:49-16:21)</v>
      </c>
      <c r="BA120" s="5" t="str">
        <f t="shared" si="39"/>
        <v>(08:45-9:21)(15:49-16:21)</v>
      </c>
    </row>
    <row r="121" spans="1:53" ht="13.5">
      <c r="A121" s="135" t="str">
        <f t="shared" si="41"/>
        <v/>
      </c>
      <c r="B121" s="19" t="str">
        <f t="shared" si="42"/>
        <v/>
      </c>
      <c r="C121" s="19" t="str">
        <f t="shared" si="43"/>
        <v/>
      </c>
      <c r="D121" s="19" t="str">
        <f t="shared" si="44"/>
        <v/>
      </c>
      <c r="E121" s="5" t="str">
        <f t="shared" si="28"/>
        <v/>
      </c>
      <c r="F121" s="12" t="str">
        <f t="shared" si="29"/>
        <v/>
      </c>
      <c r="J121" s="7" t="str">
        <f t="shared" si="30"/>
        <v/>
      </c>
      <c r="K121" s="9" t="str">
        <f t="shared" si="31"/>
        <v/>
      </c>
      <c r="L121" s="6">
        <f t="shared" si="32"/>
        <v>0</v>
      </c>
      <c r="M121" s="6">
        <f t="shared" si="33"/>
        <v>0</v>
      </c>
      <c r="N121" s="94" t="str">
        <f t="shared" si="34"/>
        <v/>
      </c>
      <c r="O121"/>
      <c r="P121"/>
      <c r="Q121"/>
      <c r="R121"/>
      <c r="S121"/>
      <c r="T121" s="136" t="str">
        <f t="shared" si="35"/>
        <v/>
      </c>
      <c r="U121" s="137" t="str">
        <f t="shared" si="36"/>
        <v/>
      </c>
      <c r="V121" s="1"/>
      <c r="Y121" s="90" t="str">
        <f t="shared" si="37"/>
        <v/>
      </c>
      <c r="AC121" s="6" t="s">
        <v>2688</v>
      </c>
      <c r="AD121" s="6" t="s">
        <v>6814</v>
      </c>
      <c r="AE121" s="158" t="s">
        <v>3546</v>
      </c>
      <c r="AF121" s="159" t="s">
        <v>8338</v>
      </c>
      <c r="AG121" s="160">
        <v>115595</v>
      </c>
      <c r="AH121" s="193" t="s">
        <v>679</v>
      </c>
      <c r="AI121" s="6" t="s">
        <v>1033</v>
      </c>
      <c r="AJ121" s="30" t="s">
        <v>8209</v>
      </c>
      <c r="AK121" t="s">
        <v>8209</v>
      </c>
      <c r="AL121" s="4">
        <f t="shared" si="38"/>
        <v>0</v>
      </c>
      <c r="AM121" s="6" t="s">
        <v>1239</v>
      </c>
      <c r="AN121" s="6" t="s">
        <v>5931</v>
      </c>
      <c r="AO121" t="str">
        <f t="shared" si="26"/>
        <v/>
      </c>
      <c r="AP121" t="s">
        <v>1239</v>
      </c>
      <c r="AQ121" t="s">
        <v>4512</v>
      </c>
      <c r="AR121" s="15">
        <v>1789</v>
      </c>
      <c r="AV121" t="s">
        <v>501</v>
      </c>
      <c r="AW121" t="s">
        <v>7978</v>
      </c>
      <c r="AX121" s="5">
        <v>0.38958333333333334</v>
      </c>
      <c r="AZ121" t="str">
        <f t="shared" si="40"/>
        <v>(08:45-9:21)</v>
      </c>
      <c r="BA121" s="5" t="str">
        <f t="shared" si="39"/>
        <v>(15:49-16:21)(08:45-9:21)</v>
      </c>
    </row>
    <row r="122" spans="1:53" ht="13.5">
      <c r="A122" s="135" t="str">
        <f t="shared" si="41"/>
        <v/>
      </c>
      <c r="B122" s="19" t="str">
        <f t="shared" si="42"/>
        <v/>
      </c>
      <c r="C122" s="19" t="str">
        <f t="shared" si="43"/>
        <v/>
      </c>
      <c r="D122" s="19" t="str">
        <f t="shared" si="44"/>
        <v/>
      </c>
      <c r="E122" s="5" t="str">
        <f t="shared" si="28"/>
        <v/>
      </c>
      <c r="F122" s="12" t="str">
        <f t="shared" si="29"/>
        <v/>
      </c>
      <c r="J122" s="7" t="str">
        <f t="shared" si="30"/>
        <v/>
      </c>
      <c r="K122" s="9" t="str">
        <f t="shared" si="31"/>
        <v/>
      </c>
      <c r="L122" s="6">
        <f t="shared" si="32"/>
        <v>0</v>
      </c>
      <c r="M122" s="6">
        <f t="shared" si="33"/>
        <v>0</v>
      </c>
      <c r="N122" s="94" t="str">
        <f t="shared" si="34"/>
        <v/>
      </c>
      <c r="O122"/>
      <c r="P122"/>
      <c r="Q122"/>
      <c r="R122"/>
      <c r="S122"/>
      <c r="T122" s="136" t="str">
        <f t="shared" si="35"/>
        <v/>
      </c>
      <c r="U122" s="137" t="str">
        <f t="shared" si="36"/>
        <v/>
      </c>
      <c r="V122" s="1"/>
      <c r="Y122" s="90" t="str">
        <f t="shared" si="37"/>
        <v/>
      </c>
      <c r="AC122" s="6" t="s">
        <v>2797</v>
      </c>
      <c r="AD122" s="6" t="s">
        <v>6784</v>
      </c>
      <c r="AE122" s="158" t="s">
        <v>1696</v>
      </c>
      <c r="AF122" s="159" t="s">
        <v>8334</v>
      </c>
      <c r="AG122" s="160">
        <v>115596</v>
      </c>
      <c r="AH122" s="193" t="s">
        <v>1314</v>
      </c>
      <c r="AI122" s="6" t="s">
        <v>1383</v>
      </c>
      <c r="AJ122" s="30" t="s">
        <v>8196</v>
      </c>
      <c r="AK122" t="s">
        <v>8196</v>
      </c>
      <c r="AL122" s="4">
        <f t="shared" si="38"/>
        <v>0</v>
      </c>
      <c r="AM122" s="6" t="s">
        <v>1303</v>
      </c>
      <c r="AN122" s="6" t="s">
        <v>5932</v>
      </c>
      <c r="AO122" t="str">
        <f t="shared" si="26"/>
        <v/>
      </c>
      <c r="AP122" t="s">
        <v>1303</v>
      </c>
      <c r="AQ122" t="s">
        <v>4519</v>
      </c>
      <c r="AR122" s="15" t="s">
        <v>4682</v>
      </c>
      <c r="AV122" t="s">
        <v>1410</v>
      </c>
      <c r="AW122" t="s">
        <v>8097</v>
      </c>
      <c r="AX122" s="5">
        <v>0.58958333333333335</v>
      </c>
      <c r="AZ122" t="str">
        <f t="shared" si="40"/>
        <v>(13:35-14:09)</v>
      </c>
      <c r="BA122" s="5" t="str">
        <f t="shared" si="39"/>
        <v>(13:35-14:09)</v>
      </c>
    </row>
    <row r="123" spans="1:53" ht="13.5">
      <c r="A123" s="135" t="str">
        <f t="shared" si="41"/>
        <v/>
      </c>
      <c r="B123" s="19" t="str">
        <f t="shared" si="42"/>
        <v/>
      </c>
      <c r="C123" s="19" t="str">
        <f t="shared" si="43"/>
        <v/>
      </c>
      <c r="D123" s="19" t="str">
        <f t="shared" si="44"/>
        <v/>
      </c>
      <c r="E123" s="5" t="str">
        <f t="shared" si="28"/>
        <v/>
      </c>
      <c r="F123" s="12" t="str">
        <f t="shared" si="29"/>
        <v/>
      </c>
      <c r="J123" s="7" t="str">
        <f t="shared" si="30"/>
        <v/>
      </c>
      <c r="K123" s="9" t="str">
        <f t="shared" si="31"/>
        <v/>
      </c>
      <c r="L123" s="6">
        <f t="shared" si="32"/>
        <v>0</v>
      </c>
      <c r="M123" s="6">
        <f t="shared" si="33"/>
        <v>0</v>
      </c>
      <c r="N123" s="94" t="str">
        <f t="shared" si="34"/>
        <v/>
      </c>
      <c r="O123"/>
      <c r="P123"/>
      <c r="Q123"/>
      <c r="R123"/>
      <c r="S123"/>
      <c r="T123" s="136" t="str">
        <f t="shared" si="35"/>
        <v/>
      </c>
      <c r="U123" s="137" t="str">
        <f t="shared" si="36"/>
        <v/>
      </c>
      <c r="V123" s="1"/>
      <c r="Y123" s="90" t="str">
        <f t="shared" si="37"/>
        <v/>
      </c>
      <c r="AC123" s="6">
        <v>245328</v>
      </c>
      <c r="AD123" s="6" t="s">
        <v>6815</v>
      </c>
      <c r="AE123" s="158" t="s">
        <v>1698</v>
      </c>
      <c r="AF123" s="159" t="s">
        <v>8296</v>
      </c>
      <c r="AG123" s="160">
        <v>115597</v>
      </c>
      <c r="AH123" s="193" t="s">
        <v>679</v>
      </c>
      <c r="AI123" s="6" t="s">
        <v>521</v>
      </c>
      <c r="AJ123" s="30" t="s">
        <v>8228</v>
      </c>
      <c r="AK123" t="s">
        <v>8228</v>
      </c>
      <c r="AL123" s="4">
        <f t="shared" si="38"/>
        <v>0</v>
      </c>
      <c r="AM123" s="6" t="s">
        <v>1255</v>
      </c>
      <c r="AN123" s="6" t="s">
        <v>5933</v>
      </c>
      <c r="AO123" t="str">
        <f t="shared" si="26"/>
        <v/>
      </c>
      <c r="AP123" t="s">
        <v>1255</v>
      </c>
      <c r="AQ123" t="s">
        <v>4842</v>
      </c>
      <c r="AR123" s="15" t="s">
        <v>4579</v>
      </c>
      <c r="AV123" t="s">
        <v>488</v>
      </c>
      <c r="AW123" t="s">
        <v>8004</v>
      </c>
      <c r="AX123" s="5">
        <v>0.40416666666666662</v>
      </c>
      <c r="AZ123" t="str">
        <f t="shared" si="40"/>
        <v>(09:33-9:42)</v>
      </c>
      <c r="BA123" s="5" t="str">
        <f t="shared" si="39"/>
        <v>(09:33-9:42)</v>
      </c>
    </row>
    <row r="124" spans="1:53" ht="13.5">
      <c r="A124" s="135" t="str">
        <f t="shared" si="41"/>
        <v/>
      </c>
      <c r="B124" s="19" t="str">
        <f t="shared" si="42"/>
        <v/>
      </c>
      <c r="C124" s="19" t="str">
        <f t="shared" si="43"/>
        <v/>
      </c>
      <c r="D124" s="19" t="str">
        <f t="shared" si="44"/>
        <v/>
      </c>
      <c r="E124" s="5" t="str">
        <f t="shared" si="28"/>
        <v/>
      </c>
      <c r="F124" s="12" t="str">
        <f t="shared" si="29"/>
        <v/>
      </c>
      <c r="J124" s="7" t="str">
        <f t="shared" si="30"/>
        <v/>
      </c>
      <c r="K124" s="9" t="str">
        <f t="shared" si="31"/>
        <v/>
      </c>
      <c r="L124" s="6">
        <f t="shared" si="32"/>
        <v>0</v>
      </c>
      <c r="M124" s="6">
        <f t="shared" si="33"/>
        <v>0</v>
      </c>
      <c r="N124" s="94" t="str">
        <f t="shared" si="34"/>
        <v/>
      </c>
      <c r="O124"/>
      <c r="P124"/>
      <c r="Q124"/>
      <c r="R124"/>
      <c r="S124"/>
      <c r="T124" s="136" t="str">
        <f t="shared" si="35"/>
        <v/>
      </c>
      <c r="U124" s="137" t="str">
        <f t="shared" si="36"/>
        <v/>
      </c>
      <c r="V124" s="1"/>
      <c r="Y124" s="90" t="str">
        <f t="shared" si="37"/>
        <v/>
      </c>
      <c r="AC124" s="6" t="s">
        <v>2600</v>
      </c>
      <c r="AD124" s="6" t="s">
        <v>6813</v>
      </c>
      <c r="AE124" s="158" t="s">
        <v>1702</v>
      </c>
      <c r="AF124" s="159" t="s">
        <v>8315</v>
      </c>
      <c r="AG124" s="160">
        <v>115598</v>
      </c>
      <c r="AH124" s="193" t="s">
        <v>1314</v>
      </c>
      <c r="AI124" s="6" t="s">
        <v>544</v>
      </c>
      <c r="AJ124" s="30" t="s">
        <v>8208</v>
      </c>
      <c r="AK124" t="s">
        <v>8667</v>
      </c>
      <c r="AL124" s="4">
        <f t="shared" si="38"/>
        <v>0</v>
      </c>
      <c r="AM124" s="6" t="s">
        <v>965</v>
      </c>
      <c r="AN124" s="6" t="s">
        <v>5934</v>
      </c>
      <c r="AO124" t="str">
        <f t="shared" si="26"/>
        <v/>
      </c>
      <c r="AP124" t="s">
        <v>965</v>
      </c>
      <c r="AQ124" t="s">
        <v>4841</v>
      </c>
      <c r="AR124" s="15" t="s">
        <v>4659</v>
      </c>
      <c r="AV124" t="s">
        <v>485</v>
      </c>
      <c r="AW124" t="s">
        <v>8142</v>
      </c>
      <c r="AX124" s="5">
        <v>0.68333333333333324</v>
      </c>
      <c r="AZ124" t="str">
        <f t="shared" si="40"/>
        <v>(15:34-16:24)</v>
      </c>
      <c r="BA124" s="5" t="str">
        <f t="shared" si="39"/>
        <v>(08:37-9:21)(15:34-16:24)</v>
      </c>
    </row>
    <row r="125" spans="1:53" ht="13.5">
      <c r="A125" s="135" t="str">
        <f t="shared" si="41"/>
        <v/>
      </c>
      <c r="B125" s="19" t="str">
        <f t="shared" si="42"/>
        <v/>
      </c>
      <c r="C125" s="19" t="str">
        <f t="shared" si="43"/>
        <v/>
      </c>
      <c r="D125" s="19" t="str">
        <f t="shared" si="44"/>
        <v/>
      </c>
      <c r="E125" s="5" t="str">
        <f t="shared" si="28"/>
        <v/>
      </c>
      <c r="F125" s="12" t="str">
        <f t="shared" si="29"/>
        <v/>
      </c>
      <c r="J125" s="7" t="str">
        <f t="shared" si="30"/>
        <v/>
      </c>
      <c r="K125" s="9" t="str">
        <f t="shared" si="31"/>
        <v/>
      </c>
      <c r="L125" s="6">
        <f t="shared" si="32"/>
        <v>0</v>
      </c>
      <c r="M125" s="6">
        <f t="shared" si="33"/>
        <v>0</v>
      </c>
      <c r="N125" s="94" t="str">
        <f t="shared" si="34"/>
        <v/>
      </c>
      <c r="O125"/>
      <c r="P125"/>
      <c r="Q125"/>
      <c r="R125"/>
      <c r="S125"/>
      <c r="T125" s="136" t="str">
        <f t="shared" si="35"/>
        <v/>
      </c>
      <c r="U125" s="137" t="str">
        <f t="shared" si="36"/>
        <v/>
      </c>
      <c r="V125" s="1"/>
      <c r="Y125" s="90" t="str">
        <f t="shared" si="37"/>
        <v/>
      </c>
      <c r="AC125" s="6" t="s">
        <v>1270</v>
      </c>
      <c r="AD125" s="6" t="s">
        <v>6816</v>
      </c>
      <c r="AE125" s="158" t="s">
        <v>5051</v>
      </c>
      <c r="AF125" s="159" t="s">
        <v>8299</v>
      </c>
      <c r="AG125" s="160">
        <v>115599</v>
      </c>
      <c r="AH125" s="193" t="s">
        <v>679</v>
      </c>
      <c r="AI125" s="6" t="s">
        <v>546</v>
      </c>
      <c r="AJ125" s="30" t="s">
        <v>8233</v>
      </c>
      <c r="AK125" t="s">
        <v>8233</v>
      </c>
      <c r="AL125" s="4">
        <f t="shared" si="38"/>
        <v>0</v>
      </c>
      <c r="AM125" s="6" t="s">
        <v>1259</v>
      </c>
      <c r="AN125" s="6" t="s">
        <v>5935</v>
      </c>
      <c r="AO125" t="str">
        <f t="shared" si="26"/>
        <v/>
      </c>
      <c r="AP125" t="s">
        <v>1259</v>
      </c>
      <c r="AQ125" t="s">
        <v>4842</v>
      </c>
      <c r="AR125" s="15" t="s">
        <v>4586</v>
      </c>
      <c r="AV125" t="s">
        <v>485</v>
      </c>
      <c r="AW125" t="s">
        <v>7975</v>
      </c>
      <c r="AX125" s="5">
        <v>0.38958333333333334</v>
      </c>
      <c r="AZ125" t="str">
        <f t="shared" si="40"/>
        <v>(08:37-9:21)</v>
      </c>
      <c r="BA125" s="5" t="str">
        <f t="shared" si="39"/>
        <v>(15:34-16:24)(08:37-9:21)</v>
      </c>
    </row>
    <row r="126" spans="1:53" ht="13.5">
      <c r="A126" s="135" t="str">
        <f t="shared" si="41"/>
        <v/>
      </c>
      <c r="B126" s="19" t="str">
        <f t="shared" si="42"/>
        <v/>
      </c>
      <c r="C126" s="19" t="str">
        <f t="shared" si="43"/>
        <v/>
      </c>
      <c r="D126" s="19" t="str">
        <f t="shared" si="44"/>
        <v/>
      </c>
      <c r="E126" s="5" t="str">
        <f t="shared" si="28"/>
        <v/>
      </c>
      <c r="F126" s="12" t="str">
        <f t="shared" si="29"/>
        <v/>
      </c>
      <c r="J126" s="7" t="str">
        <f t="shared" si="30"/>
        <v/>
      </c>
      <c r="K126" s="9" t="str">
        <f t="shared" si="31"/>
        <v/>
      </c>
      <c r="L126" s="6">
        <f t="shared" si="32"/>
        <v>0</v>
      </c>
      <c r="M126" s="6">
        <f t="shared" si="33"/>
        <v>0</v>
      </c>
      <c r="N126" s="94" t="str">
        <f t="shared" si="34"/>
        <v/>
      </c>
      <c r="O126"/>
      <c r="P126"/>
      <c r="Q126"/>
      <c r="R126"/>
      <c r="S126"/>
      <c r="T126" s="136" t="str">
        <f t="shared" si="35"/>
        <v/>
      </c>
      <c r="U126" s="137" t="str">
        <f t="shared" si="36"/>
        <v/>
      </c>
      <c r="V126" s="1"/>
      <c r="Y126" s="90" t="str">
        <f t="shared" si="37"/>
        <v/>
      </c>
      <c r="AC126" s="6">
        <v>455747</v>
      </c>
      <c r="AD126" s="6" t="s">
        <v>6817</v>
      </c>
      <c r="AE126" s="158" t="s">
        <v>5242</v>
      </c>
      <c r="AF126" s="159" t="s">
        <v>8299</v>
      </c>
      <c r="AG126" s="160">
        <v>115600</v>
      </c>
      <c r="AH126" s="193" t="s">
        <v>679</v>
      </c>
      <c r="AI126" s="6" t="s">
        <v>3976</v>
      </c>
      <c r="AJ126" s="30" t="s">
        <v>8209</v>
      </c>
      <c r="AK126" t="s">
        <v>8209</v>
      </c>
      <c r="AL126" s="4">
        <f t="shared" si="38"/>
        <v>0</v>
      </c>
      <c r="AM126" s="6" t="s">
        <v>1052</v>
      </c>
      <c r="AN126" s="6" t="s">
        <v>5936</v>
      </c>
      <c r="AO126" t="str">
        <f t="shared" si="26"/>
        <v/>
      </c>
      <c r="AP126" t="s">
        <v>1052</v>
      </c>
      <c r="AQ126" t="s">
        <v>4841</v>
      </c>
      <c r="AR126" s="15" t="s">
        <v>4627</v>
      </c>
      <c r="AV126" t="s">
        <v>480</v>
      </c>
      <c r="AW126" t="s">
        <v>8076</v>
      </c>
      <c r="AX126" s="5">
        <v>0.55347222222222225</v>
      </c>
      <c r="AZ126" t="str">
        <f t="shared" si="40"/>
        <v>(12:39-13:17)</v>
      </c>
      <c r="BA126" s="5" t="str">
        <f t="shared" si="39"/>
        <v>(12:39-13:17)</v>
      </c>
    </row>
    <row r="127" spans="1:53" ht="13.5">
      <c r="A127" s="135" t="str">
        <f t="shared" si="41"/>
        <v/>
      </c>
      <c r="B127" s="19" t="str">
        <f t="shared" si="42"/>
        <v/>
      </c>
      <c r="C127" s="19" t="str">
        <f t="shared" si="43"/>
        <v/>
      </c>
      <c r="D127" s="19" t="str">
        <f t="shared" si="44"/>
        <v/>
      </c>
      <c r="E127" s="5" t="str">
        <f t="shared" si="28"/>
        <v/>
      </c>
      <c r="F127" s="12" t="str">
        <f t="shared" si="29"/>
        <v/>
      </c>
      <c r="J127" s="7" t="str">
        <f t="shared" si="30"/>
        <v/>
      </c>
      <c r="K127" s="9" t="str">
        <f t="shared" si="31"/>
        <v/>
      </c>
      <c r="L127" s="6">
        <f t="shared" si="32"/>
        <v>0</v>
      </c>
      <c r="M127" s="6">
        <f t="shared" si="33"/>
        <v>0</v>
      </c>
      <c r="N127" s="94" t="str">
        <f t="shared" si="34"/>
        <v/>
      </c>
      <c r="O127"/>
      <c r="P127"/>
      <c r="Q127"/>
      <c r="R127"/>
      <c r="S127"/>
      <c r="T127" s="136" t="str">
        <f t="shared" si="35"/>
        <v/>
      </c>
      <c r="U127" s="137" t="str">
        <f t="shared" si="36"/>
        <v/>
      </c>
      <c r="V127" s="1"/>
      <c r="Y127" s="90" t="str">
        <f t="shared" si="37"/>
        <v/>
      </c>
      <c r="AC127" s="6">
        <v>246296</v>
      </c>
      <c r="AD127" s="6" t="s">
        <v>6818</v>
      </c>
      <c r="AE127" s="158" t="s">
        <v>5299</v>
      </c>
      <c r="AF127" s="159" t="s">
        <v>8339</v>
      </c>
      <c r="AG127" s="160">
        <v>115601</v>
      </c>
      <c r="AH127" s="193" t="s">
        <v>679</v>
      </c>
      <c r="AI127" s="6" t="s">
        <v>1455</v>
      </c>
      <c r="AJ127" s="30" t="s">
        <v>8195</v>
      </c>
      <c r="AK127" t="s">
        <v>8195</v>
      </c>
      <c r="AL127" s="4">
        <f t="shared" si="38"/>
        <v>0</v>
      </c>
      <c r="AM127" s="6" t="s">
        <v>1077</v>
      </c>
      <c r="AN127" s="6" t="s">
        <v>5937</v>
      </c>
      <c r="AO127" t="str">
        <f t="shared" si="26"/>
        <v/>
      </c>
      <c r="AP127" t="s">
        <v>1077</v>
      </c>
      <c r="AQ127" t="s">
        <v>4841</v>
      </c>
      <c r="AR127" s="15" t="s">
        <v>4635</v>
      </c>
      <c r="AV127" t="s">
        <v>6621</v>
      </c>
      <c r="AW127" t="s">
        <v>8167</v>
      </c>
      <c r="AX127" s="5">
        <v>0.65069444444444446</v>
      </c>
      <c r="AZ127" t="str">
        <f t="shared" si="40"/>
        <v>(15:28-15:37)</v>
      </c>
      <c r="BA127" s="5" t="str">
        <f t="shared" si="39"/>
        <v>(09:14-10:22)(09:14-10:24)(11:59-12:07)(11:59-12:09)(13:44-13:52)(13:44-13:54)(15:28-15:37)</v>
      </c>
    </row>
    <row r="128" spans="1:53" ht="13.5">
      <c r="A128" s="135" t="str">
        <f t="shared" si="41"/>
        <v/>
      </c>
      <c r="B128" s="19" t="str">
        <f t="shared" si="42"/>
        <v/>
      </c>
      <c r="C128" s="19" t="str">
        <f t="shared" si="43"/>
        <v/>
      </c>
      <c r="D128" s="19" t="str">
        <f t="shared" si="44"/>
        <v/>
      </c>
      <c r="E128" s="5" t="str">
        <f t="shared" si="28"/>
        <v/>
      </c>
      <c r="F128" s="12" t="str">
        <f t="shared" si="29"/>
        <v/>
      </c>
      <c r="J128" s="7" t="str">
        <f t="shared" si="30"/>
        <v/>
      </c>
      <c r="K128" s="9" t="str">
        <f t="shared" si="31"/>
        <v/>
      </c>
      <c r="L128" s="6">
        <f t="shared" si="32"/>
        <v>0</v>
      </c>
      <c r="M128" s="6">
        <f t="shared" si="33"/>
        <v>0</v>
      </c>
      <c r="N128" s="94" t="str">
        <f t="shared" si="34"/>
        <v/>
      </c>
      <c r="O128"/>
      <c r="P128"/>
      <c r="Q128"/>
      <c r="R128"/>
      <c r="S128"/>
      <c r="T128" s="136" t="str">
        <f t="shared" si="35"/>
        <v/>
      </c>
      <c r="U128" s="137" t="str">
        <f t="shared" si="36"/>
        <v/>
      </c>
      <c r="V128" s="1"/>
      <c r="Y128" s="90" t="str">
        <f t="shared" si="37"/>
        <v/>
      </c>
      <c r="AC128" s="6" t="s">
        <v>2746</v>
      </c>
      <c r="AD128" s="6" t="s">
        <v>6819</v>
      </c>
      <c r="AE128" s="158" t="s">
        <v>5283</v>
      </c>
      <c r="AF128" s="159" t="s">
        <v>8339</v>
      </c>
      <c r="AG128" s="160">
        <v>115602</v>
      </c>
      <c r="AH128" s="193" t="s">
        <v>1314</v>
      </c>
      <c r="AI128" s="6" t="s">
        <v>1652</v>
      </c>
      <c r="AJ128" s="30" t="s">
        <v>8201</v>
      </c>
      <c r="AK128" t="s">
        <v>8666</v>
      </c>
      <c r="AL128" s="4">
        <f t="shared" si="38"/>
        <v>0</v>
      </c>
      <c r="AM128" s="6" t="s">
        <v>1241</v>
      </c>
      <c r="AN128" s="6" t="s">
        <v>5938</v>
      </c>
      <c r="AO128" t="str">
        <f t="shared" si="26"/>
        <v/>
      </c>
      <c r="AP128" t="s">
        <v>1241</v>
      </c>
      <c r="AQ128" t="s">
        <v>4841</v>
      </c>
      <c r="AR128" s="15" t="s">
        <v>4653</v>
      </c>
      <c r="AV128" t="s">
        <v>6621</v>
      </c>
      <c r="AW128" t="s">
        <v>8098</v>
      </c>
      <c r="AX128" s="5">
        <v>0.57916666666666672</v>
      </c>
      <c r="AZ128" t="str">
        <f t="shared" si="40"/>
        <v>(13:44-13:54)</v>
      </c>
      <c r="BA128" s="5" t="str">
        <f t="shared" si="39"/>
        <v>(09:14-10:22)(09:14-10:24)(11:59-12:07)(11:59-12:09)(13:44-13:52)(15:28-15:37)(13:44-13:54)</v>
      </c>
    </row>
    <row r="129" spans="1:53" ht="13.5">
      <c r="A129" s="135" t="str">
        <f t="shared" si="41"/>
        <v/>
      </c>
      <c r="B129" s="19" t="str">
        <f t="shared" si="42"/>
        <v/>
      </c>
      <c r="C129" s="19" t="str">
        <f t="shared" si="43"/>
        <v/>
      </c>
      <c r="D129" s="19" t="str">
        <f t="shared" si="44"/>
        <v/>
      </c>
      <c r="E129" s="5" t="str">
        <f t="shared" si="28"/>
        <v/>
      </c>
      <c r="F129" s="12" t="str">
        <f t="shared" si="29"/>
        <v/>
      </c>
      <c r="J129" s="7" t="str">
        <f t="shared" si="30"/>
        <v/>
      </c>
      <c r="K129" s="9" t="str">
        <f t="shared" si="31"/>
        <v/>
      </c>
      <c r="L129" s="6">
        <f t="shared" si="32"/>
        <v>0</v>
      </c>
      <c r="M129" s="6">
        <f t="shared" si="33"/>
        <v>0</v>
      </c>
      <c r="N129" s="94" t="str">
        <f t="shared" si="34"/>
        <v/>
      </c>
      <c r="O129"/>
      <c r="P129"/>
      <c r="Q129"/>
      <c r="R129"/>
      <c r="S129"/>
      <c r="T129" s="136" t="str">
        <f t="shared" si="35"/>
        <v/>
      </c>
      <c r="U129" s="137" t="str">
        <f t="shared" si="36"/>
        <v/>
      </c>
      <c r="V129" s="1"/>
      <c r="Y129" s="90" t="str">
        <f t="shared" si="37"/>
        <v/>
      </c>
      <c r="AC129" s="6">
        <v>386346</v>
      </c>
      <c r="AD129" s="6" t="s">
        <v>6820</v>
      </c>
      <c r="AE129" s="158" t="s">
        <v>5277</v>
      </c>
      <c r="AF129" s="159" t="s">
        <v>8339</v>
      </c>
      <c r="AG129" s="160">
        <v>115603</v>
      </c>
      <c r="AH129" s="193" t="s">
        <v>679</v>
      </c>
      <c r="AI129" s="6" t="s">
        <v>4716</v>
      </c>
      <c r="AJ129" s="30" t="s">
        <v>8196</v>
      </c>
      <c r="AK129" t="s">
        <v>8196</v>
      </c>
      <c r="AL129" s="4">
        <f t="shared" si="38"/>
        <v>0</v>
      </c>
      <c r="AM129" s="6" t="s">
        <v>1001</v>
      </c>
      <c r="AN129" s="6" t="s">
        <v>5939</v>
      </c>
      <c r="AO129" t="str">
        <f t="shared" si="26"/>
        <v/>
      </c>
      <c r="AP129" t="s">
        <v>1001</v>
      </c>
      <c r="AQ129" t="s">
        <v>4519</v>
      </c>
      <c r="AR129" s="15" t="s">
        <v>4552</v>
      </c>
      <c r="AV129" t="s">
        <v>6621</v>
      </c>
      <c r="AW129" t="s">
        <v>8098</v>
      </c>
      <c r="AX129" s="5">
        <v>0.57777777777777783</v>
      </c>
      <c r="AZ129" t="str">
        <f t="shared" si="40"/>
        <v>(13:44-13:52)</v>
      </c>
      <c r="BA129" s="5" t="str">
        <f t="shared" si="39"/>
        <v>(09:14-10:22)(09:14-10:24)(11:59-12:07)(11:59-12:09)(13:44-13:54)(13:44-13:52)</v>
      </c>
    </row>
    <row r="130" spans="1:53" ht="13.5">
      <c r="A130" s="135" t="str">
        <f t="shared" si="41"/>
        <v/>
      </c>
      <c r="B130" s="19" t="str">
        <f t="shared" si="42"/>
        <v/>
      </c>
      <c r="C130" s="19" t="str">
        <f t="shared" si="43"/>
        <v/>
      </c>
      <c r="D130" s="19" t="str">
        <f t="shared" si="44"/>
        <v/>
      </c>
      <c r="E130" s="5" t="str">
        <f t="shared" si="28"/>
        <v/>
      </c>
      <c r="F130" s="12" t="str">
        <f t="shared" si="29"/>
        <v/>
      </c>
      <c r="J130" s="7" t="str">
        <f t="shared" si="30"/>
        <v/>
      </c>
      <c r="K130" s="9" t="str">
        <f t="shared" si="31"/>
        <v/>
      </c>
      <c r="L130" s="6">
        <f t="shared" si="32"/>
        <v>0</v>
      </c>
      <c r="M130" s="6">
        <f t="shared" si="33"/>
        <v>0</v>
      </c>
      <c r="N130" s="94" t="str">
        <f t="shared" si="34"/>
        <v/>
      </c>
      <c r="O130"/>
      <c r="P130"/>
      <c r="Q130"/>
      <c r="R130"/>
      <c r="S130"/>
      <c r="T130" s="136" t="str">
        <f t="shared" si="35"/>
        <v/>
      </c>
      <c r="U130" s="137" t="str">
        <f t="shared" si="36"/>
        <v/>
      </c>
      <c r="V130" s="1"/>
      <c r="Y130" s="90" t="str">
        <f t="shared" si="37"/>
        <v/>
      </c>
      <c r="AC130" s="6">
        <v>246832</v>
      </c>
      <c r="AD130" s="6" t="s">
        <v>6821</v>
      </c>
      <c r="AE130" s="158" t="s">
        <v>5178</v>
      </c>
      <c r="AF130" s="159" t="s">
        <v>8299</v>
      </c>
      <c r="AG130" s="160">
        <v>115605</v>
      </c>
      <c r="AH130" s="193" t="s">
        <v>679</v>
      </c>
      <c r="AI130" s="6" t="s">
        <v>1764</v>
      </c>
      <c r="AJ130" s="30" t="s">
        <v>8234</v>
      </c>
      <c r="AK130" t="s">
        <v>8234</v>
      </c>
      <c r="AL130" s="4">
        <f t="shared" si="38"/>
        <v>0</v>
      </c>
      <c r="AM130" s="6" t="s">
        <v>1284</v>
      </c>
      <c r="AN130" s="6" t="s">
        <v>5940</v>
      </c>
      <c r="AO130" t="str">
        <f t="shared" si="26"/>
        <v/>
      </c>
      <c r="AP130" t="s">
        <v>1284</v>
      </c>
      <c r="AQ130" t="s">
        <v>4841</v>
      </c>
      <c r="AR130" s="15" t="s">
        <v>4568</v>
      </c>
      <c r="AV130" t="s">
        <v>6621</v>
      </c>
      <c r="AW130" t="s">
        <v>8057</v>
      </c>
      <c r="AX130" s="5">
        <v>0.50624999999999998</v>
      </c>
      <c r="AZ130" t="str">
        <f t="shared" si="40"/>
        <v>(11:59-12:09)</v>
      </c>
      <c r="BA130" s="5" t="str">
        <f t="shared" si="39"/>
        <v>(09:14-10:22)(09:14-10:24)(11:59-12:07)(13:44-13:52)(11:59-12:09)</v>
      </c>
    </row>
    <row r="131" spans="1:53" ht="13.5">
      <c r="A131" s="135" t="str">
        <f t="shared" si="41"/>
        <v/>
      </c>
      <c r="B131" s="19" t="str">
        <f t="shared" si="42"/>
        <v/>
      </c>
      <c r="C131" s="19" t="str">
        <f t="shared" si="43"/>
        <v/>
      </c>
      <c r="D131" s="19" t="str">
        <f t="shared" si="44"/>
        <v/>
      </c>
      <c r="E131" s="5" t="str">
        <f t="shared" si="28"/>
        <v/>
      </c>
      <c r="F131" s="12" t="str">
        <f t="shared" si="29"/>
        <v/>
      </c>
      <c r="J131" s="7" t="str">
        <f t="shared" si="30"/>
        <v/>
      </c>
      <c r="K131" s="9" t="str">
        <f t="shared" si="31"/>
        <v/>
      </c>
      <c r="L131" s="6">
        <f t="shared" si="32"/>
        <v>0</v>
      </c>
      <c r="M131" s="6">
        <f t="shared" si="33"/>
        <v>0</v>
      </c>
      <c r="N131" s="94" t="str">
        <f t="shared" si="34"/>
        <v/>
      </c>
      <c r="O131"/>
      <c r="P131"/>
      <c r="Q131"/>
      <c r="R131"/>
      <c r="S131"/>
      <c r="T131" s="136" t="str">
        <f t="shared" si="35"/>
        <v/>
      </c>
      <c r="U131" s="137" t="str">
        <f t="shared" si="36"/>
        <v/>
      </c>
      <c r="V131" s="1"/>
      <c r="Y131" s="90" t="str">
        <f t="shared" si="37"/>
        <v/>
      </c>
      <c r="AC131" s="6" t="s">
        <v>2813</v>
      </c>
      <c r="AD131" s="6" t="s">
        <v>6822</v>
      </c>
      <c r="AE131" s="158" t="s">
        <v>5298</v>
      </c>
      <c r="AF131" s="159" t="s">
        <v>8339</v>
      </c>
      <c r="AG131" s="160">
        <v>115607</v>
      </c>
      <c r="AH131" s="193" t="s">
        <v>679</v>
      </c>
      <c r="AI131" s="6" t="s">
        <v>1973</v>
      </c>
      <c r="AJ131" s="30" t="s">
        <v>8234</v>
      </c>
      <c r="AK131" t="s">
        <v>8234</v>
      </c>
      <c r="AL131" s="4">
        <f t="shared" si="38"/>
        <v>0</v>
      </c>
      <c r="AM131" s="6" t="s">
        <v>1229</v>
      </c>
      <c r="AN131" s="6" t="s">
        <v>5941</v>
      </c>
      <c r="AO131" t="str">
        <f t="shared" si="26"/>
        <v/>
      </c>
      <c r="AP131" t="s">
        <v>1229</v>
      </c>
      <c r="AQ131" t="s">
        <v>4841</v>
      </c>
      <c r="AR131" s="15" t="s">
        <v>4608</v>
      </c>
      <c r="AV131" t="s">
        <v>6621</v>
      </c>
      <c r="AW131" t="s">
        <v>8057</v>
      </c>
      <c r="AX131" s="5">
        <v>0.50486111111111109</v>
      </c>
      <c r="AZ131" t="str">
        <f t="shared" si="40"/>
        <v>(11:59-12:07)</v>
      </c>
      <c r="BA131" s="5" t="str">
        <f t="shared" si="39"/>
        <v>(09:14-10:22)(09:14-10:24)(11:59-12:09)(11:59-12:07)</v>
      </c>
    </row>
    <row r="132" spans="1:53" ht="13.5">
      <c r="A132" s="135" t="str">
        <f t="shared" si="41"/>
        <v/>
      </c>
      <c r="B132" s="19" t="str">
        <f t="shared" si="42"/>
        <v/>
      </c>
      <c r="C132" s="19" t="str">
        <f t="shared" si="43"/>
        <v/>
      </c>
      <c r="D132" s="19" t="str">
        <f t="shared" si="44"/>
        <v/>
      </c>
      <c r="E132" s="5" t="str">
        <f t="shared" si="28"/>
        <v/>
      </c>
      <c r="F132" s="12" t="str">
        <f t="shared" si="29"/>
        <v/>
      </c>
      <c r="J132" s="7" t="str">
        <f t="shared" si="30"/>
        <v/>
      </c>
      <c r="K132" s="9" t="str">
        <f t="shared" si="31"/>
        <v/>
      </c>
      <c r="L132" s="6">
        <f t="shared" si="32"/>
        <v>0</v>
      </c>
      <c r="M132" s="6">
        <f t="shared" si="33"/>
        <v>0</v>
      </c>
      <c r="N132" s="94" t="str">
        <f t="shared" si="34"/>
        <v/>
      </c>
      <c r="O132"/>
      <c r="P132"/>
      <c r="Q132"/>
      <c r="R132"/>
      <c r="S132"/>
      <c r="T132" s="136" t="str">
        <f t="shared" si="35"/>
        <v/>
      </c>
      <c r="U132" s="137" t="str">
        <f t="shared" si="36"/>
        <v/>
      </c>
      <c r="V132" s="1"/>
      <c r="Y132" s="90" t="str">
        <f t="shared" si="37"/>
        <v/>
      </c>
      <c r="AC132" s="6" t="s">
        <v>2799</v>
      </c>
      <c r="AD132" s="6" t="s">
        <v>6823</v>
      </c>
      <c r="AE132" s="158" t="s">
        <v>5153</v>
      </c>
      <c r="AF132" s="159" t="s">
        <v>8299</v>
      </c>
      <c r="AG132" s="161">
        <v>116477</v>
      </c>
      <c r="AH132" s="193" t="s">
        <v>679</v>
      </c>
      <c r="AI132" s="6" t="s">
        <v>2259</v>
      </c>
      <c r="AJ132" s="30" t="s">
        <v>8221</v>
      </c>
      <c r="AK132" t="s">
        <v>8669</v>
      </c>
      <c r="AL132" s="4">
        <f t="shared" si="38"/>
        <v>0</v>
      </c>
      <c r="AM132" s="6" t="s">
        <v>1244</v>
      </c>
      <c r="AN132" s="6" t="s">
        <v>5942</v>
      </c>
      <c r="AO132" t="str">
        <f t="shared" si="26"/>
        <v/>
      </c>
      <c r="AP132" t="s">
        <v>1244</v>
      </c>
      <c r="AQ132" t="s">
        <v>4512</v>
      </c>
      <c r="AR132" s="15">
        <v>2944</v>
      </c>
      <c r="AV132" t="s">
        <v>6621</v>
      </c>
      <c r="AW132" t="s">
        <v>7991</v>
      </c>
      <c r="AX132" s="5">
        <v>0.43333333333333335</v>
      </c>
      <c r="AZ132" t="str">
        <f t="shared" si="40"/>
        <v>(09:14-10:24)</v>
      </c>
      <c r="BA132" s="5" t="str">
        <f t="shared" si="39"/>
        <v>(09:14-10:22)(11:59-12:07)(09:14-10:24)</v>
      </c>
    </row>
    <row r="133" spans="1:53" ht="13.5">
      <c r="A133" s="135" t="str">
        <f t="shared" si="41"/>
        <v/>
      </c>
      <c r="B133" s="19" t="str">
        <f t="shared" si="42"/>
        <v/>
      </c>
      <c r="C133" s="19" t="str">
        <f t="shared" si="43"/>
        <v/>
      </c>
      <c r="D133" s="19" t="str">
        <f t="shared" si="44"/>
        <v/>
      </c>
      <c r="E133" s="5" t="str">
        <f t="shared" si="28"/>
        <v/>
      </c>
      <c r="F133" s="12" t="str">
        <f t="shared" si="29"/>
        <v/>
      </c>
      <c r="J133" s="7" t="str">
        <f t="shared" si="30"/>
        <v/>
      </c>
      <c r="K133" s="9" t="str">
        <f t="shared" si="31"/>
        <v/>
      </c>
      <c r="L133" s="6">
        <f t="shared" si="32"/>
        <v>0</v>
      </c>
      <c r="M133" s="6">
        <f t="shared" si="33"/>
        <v>0</v>
      </c>
      <c r="N133" s="94" t="str">
        <f t="shared" si="34"/>
        <v/>
      </c>
      <c r="O133"/>
      <c r="P133"/>
      <c r="Q133"/>
      <c r="R133"/>
      <c r="S133"/>
      <c r="T133" s="136" t="str">
        <f t="shared" si="35"/>
        <v/>
      </c>
      <c r="U133" s="137" t="str">
        <f t="shared" si="36"/>
        <v/>
      </c>
      <c r="V133" s="1"/>
      <c r="Y133" s="90" t="str">
        <f t="shared" si="37"/>
        <v/>
      </c>
      <c r="AC133" s="6" t="s">
        <v>2489</v>
      </c>
      <c r="AD133" s="6" t="s">
        <v>6824</v>
      </c>
      <c r="AE133" s="158" t="s">
        <v>5124</v>
      </c>
      <c r="AF133" s="159" t="s">
        <v>8299</v>
      </c>
      <c r="AG133" s="160">
        <v>116559</v>
      </c>
      <c r="AH133" s="193" t="s">
        <v>679</v>
      </c>
      <c r="AI133" s="6" t="s">
        <v>657</v>
      </c>
      <c r="AJ133" s="30" t="s">
        <v>8198</v>
      </c>
      <c r="AK133" t="s">
        <v>8198</v>
      </c>
      <c r="AL133" s="4">
        <f t="shared" si="38"/>
        <v>0</v>
      </c>
      <c r="AM133" s="6" t="s">
        <v>1122</v>
      </c>
      <c r="AN133" s="6" t="s">
        <v>5943</v>
      </c>
      <c r="AO133" t="str">
        <f t="shared" ref="AO133:AO196" si="45">IFERROR(CONCATENATE(VLOOKUP(I133,$AP$5:$AR$500,3,0),"  (Host-",VLOOKUP(I133,$AP$5:$AR$500,2,0),")"),"")</f>
        <v/>
      </c>
      <c r="AP133" t="s">
        <v>1122</v>
      </c>
      <c r="AQ133" t="s">
        <v>4841</v>
      </c>
      <c r="AR133" s="15" t="s">
        <v>4668</v>
      </c>
      <c r="AV133" t="s">
        <v>6621</v>
      </c>
      <c r="AW133" t="s">
        <v>7991</v>
      </c>
      <c r="AX133" s="5">
        <v>0.43194444444444446</v>
      </c>
      <c r="AZ133" t="str">
        <f t="shared" ref="AZ133:AZ164" si="46">IF(ISBLANK(AW133),"",CONCATENATE("(",RIGHT(AW133,5),"-",TEXT(AX133,"h:mm;@"),")"))</f>
        <v>(09:14-10:22)</v>
      </c>
      <c r="BA133" s="5" t="str">
        <f t="shared" si="39"/>
        <v>(09:14-10:24)(09:14-10:22)</v>
      </c>
    </row>
    <row r="134" spans="1:53" ht="13.5">
      <c r="A134" s="135" t="str">
        <f t="shared" si="41"/>
        <v/>
      </c>
      <c r="B134" s="19" t="str">
        <f t="shared" si="42"/>
        <v/>
      </c>
      <c r="C134" s="19" t="str">
        <f t="shared" si="43"/>
        <v/>
      </c>
      <c r="D134" s="19" t="str">
        <f t="shared" si="44"/>
        <v/>
      </c>
      <c r="E134" s="5" t="str">
        <f t="shared" ref="E134:E197" si="47">IF(ISNA(VLOOKUP(I134,AI:AK,2,FALSE)),"",VLOOKUP(I134,AI:AK,2,FALSE))</f>
        <v/>
      </c>
      <c r="F134" s="12" t="str">
        <f t="shared" ref="F134:F197" si="48">IF(ISNA(VLOOKUP(I134,AI:AK,3,FALSE)),"",VLOOKUP(I134,AI:AK,3,FALSE))</f>
        <v/>
      </c>
      <c r="J134" s="7" t="str">
        <f t="shared" ref="J134:J197" si="49">IF(ISNA(VLOOKUP(I134,Z:AA,2,FALSE)),"",VLOOKUP(I134,Z:AA,2,FALSE))</f>
        <v/>
      </c>
      <c r="K134" s="9" t="str">
        <f t="shared" ref="K134:K197" si="50">IF(AND(LEFT(L134,3)&lt;&gt;"IB0",LEFT(L134,3)&lt;&gt;"ME0",LEFT(L134,3)&lt;&gt;"PS0",LEFT(L134,3)&lt;&gt;"RY0",LEFT(L134,3)&lt;&gt;"BU0",LEFT(L134,3)&lt;&gt;"IS0",LEFT(L134,3)&lt;&gt;"KA0",LEFT(L134,3)&lt;&gt;"FB0",LEFT(L134,3)&lt;&gt;"MB0",LEFT(L134,3)&lt;&gt;"LH0",LEFT(L134,3)&lt;&gt;"MU0",LEFT(L134,3)&lt;&gt;"AB0"),"",L134)</f>
        <v/>
      </c>
      <c r="L134" s="6">
        <f t="shared" ref="L134:L197" si="51">IF(ISNA(VLOOKUP(I134,$S$5:$S$900,1,FALSE)),I134,"")</f>
        <v>0</v>
      </c>
      <c r="M134" s="6">
        <f t="shared" ref="M134:M197" si="52">IF(OR(LEFT(L134,3)="IB0",LEFT(L134,3)="ME0",LEFT(L134,3)="PS0",LEFT(L134,3)="RY0",LEFT(L134,3)="BU0",LEFT(L134,3)="IS0",LEFT(L134,3)="KA0",LEFT(L134,3)="FB0",LEFT(L134,3)="MB0",LEFT(L134,3)="LH0",LEFT(L134,3)="MU0",LEFT(L134,3)="AB0",),"",L134)</f>
        <v>0</v>
      </c>
      <c r="N134" s="94" t="str">
        <f t="shared" ref="N134:N197" si="53">IF(I134="","",(IF(ISNA(VLOOKUP(M134,$AJ$4:$AK$4000,2,FALSE)),M134,VLOOKUP(M134,$AJ$4:$AK$4000,2,FALSE))))</f>
        <v/>
      </c>
      <c r="O134"/>
      <c r="P134"/>
      <c r="Q134"/>
      <c r="R134"/>
      <c r="S134"/>
      <c r="T134" s="136" t="str">
        <f t="shared" ref="T134:T197" si="54">IF(ISNA(VLOOKUP(S134,$I$5:$I$900,1,FALSE)),IF(ISBLANK(S134),"","up"),"")</f>
        <v/>
      </c>
      <c r="U134" s="137" t="str">
        <f t="shared" ref="U134:U197" si="55">IF(T134="up",(IF(ISNA(VLOOKUP(S134,$AV$1:$AX$1200,3,FALSE)),"",VLOOKUP(S134,$AV$1:$AX$1200,3,FALSE))),"")</f>
        <v/>
      </c>
      <c r="V134" s="1"/>
      <c r="Y134" s="90" t="str">
        <f t="shared" ref="Y134:Y197" si="56">IFERROR(VLOOKUP(S134,$AV$1:$BA$1200,6,0),"")</f>
        <v/>
      </c>
      <c r="AC134" s="6" t="s">
        <v>2525</v>
      </c>
      <c r="AD134" s="6" t="s">
        <v>6825</v>
      </c>
      <c r="AE134" s="158" t="s">
        <v>5132</v>
      </c>
      <c r="AF134" s="159" t="s">
        <v>8299</v>
      </c>
      <c r="AG134" s="160">
        <v>125618</v>
      </c>
      <c r="AH134" s="193" t="s">
        <v>1314</v>
      </c>
      <c r="AI134" s="6" t="s">
        <v>1623</v>
      </c>
      <c r="AJ134" s="30" t="s">
        <v>8198</v>
      </c>
      <c r="AK134" t="s">
        <v>8198</v>
      </c>
      <c r="AL134" s="4">
        <f t="shared" ref="AL134:AL197" si="57">COUNTIF(G:G,G134)</f>
        <v>0</v>
      </c>
      <c r="AM134" s="6" t="s">
        <v>1253</v>
      </c>
      <c r="AN134" s="6" t="s">
        <v>5944</v>
      </c>
      <c r="AO134" t="str">
        <f t="shared" si="45"/>
        <v/>
      </c>
      <c r="AP134" t="s">
        <v>1253</v>
      </c>
      <c r="AQ134" t="s">
        <v>4842</v>
      </c>
      <c r="AR134" s="15" t="s">
        <v>4578</v>
      </c>
      <c r="AV134" t="s">
        <v>471</v>
      </c>
      <c r="AW134" t="s">
        <v>8075</v>
      </c>
      <c r="AX134" s="5">
        <v>0.55486111111111114</v>
      </c>
      <c r="AZ134" t="str">
        <f t="shared" si="46"/>
        <v>(12:42-13:19)</v>
      </c>
      <c r="BA134" s="5" t="str">
        <f t="shared" ref="BA134:BA197" si="58">IF(AV150=AV134,"",CONCATENATE(IF(AV149=AV134,AZ149,""),IF(AV148=AV134,AZ148,""),IF(AV147=AV134,AZ147,""),IF(AV146=AV134,AZ146,""),IF(AV145=AV134,AZ145,""),IF(AV144=AV134,AZ144,""),IF(AV143=AV134,AZ143,""),IF(AV142=AV134,AZ142,""),IF(AV141=AV134,AZ141,""),IF(AV140=AV134,AZ140,""),IF(AV139=AV134,AZ139,""),IF(AV138=AV134,AZ138,""),IF(AV137=AV134,AZ137,""),IF(AV136=AV134,AZ136,""),IF(AV135=AV134,AZ135,""),IF(AV133=AV134,AZ133,""),AZ134))</f>
        <v>(12:42-13:19)</v>
      </c>
    </row>
    <row r="135" spans="1:53" ht="13.5">
      <c r="A135" s="135" t="str">
        <f t="shared" si="41"/>
        <v/>
      </c>
      <c r="B135" s="19" t="str">
        <f t="shared" si="42"/>
        <v/>
      </c>
      <c r="C135" s="19" t="str">
        <f t="shared" si="43"/>
        <v/>
      </c>
      <c r="D135" s="19" t="str">
        <f t="shared" si="44"/>
        <v/>
      </c>
      <c r="E135" s="5" t="str">
        <f t="shared" si="47"/>
        <v/>
      </c>
      <c r="F135" s="12" t="str">
        <f t="shared" si="48"/>
        <v/>
      </c>
      <c r="J135" s="7" t="str">
        <f t="shared" si="49"/>
        <v/>
      </c>
      <c r="K135" s="9" t="str">
        <f t="shared" si="50"/>
        <v/>
      </c>
      <c r="L135" s="6">
        <f t="shared" si="51"/>
        <v>0</v>
      </c>
      <c r="M135" s="6">
        <f t="shared" si="52"/>
        <v>0</v>
      </c>
      <c r="N135" s="94" t="str">
        <f t="shared" si="53"/>
        <v/>
      </c>
      <c r="O135"/>
      <c r="P135"/>
      <c r="Q135"/>
      <c r="R135"/>
      <c r="S135"/>
      <c r="T135" s="136" t="str">
        <f t="shared" si="54"/>
        <v/>
      </c>
      <c r="U135" s="137" t="str">
        <f t="shared" si="55"/>
        <v/>
      </c>
      <c r="V135" s="1"/>
      <c r="Y135" s="90" t="str">
        <f t="shared" si="56"/>
        <v/>
      </c>
      <c r="AC135" s="6" t="s">
        <v>2745</v>
      </c>
      <c r="AD135" s="6" t="s">
        <v>6826</v>
      </c>
      <c r="AE135" s="158" t="s">
        <v>5218</v>
      </c>
      <c r="AF135" s="159" t="s">
        <v>8299</v>
      </c>
      <c r="AG135" s="160">
        <v>125619</v>
      </c>
      <c r="AH135" s="193" t="s">
        <v>679</v>
      </c>
      <c r="AI135" s="6" t="s">
        <v>1999</v>
      </c>
      <c r="AJ135" s="30" t="s">
        <v>8217</v>
      </c>
      <c r="AK135" t="s">
        <v>8668</v>
      </c>
      <c r="AL135" s="4">
        <f t="shared" si="57"/>
        <v>0</v>
      </c>
      <c r="AM135" s="6" t="s">
        <v>1257</v>
      </c>
      <c r="AN135" s="6" t="s">
        <v>5945</v>
      </c>
      <c r="AO135" t="str">
        <f t="shared" si="45"/>
        <v/>
      </c>
      <c r="AP135" t="s">
        <v>1257</v>
      </c>
      <c r="AQ135" t="s">
        <v>4512</v>
      </c>
      <c r="AR135" s="15">
        <v>8068</v>
      </c>
      <c r="AV135" t="s">
        <v>442</v>
      </c>
      <c r="AW135" t="s">
        <v>8062</v>
      </c>
      <c r="AX135" s="5">
        <v>0.51874999999999993</v>
      </c>
      <c r="AZ135" t="str">
        <f t="shared" si="46"/>
        <v>(12:04-12:27)</v>
      </c>
      <c r="BA135" s="5" t="str">
        <f t="shared" si="58"/>
        <v>(11:58-12:03)(12:04-12:27)</v>
      </c>
    </row>
    <row r="136" spans="1:53" ht="13.5">
      <c r="A136" s="135" t="str">
        <f t="shared" si="41"/>
        <v/>
      </c>
      <c r="B136" s="19" t="str">
        <f t="shared" si="42"/>
        <v/>
      </c>
      <c r="C136" s="19" t="str">
        <f t="shared" si="43"/>
        <v/>
      </c>
      <c r="D136" s="19" t="str">
        <f t="shared" si="44"/>
        <v/>
      </c>
      <c r="E136" s="5" t="str">
        <f t="shared" si="47"/>
        <v/>
      </c>
      <c r="F136" s="12" t="str">
        <f t="shared" si="48"/>
        <v/>
      </c>
      <c r="J136" s="7" t="str">
        <f t="shared" si="49"/>
        <v/>
      </c>
      <c r="K136" s="9" t="str">
        <f t="shared" si="50"/>
        <v/>
      </c>
      <c r="L136" s="6">
        <f t="shared" si="51"/>
        <v>0</v>
      </c>
      <c r="M136" s="6">
        <f t="shared" si="52"/>
        <v>0</v>
      </c>
      <c r="N136" s="94" t="str">
        <f t="shared" si="53"/>
        <v/>
      </c>
      <c r="O136"/>
      <c r="P136"/>
      <c r="Q136"/>
      <c r="R136"/>
      <c r="S136"/>
      <c r="T136" s="136" t="str">
        <f t="shared" si="54"/>
        <v/>
      </c>
      <c r="U136" s="137" t="str">
        <f t="shared" si="55"/>
        <v/>
      </c>
      <c r="V136" s="1"/>
      <c r="Y136" s="90" t="str">
        <f t="shared" si="56"/>
        <v/>
      </c>
      <c r="AC136" s="6">
        <v>246093</v>
      </c>
      <c r="AD136" s="6" t="s">
        <v>6802</v>
      </c>
      <c r="AE136" s="158" t="s">
        <v>5063</v>
      </c>
      <c r="AF136" s="159" t="s">
        <v>8299</v>
      </c>
      <c r="AG136" s="160">
        <v>125620</v>
      </c>
      <c r="AH136" s="193" t="s">
        <v>1314</v>
      </c>
      <c r="AI136" s="6" t="s">
        <v>2076</v>
      </c>
      <c r="AJ136" s="30" t="s">
        <v>8235</v>
      </c>
      <c r="AK136" t="s">
        <v>8672</v>
      </c>
      <c r="AL136" s="4">
        <f t="shared" si="57"/>
        <v>0</v>
      </c>
      <c r="AM136" s="6" t="s">
        <v>1237</v>
      </c>
      <c r="AN136" s="6" t="s">
        <v>5946</v>
      </c>
      <c r="AO136" t="str">
        <f t="shared" si="45"/>
        <v/>
      </c>
      <c r="AP136" t="s">
        <v>1237</v>
      </c>
      <c r="AQ136" t="s">
        <v>4841</v>
      </c>
      <c r="AR136" s="15" t="s">
        <v>4553</v>
      </c>
      <c r="AV136" t="s">
        <v>442</v>
      </c>
      <c r="AW136" t="s">
        <v>8067</v>
      </c>
      <c r="AX136" s="5">
        <v>0.50208333333333333</v>
      </c>
      <c r="AZ136" t="str">
        <f t="shared" si="46"/>
        <v>(11:58-12:03)</v>
      </c>
      <c r="BA136" s="5" t="str">
        <f t="shared" si="58"/>
        <v>(12:04-12:27)(11:58-12:03)</v>
      </c>
    </row>
    <row r="137" spans="1:53" ht="13.5">
      <c r="A137" s="135" t="str">
        <f t="shared" si="41"/>
        <v/>
      </c>
      <c r="B137" s="19" t="str">
        <f t="shared" si="42"/>
        <v/>
      </c>
      <c r="C137" s="19" t="str">
        <f t="shared" si="43"/>
        <v/>
      </c>
      <c r="D137" s="19" t="str">
        <f t="shared" si="44"/>
        <v/>
      </c>
      <c r="E137" s="5" t="str">
        <f t="shared" si="47"/>
        <v/>
      </c>
      <c r="F137" s="12" t="str">
        <f t="shared" si="48"/>
        <v/>
      </c>
      <c r="J137" s="7" t="str">
        <f t="shared" si="49"/>
        <v/>
      </c>
      <c r="K137" s="9" t="str">
        <f t="shared" si="50"/>
        <v/>
      </c>
      <c r="L137" s="6">
        <f t="shared" si="51"/>
        <v>0</v>
      </c>
      <c r="M137" s="6">
        <f t="shared" si="52"/>
        <v>0</v>
      </c>
      <c r="N137" s="94" t="str">
        <f t="shared" si="53"/>
        <v/>
      </c>
      <c r="O137"/>
      <c r="P137"/>
      <c r="Q137"/>
      <c r="R137"/>
      <c r="S137"/>
      <c r="T137" s="136" t="str">
        <f t="shared" si="54"/>
        <v/>
      </c>
      <c r="U137" s="137" t="str">
        <f t="shared" si="55"/>
        <v/>
      </c>
      <c r="V137" s="1"/>
      <c r="Y137" s="90" t="str">
        <f t="shared" si="56"/>
        <v/>
      </c>
      <c r="AC137" s="6">
        <v>456475</v>
      </c>
      <c r="AD137" s="6" t="s">
        <v>6807</v>
      </c>
      <c r="AE137" s="158" t="s">
        <v>5131</v>
      </c>
      <c r="AF137" s="159" t="s">
        <v>8300</v>
      </c>
      <c r="AG137" s="160">
        <v>125621</v>
      </c>
      <c r="AH137" s="193" t="s">
        <v>1314</v>
      </c>
      <c r="AI137" s="6" t="s">
        <v>4204</v>
      </c>
      <c r="AJ137" s="30" t="s">
        <v>8269</v>
      </c>
      <c r="AK137" t="s">
        <v>8269</v>
      </c>
      <c r="AL137" s="4">
        <f t="shared" si="57"/>
        <v>0</v>
      </c>
      <c r="AM137" s="6" t="s">
        <v>1271</v>
      </c>
      <c r="AN137" s="6" t="s">
        <v>5947</v>
      </c>
      <c r="AO137" t="str">
        <f t="shared" si="45"/>
        <v/>
      </c>
      <c r="AP137" t="s">
        <v>1271</v>
      </c>
      <c r="AQ137" t="s">
        <v>4512</v>
      </c>
      <c r="AR137" s="15">
        <v>9231</v>
      </c>
      <c r="AV137" t="s">
        <v>439</v>
      </c>
      <c r="AW137" t="s">
        <v>8061</v>
      </c>
      <c r="AX137" s="5">
        <v>0.51388888888888895</v>
      </c>
      <c r="AZ137" t="str">
        <f t="shared" si="46"/>
        <v>(12:07-12:20)</v>
      </c>
      <c r="BA137" s="5" t="str">
        <f t="shared" si="58"/>
        <v>(12:07-12:20)</v>
      </c>
    </row>
    <row r="138" spans="1:53" ht="13.5">
      <c r="A138" s="135" t="str">
        <f t="shared" si="41"/>
        <v/>
      </c>
      <c r="B138" s="19" t="str">
        <f t="shared" si="42"/>
        <v/>
      </c>
      <c r="C138" s="19" t="str">
        <f t="shared" si="43"/>
        <v/>
      </c>
      <c r="D138" s="19" t="str">
        <f t="shared" si="44"/>
        <v/>
      </c>
      <c r="E138" s="5" t="str">
        <f t="shared" si="47"/>
        <v/>
      </c>
      <c r="F138" s="12" t="str">
        <f t="shared" si="48"/>
        <v/>
      </c>
      <c r="J138" s="7" t="str">
        <f t="shared" si="49"/>
        <v/>
      </c>
      <c r="K138" s="9" t="str">
        <f t="shared" si="50"/>
        <v/>
      </c>
      <c r="L138" s="6">
        <f t="shared" si="51"/>
        <v>0</v>
      </c>
      <c r="M138" s="6">
        <f t="shared" si="52"/>
        <v>0</v>
      </c>
      <c r="N138" s="94" t="str">
        <f t="shared" si="53"/>
        <v/>
      </c>
      <c r="O138"/>
      <c r="P138"/>
      <c r="Q138"/>
      <c r="R138"/>
      <c r="S138"/>
      <c r="T138" s="136" t="str">
        <f t="shared" si="54"/>
        <v/>
      </c>
      <c r="U138" s="137" t="str">
        <f t="shared" si="55"/>
        <v/>
      </c>
      <c r="V138" s="1"/>
      <c r="Y138" s="90" t="str">
        <f t="shared" si="56"/>
        <v/>
      </c>
      <c r="AC138" s="6" t="s">
        <v>2586</v>
      </c>
      <c r="AD138" s="6" t="s">
        <v>6827</v>
      </c>
      <c r="AE138" s="158" t="s">
        <v>5255</v>
      </c>
      <c r="AF138" s="159" t="s">
        <v>8299</v>
      </c>
      <c r="AG138" s="160">
        <v>125622</v>
      </c>
      <c r="AH138" s="193" t="s">
        <v>679</v>
      </c>
      <c r="AI138" s="6">
        <v>64598</v>
      </c>
      <c r="AJ138" s="30" t="s">
        <v>8237</v>
      </c>
      <c r="AK138" t="s">
        <v>8237</v>
      </c>
      <c r="AL138" s="4">
        <f t="shared" si="57"/>
        <v>0</v>
      </c>
      <c r="AM138" s="6" t="s">
        <v>1944</v>
      </c>
      <c r="AN138" s="6" t="s">
        <v>5948</v>
      </c>
      <c r="AO138" t="str">
        <f t="shared" si="45"/>
        <v/>
      </c>
      <c r="AP138" t="s">
        <v>1944</v>
      </c>
      <c r="AQ138" t="s">
        <v>4843</v>
      </c>
      <c r="AR138" s="15" t="s">
        <v>4850</v>
      </c>
      <c r="AV138" t="s">
        <v>1193</v>
      </c>
      <c r="AW138" t="s">
        <v>7972</v>
      </c>
      <c r="AX138" s="5">
        <v>0.38819444444444445</v>
      </c>
      <c r="AZ138" t="str">
        <f t="shared" si="46"/>
        <v>(08:14-9:19)</v>
      </c>
      <c r="BA138" s="5" t="str">
        <f t="shared" si="58"/>
        <v>(08:14-9:19)</v>
      </c>
    </row>
    <row r="139" spans="1:53" ht="13.5">
      <c r="A139" s="135" t="str">
        <f t="shared" si="41"/>
        <v/>
      </c>
      <c r="B139" s="19" t="str">
        <f t="shared" si="42"/>
        <v/>
      </c>
      <c r="C139" s="19" t="str">
        <f t="shared" si="43"/>
        <v/>
      </c>
      <c r="D139" s="19" t="str">
        <f t="shared" si="44"/>
        <v/>
      </c>
      <c r="E139" s="5" t="str">
        <f t="shared" si="47"/>
        <v/>
      </c>
      <c r="F139" s="12" t="str">
        <f t="shared" si="48"/>
        <v/>
      </c>
      <c r="J139" s="7" t="str">
        <f t="shared" si="49"/>
        <v/>
      </c>
      <c r="K139" s="9" t="str">
        <f t="shared" si="50"/>
        <v/>
      </c>
      <c r="L139" s="6">
        <f t="shared" si="51"/>
        <v>0</v>
      </c>
      <c r="M139" s="6">
        <f t="shared" si="52"/>
        <v>0</v>
      </c>
      <c r="N139" s="94" t="str">
        <f t="shared" si="53"/>
        <v/>
      </c>
      <c r="O139"/>
      <c r="P139"/>
      <c r="Q139"/>
      <c r="R139"/>
      <c r="S139"/>
      <c r="T139" s="136" t="str">
        <f t="shared" si="54"/>
        <v/>
      </c>
      <c r="U139" s="137" t="str">
        <f t="shared" si="55"/>
        <v/>
      </c>
      <c r="V139" s="1"/>
      <c r="Y139" s="90" t="str">
        <f t="shared" si="56"/>
        <v/>
      </c>
      <c r="AC139" s="6" t="s">
        <v>2671</v>
      </c>
      <c r="AD139" s="6" t="s">
        <v>6828</v>
      </c>
      <c r="AE139" s="158" t="s">
        <v>5120</v>
      </c>
      <c r="AF139" s="159" t="s">
        <v>8299</v>
      </c>
      <c r="AG139" s="160">
        <v>125623</v>
      </c>
      <c r="AH139" s="193" t="s">
        <v>1314</v>
      </c>
      <c r="AI139" s="6">
        <v>293697</v>
      </c>
      <c r="AJ139" s="30" t="s">
        <v>8225</v>
      </c>
      <c r="AK139" t="s">
        <v>8225</v>
      </c>
      <c r="AL139" s="4">
        <f t="shared" si="57"/>
        <v>0</v>
      </c>
      <c r="AM139" s="6" t="s">
        <v>1216</v>
      </c>
      <c r="AN139" s="6" t="s">
        <v>5949</v>
      </c>
      <c r="AO139" t="str">
        <f t="shared" si="45"/>
        <v/>
      </c>
      <c r="AP139" t="s">
        <v>1216</v>
      </c>
      <c r="AQ139" t="s">
        <v>4512</v>
      </c>
      <c r="AR139" s="15">
        <v>9207</v>
      </c>
      <c r="AV139" t="s">
        <v>1035</v>
      </c>
      <c r="AW139" t="s">
        <v>8079</v>
      </c>
      <c r="AX139" s="5">
        <v>0.55277777777777781</v>
      </c>
      <c r="AZ139" t="str">
        <f t="shared" si="46"/>
        <v>(12:44-13:16)</v>
      </c>
      <c r="BA139" s="5" t="str">
        <f t="shared" si="58"/>
        <v>(12:41-12:42)(12:44-13:16)</v>
      </c>
    </row>
    <row r="140" spans="1:53" ht="13.5">
      <c r="A140" s="135" t="str">
        <f t="shared" si="41"/>
        <v/>
      </c>
      <c r="B140" s="19" t="str">
        <f t="shared" si="42"/>
        <v/>
      </c>
      <c r="C140" s="19" t="str">
        <f t="shared" si="43"/>
        <v/>
      </c>
      <c r="D140" s="19" t="str">
        <f t="shared" si="44"/>
        <v/>
      </c>
      <c r="E140" s="5" t="str">
        <f t="shared" si="47"/>
        <v/>
      </c>
      <c r="F140" s="12" t="str">
        <f t="shared" si="48"/>
        <v/>
      </c>
      <c r="J140" s="7" t="str">
        <f t="shared" si="49"/>
        <v/>
      </c>
      <c r="K140" s="9" t="str">
        <f t="shared" si="50"/>
        <v/>
      </c>
      <c r="L140" s="6">
        <f t="shared" si="51"/>
        <v>0</v>
      </c>
      <c r="M140" s="6">
        <f t="shared" si="52"/>
        <v>0</v>
      </c>
      <c r="N140" s="94" t="str">
        <f t="shared" si="53"/>
        <v/>
      </c>
      <c r="O140"/>
      <c r="P140"/>
      <c r="Q140"/>
      <c r="R140"/>
      <c r="S140"/>
      <c r="T140" s="136" t="str">
        <f t="shared" si="54"/>
        <v/>
      </c>
      <c r="U140" s="137" t="str">
        <f t="shared" si="55"/>
        <v/>
      </c>
      <c r="V140" s="1"/>
      <c r="Y140" s="90" t="str">
        <f t="shared" si="56"/>
        <v/>
      </c>
      <c r="AC140" s="6" t="s">
        <v>2495</v>
      </c>
      <c r="AD140" s="6" t="s">
        <v>6829</v>
      </c>
      <c r="AE140" s="158" t="s">
        <v>5195</v>
      </c>
      <c r="AF140" s="159" t="s">
        <v>8299</v>
      </c>
      <c r="AG140" s="160">
        <v>125624</v>
      </c>
      <c r="AH140" s="193" t="s">
        <v>679</v>
      </c>
      <c r="AI140" s="6" t="s">
        <v>1731</v>
      </c>
      <c r="AJ140" s="30" t="s">
        <v>8238</v>
      </c>
      <c r="AK140" t="s">
        <v>8673</v>
      </c>
      <c r="AL140" s="4">
        <f t="shared" si="57"/>
        <v>0</v>
      </c>
      <c r="AM140" s="6" t="s">
        <v>1219</v>
      </c>
      <c r="AN140" s="6" t="s">
        <v>5950</v>
      </c>
      <c r="AO140" t="str">
        <f t="shared" si="45"/>
        <v/>
      </c>
      <c r="AP140" t="s">
        <v>1219</v>
      </c>
      <c r="AQ140" t="s">
        <v>4519</v>
      </c>
      <c r="AR140" s="15" t="s">
        <v>4600</v>
      </c>
      <c r="AV140" t="s">
        <v>1035</v>
      </c>
      <c r="AW140" t="s">
        <v>8072</v>
      </c>
      <c r="AX140" s="5">
        <v>0.52916666666666667</v>
      </c>
      <c r="AZ140" t="str">
        <f t="shared" si="46"/>
        <v>(12:41-12:42)</v>
      </c>
      <c r="BA140" s="5" t="str">
        <f t="shared" si="58"/>
        <v>(12:44-13:16)(12:41-12:42)</v>
      </c>
    </row>
    <row r="141" spans="1:53" ht="13.5">
      <c r="A141" s="135" t="str">
        <f t="shared" si="41"/>
        <v/>
      </c>
      <c r="B141" s="19" t="str">
        <f t="shared" si="42"/>
        <v/>
      </c>
      <c r="C141" s="19" t="str">
        <f t="shared" si="43"/>
        <v/>
      </c>
      <c r="D141" s="19" t="str">
        <f t="shared" si="44"/>
        <v/>
      </c>
      <c r="E141" s="5" t="str">
        <f t="shared" si="47"/>
        <v/>
      </c>
      <c r="F141" s="12" t="str">
        <f t="shared" si="48"/>
        <v/>
      </c>
      <c r="J141" s="7" t="str">
        <f t="shared" si="49"/>
        <v/>
      </c>
      <c r="K141" s="9" t="str">
        <f t="shared" si="50"/>
        <v/>
      </c>
      <c r="L141" s="6">
        <f t="shared" si="51"/>
        <v>0</v>
      </c>
      <c r="M141" s="6">
        <f t="shared" si="52"/>
        <v>0</v>
      </c>
      <c r="N141" s="94" t="str">
        <f t="shared" si="53"/>
        <v/>
      </c>
      <c r="O141"/>
      <c r="P141"/>
      <c r="Q141"/>
      <c r="R141"/>
      <c r="S141"/>
      <c r="T141" s="136" t="str">
        <f t="shared" si="54"/>
        <v/>
      </c>
      <c r="U141" s="137" t="str">
        <f t="shared" si="55"/>
        <v/>
      </c>
      <c r="V141" s="1"/>
      <c r="Y141" s="90" t="str">
        <f t="shared" si="56"/>
        <v/>
      </c>
      <c r="AC141" s="6" t="s">
        <v>2382</v>
      </c>
      <c r="AD141" s="6" t="s">
        <v>6830</v>
      </c>
      <c r="AE141" s="158" t="s">
        <v>5137</v>
      </c>
      <c r="AF141" s="159" t="s">
        <v>8299</v>
      </c>
      <c r="AG141" s="160">
        <v>135504</v>
      </c>
      <c r="AH141" s="193" t="s">
        <v>679</v>
      </c>
      <c r="AI141" s="6">
        <v>355311</v>
      </c>
      <c r="AJ141" s="30" t="s">
        <v>8235</v>
      </c>
      <c r="AK141" t="s">
        <v>8672</v>
      </c>
      <c r="AL141" s="4">
        <f t="shared" si="57"/>
        <v>0</v>
      </c>
      <c r="AM141" s="6" t="s">
        <v>1304</v>
      </c>
      <c r="AN141" s="6" t="s">
        <v>5951</v>
      </c>
      <c r="AO141" t="str">
        <f t="shared" si="45"/>
        <v/>
      </c>
      <c r="AP141" t="s">
        <v>1304</v>
      </c>
      <c r="AQ141" t="s">
        <v>4841</v>
      </c>
      <c r="AR141" s="15" t="s">
        <v>4683</v>
      </c>
      <c r="AV141" t="s">
        <v>1389</v>
      </c>
      <c r="AW141" t="s">
        <v>8036</v>
      </c>
      <c r="AX141" s="5">
        <v>0.47430555555555554</v>
      </c>
      <c r="AZ141" t="str">
        <f t="shared" si="46"/>
        <v>(10:57-11:23)</v>
      </c>
      <c r="BA141" s="5" t="str">
        <f t="shared" si="58"/>
        <v>(10:45-10:55)(10:57-11:23)</v>
      </c>
    </row>
    <row r="142" spans="1:53" ht="13.5">
      <c r="A142" s="135" t="str">
        <f t="shared" si="41"/>
        <v/>
      </c>
      <c r="B142" s="19" t="str">
        <f t="shared" si="42"/>
        <v/>
      </c>
      <c r="C142" s="19" t="str">
        <f t="shared" si="43"/>
        <v/>
      </c>
      <c r="D142" s="19" t="str">
        <f t="shared" si="44"/>
        <v/>
      </c>
      <c r="E142" s="5" t="str">
        <f t="shared" si="47"/>
        <v/>
      </c>
      <c r="F142" s="12" t="str">
        <f t="shared" si="48"/>
        <v/>
      </c>
      <c r="J142" s="7" t="str">
        <f t="shared" si="49"/>
        <v/>
      </c>
      <c r="K142" s="9" t="str">
        <f t="shared" si="50"/>
        <v/>
      </c>
      <c r="L142" s="6">
        <f t="shared" si="51"/>
        <v>0</v>
      </c>
      <c r="M142" s="6">
        <f t="shared" si="52"/>
        <v>0</v>
      </c>
      <c r="N142" s="94" t="str">
        <f t="shared" si="53"/>
        <v/>
      </c>
      <c r="O142"/>
      <c r="P142"/>
      <c r="Q142"/>
      <c r="R142"/>
      <c r="S142"/>
      <c r="T142" s="136" t="str">
        <f t="shared" si="54"/>
        <v/>
      </c>
      <c r="U142" s="137" t="str">
        <f t="shared" si="55"/>
        <v/>
      </c>
      <c r="V142" s="1"/>
      <c r="Y142" s="90" t="str">
        <f t="shared" si="56"/>
        <v/>
      </c>
      <c r="AC142" s="6" t="s">
        <v>2672</v>
      </c>
      <c r="AD142" s="6" t="s">
        <v>6828</v>
      </c>
      <c r="AE142" s="158" t="s">
        <v>5116</v>
      </c>
      <c r="AF142" s="159" t="s">
        <v>8299</v>
      </c>
      <c r="AG142" s="160">
        <v>135613</v>
      </c>
      <c r="AH142" s="193" t="s">
        <v>1314</v>
      </c>
      <c r="AI142" s="6" t="s">
        <v>3704</v>
      </c>
      <c r="AJ142" s="30" t="s">
        <v>8199</v>
      </c>
      <c r="AK142" t="s">
        <v>8199</v>
      </c>
      <c r="AL142" s="4">
        <f t="shared" si="57"/>
        <v>0</v>
      </c>
      <c r="AM142" s="6" t="s">
        <v>1641</v>
      </c>
      <c r="AN142" s="6" t="s">
        <v>5952</v>
      </c>
      <c r="AO142" t="str">
        <f t="shared" si="45"/>
        <v/>
      </c>
      <c r="AP142" t="s">
        <v>1240</v>
      </c>
      <c r="AQ142" t="s">
        <v>4512</v>
      </c>
      <c r="AR142" s="15">
        <v>1795</v>
      </c>
      <c r="AV142" t="s">
        <v>1389</v>
      </c>
      <c r="AW142" t="s">
        <v>8033</v>
      </c>
      <c r="AX142" s="5">
        <v>0.4548611111111111</v>
      </c>
      <c r="AZ142" t="str">
        <f t="shared" si="46"/>
        <v>(10:45-10:55)</v>
      </c>
      <c r="BA142" s="5" t="str">
        <f t="shared" si="58"/>
        <v>(10:57-11:23)(10:45-10:55)</v>
      </c>
    </row>
    <row r="143" spans="1:53" ht="13.5">
      <c r="A143" s="135" t="str">
        <f t="shared" si="41"/>
        <v/>
      </c>
      <c r="B143" s="19" t="str">
        <f t="shared" si="42"/>
        <v/>
      </c>
      <c r="C143" s="19" t="str">
        <f t="shared" si="43"/>
        <v/>
      </c>
      <c r="D143" s="19" t="str">
        <f t="shared" si="44"/>
        <v/>
      </c>
      <c r="E143" s="5" t="str">
        <f t="shared" si="47"/>
        <v/>
      </c>
      <c r="F143" s="12" t="str">
        <f t="shared" si="48"/>
        <v/>
      </c>
      <c r="J143" s="7" t="str">
        <f t="shared" si="49"/>
        <v/>
      </c>
      <c r="K143" s="9" t="str">
        <f t="shared" si="50"/>
        <v/>
      </c>
      <c r="L143" s="6">
        <f t="shared" si="51"/>
        <v>0</v>
      </c>
      <c r="M143" s="6">
        <f t="shared" si="52"/>
        <v>0</v>
      </c>
      <c r="N143" s="94" t="str">
        <f t="shared" si="53"/>
        <v/>
      </c>
      <c r="O143"/>
      <c r="P143"/>
      <c r="Q143"/>
      <c r="R143"/>
      <c r="S143"/>
      <c r="T143" s="136" t="str">
        <f t="shared" si="54"/>
        <v/>
      </c>
      <c r="U143" s="137" t="str">
        <f t="shared" si="55"/>
        <v/>
      </c>
      <c r="V143" s="1"/>
      <c r="Y143" s="90" t="str">
        <f t="shared" si="56"/>
        <v/>
      </c>
      <c r="AC143" s="6" t="s">
        <v>5712</v>
      </c>
      <c r="AD143" s="6" t="s">
        <v>6831</v>
      </c>
      <c r="AE143" s="158" t="s">
        <v>5172</v>
      </c>
      <c r="AF143" s="159" t="s">
        <v>8299</v>
      </c>
      <c r="AG143" s="160">
        <v>135614</v>
      </c>
      <c r="AH143" s="193" t="s">
        <v>679</v>
      </c>
      <c r="AI143" s="6" t="s">
        <v>1436</v>
      </c>
      <c r="AJ143" s="30" t="s">
        <v>8196</v>
      </c>
      <c r="AK143" t="s">
        <v>8196</v>
      </c>
      <c r="AL143" s="4">
        <f t="shared" si="57"/>
        <v>0</v>
      </c>
      <c r="AM143" s="6" t="s">
        <v>1018</v>
      </c>
      <c r="AN143" s="6" t="s">
        <v>5953</v>
      </c>
      <c r="AO143" t="str">
        <f t="shared" si="45"/>
        <v/>
      </c>
      <c r="AP143" t="s">
        <v>1641</v>
      </c>
      <c r="AQ143" t="s">
        <v>4841</v>
      </c>
      <c r="AR143" s="15" t="s">
        <v>4677</v>
      </c>
      <c r="AV143" t="s">
        <v>1382</v>
      </c>
      <c r="AW143" t="s">
        <v>8094</v>
      </c>
      <c r="AX143" s="5">
        <v>0.60069444444444442</v>
      </c>
      <c r="AZ143" t="str">
        <f t="shared" si="46"/>
        <v>(13:22-14:25)</v>
      </c>
      <c r="BA143" s="5" t="str">
        <f t="shared" si="58"/>
        <v>(13:22-14:25)</v>
      </c>
    </row>
    <row r="144" spans="1:53" ht="13.5">
      <c r="A144" s="135" t="str">
        <f t="shared" si="41"/>
        <v/>
      </c>
      <c r="B144" s="19" t="str">
        <f t="shared" si="42"/>
        <v/>
      </c>
      <c r="C144" s="19" t="str">
        <f t="shared" si="43"/>
        <v/>
      </c>
      <c r="D144" s="19" t="str">
        <f t="shared" si="44"/>
        <v/>
      </c>
      <c r="E144" s="5" t="str">
        <f t="shared" si="47"/>
        <v/>
      </c>
      <c r="F144" s="12" t="str">
        <f t="shared" si="48"/>
        <v/>
      </c>
      <c r="J144" s="7" t="str">
        <f t="shared" si="49"/>
        <v/>
      </c>
      <c r="K144" s="9" t="str">
        <f t="shared" si="50"/>
        <v/>
      </c>
      <c r="L144" s="6">
        <f t="shared" si="51"/>
        <v>0</v>
      </c>
      <c r="M144" s="6">
        <f t="shared" si="52"/>
        <v>0</v>
      </c>
      <c r="N144" s="94" t="str">
        <f t="shared" si="53"/>
        <v/>
      </c>
      <c r="O144"/>
      <c r="P144"/>
      <c r="Q144"/>
      <c r="R144"/>
      <c r="S144"/>
      <c r="T144" s="136" t="str">
        <f t="shared" si="54"/>
        <v/>
      </c>
      <c r="U144" s="137" t="str">
        <f t="shared" si="55"/>
        <v/>
      </c>
      <c r="V144" s="1"/>
      <c r="Y144" s="90" t="str">
        <f t="shared" si="56"/>
        <v/>
      </c>
      <c r="AC144" s="6" t="s">
        <v>2594</v>
      </c>
      <c r="AD144" s="6" t="s">
        <v>6832</v>
      </c>
      <c r="AE144" s="158" t="s">
        <v>5053</v>
      </c>
      <c r="AF144" s="159" t="s">
        <v>8299</v>
      </c>
      <c r="AG144" s="160">
        <v>135615</v>
      </c>
      <c r="AH144" s="193" t="s">
        <v>1314</v>
      </c>
      <c r="AI144" s="6" t="s">
        <v>1518</v>
      </c>
      <c r="AJ144" s="30" t="s">
        <v>8196</v>
      </c>
      <c r="AK144" t="s">
        <v>8196</v>
      </c>
      <c r="AL144" s="4">
        <f t="shared" si="57"/>
        <v>0</v>
      </c>
      <c r="AM144" s="6" t="s">
        <v>1175</v>
      </c>
      <c r="AN144" s="6" t="s">
        <v>5954</v>
      </c>
      <c r="AO144" t="str">
        <f t="shared" si="45"/>
        <v/>
      </c>
      <c r="AP144" t="s">
        <v>1278</v>
      </c>
      <c r="AQ144" t="s">
        <v>4519</v>
      </c>
      <c r="AR144" s="15" t="s">
        <v>4615</v>
      </c>
      <c r="AV144" t="s">
        <v>397</v>
      </c>
      <c r="AW144" t="s">
        <v>8048</v>
      </c>
      <c r="AX144" s="5">
        <v>0.47291666666666665</v>
      </c>
      <c r="AZ144" t="str">
        <f t="shared" si="46"/>
        <v>(11:15-11:21)</v>
      </c>
      <c r="BA144" s="5" t="str">
        <f t="shared" si="58"/>
        <v>(10:14-10:22)(11:15-11:21)</v>
      </c>
    </row>
    <row r="145" spans="1:53" ht="13.5">
      <c r="A145" s="135" t="str">
        <f t="shared" si="41"/>
        <v/>
      </c>
      <c r="B145" s="19" t="str">
        <f t="shared" si="42"/>
        <v/>
      </c>
      <c r="C145" s="19" t="str">
        <f t="shared" si="43"/>
        <v/>
      </c>
      <c r="D145" s="19" t="str">
        <f t="shared" si="44"/>
        <v/>
      </c>
      <c r="E145" s="5" t="str">
        <f t="shared" si="47"/>
        <v/>
      </c>
      <c r="F145" s="12" t="str">
        <f t="shared" si="48"/>
        <v/>
      </c>
      <c r="J145" s="7" t="str">
        <f t="shared" si="49"/>
        <v/>
      </c>
      <c r="K145" s="9" t="str">
        <f t="shared" si="50"/>
        <v/>
      </c>
      <c r="L145" s="6">
        <f t="shared" si="51"/>
        <v>0</v>
      </c>
      <c r="M145" s="6">
        <f t="shared" si="52"/>
        <v>0</v>
      </c>
      <c r="N145" s="94" t="str">
        <f t="shared" si="53"/>
        <v/>
      </c>
      <c r="O145"/>
      <c r="P145"/>
      <c r="Q145"/>
      <c r="R145"/>
      <c r="S145"/>
      <c r="T145" s="136" t="str">
        <f t="shared" si="54"/>
        <v/>
      </c>
      <c r="U145" s="137" t="str">
        <f t="shared" si="55"/>
        <v/>
      </c>
      <c r="V145" s="1"/>
      <c r="Y145" s="90" t="str">
        <f t="shared" si="56"/>
        <v/>
      </c>
      <c r="AC145" s="6" t="s">
        <v>2705</v>
      </c>
      <c r="AD145" s="6" t="s">
        <v>6833</v>
      </c>
      <c r="AE145" s="158" t="s">
        <v>5140</v>
      </c>
      <c r="AF145" s="159" t="s">
        <v>8299</v>
      </c>
      <c r="AG145" s="160">
        <v>135616</v>
      </c>
      <c r="AH145" s="193" t="s">
        <v>1314</v>
      </c>
      <c r="AI145" s="6">
        <v>575385</v>
      </c>
      <c r="AJ145" s="30" t="s">
        <v>8215</v>
      </c>
      <c r="AK145" t="s">
        <v>8215</v>
      </c>
      <c r="AL145" s="4">
        <f t="shared" si="57"/>
        <v>0</v>
      </c>
      <c r="AM145" s="6" t="s">
        <v>1221</v>
      </c>
      <c r="AN145" s="6" t="s">
        <v>5955</v>
      </c>
      <c r="AO145" t="str">
        <f t="shared" si="45"/>
        <v/>
      </c>
      <c r="AP145" t="s">
        <v>1273</v>
      </c>
      <c r="AQ145" t="s">
        <v>4512</v>
      </c>
      <c r="AR145" s="15">
        <v>9470</v>
      </c>
      <c r="AV145" t="s">
        <v>397</v>
      </c>
      <c r="AW145" t="s">
        <v>8019</v>
      </c>
      <c r="AX145" s="5">
        <v>0.43194444444444446</v>
      </c>
      <c r="AZ145" t="str">
        <f t="shared" si="46"/>
        <v>(10:14-10:22)</v>
      </c>
      <c r="BA145" s="5" t="str">
        <f t="shared" si="58"/>
        <v>(11:15-11:21)(10:14-10:22)</v>
      </c>
    </row>
    <row r="146" spans="1:53" ht="13.5">
      <c r="A146" s="135" t="str">
        <f t="shared" si="41"/>
        <v/>
      </c>
      <c r="B146" s="19" t="str">
        <f t="shared" si="42"/>
        <v/>
      </c>
      <c r="C146" s="19" t="str">
        <f t="shared" si="43"/>
        <v/>
      </c>
      <c r="D146" s="19" t="str">
        <f t="shared" si="44"/>
        <v/>
      </c>
      <c r="E146" s="5" t="str">
        <f t="shared" si="47"/>
        <v/>
      </c>
      <c r="F146" s="12" t="str">
        <f t="shared" si="48"/>
        <v/>
      </c>
      <c r="J146" s="7" t="str">
        <f t="shared" si="49"/>
        <v/>
      </c>
      <c r="K146" s="9" t="str">
        <f t="shared" si="50"/>
        <v/>
      </c>
      <c r="L146" s="6">
        <f t="shared" si="51"/>
        <v>0</v>
      </c>
      <c r="M146" s="6">
        <f t="shared" si="52"/>
        <v>0</v>
      </c>
      <c r="N146" s="94" t="str">
        <f t="shared" si="53"/>
        <v/>
      </c>
      <c r="O146"/>
      <c r="P146"/>
      <c r="Q146"/>
      <c r="R146"/>
      <c r="S146"/>
      <c r="T146" s="136" t="str">
        <f t="shared" si="54"/>
        <v/>
      </c>
      <c r="U146" s="137" t="str">
        <f t="shared" si="55"/>
        <v/>
      </c>
      <c r="V146" s="1"/>
      <c r="Y146" s="90" t="str">
        <f t="shared" si="56"/>
        <v/>
      </c>
      <c r="AC146" s="6" t="s">
        <v>2494</v>
      </c>
      <c r="AD146" s="6" t="s">
        <v>6834</v>
      </c>
      <c r="AE146" s="158" t="s">
        <v>5190</v>
      </c>
      <c r="AF146" s="159" t="s">
        <v>8299</v>
      </c>
      <c r="AG146" s="160">
        <v>135617</v>
      </c>
      <c r="AH146" s="193" t="s">
        <v>1314</v>
      </c>
      <c r="AI146" s="6" t="s">
        <v>2190</v>
      </c>
      <c r="AJ146" s="30" t="s">
        <v>8231</v>
      </c>
      <c r="AK146" t="s">
        <v>8238</v>
      </c>
      <c r="AL146" s="4">
        <f t="shared" si="57"/>
        <v>0</v>
      </c>
      <c r="AM146" s="6" t="s">
        <v>1295</v>
      </c>
      <c r="AN146" s="6" t="s">
        <v>5956</v>
      </c>
      <c r="AO146" t="str">
        <f t="shared" si="45"/>
        <v/>
      </c>
      <c r="AP146" t="s">
        <v>1018</v>
      </c>
      <c r="AQ146" t="s">
        <v>4512</v>
      </c>
      <c r="AR146" s="15">
        <v>8005</v>
      </c>
      <c r="AV146" t="s">
        <v>365</v>
      </c>
      <c r="AW146" t="s">
        <v>8157</v>
      </c>
      <c r="AX146" s="5">
        <v>0.68333333333333324</v>
      </c>
      <c r="AZ146" t="str">
        <f t="shared" si="46"/>
        <v>(15:59-16:24)</v>
      </c>
      <c r="BA146" s="5" t="str">
        <f t="shared" si="58"/>
        <v>(15:59-16:24)</v>
      </c>
    </row>
    <row r="147" spans="1:53" ht="13.5">
      <c r="A147" s="135" t="str">
        <f t="shared" si="41"/>
        <v/>
      </c>
      <c r="B147" s="19" t="str">
        <f t="shared" si="42"/>
        <v/>
      </c>
      <c r="C147" s="19" t="str">
        <f t="shared" si="43"/>
        <v/>
      </c>
      <c r="D147" s="19" t="str">
        <f t="shared" si="44"/>
        <v/>
      </c>
      <c r="E147" s="5" t="str">
        <f t="shared" si="47"/>
        <v/>
      </c>
      <c r="F147" s="12" t="str">
        <f t="shared" si="48"/>
        <v/>
      </c>
      <c r="J147" s="7" t="str">
        <f t="shared" si="49"/>
        <v/>
      </c>
      <c r="K147" s="9" t="str">
        <f t="shared" si="50"/>
        <v/>
      </c>
      <c r="L147" s="6">
        <f t="shared" si="51"/>
        <v>0</v>
      </c>
      <c r="M147" s="6">
        <f t="shared" si="52"/>
        <v>0</v>
      </c>
      <c r="N147" s="94" t="str">
        <f t="shared" si="53"/>
        <v/>
      </c>
      <c r="O147"/>
      <c r="P147"/>
      <c r="Q147"/>
      <c r="R147"/>
      <c r="S147"/>
      <c r="T147" s="136" t="str">
        <f t="shared" si="54"/>
        <v/>
      </c>
      <c r="U147" s="137" t="str">
        <f t="shared" si="55"/>
        <v/>
      </c>
      <c r="V147" s="1"/>
      <c r="Y147" s="90" t="str">
        <f t="shared" si="56"/>
        <v/>
      </c>
      <c r="AC147" s="6">
        <v>385663</v>
      </c>
      <c r="AD147" s="6" t="s">
        <v>6835</v>
      </c>
      <c r="AE147" s="158" t="s">
        <v>5264</v>
      </c>
      <c r="AF147" s="159" t="s">
        <v>8299</v>
      </c>
      <c r="AG147" s="160">
        <v>135849</v>
      </c>
      <c r="AH147" s="193" t="s">
        <v>1314</v>
      </c>
      <c r="AI147" s="6" t="s">
        <v>2185</v>
      </c>
      <c r="AJ147" s="30" t="s">
        <v>8221</v>
      </c>
      <c r="AK147" t="s">
        <v>8669</v>
      </c>
      <c r="AL147" s="4">
        <f t="shared" si="57"/>
        <v>0</v>
      </c>
      <c r="AM147" s="6" t="s">
        <v>1202</v>
      </c>
      <c r="AN147" s="6" t="s">
        <v>5957</v>
      </c>
      <c r="AO147" t="str">
        <f t="shared" si="45"/>
        <v/>
      </c>
      <c r="AP147" t="s">
        <v>1175</v>
      </c>
      <c r="AQ147" t="s">
        <v>4512</v>
      </c>
      <c r="AR147" s="15">
        <v>7011</v>
      </c>
      <c r="AV147" t="s">
        <v>364</v>
      </c>
      <c r="AW147" t="s">
        <v>8154</v>
      </c>
      <c r="AX147" s="5">
        <v>0.68333333333333324</v>
      </c>
      <c r="AZ147" t="str">
        <f t="shared" si="46"/>
        <v>(15:54-16:24)</v>
      </c>
      <c r="BA147" s="5" t="str">
        <f t="shared" si="58"/>
        <v>(09:03-9:18)(15:54-16:24)</v>
      </c>
    </row>
    <row r="148" spans="1:53" ht="13.5">
      <c r="A148" s="135" t="str">
        <f t="shared" si="41"/>
        <v/>
      </c>
      <c r="B148" s="19" t="str">
        <f t="shared" si="42"/>
        <v/>
      </c>
      <c r="C148" s="19" t="str">
        <f t="shared" si="43"/>
        <v/>
      </c>
      <c r="D148" s="19" t="str">
        <f t="shared" si="44"/>
        <v/>
      </c>
      <c r="E148" s="5" t="str">
        <f t="shared" si="47"/>
        <v/>
      </c>
      <c r="F148" s="12" t="str">
        <f t="shared" si="48"/>
        <v/>
      </c>
      <c r="J148" s="7" t="str">
        <f t="shared" si="49"/>
        <v/>
      </c>
      <c r="K148" s="9" t="str">
        <f t="shared" si="50"/>
        <v/>
      </c>
      <c r="L148" s="6">
        <f t="shared" si="51"/>
        <v>0</v>
      </c>
      <c r="M148" s="6">
        <f t="shared" si="52"/>
        <v>0</v>
      </c>
      <c r="N148" s="94" t="str">
        <f t="shared" si="53"/>
        <v/>
      </c>
      <c r="O148"/>
      <c r="P148"/>
      <c r="Q148"/>
      <c r="R148"/>
      <c r="S148"/>
      <c r="T148" s="136" t="str">
        <f t="shared" si="54"/>
        <v/>
      </c>
      <c r="U148" s="137" t="str">
        <f t="shared" si="55"/>
        <v/>
      </c>
      <c r="V148" s="1"/>
      <c r="Y148" s="90" t="str">
        <f t="shared" si="56"/>
        <v/>
      </c>
      <c r="AC148" s="6" t="s">
        <v>2381</v>
      </c>
      <c r="AD148" s="6" t="s">
        <v>6836</v>
      </c>
      <c r="AE148" s="158" t="s">
        <v>5050</v>
      </c>
      <c r="AF148" s="159" t="s">
        <v>8299</v>
      </c>
      <c r="AG148" s="160">
        <v>145625</v>
      </c>
      <c r="AH148" s="193" t="s">
        <v>1314</v>
      </c>
      <c r="AI148" s="6">
        <v>735459</v>
      </c>
      <c r="AJ148" s="30" t="s">
        <v>8235</v>
      </c>
      <c r="AK148" t="s">
        <v>8672</v>
      </c>
      <c r="AL148" s="4">
        <f t="shared" si="57"/>
        <v>0</v>
      </c>
      <c r="AM148" s="6" t="s">
        <v>1017</v>
      </c>
      <c r="AN148" s="6" t="s">
        <v>5958</v>
      </c>
      <c r="AO148" t="str">
        <f t="shared" si="45"/>
        <v/>
      </c>
      <c r="AP148" t="s">
        <v>1221</v>
      </c>
      <c r="AQ148" t="s">
        <v>4841</v>
      </c>
      <c r="AR148" s="15" t="s">
        <v>4601</v>
      </c>
      <c r="AV148" t="s">
        <v>364</v>
      </c>
      <c r="AW148" t="s">
        <v>7987</v>
      </c>
      <c r="AX148" s="5">
        <v>0.38750000000000001</v>
      </c>
      <c r="AZ148" t="str">
        <f t="shared" si="46"/>
        <v>(09:03-9:18)</v>
      </c>
      <c r="BA148" s="5" t="str">
        <f t="shared" si="58"/>
        <v>(15:54-16:24)(09:03-9:18)</v>
      </c>
    </row>
    <row r="149" spans="1:53" ht="13.5">
      <c r="A149" s="135" t="str">
        <f t="shared" si="41"/>
        <v/>
      </c>
      <c r="B149" s="19" t="str">
        <f t="shared" si="42"/>
        <v/>
      </c>
      <c r="C149" s="19" t="str">
        <f t="shared" si="43"/>
        <v/>
      </c>
      <c r="D149" s="19" t="str">
        <f t="shared" si="44"/>
        <v/>
      </c>
      <c r="E149" s="5" t="str">
        <f t="shared" si="47"/>
        <v/>
      </c>
      <c r="F149" s="12" t="str">
        <f t="shared" si="48"/>
        <v/>
      </c>
      <c r="J149" s="7" t="str">
        <f t="shared" si="49"/>
        <v/>
      </c>
      <c r="K149" s="9" t="str">
        <f t="shared" si="50"/>
        <v/>
      </c>
      <c r="L149" s="6">
        <f t="shared" si="51"/>
        <v>0</v>
      </c>
      <c r="M149" s="6">
        <f t="shared" si="52"/>
        <v>0</v>
      </c>
      <c r="N149" s="94" t="str">
        <f t="shared" si="53"/>
        <v/>
      </c>
      <c r="O149"/>
      <c r="P149"/>
      <c r="Q149"/>
      <c r="R149"/>
      <c r="S149"/>
      <c r="T149" s="136" t="str">
        <f t="shared" si="54"/>
        <v/>
      </c>
      <c r="U149" s="137" t="str">
        <f t="shared" si="55"/>
        <v/>
      </c>
      <c r="V149" s="1"/>
      <c r="Y149" s="90" t="str">
        <f t="shared" si="56"/>
        <v/>
      </c>
      <c r="AC149" s="6" t="s">
        <v>4415</v>
      </c>
      <c r="AD149" s="6" t="s">
        <v>6837</v>
      </c>
      <c r="AE149" s="158" t="s">
        <v>5130</v>
      </c>
      <c r="AF149" s="159" t="s">
        <v>8299</v>
      </c>
      <c r="AG149" s="160">
        <v>145626</v>
      </c>
      <c r="AH149" s="193" t="s">
        <v>1314</v>
      </c>
      <c r="AI149" s="6" t="s">
        <v>663</v>
      </c>
      <c r="AJ149" s="30" t="s">
        <v>8198</v>
      </c>
      <c r="AK149" t="s">
        <v>8198</v>
      </c>
      <c r="AL149" s="4">
        <f t="shared" si="57"/>
        <v>0</v>
      </c>
      <c r="AM149" s="6" t="s">
        <v>455</v>
      </c>
      <c r="AN149" s="6" t="s">
        <v>5959</v>
      </c>
      <c r="AO149" t="str">
        <f t="shared" si="45"/>
        <v/>
      </c>
      <c r="AP149" t="s">
        <v>1295</v>
      </c>
      <c r="AQ149" t="s">
        <v>4841</v>
      </c>
      <c r="AR149" s="15" t="s">
        <v>4594</v>
      </c>
      <c r="AV149" t="s">
        <v>345</v>
      </c>
      <c r="AW149" t="s">
        <v>8013</v>
      </c>
      <c r="AX149" s="5">
        <v>0.42638888888888887</v>
      </c>
      <c r="AZ149" t="str">
        <f t="shared" si="46"/>
        <v>(10:03-10:14)</v>
      </c>
      <c r="BA149" s="5" t="str">
        <f t="shared" si="58"/>
        <v>(10:03-10:14)</v>
      </c>
    </row>
    <row r="150" spans="1:53" ht="13.5">
      <c r="A150" s="135" t="str">
        <f t="shared" si="41"/>
        <v/>
      </c>
      <c r="B150" s="19" t="str">
        <f t="shared" si="42"/>
        <v/>
      </c>
      <c r="C150" s="19" t="str">
        <f t="shared" si="43"/>
        <v/>
      </c>
      <c r="D150" s="19" t="str">
        <f t="shared" si="44"/>
        <v/>
      </c>
      <c r="E150" s="5" t="str">
        <f t="shared" si="47"/>
        <v/>
      </c>
      <c r="F150" s="12" t="str">
        <f t="shared" si="48"/>
        <v/>
      </c>
      <c r="J150" s="7" t="str">
        <f t="shared" si="49"/>
        <v/>
      </c>
      <c r="K150" s="9" t="str">
        <f t="shared" si="50"/>
        <v/>
      </c>
      <c r="L150" s="6">
        <f t="shared" si="51"/>
        <v>0</v>
      </c>
      <c r="M150" s="6">
        <f t="shared" si="52"/>
        <v>0</v>
      </c>
      <c r="N150" s="94" t="str">
        <f t="shared" si="53"/>
        <v/>
      </c>
      <c r="O150"/>
      <c r="P150"/>
      <c r="Q150"/>
      <c r="R150"/>
      <c r="S150"/>
      <c r="T150" s="136" t="str">
        <f t="shared" si="54"/>
        <v/>
      </c>
      <c r="U150" s="137" t="str">
        <f t="shared" si="55"/>
        <v/>
      </c>
      <c r="V150" s="1"/>
      <c r="Y150" s="90" t="str">
        <f t="shared" si="56"/>
        <v/>
      </c>
      <c r="AC150" s="6" t="s">
        <v>5706</v>
      </c>
      <c r="AD150" s="6" t="s">
        <v>6838</v>
      </c>
      <c r="AE150" s="158" t="s">
        <v>5107</v>
      </c>
      <c r="AF150" s="159" t="s">
        <v>8299</v>
      </c>
      <c r="AG150" s="160">
        <v>145627</v>
      </c>
      <c r="AH150" s="193" t="s">
        <v>679</v>
      </c>
      <c r="AI150" s="6" t="s">
        <v>528</v>
      </c>
      <c r="AJ150" s="30" t="s">
        <v>8208</v>
      </c>
      <c r="AK150" t="s">
        <v>8667</v>
      </c>
      <c r="AL150" s="4">
        <f t="shared" si="57"/>
        <v>0</v>
      </c>
      <c r="AM150" s="6" t="s">
        <v>982</v>
      </c>
      <c r="AN150" s="6" t="s">
        <v>5960</v>
      </c>
      <c r="AO150" t="str">
        <f t="shared" si="45"/>
        <v/>
      </c>
      <c r="AP150" t="s">
        <v>1202</v>
      </c>
      <c r="AQ150" t="s">
        <v>4512</v>
      </c>
      <c r="AR150" s="15">
        <v>7530</v>
      </c>
      <c r="AV150" t="s">
        <v>335</v>
      </c>
      <c r="AW150" t="s">
        <v>8157</v>
      </c>
      <c r="AX150" s="5">
        <v>0.68333333333333324</v>
      </c>
      <c r="AZ150" t="str">
        <f t="shared" si="46"/>
        <v>(15:59-16:24)</v>
      </c>
      <c r="BA150" s="5" t="str">
        <f t="shared" si="58"/>
        <v>(15:59-16:24)</v>
      </c>
    </row>
    <row r="151" spans="1:53" ht="13.5">
      <c r="A151" s="135" t="str">
        <f t="shared" si="41"/>
        <v/>
      </c>
      <c r="B151" s="19" t="str">
        <f t="shared" si="42"/>
        <v/>
      </c>
      <c r="C151" s="19" t="str">
        <f t="shared" si="43"/>
        <v/>
      </c>
      <c r="D151" s="19" t="str">
        <f t="shared" si="44"/>
        <v/>
      </c>
      <c r="E151" s="5" t="str">
        <f t="shared" si="47"/>
        <v/>
      </c>
      <c r="F151" s="12" t="str">
        <f t="shared" si="48"/>
        <v/>
      </c>
      <c r="J151" s="7" t="str">
        <f t="shared" si="49"/>
        <v/>
      </c>
      <c r="K151" s="9" t="str">
        <f t="shared" si="50"/>
        <v/>
      </c>
      <c r="L151" s="6">
        <f t="shared" si="51"/>
        <v>0</v>
      </c>
      <c r="M151" s="6">
        <f t="shared" si="52"/>
        <v>0</v>
      </c>
      <c r="N151" s="94" t="str">
        <f t="shared" si="53"/>
        <v/>
      </c>
      <c r="O151"/>
      <c r="P151"/>
      <c r="Q151"/>
      <c r="R151"/>
      <c r="S151"/>
      <c r="T151" s="136" t="str">
        <f t="shared" si="54"/>
        <v/>
      </c>
      <c r="U151" s="137" t="str">
        <f t="shared" si="55"/>
        <v/>
      </c>
      <c r="V151" s="1"/>
      <c r="Y151" s="90" t="str">
        <f t="shared" si="56"/>
        <v/>
      </c>
      <c r="AC151" s="6" t="s">
        <v>2526</v>
      </c>
      <c r="AD151" s="6" t="s">
        <v>6839</v>
      </c>
      <c r="AE151" s="158" t="s">
        <v>5125</v>
      </c>
      <c r="AF151" s="159" t="s">
        <v>8299</v>
      </c>
      <c r="AG151" s="160">
        <v>145628</v>
      </c>
      <c r="AH151" s="193" t="s">
        <v>679</v>
      </c>
      <c r="AI151" s="6" t="s">
        <v>4705</v>
      </c>
      <c r="AJ151" s="30" t="s">
        <v>8207</v>
      </c>
      <c r="AK151" t="s">
        <v>8207</v>
      </c>
      <c r="AL151" s="4">
        <f t="shared" si="57"/>
        <v>0</v>
      </c>
      <c r="AM151" s="6" t="s">
        <v>1074</v>
      </c>
      <c r="AN151" s="6" t="s">
        <v>5961</v>
      </c>
      <c r="AO151" t="str">
        <f t="shared" si="45"/>
        <v/>
      </c>
      <c r="AP151" t="s">
        <v>1017</v>
      </c>
      <c r="AQ151" t="s">
        <v>4512</v>
      </c>
      <c r="AR151" s="15">
        <v>8181</v>
      </c>
      <c r="AV151" t="s">
        <v>1366</v>
      </c>
      <c r="AW151" t="s">
        <v>8080</v>
      </c>
      <c r="AX151" s="5">
        <v>0.54999999999999993</v>
      </c>
      <c r="AZ151" t="str">
        <f t="shared" si="46"/>
        <v>(12:58-13:12)</v>
      </c>
      <c r="BA151" s="5" t="str">
        <f t="shared" si="58"/>
        <v>(12:50-12:56)(12:58-13:12)</v>
      </c>
    </row>
    <row r="152" spans="1:53" ht="13.5">
      <c r="A152" s="135" t="str">
        <f t="shared" si="41"/>
        <v/>
      </c>
      <c r="B152" s="19" t="str">
        <f t="shared" si="42"/>
        <v/>
      </c>
      <c r="C152" s="19" t="str">
        <f t="shared" si="43"/>
        <v/>
      </c>
      <c r="D152" s="19" t="str">
        <f t="shared" si="44"/>
        <v/>
      </c>
      <c r="E152" s="5" t="str">
        <f t="shared" si="47"/>
        <v/>
      </c>
      <c r="F152" s="12" t="str">
        <f t="shared" si="48"/>
        <v/>
      </c>
      <c r="J152" s="7" t="str">
        <f t="shared" si="49"/>
        <v/>
      </c>
      <c r="K152" s="9" t="str">
        <f t="shared" si="50"/>
        <v/>
      </c>
      <c r="L152" s="6">
        <f t="shared" si="51"/>
        <v>0</v>
      </c>
      <c r="M152" s="6">
        <f t="shared" si="52"/>
        <v>0</v>
      </c>
      <c r="N152" s="94" t="str">
        <f t="shared" si="53"/>
        <v/>
      </c>
      <c r="O152"/>
      <c r="P152"/>
      <c r="Q152"/>
      <c r="R152"/>
      <c r="S152"/>
      <c r="T152" s="136" t="str">
        <f t="shared" si="54"/>
        <v/>
      </c>
      <c r="U152" s="137" t="str">
        <f t="shared" si="55"/>
        <v/>
      </c>
      <c r="V152" s="1"/>
      <c r="Y152" s="90" t="str">
        <f t="shared" si="56"/>
        <v/>
      </c>
      <c r="AC152" s="6">
        <v>246045</v>
      </c>
      <c r="AD152" s="6" t="s">
        <v>6806</v>
      </c>
      <c r="AE152" s="158" t="s">
        <v>5126</v>
      </c>
      <c r="AF152" s="159" t="s">
        <v>8299</v>
      </c>
      <c r="AG152" s="160">
        <v>155812</v>
      </c>
      <c r="AH152" s="193" t="s">
        <v>679</v>
      </c>
      <c r="AI152" s="6" t="s">
        <v>5439</v>
      </c>
      <c r="AJ152" s="30" t="s">
        <v>8207</v>
      </c>
      <c r="AK152" t="s">
        <v>8207</v>
      </c>
      <c r="AL152" s="4">
        <f t="shared" si="57"/>
        <v>0</v>
      </c>
      <c r="AM152" s="6" t="s">
        <v>954</v>
      </c>
      <c r="AN152" s="6" t="s">
        <v>5962</v>
      </c>
      <c r="AO152" t="str">
        <f t="shared" si="45"/>
        <v/>
      </c>
      <c r="AP152" t="s">
        <v>455</v>
      </c>
      <c r="AQ152" t="s">
        <v>4842</v>
      </c>
      <c r="AR152" s="15" t="s">
        <v>4621</v>
      </c>
      <c r="AV152" t="s">
        <v>1366</v>
      </c>
      <c r="AW152" t="s">
        <v>8074</v>
      </c>
      <c r="AX152" s="5">
        <v>0.53888888888888886</v>
      </c>
      <c r="AZ152" t="str">
        <f t="shared" si="46"/>
        <v>(12:50-12:56)</v>
      </c>
      <c r="BA152" s="5" t="str">
        <f t="shared" si="58"/>
        <v>(12:58-13:12)(12:50-12:56)</v>
      </c>
    </row>
    <row r="153" spans="1:53" ht="13.5">
      <c r="A153" s="135" t="str">
        <f t="shared" si="41"/>
        <v/>
      </c>
      <c r="B153" s="19" t="str">
        <f t="shared" si="42"/>
        <v/>
      </c>
      <c r="C153" s="19" t="str">
        <f t="shared" si="43"/>
        <v/>
      </c>
      <c r="D153" s="19" t="str">
        <f t="shared" si="44"/>
        <v/>
      </c>
      <c r="E153" s="5" t="str">
        <f t="shared" si="47"/>
        <v/>
      </c>
      <c r="F153" s="12" t="str">
        <f t="shared" si="48"/>
        <v/>
      </c>
      <c r="J153" s="7" t="str">
        <f t="shared" si="49"/>
        <v/>
      </c>
      <c r="K153" s="9" t="str">
        <f t="shared" si="50"/>
        <v/>
      </c>
      <c r="L153" s="6">
        <f t="shared" si="51"/>
        <v>0</v>
      </c>
      <c r="M153" s="6">
        <f t="shared" si="52"/>
        <v>0</v>
      </c>
      <c r="N153" s="94" t="str">
        <f t="shared" si="53"/>
        <v/>
      </c>
      <c r="O153"/>
      <c r="P153"/>
      <c r="Q153"/>
      <c r="R153"/>
      <c r="S153"/>
      <c r="T153" s="136" t="str">
        <f t="shared" si="54"/>
        <v/>
      </c>
      <c r="U153" s="137" t="str">
        <f t="shared" si="55"/>
        <v/>
      </c>
      <c r="V153" s="1"/>
      <c r="Y153" s="90" t="str">
        <f t="shared" si="56"/>
        <v/>
      </c>
      <c r="AC153" s="6">
        <v>386400</v>
      </c>
      <c r="AD153" s="6" t="s">
        <v>6820</v>
      </c>
      <c r="AE153" s="158" t="s">
        <v>5224</v>
      </c>
      <c r="AF153" s="159" t="s">
        <v>8299</v>
      </c>
      <c r="AG153" s="160">
        <v>155813</v>
      </c>
      <c r="AH153" s="193" t="s">
        <v>679</v>
      </c>
      <c r="AI153" s="6" t="s">
        <v>2697</v>
      </c>
      <c r="AJ153" s="30" t="s">
        <v>8226</v>
      </c>
      <c r="AK153" t="s">
        <v>8671</v>
      </c>
      <c r="AL153" s="4">
        <f t="shared" si="57"/>
        <v>0</v>
      </c>
      <c r="AM153" s="6" t="s">
        <v>1011</v>
      </c>
      <c r="AN153" s="6" t="s">
        <v>5963</v>
      </c>
      <c r="AO153" t="str">
        <f t="shared" si="45"/>
        <v/>
      </c>
      <c r="AP153" t="s">
        <v>982</v>
      </c>
      <c r="AQ153" t="s">
        <v>4519</v>
      </c>
      <c r="AR153" s="15" t="s">
        <v>4643</v>
      </c>
      <c r="AV153" t="s">
        <v>315</v>
      </c>
      <c r="AW153" t="s">
        <v>8099</v>
      </c>
      <c r="AX153" s="5">
        <v>0.59930555555555554</v>
      </c>
      <c r="AZ153" t="str">
        <f t="shared" si="46"/>
        <v>(13:39-14:23)</v>
      </c>
      <c r="BA153" s="5" t="str">
        <f t="shared" si="58"/>
        <v>(13:39-14:23)</v>
      </c>
    </row>
    <row r="154" spans="1:53" ht="13.5">
      <c r="A154" s="135" t="str">
        <f t="shared" si="41"/>
        <v/>
      </c>
      <c r="B154" s="19" t="str">
        <f t="shared" si="42"/>
        <v/>
      </c>
      <c r="C154" s="19" t="str">
        <f t="shared" si="43"/>
        <v/>
      </c>
      <c r="D154" s="19" t="str">
        <f t="shared" si="44"/>
        <v/>
      </c>
      <c r="E154" s="5" t="str">
        <f t="shared" si="47"/>
        <v/>
      </c>
      <c r="F154" s="12" t="str">
        <f t="shared" si="48"/>
        <v/>
      </c>
      <c r="J154" s="7" t="str">
        <f t="shared" si="49"/>
        <v/>
      </c>
      <c r="K154" s="9" t="str">
        <f t="shared" si="50"/>
        <v/>
      </c>
      <c r="L154" s="6">
        <f t="shared" si="51"/>
        <v>0</v>
      </c>
      <c r="M154" s="6">
        <f t="shared" si="52"/>
        <v>0</v>
      </c>
      <c r="N154" s="94" t="str">
        <f t="shared" si="53"/>
        <v/>
      </c>
      <c r="O154"/>
      <c r="P154"/>
      <c r="Q154"/>
      <c r="R154"/>
      <c r="S154"/>
      <c r="T154" s="136" t="str">
        <f t="shared" si="54"/>
        <v/>
      </c>
      <c r="U154" s="137" t="str">
        <f t="shared" si="55"/>
        <v/>
      </c>
      <c r="V154" s="1"/>
      <c r="Y154" s="90" t="str">
        <f t="shared" si="56"/>
        <v/>
      </c>
      <c r="AC154" s="6">
        <v>385660</v>
      </c>
      <c r="AD154" s="6" t="s">
        <v>6840</v>
      </c>
      <c r="AE154" s="158" t="s">
        <v>5316</v>
      </c>
      <c r="AF154" s="159" t="s">
        <v>8299</v>
      </c>
      <c r="AG154" s="160">
        <v>155814</v>
      </c>
      <c r="AH154" s="193" t="s">
        <v>679</v>
      </c>
      <c r="AI154" s="6" t="s">
        <v>1813</v>
      </c>
      <c r="AJ154" s="30" t="s">
        <v>8239</v>
      </c>
      <c r="AK154" t="s">
        <v>8674</v>
      </c>
      <c r="AL154" s="4">
        <f t="shared" si="57"/>
        <v>0</v>
      </c>
      <c r="AM154" s="6" t="s">
        <v>1275</v>
      </c>
      <c r="AN154" s="6" t="s">
        <v>5964</v>
      </c>
      <c r="AO154" t="str">
        <f t="shared" si="45"/>
        <v/>
      </c>
      <c r="AP154" t="s">
        <v>1074</v>
      </c>
      <c r="AQ154" t="s">
        <v>4841</v>
      </c>
      <c r="AR154" s="15" t="s">
        <v>4851</v>
      </c>
      <c r="AV154" t="s">
        <v>314</v>
      </c>
      <c r="AW154" t="s">
        <v>8095</v>
      </c>
      <c r="AX154" s="5">
        <v>0.59930555555555554</v>
      </c>
      <c r="AZ154" t="str">
        <f t="shared" si="46"/>
        <v>(13:37-14:23)</v>
      </c>
      <c r="BA154" s="5" t="str">
        <f t="shared" si="58"/>
        <v>(13:37-14:23)</v>
      </c>
    </row>
    <row r="155" spans="1:53" ht="13.5">
      <c r="A155" s="135" t="str">
        <f t="shared" si="41"/>
        <v/>
      </c>
      <c r="B155" s="19" t="str">
        <f t="shared" si="42"/>
        <v/>
      </c>
      <c r="C155" s="19" t="str">
        <f t="shared" si="43"/>
        <v/>
      </c>
      <c r="D155" s="19" t="str">
        <f t="shared" si="44"/>
        <v/>
      </c>
      <c r="E155" s="5" t="str">
        <f t="shared" si="47"/>
        <v/>
      </c>
      <c r="F155" s="12" t="str">
        <f t="shared" si="48"/>
        <v/>
      </c>
      <c r="J155" s="7" t="str">
        <f t="shared" si="49"/>
        <v/>
      </c>
      <c r="K155" s="9" t="str">
        <f t="shared" si="50"/>
        <v/>
      </c>
      <c r="L155" s="6">
        <f t="shared" si="51"/>
        <v>0</v>
      </c>
      <c r="M155" s="6">
        <f t="shared" si="52"/>
        <v>0</v>
      </c>
      <c r="N155" s="94" t="str">
        <f t="shared" si="53"/>
        <v/>
      </c>
      <c r="O155"/>
      <c r="P155"/>
      <c r="Q155"/>
      <c r="R155"/>
      <c r="S155"/>
      <c r="T155" s="136" t="str">
        <f t="shared" si="54"/>
        <v/>
      </c>
      <c r="U155" s="137" t="str">
        <f t="shared" si="55"/>
        <v/>
      </c>
      <c r="V155" s="1"/>
      <c r="Y155" s="90" t="str">
        <f t="shared" si="56"/>
        <v/>
      </c>
      <c r="AC155" s="6" t="s">
        <v>2527</v>
      </c>
      <c r="AD155" s="6" t="s">
        <v>6841</v>
      </c>
      <c r="AE155" s="158" t="s">
        <v>5157</v>
      </c>
      <c r="AF155" s="159" t="s">
        <v>8299</v>
      </c>
      <c r="AG155" s="160">
        <v>165815</v>
      </c>
      <c r="AH155" s="193" t="s">
        <v>1314</v>
      </c>
      <c r="AI155" s="6" t="s">
        <v>3769</v>
      </c>
      <c r="AJ155" s="30" t="s">
        <v>8218</v>
      </c>
      <c r="AK155" t="s">
        <v>8218</v>
      </c>
      <c r="AL155" s="4">
        <f t="shared" si="57"/>
        <v>0</v>
      </c>
      <c r="AM155" s="6" t="s">
        <v>4822</v>
      </c>
      <c r="AN155" s="6" t="s">
        <v>5965</v>
      </c>
      <c r="AO155" t="str">
        <f t="shared" si="45"/>
        <v/>
      </c>
      <c r="AP155" t="s">
        <v>954</v>
      </c>
      <c r="AQ155" t="s">
        <v>4512</v>
      </c>
      <c r="AR155" s="15">
        <v>7251</v>
      </c>
      <c r="AV155" t="s">
        <v>308</v>
      </c>
      <c r="AW155" t="s">
        <v>8131</v>
      </c>
      <c r="AX155" s="5">
        <v>0.63680555555555551</v>
      </c>
      <c r="AZ155" t="str">
        <f t="shared" si="46"/>
        <v>(15:03-15:17)</v>
      </c>
      <c r="BA155" s="5" t="str">
        <f t="shared" si="58"/>
        <v>(15:03-15:17)</v>
      </c>
    </row>
    <row r="156" spans="1:53" ht="13.5">
      <c r="A156" s="135" t="str">
        <f t="shared" si="41"/>
        <v/>
      </c>
      <c r="B156" s="19" t="str">
        <f t="shared" si="42"/>
        <v/>
      </c>
      <c r="C156" s="19" t="str">
        <f t="shared" si="43"/>
        <v/>
      </c>
      <c r="D156" s="19" t="str">
        <f t="shared" si="44"/>
        <v/>
      </c>
      <c r="E156" s="5" t="str">
        <f t="shared" si="47"/>
        <v/>
      </c>
      <c r="F156" s="12" t="str">
        <f t="shared" si="48"/>
        <v/>
      </c>
      <c r="J156" s="7" t="str">
        <f t="shared" si="49"/>
        <v/>
      </c>
      <c r="K156" s="9" t="str">
        <f t="shared" si="50"/>
        <v/>
      </c>
      <c r="L156" s="6">
        <f t="shared" si="51"/>
        <v>0</v>
      </c>
      <c r="M156" s="6">
        <f t="shared" si="52"/>
        <v>0</v>
      </c>
      <c r="N156" s="94" t="str">
        <f t="shared" si="53"/>
        <v/>
      </c>
      <c r="O156"/>
      <c r="P156"/>
      <c r="Q156"/>
      <c r="R156"/>
      <c r="S156"/>
      <c r="T156" s="136" t="str">
        <f t="shared" si="54"/>
        <v/>
      </c>
      <c r="U156" s="137" t="str">
        <f t="shared" si="55"/>
        <v/>
      </c>
      <c r="V156" s="1"/>
      <c r="Y156" s="90" t="str">
        <f t="shared" si="56"/>
        <v/>
      </c>
      <c r="AC156" s="6" t="s">
        <v>2589</v>
      </c>
      <c r="AD156" s="6" t="s">
        <v>6842</v>
      </c>
      <c r="AE156" s="158" t="s">
        <v>4405</v>
      </c>
      <c r="AF156" s="159" t="s">
        <v>8299</v>
      </c>
      <c r="AG156" s="160">
        <v>165817</v>
      </c>
      <c r="AH156" s="193" t="s">
        <v>1314</v>
      </c>
      <c r="AI156" s="6" t="s">
        <v>1983</v>
      </c>
      <c r="AJ156" s="30" t="s">
        <v>8217</v>
      </c>
      <c r="AK156" t="s">
        <v>8668</v>
      </c>
      <c r="AL156" s="4">
        <f t="shared" si="57"/>
        <v>0</v>
      </c>
      <c r="AM156" s="6" t="s">
        <v>1022</v>
      </c>
      <c r="AN156" s="6" t="s">
        <v>5966</v>
      </c>
      <c r="AO156" t="str">
        <f t="shared" si="45"/>
        <v/>
      </c>
      <c r="AP156" t="s">
        <v>1011</v>
      </c>
      <c r="AQ156" t="s">
        <v>4512</v>
      </c>
      <c r="AR156" s="15">
        <v>3304</v>
      </c>
      <c r="AV156" t="s">
        <v>284</v>
      </c>
      <c r="AW156" t="s">
        <v>8044</v>
      </c>
      <c r="AX156" s="5">
        <v>0.66597222222222219</v>
      </c>
      <c r="AZ156" t="str">
        <f t="shared" si="46"/>
        <v>(11:29-15:59)</v>
      </c>
      <c r="BA156" s="5" t="str">
        <f t="shared" si="58"/>
        <v>(11:29-15:59)</v>
      </c>
    </row>
    <row r="157" spans="1:53" ht="13.5">
      <c r="A157" s="135" t="str">
        <f t="shared" si="41"/>
        <v/>
      </c>
      <c r="B157" s="19" t="str">
        <f t="shared" si="42"/>
        <v/>
      </c>
      <c r="C157" s="19" t="str">
        <f t="shared" si="43"/>
        <v/>
      </c>
      <c r="D157" s="19" t="str">
        <f t="shared" si="44"/>
        <v/>
      </c>
      <c r="E157" s="5" t="str">
        <f t="shared" si="47"/>
        <v/>
      </c>
      <c r="F157" s="12" t="str">
        <f t="shared" si="48"/>
        <v/>
      </c>
      <c r="J157" s="7" t="str">
        <f t="shared" si="49"/>
        <v/>
      </c>
      <c r="K157" s="9" t="str">
        <f t="shared" si="50"/>
        <v/>
      </c>
      <c r="L157" s="6">
        <f t="shared" si="51"/>
        <v>0</v>
      </c>
      <c r="M157" s="6">
        <f t="shared" si="52"/>
        <v>0</v>
      </c>
      <c r="N157" s="94" t="str">
        <f t="shared" si="53"/>
        <v/>
      </c>
      <c r="O157"/>
      <c r="P157"/>
      <c r="Q157"/>
      <c r="R157"/>
      <c r="S157"/>
      <c r="T157" s="136" t="str">
        <f t="shared" si="54"/>
        <v/>
      </c>
      <c r="U157" s="137" t="str">
        <f t="shared" si="55"/>
        <v/>
      </c>
      <c r="V157" s="1"/>
      <c r="Y157" s="90" t="str">
        <f t="shared" si="56"/>
        <v/>
      </c>
      <c r="AC157" s="6" t="s">
        <v>2729</v>
      </c>
      <c r="AD157" s="6" t="s">
        <v>6843</v>
      </c>
      <c r="AE157" s="158" t="s">
        <v>4062</v>
      </c>
      <c r="AF157" s="159" t="s">
        <v>8299</v>
      </c>
      <c r="AG157" s="160">
        <v>165818</v>
      </c>
      <c r="AH157" s="193" t="s">
        <v>679</v>
      </c>
      <c r="AI157" s="6" t="s">
        <v>3311</v>
      </c>
      <c r="AJ157" s="30" t="s">
        <v>8240</v>
      </c>
      <c r="AK157" t="s">
        <v>8240</v>
      </c>
      <c r="AL157" s="4">
        <f t="shared" si="57"/>
        <v>0</v>
      </c>
      <c r="AM157" s="6" t="s">
        <v>5808</v>
      </c>
      <c r="AN157" s="6" t="s">
        <v>5967</v>
      </c>
      <c r="AO157" t="str">
        <f t="shared" si="45"/>
        <v/>
      </c>
      <c r="AP157" t="s">
        <v>1275</v>
      </c>
      <c r="AQ157" t="s">
        <v>4519</v>
      </c>
      <c r="AR157" s="15" t="s">
        <v>4642</v>
      </c>
      <c r="AV157" t="s">
        <v>1352</v>
      </c>
      <c r="AW157" t="s">
        <v>8060</v>
      </c>
      <c r="AX157" s="5">
        <v>0.51180555555555551</v>
      </c>
      <c r="AZ157" t="str">
        <f t="shared" si="46"/>
        <v>(12:11-12:17)</v>
      </c>
      <c r="BA157" s="5" t="str">
        <f t="shared" si="58"/>
        <v>(12:11-12:17)</v>
      </c>
    </row>
    <row r="158" spans="1:53" ht="13.5">
      <c r="A158" s="135" t="str">
        <f t="shared" si="41"/>
        <v/>
      </c>
      <c r="B158" s="19" t="str">
        <f t="shared" si="42"/>
        <v/>
      </c>
      <c r="C158" s="19" t="str">
        <f t="shared" si="43"/>
        <v/>
      </c>
      <c r="D158" s="19" t="str">
        <f t="shared" si="44"/>
        <v/>
      </c>
      <c r="E158" s="5" t="str">
        <f t="shared" si="47"/>
        <v/>
      </c>
      <c r="F158" s="12" t="str">
        <f t="shared" si="48"/>
        <v/>
      </c>
      <c r="J158" s="7" t="str">
        <f t="shared" si="49"/>
        <v/>
      </c>
      <c r="K158" s="9" t="str">
        <f t="shared" si="50"/>
        <v/>
      </c>
      <c r="L158" s="6">
        <f t="shared" si="51"/>
        <v>0</v>
      </c>
      <c r="M158" s="6">
        <f t="shared" si="52"/>
        <v>0</v>
      </c>
      <c r="N158" s="94" t="str">
        <f t="shared" si="53"/>
        <v/>
      </c>
      <c r="O158"/>
      <c r="P158"/>
      <c r="Q158"/>
      <c r="R158"/>
      <c r="S158"/>
      <c r="T158" s="136" t="str">
        <f t="shared" si="54"/>
        <v/>
      </c>
      <c r="U158" s="137" t="str">
        <f t="shared" si="55"/>
        <v/>
      </c>
      <c r="V158" s="1"/>
      <c r="Y158" s="90" t="str">
        <f t="shared" si="56"/>
        <v/>
      </c>
      <c r="AC158" s="6" t="s">
        <v>5342</v>
      </c>
      <c r="AD158" s="6" t="s">
        <v>6844</v>
      </c>
      <c r="AE158" s="158" t="s">
        <v>4063</v>
      </c>
      <c r="AF158" s="159" t="s">
        <v>8309</v>
      </c>
      <c r="AG158" s="160">
        <v>165819</v>
      </c>
      <c r="AH158" s="193" t="s">
        <v>679</v>
      </c>
      <c r="AI158" s="6" t="s">
        <v>307</v>
      </c>
      <c r="AJ158" s="30" t="s">
        <v>8208</v>
      </c>
      <c r="AK158" t="s">
        <v>8667</v>
      </c>
      <c r="AL158" s="4">
        <f t="shared" si="57"/>
        <v>0</v>
      </c>
      <c r="AM158" s="6" t="s">
        <v>526</v>
      </c>
      <c r="AN158" s="6" t="s">
        <v>5968</v>
      </c>
      <c r="AO158" t="str">
        <f t="shared" si="45"/>
        <v/>
      </c>
      <c r="AP158" t="s">
        <v>4822</v>
      </c>
      <c r="AQ158" t="s">
        <v>4841</v>
      </c>
      <c r="AR158" s="15" t="s">
        <v>4852</v>
      </c>
      <c r="AV158" t="s">
        <v>255</v>
      </c>
      <c r="AW158" t="s">
        <v>8107</v>
      </c>
      <c r="AX158" s="5">
        <v>0.60416666666666663</v>
      </c>
      <c r="AZ158" t="str">
        <f t="shared" si="46"/>
        <v>(14:07-14:30)</v>
      </c>
      <c r="BA158" s="5" t="str">
        <f t="shared" si="58"/>
        <v>(14:00-14:02)(14:04-14:05)(14:07-14:30)</v>
      </c>
    </row>
    <row r="159" spans="1:53" ht="13.5">
      <c r="A159" s="135" t="str">
        <f t="shared" si="41"/>
        <v/>
      </c>
      <c r="B159" s="19" t="str">
        <f t="shared" si="42"/>
        <v/>
      </c>
      <c r="C159" s="19" t="str">
        <f t="shared" si="43"/>
        <v/>
      </c>
      <c r="D159" s="19" t="str">
        <f t="shared" si="44"/>
        <v/>
      </c>
      <c r="E159" s="5" t="str">
        <f t="shared" si="47"/>
        <v/>
      </c>
      <c r="F159" s="12" t="str">
        <f t="shared" si="48"/>
        <v/>
      </c>
      <c r="J159" s="7" t="str">
        <f t="shared" si="49"/>
        <v/>
      </c>
      <c r="K159" s="9" t="str">
        <f t="shared" si="50"/>
        <v/>
      </c>
      <c r="L159" s="6">
        <f t="shared" si="51"/>
        <v>0</v>
      </c>
      <c r="M159" s="6">
        <f t="shared" si="52"/>
        <v>0</v>
      </c>
      <c r="N159" s="94" t="str">
        <f t="shared" si="53"/>
        <v/>
      </c>
      <c r="O159"/>
      <c r="P159"/>
      <c r="Q159"/>
      <c r="R159"/>
      <c r="S159"/>
      <c r="T159" s="136" t="str">
        <f t="shared" si="54"/>
        <v/>
      </c>
      <c r="U159" s="137" t="str">
        <f t="shared" si="55"/>
        <v/>
      </c>
      <c r="V159" s="1"/>
      <c r="Y159" s="90" t="str">
        <f t="shared" si="56"/>
        <v/>
      </c>
      <c r="AC159" s="6" t="s">
        <v>2598</v>
      </c>
      <c r="AD159" s="6" t="s">
        <v>6845</v>
      </c>
      <c r="AE159" s="158" t="s">
        <v>52</v>
      </c>
      <c r="AF159" s="159" t="s">
        <v>8299</v>
      </c>
      <c r="AG159" s="160">
        <v>165821</v>
      </c>
      <c r="AH159" s="193" t="s">
        <v>679</v>
      </c>
      <c r="AI159" s="6" t="s">
        <v>1385</v>
      </c>
      <c r="AJ159" s="30" t="s">
        <v>8201</v>
      </c>
      <c r="AK159" t="s">
        <v>8666</v>
      </c>
      <c r="AL159" s="4">
        <f t="shared" si="57"/>
        <v>0</v>
      </c>
      <c r="AM159" s="6" t="s">
        <v>415</v>
      </c>
      <c r="AN159" s="6" t="s">
        <v>5969</v>
      </c>
      <c r="AO159" t="str">
        <f t="shared" si="45"/>
        <v/>
      </c>
      <c r="AP159" t="s">
        <v>1022</v>
      </c>
      <c r="AQ159" t="s">
        <v>4521</v>
      </c>
      <c r="AR159" s="15" t="s">
        <v>4588</v>
      </c>
      <c r="AV159" t="s">
        <v>255</v>
      </c>
      <c r="AW159" t="s">
        <v>8111</v>
      </c>
      <c r="AX159" s="5">
        <v>0.58680555555555558</v>
      </c>
      <c r="AZ159" t="str">
        <f t="shared" si="46"/>
        <v>(14:04-14:05)</v>
      </c>
      <c r="BA159" s="5" t="str">
        <f t="shared" si="58"/>
        <v>(14:00-14:02)(14:07-14:30)(14:04-14:05)</v>
      </c>
    </row>
    <row r="160" spans="1:53" ht="13.5">
      <c r="A160" s="135" t="str">
        <f t="shared" si="41"/>
        <v/>
      </c>
      <c r="B160" s="19" t="str">
        <f t="shared" si="42"/>
        <v/>
      </c>
      <c r="C160" s="19" t="str">
        <f t="shared" si="43"/>
        <v/>
      </c>
      <c r="D160" s="19" t="str">
        <f t="shared" si="44"/>
        <v/>
      </c>
      <c r="E160" s="5" t="str">
        <f t="shared" si="47"/>
        <v/>
      </c>
      <c r="F160" s="12" t="str">
        <f t="shared" si="48"/>
        <v/>
      </c>
      <c r="J160" s="7" t="str">
        <f t="shared" si="49"/>
        <v/>
      </c>
      <c r="K160" s="9" t="str">
        <f t="shared" si="50"/>
        <v/>
      </c>
      <c r="L160" s="6">
        <f t="shared" si="51"/>
        <v>0</v>
      </c>
      <c r="M160" s="6">
        <f t="shared" si="52"/>
        <v>0</v>
      </c>
      <c r="N160" s="94" t="str">
        <f t="shared" si="53"/>
        <v/>
      </c>
      <c r="O160"/>
      <c r="P160"/>
      <c r="Q160"/>
      <c r="R160"/>
      <c r="S160"/>
      <c r="T160" s="136" t="str">
        <f t="shared" si="54"/>
        <v/>
      </c>
      <c r="U160" s="137" t="str">
        <f t="shared" si="55"/>
        <v/>
      </c>
      <c r="V160" s="1"/>
      <c r="Y160" s="90" t="str">
        <f t="shared" si="56"/>
        <v/>
      </c>
      <c r="AC160" s="6" t="s">
        <v>2599</v>
      </c>
      <c r="AD160" s="6" t="s">
        <v>6845</v>
      </c>
      <c r="AE160" s="158" t="s">
        <v>4179</v>
      </c>
      <c r="AF160" s="159" t="s">
        <v>8320</v>
      </c>
      <c r="AG160" s="160">
        <v>165823</v>
      </c>
      <c r="AH160" s="193" t="s">
        <v>1314</v>
      </c>
      <c r="AI160" s="6" t="s">
        <v>427</v>
      </c>
      <c r="AJ160" s="30" t="s">
        <v>8195</v>
      </c>
      <c r="AK160" t="s">
        <v>8195</v>
      </c>
      <c r="AL160" s="4">
        <f t="shared" si="57"/>
        <v>0</v>
      </c>
      <c r="AM160" s="6" t="s">
        <v>1069</v>
      </c>
      <c r="AN160" s="6" t="s">
        <v>5970</v>
      </c>
      <c r="AO160" t="str">
        <f t="shared" si="45"/>
        <v/>
      </c>
      <c r="AP160" t="s">
        <v>526</v>
      </c>
      <c r="AQ160" t="s">
        <v>4518</v>
      </c>
      <c r="AR160" s="15" t="s">
        <v>4853</v>
      </c>
      <c r="AV160" t="s">
        <v>255</v>
      </c>
      <c r="AW160" t="s">
        <v>8110</v>
      </c>
      <c r="AX160" s="5">
        <v>0.58472222222222225</v>
      </c>
      <c r="AZ160" t="str">
        <f t="shared" si="46"/>
        <v>(14:00-14:02)</v>
      </c>
      <c r="BA160" s="5" t="str">
        <f t="shared" si="58"/>
        <v>(14:04-14:05)(14:00-14:02)</v>
      </c>
    </row>
    <row r="161" spans="1:53" ht="13.5">
      <c r="A161" s="135" t="str">
        <f t="shared" si="41"/>
        <v/>
      </c>
      <c r="B161" s="19" t="str">
        <f t="shared" si="42"/>
        <v/>
      </c>
      <c r="C161" s="19" t="str">
        <f t="shared" si="43"/>
        <v/>
      </c>
      <c r="D161" s="19" t="str">
        <f t="shared" si="44"/>
        <v/>
      </c>
      <c r="E161" s="5" t="str">
        <f t="shared" si="47"/>
        <v/>
      </c>
      <c r="F161" s="12" t="str">
        <f t="shared" si="48"/>
        <v/>
      </c>
      <c r="J161" s="7" t="str">
        <f t="shared" si="49"/>
        <v/>
      </c>
      <c r="K161" s="9" t="str">
        <f t="shared" si="50"/>
        <v/>
      </c>
      <c r="L161" s="6">
        <f t="shared" si="51"/>
        <v>0</v>
      </c>
      <c r="M161" s="6">
        <f t="shared" si="52"/>
        <v>0</v>
      </c>
      <c r="N161" s="94" t="str">
        <f t="shared" si="53"/>
        <v/>
      </c>
      <c r="O161"/>
      <c r="P161"/>
      <c r="Q161"/>
      <c r="R161"/>
      <c r="S161"/>
      <c r="T161" s="136" t="str">
        <f t="shared" si="54"/>
        <v/>
      </c>
      <c r="U161" s="137" t="str">
        <f t="shared" si="55"/>
        <v/>
      </c>
      <c r="V161" s="1"/>
      <c r="Y161" s="90" t="str">
        <f t="shared" si="56"/>
        <v/>
      </c>
      <c r="AC161" s="6" t="s">
        <v>2677</v>
      </c>
      <c r="AD161" s="6" t="s">
        <v>6846</v>
      </c>
      <c r="AE161" s="158" t="s">
        <v>4065</v>
      </c>
      <c r="AF161" s="159" t="s">
        <v>8299</v>
      </c>
      <c r="AG161" s="160">
        <v>165824</v>
      </c>
      <c r="AH161" s="193" t="s">
        <v>1314</v>
      </c>
      <c r="AI161" s="6" t="s">
        <v>500</v>
      </c>
      <c r="AJ161" s="30" t="s">
        <v>8207</v>
      </c>
      <c r="AK161" t="s">
        <v>8207</v>
      </c>
      <c r="AL161" s="4">
        <f t="shared" si="57"/>
        <v>0</v>
      </c>
      <c r="AM161" s="6" t="s">
        <v>1252</v>
      </c>
      <c r="AN161" s="6" t="s">
        <v>5971</v>
      </c>
      <c r="AO161" t="str">
        <f t="shared" si="45"/>
        <v/>
      </c>
      <c r="AP161" t="s">
        <v>415</v>
      </c>
      <c r="AQ161" t="s">
        <v>4518</v>
      </c>
      <c r="AR161" s="15" t="s">
        <v>4619</v>
      </c>
      <c r="AV161" t="s">
        <v>8086</v>
      </c>
      <c r="AW161" t="s">
        <v>8087</v>
      </c>
      <c r="AX161" s="5">
        <v>0.57986111111111105</v>
      </c>
      <c r="AZ161" t="str">
        <f t="shared" si="46"/>
        <v>(13:03-13:55)</v>
      </c>
      <c r="BA161" s="5" t="str">
        <f t="shared" si="58"/>
        <v>(13:03-13:55)</v>
      </c>
    </row>
    <row r="162" spans="1:53" ht="13.5">
      <c r="A162" s="135" t="str">
        <f t="shared" si="41"/>
        <v/>
      </c>
      <c r="B162" s="19" t="str">
        <f t="shared" si="42"/>
        <v/>
      </c>
      <c r="C162" s="19" t="str">
        <f t="shared" si="43"/>
        <v/>
      </c>
      <c r="D162" s="19" t="str">
        <f t="shared" si="44"/>
        <v/>
      </c>
      <c r="E162" s="5" t="str">
        <f t="shared" si="47"/>
        <v/>
      </c>
      <c r="F162" s="12" t="str">
        <f t="shared" si="48"/>
        <v/>
      </c>
      <c r="J162" s="7" t="str">
        <f t="shared" si="49"/>
        <v/>
      </c>
      <c r="K162" s="9" t="str">
        <f t="shared" si="50"/>
        <v/>
      </c>
      <c r="L162" s="6">
        <f t="shared" si="51"/>
        <v>0</v>
      </c>
      <c r="M162" s="6">
        <f t="shared" si="52"/>
        <v>0</v>
      </c>
      <c r="N162" s="94" t="str">
        <f t="shared" si="53"/>
        <v/>
      </c>
      <c r="O162"/>
      <c r="P162"/>
      <c r="Q162"/>
      <c r="R162"/>
      <c r="S162"/>
      <c r="T162" s="136" t="str">
        <f t="shared" si="54"/>
        <v/>
      </c>
      <c r="U162" s="137" t="str">
        <f t="shared" si="55"/>
        <v/>
      </c>
      <c r="V162" s="1"/>
      <c r="Y162" s="90" t="str">
        <f t="shared" si="56"/>
        <v/>
      </c>
      <c r="AC162" s="6" t="s">
        <v>2587</v>
      </c>
      <c r="AD162" s="6" t="s">
        <v>6847</v>
      </c>
      <c r="AE162" s="158" t="s">
        <v>4066</v>
      </c>
      <c r="AF162" s="159" t="s">
        <v>8339</v>
      </c>
      <c r="AG162" s="160">
        <v>165825</v>
      </c>
      <c r="AH162" s="193" t="s">
        <v>1314</v>
      </c>
      <c r="AI162" s="6" t="s">
        <v>558</v>
      </c>
      <c r="AJ162" s="30" t="s">
        <v>8196</v>
      </c>
      <c r="AK162" t="s">
        <v>8196</v>
      </c>
      <c r="AL162" s="4">
        <f t="shared" si="57"/>
        <v>0</v>
      </c>
      <c r="AM162" s="6" t="s">
        <v>4823</v>
      </c>
      <c r="AN162" s="6" t="s">
        <v>5972</v>
      </c>
      <c r="AO162" t="str">
        <f t="shared" si="45"/>
        <v/>
      </c>
      <c r="AP162" t="s">
        <v>1069</v>
      </c>
      <c r="AQ162" t="s">
        <v>4512</v>
      </c>
      <c r="AR162" s="15">
        <v>7169</v>
      </c>
      <c r="AV162" t="s">
        <v>1334</v>
      </c>
      <c r="AW162" t="s">
        <v>8084</v>
      </c>
      <c r="AX162" s="5">
        <v>0.55277777777777781</v>
      </c>
      <c r="AZ162" t="str">
        <f t="shared" si="46"/>
        <v>(13:14-13:16)</v>
      </c>
      <c r="BA162" s="5" t="str">
        <f t="shared" si="58"/>
        <v>(13:14-13:16)</v>
      </c>
    </row>
    <row r="163" spans="1:53" ht="13.5">
      <c r="A163" s="135" t="str">
        <f t="shared" si="41"/>
        <v/>
      </c>
      <c r="B163" s="19" t="str">
        <f t="shared" si="42"/>
        <v/>
      </c>
      <c r="C163" s="19" t="str">
        <f t="shared" si="43"/>
        <v/>
      </c>
      <c r="D163" s="19" t="str">
        <f t="shared" si="44"/>
        <v/>
      </c>
      <c r="E163" s="5" t="str">
        <f t="shared" si="47"/>
        <v/>
      </c>
      <c r="F163" s="12" t="str">
        <f t="shared" si="48"/>
        <v/>
      </c>
      <c r="J163" s="7" t="str">
        <f t="shared" si="49"/>
        <v/>
      </c>
      <c r="K163" s="9" t="str">
        <f t="shared" si="50"/>
        <v/>
      </c>
      <c r="L163" s="6">
        <f t="shared" si="51"/>
        <v>0</v>
      </c>
      <c r="M163" s="6">
        <f t="shared" si="52"/>
        <v>0</v>
      </c>
      <c r="N163" s="94" t="str">
        <f t="shared" si="53"/>
        <v/>
      </c>
      <c r="O163"/>
      <c r="P163"/>
      <c r="Q163"/>
      <c r="R163"/>
      <c r="S163"/>
      <c r="T163" s="136" t="str">
        <f t="shared" si="54"/>
        <v/>
      </c>
      <c r="U163" s="137" t="str">
        <f t="shared" si="55"/>
        <v/>
      </c>
      <c r="V163" s="1"/>
      <c r="Y163" s="90" t="str">
        <f t="shared" si="56"/>
        <v/>
      </c>
      <c r="AC163" s="6" t="s">
        <v>2625</v>
      </c>
      <c r="AD163" s="6" t="s">
        <v>6848</v>
      </c>
      <c r="AE163" s="158" t="s">
        <v>4067</v>
      </c>
      <c r="AF163" s="159" t="s">
        <v>8340</v>
      </c>
      <c r="AG163" s="160">
        <v>166474</v>
      </c>
      <c r="AH163" s="193" t="s">
        <v>1314</v>
      </c>
      <c r="AI163" s="6" t="s">
        <v>565</v>
      </c>
      <c r="AJ163" s="30" t="s">
        <v>8196</v>
      </c>
      <c r="AK163" t="s">
        <v>8196</v>
      </c>
      <c r="AL163" s="4">
        <f t="shared" si="57"/>
        <v>0</v>
      </c>
      <c r="AM163" s="6" t="s">
        <v>1848</v>
      </c>
      <c r="AN163" s="6" t="s">
        <v>5973</v>
      </c>
      <c r="AO163" t="str">
        <f t="shared" si="45"/>
        <v/>
      </c>
      <c r="AP163" t="s">
        <v>1252</v>
      </c>
      <c r="AQ163" t="s">
        <v>4512</v>
      </c>
      <c r="AR163" s="15">
        <v>2363</v>
      </c>
      <c r="AV163" t="s">
        <v>1324</v>
      </c>
      <c r="AW163" t="s">
        <v>8122</v>
      </c>
      <c r="AX163" s="5">
        <v>0.61249999999999993</v>
      </c>
      <c r="AZ163" t="str">
        <f t="shared" si="46"/>
        <v>(14:33-14:42)</v>
      </c>
      <c r="BA163" s="5" t="str">
        <f t="shared" si="58"/>
        <v>(10:57-11:00)(12:41-14:22)(14:25-14:31)(14:33-14:42)</v>
      </c>
    </row>
    <row r="164" spans="1:53" ht="13.5">
      <c r="A164" s="135" t="str">
        <f t="shared" si="41"/>
        <v/>
      </c>
      <c r="B164" s="19" t="str">
        <f t="shared" si="42"/>
        <v/>
      </c>
      <c r="C164" s="19" t="str">
        <f t="shared" si="43"/>
        <v/>
      </c>
      <c r="D164" s="19" t="str">
        <f t="shared" si="44"/>
        <v/>
      </c>
      <c r="E164" s="5" t="str">
        <f t="shared" si="47"/>
        <v/>
      </c>
      <c r="F164" s="12" t="str">
        <f t="shared" si="48"/>
        <v/>
      </c>
      <c r="J164" s="7" t="str">
        <f t="shared" si="49"/>
        <v/>
      </c>
      <c r="K164" s="9" t="str">
        <f t="shared" si="50"/>
        <v/>
      </c>
      <c r="L164" s="6">
        <f t="shared" si="51"/>
        <v>0</v>
      </c>
      <c r="M164" s="6">
        <f t="shared" si="52"/>
        <v>0</v>
      </c>
      <c r="N164" s="94" t="str">
        <f t="shared" si="53"/>
        <v/>
      </c>
      <c r="O164"/>
      <c r="P164"/>
      <c r="Q164"/>
      <c r="R164"/>
      <c r="S164"/>
      <c r="T164" s="136" t="str">
        <f t="shared" si="54"/>
        <v/>
      </c>
      <c r="U164" s="137" t="str">
        <f t="shared" si="55"/>
        <v/>
      </c>
      <c r="V164" s="1"/>
      <c r="Y164" s="90" t="str">
        <f t="shared" si="56"/>
        <v/>
      </c>
      <c r="AC164" s="6" t="s">
        <v>2629</v>
      </c>
      <c r="AD164" s="6" t="s">
        <v>6849</v>
      </c>
      <c r="AE164" s="158" t="s">
        <v>1112</v>
      </c>
      <c r="AF164" s="159" t="s">
        <v>8299</v>
      </c>
      <c r="AG164" s="160">
        <v>175826</v>
      </c>
      <c r="AH164" s="193" t="s">
        <v>679</v>
      </c>
      <c r="AI164" s="6" t="s">
        <v>571</v>
      </c>
      <c r="AJ164" s="30" t="s">
        <v>8209</v>
      </c>
      <c r="AK164" t="s">
        <v>8209</v>
      </c>
      <c r="AL164" s="4">
        <f t="shared" si="57"/>
        <v>0</v>
      </c>
      <c r="AM164" s="6" t="s">
        <v>956</v>
      </c>
      <c r="AN164" s="6" t="s">
        <v>5974</v>
      </c>
      <c r="AO164" t="str">
        <f t="shared" si="45"/>
        <v/>
      </c>
      <c r="AP164" t="s">
        <v>4823</v>
      </c>
      <c r="AQ164" t="s">
        <v>4841</v>
      </c>
      <c r="AR164" s="15" t="s">
        <v>4854</v>
      </c>
      <c r="AV164" t="s">
        <v>1324</v>
      </c>
      <c r="AW164" t="s">
        <v>8119</v>
      </c>
      <c r="AX164" s="5">
        <v>0.60486111111111118</v>
      </c>
      <c r="AZ164" t="str">
        <f t="shared" si="46"/>
        <v>(14:25-14:31)</v>
      </c>
      <c r="BA164" s="5" t="str">
        <f t="shared" si="58"/>
        <v>(10:57-11:00)(12:41-14:22)(14:33-14:42)(14:25-14:31)</v>
      </c>
    </row>
    <row r="165" spans="1:53" ht="13.5">
      <c r="A165" s="135" t="str">
        <f t="shared" si="41"/>
        <v/>
      </c>
      <c r="B165" s="19" t="str">
        <f t="shared" si="42"/>
        <v/>
      </c>
      <c r="C165" s="19" t="str">
        <f t="shared" si="43"/>
        <v/>
      </c>
      <c r="D165" s="19" t="str">
        <f t="shared" si="44"/>
        <v/>
      </c>
      <c r="E165" s="5" t="str">
        <f t="shared" si="47"/>
        <v/>
      </c>
      <c r="F165" s="12" t="str">
        <f t="shared" si="48"/>
        <v/>
      </c>
      <c r="J165" s="7" t="str">
        <f t="shared" si="49"/>
        <v/>
      </c>
      <c r="K165" s="9" t="str">
        <f t="shared" si="50"/>
        <v/>
      </c>
      <c r="L165" s="6">
        <f t="shared" si="51"/>
        <v>0</v>
      </c>
      <c r="M165" s="6">
        <f t="shared" si="52"/>
        <v>0</v>
      </c>
      <c r="N165" s="94" t="str">
        <f t="shared" si="53"/>
        <v/>
      </c>
      <c r="O165"/>
      <c r="P165"/>
      <c r="Q165"/>
      <c r="R165"/>
      <c r="S165"/>
      <c r="T165" s="136" t="str">
        <f t="shared" si="54"/>
        <v/>
      </c>
      <c r="U165" s="137" t="str">
        <f t="shared" si="55"/>
        <v/>
      </c>
      <c r="V165" s="1"/>
      <c r="Y165" s="90" t="str">
        <f t="shared" si="56"/>
        <v/>
      </c>
      <c r="AC165" s="6" t="s">
        <v>2595</v>
      </c>
      <c r="AD165" s="6" t="s">
        <v>6845</v>
      </c>
      <c r="AE165" s="158" t="s">
        <v>4068</v>
      </c>
      <c r="AF165" s="159" t="s">
        <v>8299</v>
      </c>
      <c r="AG165" s="160">
        <v>175834</v>
      </c>
      <c r="AH165" s="193" t="s">
        <v>1314</v>
      </c>
      <c r="AI165" s="6" t="s">
        <v>581</v>
      </c>
      <c r="AJ165" s="30" t="s">
        <v>8196</v>
      </c>
      <c r="AK165" t="s">
        <v>8196</v>
      </c>
      <c r="AL165" s="4">
        <f t="shared" si="57"/>
        <v>0</v>
      </c>
      <c r="AM165" s="6" t="s">
        <v>3392</v>
      </c>
      <c r="AN165" s="6" t="s">
        <v>5975</v>
      </c>
      <c r="AO165" t="str">
        <f t="shared" si="45"/>
        <v/>
      </c>
      <c r="AP165" t="s">
        <v>1848</v>
      </c>
      <c r="AQ165" t="s">
        <v>4512</v>
      </c>
      <c r="AR165" s="15">
        <v>8093</v>
      </c>
      <c r="AV165" t="s">
        <v>1324</v>
      </c>
      <c r="AW165" t="s">
        <v>8072</v>
      </c>
      <c r="AX165" s="5">
        <v>0.59861111111111109</v>
      </c>
      <c r="AZ165" t="str">
        <f t="shared" ref="AZ165:AZ177" si="59">IF(ISBLANK(AW165),"",CONCATENATE("(",RIGHT(AW165,5),"-",TEXT(AX165,"h:mm;@"),")"))</f>
        <v>(12:41-14:22)</v>
      </c>
      <c r="BA165" s="5" t="str">
        <f t="shared" si="58"/>
        <v>(10:57-11:00)(14:25-14:31)(12:41-14:22)</v>
      </c>
    </row>
    <row r="166" spans="1:53" ht="13.5">
      <c r="A166" s="135" t="str">
        <f t="shared" si="41"/>
        <v/>
      </c>
      <c r="B166" s="19" t="str">
        <f t="shared" si="42"/>
        <v/>
      </c>
      <c r="C166" s="19" t="str">
        <f t="shared" si="43"/>
        <v/>
      </c>
      <c r="D166" s="19" t="str">
        <f t="shared" si="44"/>
        <v/>
      </c>
      <c r="E166" s="5" t="str">
        <f t="shared" si="47"/>
        <v/>
      </c>
      <c r="F166" s="12" t="str">
        <f t="shared" si="48"/>
        <v/>
      </c>
      <c r="J166" s="7" t="str">
        <f t="shared" si="49"/>
        <v/>
      </c>
      <c r="K166" s="9" t="str">
        <f t="shared" si="50"/>
        <v/>
      </c>
      <c r="L166" s="6">
        <f t="shared" si="51"/>
        <v>0</v>
      </c>
      <c r="M166" s="6">
        <f t="shared" si="52"/>
        <v>0</v>
      </c>
      <c r="N166" s="94" t="str">
        <f t="shared" si="53"/>
        <v/>
      </c>
      <c r="O166"/>
      <c r="P166"/>
      <c r="Q166"/>
      <c r="R166"/>
      <c r="S166"/>
      <c r="T166" s="136" t="str">
        <f t="shared" si="54"/>
        <v/>
      </c>
      <c r="U166" s="137" t="str">
        <f t="shared" si="55"/>
        <v/>
      </c>
      <c r="V166" s="1"/>
      <c r="Y166" s="90" t="str">
        <f t="shared" si="56"/>
        <v/>
      </c>
      <c r="AC166" s="6" t="s">
        <v>2482</v>
      </c>
      <c r="AD166" s="6" t="s">
        <v>6850</v>
      </c>
      <c r="AE166" s="158" t="s">
        <v>4069</v>
      </c>
      <c r="AF166" s="159" t="s">
        <v>8340</v>
      </c>
      <c r="AG166" s="160">
        <v>175836</v>
      </c>
      <c r="AH166" s="193" t="s">
        <v>1314</v>
      </c>
      <c r="AI166" s="6" t="s">
        <v>1517</v>
      </c>
      <c r="AJ166" s="30" t="s">
        <v>8196</v>
      </c>
      <c r="AK166" t="s">
        <v>8196</v>
      </c>
      <c r="AL166" s="4">
        <f t="shared" si="57"/>
        <v>0</v>
      </c>
      <c r="AM166" s="6" t="s">
        <v>1264</v>
      </c>
      <c r="AN166" s="6" t="s">
        <v>5976</v>
      </c>
      <c r="AO166" t="str">
        <f t="shared" si="45"/>
        <v/>
      </c>
      <c r="AP166" t="s">
        <v>956</v>
      </c>
      <c r="AQ166" t="s">
        <v>4842</v>
      </c>
      <c r="AR166" s="15" t="s">
        <v>4628</v>
      </c>
      <c r="AV166" t="s">
        <v>1324</v>
      </c>
      <c r="AW166" t="s">
        <v>8036</v>
      </c>
      <c r="AX166" s="5">
        <v>0.45833333333333331</v>
      </c>
      <c r="AZ166" t="str">
        <f t="shared" si="59"/>
        <v>(10:57-11:00)</v>
      </c>
      <c r="BA166" s="5" t="str">
        <f t="shared" si="58"/>
        <v>(12:41-14:22)(10:57-11:00)</v>
      </c>
    </row>
    <row r="167" spans="1:53" ht="13.5">
      <c r="A167" s="135" t="str">
        <f t="shared" si="41"/>
        <v/>
      </c>
      <c r="B167" s="19" t="str">
        <f t="shared" si="42"/>
        <v/>
      </c>
      <c r="C167" s="19" t="str">
        <f t="shared" si="43"/>
        <v/>
      </c>
      <c r="D167" s="19" t="str">
        <f t="shared" si="44"/>
        <v/>
      </c>
      <c r="E167" s="5" t="str">
        <f t="shared" si="47"/>
        <v/>
      </c>
      <c r="F167" s="12" t="str">
        <f t="shared" si="48"/>
        <v/>
      </c>
      <c r="J167" s="7" t="str">
        <f t="shared" si="49"/>
        <v/>
      </c>
      <c r="K167" s="9" t="str">
        <f t="shared" si="50"/>
        <v/>
      </c>
      <c r="L167" s="6">
        <f t="shared" si="51"/>
        <v>0</v>
      </c>
      <c r="M167" s="6">
        <f t="shared" si="52"/>
        <v>0</v>
      </c>
      <c r="N167" s="94" t="str">
        <f t="shared" si="53"/>
        <v/>
      </c>
      <c r="O167"/>
      <c r="P167"/>
      <c r="Q167"/>
      <c r="R167"/>
      <c r="S167"/>
      <c r="T167" s="136" t="str">
        <f t="shared" si="54"/>
        <v/>
      </c>
      <c r="U167" s="137" t="str">
        <f t="shared" si="55"/>
        <v/>
      </c>
      <c r="V167" s="1"/>
      <c r="Y167" s="90" t="str">
        <f t="shared" si="56"/>
        <v/>
      </c>
      <c r="AC167" s="6" t="s">
        <v>2596</v>
      </c>
      <c r="AD167" s="6" t="s">
        <v>6845</v>
      </c>
      <c r="AE167" s="158" t="s">
        <v>1113</v>
      </c>
      <c r="AF167" s="159" t="s">
        <v>8299</v>
      </c>
      <c r="AG167" s="160">
        <v>175839</v>
      </c>
      <c r="AH167" s="194" t="s">
        <v>1314</v>
      </c>
      <c r="AI167" s="6" t="s">
        <v>2382</v>
      </c>
      <c r="AJ167" s="30" t="s">
        <v>8241</v>
      </c>
      <c r="AK167" t="s">
        <v>8675</v>
      </c>
      <c r="AL167" s="4">
        <f t="shared" si="57"/>
        <v>0</v>
      </c>
      <c r="AM167" s="6" t="s">
        <v>3195</v>
      </c>
      <c r="AN167" s="6" t="s">
        <v>5977</v>
      </c>
      <c r="AO167" t="str">
        <f t="shared" si="45"/>
        <v/>
      </c>
      <c r="AP167" t="s">
        <v>3392</v>
      </c>
      <c r="AQ167" t="s">
        <v>4512</v>
      </c>
      <c r="AR167" s="15">
        <v>9411</v>
      </c>
      <c r="AV167" t="s">
        <v>1322</v>
      </c>
      <c r="AW167" t="s">
        <v>8081</v>
      </c>
      <c r="AX167" s="5">
        <v>0.57986111111111105</v>
      </c>
      <c r="AZ167" t="str">
        <f t="shared" si="59"/>
        <v>(12:56-13:55)</v>
      </c>
      <c r="BA167" s="5" t="str">
        <f t="shared" si="58"/>
        <v>(12:56-13:55)</v>
      </c>
    </row>
    <row r="168" spans="1:53" ht="13.5">
      <c r="A168" s="135" t="str">
        <f t="shared" ref="A168:A231" si="60">IF(ISNA(VLOOKUP(I168,AC:AD,2,FALSE)),"",VLOOKUP(I168,AC:AD,2,FALSE))</f>
        <v/>
      </c>
      <c r="B168" s="19" t="str">
        <f t="shared" ref="B168:B231" si="61">IF(ISNA(VLOOKUP(I168,AE:AF,2,FALSE)),"",VLOOKUP(I168,AE:AF,2,FALSE))</f>
        <v/>
      </c>
      <c r="C168" s="19" t="str">
        <f t="shared" ref="C168:C231" si="62">IF(ISNA(VLOOKUP(I168,AM:AN,2,FALSE)),"",VLOOKUP(I168,AM:AN,2,FALSE))</f>
        <v/>
      </c>
      <c r="D168" s="19" t="str">
        <f t="shared" ref="D168:D231" si="63">IF(ISNA(VLOOKUP(I168,AG:AH,2,FALSE)),"",VLOOKUP(I168,AG:AH,2,FALSE))</f>
        <v/>
      </c>
      <c r="E168" s="5" t="str">
        <f t="shared" si="47"/>
        <v/>
      </c>
      <c r="F168" s="12" t="str">
        <f t="shared" si="48"/>
        <v/>
      </c>
      <c r="J168" s="7" t="str">
        <f t="shared" si="49"/>
        <v/>
      </c>
      <c r="K168" s="9" t="str">
        <f t="shared" si="50"/>
        <v/>
      </c>
      <c r="L168" s="6">
        <f t="shared" si="51"/>
        <v>0</v>
      </c>
      <c r="M168" s="6">
        <f t="shared" si="52"/>
        <v>0</v>
      </c>
      <c r="N168" s="94" t="str">
        <f t="shared" si="53"/>
        <v/>
      </c>
      <c r="O168"/>
      <c r="P168"/>
      <c r="Q168"/>
      <c r="R168"/>
      <c r="S168"/>
      <c r="T168" s="136" t="str">
        <f t="shared" si="54"/>
        <v/>
      </c>
      <c r="U168" s="137" t="str">
        <f t="shared" si="55"/>
        <v/>
      </c>
      <c r="V168" s="1"/>
      <c r="Y168" s="90" t="str">
        <f t="shared" si="56"/>
        <v/>
      </c>
      <c r="AC168" s="6">
        <v>385662</v>
      </c>
      <c r="AD168" s="6" t="s">
        <v>6851</v>
      </c>
      <c r="AE168" s="158" t="s">
        <v>4070</v>
      </c>
      <c r="AF168" s="159" t="s">
        <v>8309</v>
      </c>
      <c r="AG168" s="160">
        <v>175840</v>
      </c>
      <c r="AH168" s="194" t="s">
        <v>1314</v>
      </c>
      <c r="AI168" s="6" t="s">
        <v>1907</v>
      </c>
      <c r="AJ168" s="30" t="s">
        <v>8234</v>
      </c>
      <c r="AK168" t="s">
        <v>8234</v>
      </c>
      <c r="AL168" s="4">
        <f t="shared" si="57"/>
        <v>0</v>
      </c>
      <c r="AM168" s="6" t="s">
        <v>2777</v>
      </c>
      <c r="AN168" s="6" t="s">
        <v>5978</v>
      </c>
      <c r="AO168" t="str">
        <f t="shared" si="45"/>
        <v/>
      </c>
      <c r="AP168" t="s">
        <v>1264</v>
      </c>
      <c r="AQ168" t="s">
        <v>4512</v>
      </c>
      <c r="AR168" s="15">
        <v>1338</v>
      </c>
      <c r="AV168" t="s">
        <v>1321</v>
      </c>
      <c r="AW168" t="s">
        <v>8053</v>
      </c>
      <c r="AX168" s="5">
        <v>0.57638888888888895</v>
      </c>
      <c r="AZ168" t="str">
        <f t="shared" si="59"/>
        <v>(11:46-13:50)</v>
      </c>
      <c r="BA168" s="5" t="str">
        <f t="shared" si="58"/>
        <v>(12:33-12:34)(12:56-13:21)(11:46-13:50)</v>
      </c>
    </row>
    <row r="169" spans="1:53" ht="13.5">
      <c r="A169" s="135" t="str">
        <f t="shared" si="60"/>
        <v/>
      </c>
      <c r="B169" s="19" t="str">
        <f t="shared" si="61"/>
        <v/>
      </c>
      <c r="C169" s="19" t="str">
        <f t="shared" si="62"/>
        <v/>
      </c>
      <c r="D169" s="19" t="str">
        <f t="shared" si="63"/>
        <v/>
      </c>
      <c r="E169" s="5" t="str">
        <f t="shared" si="47"/>
        <v/>
      </c>
      <c r="F169" s="12" t="str">
        <f t="shared" si="48"/>
        <v/>
      </c>
      <c r="J169" s="7" t="str">
        <f t="shared" si="49"/>
        <v/>
      </c>
      <c r="K169" s="9" t="str">
        <f t="shared" si="50"/>
        <v/>
      </c>
      <c r="L169" s="6">
        <f t="shared" si="51"/>
        <v>0</v>
      </c>
      <c r="M169" s="6">
        <f t="shared" si="52"/>
        <v>0</v>
      </c>
      <c r="N169" s="94" t="str">
        <f t="shared" si="53"/>
        <v/>
      </c>
      <c r="O169"/>
      <c r="P169"/>
      <c r="Q169"/>
      <c r="R169"/>
      <c r="S169"/>
      <c r="T169" s="136" t="str">
        <f t="shared" si="54"/>
        <v/>
      </c>
      <c r="U169" s="137" t="str">
        <f t="shared" si="55"/>
        <v/>
      </c>
      <c r="V169" s="1"/>
      <c r="Y169" s="90" t="str">
        <f t="shared" si="56"/>
        <v/>
      </c>
      <c r="AC169" s="6" t="s">
        <v>2743</v>
      </c>
      <c r="AD169" s="6" t="s">
        <v>6812</v>
      </c>
      <c r="AE169" s="158" t="s">
        <v>4071</v>
      </c>
      <c r="AF169" s="159" t="s">
        <v>8299</v>
      </c>
      <c r="AG169" s="160">
        <v>185846</v>
      </c>
      <c r="AH169" s="194" t="s">
        <v>1314</v>
      </c>
      <c r="AI169" s="6" t="s">
        <v>1846</v>
      </c>
      <c r="AJ169" s="30" t="s">
        <v>8194</v>
      </c>
      <c r="AK169" t="s">
        <v>8194</v>
      </c>
      <c r="AL169" s="4">
        <f t="shared" si="57"/>
        <v>0</v>
      </c>
      <c r="AM169" s="6" t="s">
        <v>959</v>
      </c>
      <c r="AN169" s="6" t="s">
        <v>5979</v>
      </c>
      <c r="AO169" t="str">
        <f t="shared" si="45"/>
        <v/>
      </c>
      <c r="AP169" t="s">
        <v>3195</v>
      </c>
      <c r="AQ169" t="s">
        <v>4519</v>
      </c>
      <c r="AR169" s="15" t="s">
        <v>4855</v>
      </c>
      <c r="AV169" t="s">
        <v>1321</v>
      </c>
      <c r="AW169" t="s">
        <v>8081</v>
      </c>
      <c r="AX169" s="5">
        <v>0.55625000000000002</v>
      </c>
      <c r="AZ169" t="str">
        <f t="shared" si="59"/>
        <v>(12:56-13:21)</v>
      </c>
      <c r="BA169" s="5" t="str">
        <f t="shared" si="58"/>
        <v>(12:33-12:34)(11:46-13:50)(12:56-13:21)</v>
      </c>
    </row>
    <row r="170" spans="1:53" ht="13.5">
      <c r="A170" s="135" t="str">
        <f t="shared" si="60"/>
        <v/>
      </c>
      <c r="B170" s="19" t="str">
        <f t="shared" si="61"/>
        <v/>
      </c>
      <c r="C170" s="19" t="str">
        <f t="shared" si="62"/>
        <v/>
      </c>
      <c r="D170" s="19" t="str">
        <f t="shared" si="63"/>
        <v/>
      </c>
      <c r="E170" s="5" t="str">
        <f t="shared" si="47"/>
        <v/>
      </c>
      <c r="F170" s="12" t="str">
        <f t="shared" si="48"/>
        <v/>
      </c>
      <c r="J170" s="7" t="str">
        <f t="shared" si="49"/>
        <v/>
      </c>
      <c r="K170" s="9" t="str">
        <f t="shared" si="50"/>
        <v/>
      </c>
      <c r="L170" s="6">
        <f t="shared" si="51"/>
        <v>0</v>
      </c>
      <c r="M170" s="6">
        <f t="shared" si="52"/>
        <v>0</v>
      </c>
      <c r="N170" s="94" t="str">
        <f t="shared" si="53"/>
        <v/>
      </c>
      <c r="O170"/>
      <c r="P170"/>
      <c r="Q170"/>
      <c r="R170"/>
      <c r="S170"/>
      <c r="T170" s="136" t="str">
        <f t="shared" si="54"/>
        <v/>
      </c>
      <c r="U170" s="137" t="str">
        <f t="shared" si="55"/>
        <v/>
      </c>
      <c r="V170" s="1"/>
      <c r="Y170" s="90" t="str">
        <f t="shared" si="56"/>
        <v/>
      </c>
      <c r="AC170" s="6" t="s">
        <v>2597</v>
      </c>
      <c r="AD170" s="6" t="s">
        <v>6845</v>
      </c>
      <c r="AE170" s="158" t="s">
        <v>1114</v>
      </c>
      <c r="AF170" s="159" t="s">
        <v>8339</v>
      </c>
      <c r="AG170" s="160">
        <v>185847</v>
      </c>
      <c r="AH170" s="194" t="s">
        <v>679</v>
      </c>
      <c r="AI170" s="6" t="s">
        <v>2546</v>
      </c>
      <c r="AJ170" s="30" t="s">
        <v>8242</v>
      </c>
      <c r="AK170" t="s">
        <v>8281</v>
      </c>
      <c r="AL170" s="4">
        <f t="shared" si="57"/>
        <v>0</v>
      </c>
      <c r="AM170" s="6" t="s">
        <v>1070</v>
      </c>
      <c r="AN170" s="6" t="s">
        <v>5980</v>
      </c>
      <c r="AO170" t="str">
        <f t="shared" si="45"/>
        <v/>
      </c>
      <c r="AP170" t="s">
        <v>2777</v>
      </c>
      <c r="AQ170" t="s">
        <v>4512</v>
      </c>
      <c r="AR170" s="15">
        <v>1419</v>
      </c>
      <c r="AV170" t="s">
        <v>1321</v>
      </c>
      <c r="AW170" t="s">
        <v>8070</v>
      </c>
      <c r="AX170" s="5">
        <v>0.52361111111111114</v>
      </c>
      <c r="AZ170" t="str">
        <f t="shared" si="59"/>
        <v>(12:33-12:34)</v>
      </c>
      <c r="BA170" s="5" t="str">
        <f t="shared" si="58"/>
        <v>(12:56-13:21)(12:33-12:34)</v>
      </c>
    </row>
    <row r="171" spans="1:53" ht="13.5">
      <c r="A171" s="135" t="str">
        <f t="shared" si="60"/>
        <v/>
      </c>
      <c r="B171" s="19" t="str">
        <f t="shared" si="61"/>
        <v/>
      </c>
      <c r="C171" s="19" t="str">
        <f t="shared" si="62"/>
        <v/>
      </c>
      <c r="D171" s="19" t="str">
        <f t="shared" si="63"/>
        <v/>
      </c>
      <c r="E171" s="5" t="str">
        <f t="shared" si="47"/>
        <v/>
      </c>
      <c r="F171" s="12" t="str">
        <f t="shared" si="48"/>
        <v/>
      </c>
      <c r="J171" s="7" t="str">
        <f t="shared" si="49"/>
        <v/>
      </c>
      <c r="K171" s="9" t="str">
        <f t="shared" si="50"/>
        <v/>
      </c>
      <c r="L171" s="6">
        <f t="shared" si="51"/>
        <v>0</v>
      </c>
      <c r="M171" s="6">
        <f t="shared" si="52"/>
        <v>0</v>
      </c>
      <c r="N171" s="94" t="str">
        <f t="shared" si="53"/>
        <v/>
      </c>
      <c r="O171"/>
      <c r="P171"/>
      <c r="Q171"/>
      <c r="R171"/>
      <c r="S171"/>
      <c r="T171" s="136" t="str">
        <f t="shared" si="54"/>
        <v/>
      </c>
      <c r="U171" s="137" t="str">
        <f t="shared" si="55"/>
        <v/>
      </c>
      <c r="V171" s="1"/>
      <c r="Y171" s="90" t="str">
        <f t="shared" si="56"/>
        <v/>
      </c>
      <c r="AC171" s="6" t="s">
        <v>2590</v>
      </c>
      <c r="AD171" s="6" t="s">
        <v>6842</v>
      </c>
      <c r="AE171" s="158" t="s">
        <v>57</v>
      </c>
      <c r="AF171" s="159" t="s">
        <v>8299</v>
      </c>
      <c r="AG171" s="160">
        <v>195217</v>
      </c>
      <c r="AH171" s="194" t="s">
        <v>679</v>
      </c>
      <c r="AI171" s="6" t="s">
        <v>2717</v>
      </c>
      <c r="AJ171" s="30" t="s">
        <v>8242</v>
      </c>
      <c r="AK171" t="s">
        <v>8281</v>
      </c>
      <c r="AL171" s="4">
        <f t="shared" si="57"/>
        <v>0</v>
      </c>
      <c r="AM171" s="6" t="s">
        <v>953</v>
      </c>
      <c r="AN171" s="6" t="s">
        <v>5981</v>
      </c>
      <c r="AO171" t="str">
        <f t="shared" si="45"/>
        <v/>
      </c>
      <c r="AP171" t="s">
        <v>959</v>
      </c>
      <c r="AQ171" t="s">
        <v>4512</v>
      </c>
      <c r="AR171" s="15">
        <v>3330</v>
      </c>
      <c r="AV171" t="s">
        <v>217</v>
      </c>
      <c r="AW171" t="s">
        <v>7989</v>
      </c>
      <c r="AX171" s="5">
        <v>0.38958333333333334</v>
      </c>
      <c r="AZ171" t="str">
        <f t="shared" si="59"/>
        <v>(09:06-9:21)</v>
      </c>
      <c r="BA171" s="5" t="str">
        <f t="shared" si="58"/>
        <v>(09:06-9:21)</v>
      </c>
    </row>
    <row r="172" spans="1:53" ht="13.5">
      <c r="A172" s="135" t="str">
        <f t="shared" si="60"/>
        <v/>
      </c>
      <c r="B172" s="19" t="str">
        <f t="shared" si="61"/>
        <v/>
      </c>
      <c r="C172" s="19" t="str">
        <f t="shared" si="62"/>
        <v/>
      </c>
      <c r="D172" s="19" t="str">
        <f t="shared" si="63"/>
        <v/>
      </c>
      <c r="E172" s="5" t="str">
        <f t="shared" si="47"/>
        <v/>
      </c>
      <c r="F172" s="12" t="str">
        <f t="shared" si="48"/>
        <v/>
      </c>
      <c r="J172" s="7" t="str">
        <f t="shared" si="49"/>
        <v/>
      </c>
      <c r="K172" s="9" t="str">
        <f t="shared" si="50"/>
        <v/>
      </c>
      <c r="L172" s="6">
        <f t="shared" si="51"/>
        <v>0</v>
      </c>
      <c r="M172" s="6">
        <f t="shared" si="52"/>
        <v>0</v>
      </c>
      <c r="N172" s="94" t="str">
        <f t="shared" si="53"/>
        <v/>
      </c>
      <c r="O172"/>
      <c r="P172"/>
      <c r="Q172"/>
      <c r="R172"/>
      <c r="S172"/>
      <c r="T172" s="136" t="str">
        <f t="shared" si="54"/>
        <v/>
      </c>
      <c r="U172" s="137" t="str">
        <f t="shared" si="55"/>
        <v/>
      </c>
      <c r="V172" s="1"/>
      <c r="Y172" s="90" t="str">
        <f t="shared" si="56"/>
        <v/>
      </c>
      <c r="AC172" s="6" t="s">
        <v>2735</v>
      </c>
      <c r="AD172" s="6" t="s">
        <v>6806</v>
      </c>
      <c r="AE172" s="158" t="s">
        <v>3632</v>
      </c>
      <c r="AF172" s="159" t="s">
        <v>8309</v>
      </c>
      <c r="AG172" s="160">
        <v>195218</v>
      </c>
      <c r="AH172" s="194" t="s">
        <v>679</v>
      </c>
      <c r="AI172" s="6" t="s">
        <v>637</v>
      </c>
      <c r="AJ172" s="30" t="s">
        <v>8216</v>
      </c>
      <c r="AK172" t="s">
        <v>8216</v>
      </c>
      <c r="AL172" s="4">
        <f t="shared" si="57"/>
        <v>0</v>
      </c>
      <c r="AM172" s="6" t="s">
        <v>1063</v>
      </c>
      <c r="AN172" s="6" t="s">
        <v>5982</v>
      </c>
      <c r="AO172" t="str">
        <f t="shared" si="45"/>
        <v/>
      </c>
      <c r="AP172" t="s">
        <v>1070</v>
      </c>
      <c r="AQ172" t="s">
        <v>4512</v>
      </c>
      <c r="AR172" s="15">
        <v>7213</v>
      </c>
      <c r="AV172" t="s">
        <v>1317</v>
      </c>
      <c r="AW172" t="s">
        <v>8044</v>
      </c>
      <c r="AX172" s="5">
        <v>0.5131944444444444</v>
      </c>
      <c r="AZ172" t="str">
        <f t="shared" si="59"/>
        <v>(11:29-12:19)</v>
      </c>
      <c r="BA172" s="5" t="str">
        <f t="shared" si="58"/>
        <v>(11:29-12:19)</v>
      </c>
    </row>
    <row r="173" spans="1:53" ht="13.5">
      <c r="A173" s="135" t="str">
        <f t="shared" si="60"/>
        <v/>
      </c>
      <c r="B173" s="19" t="str">
        <f t="shared" si="61"/>
        <v/>
      </c>
      <c r="C173" s="19" t="str">
        <f t="shared" si="62"/>
        <v/>
      </c>
      <c r="D173" s="19" t="str">
        <f t="shared" si="63"/>
        <v/>
      </c>
      <c r="E173" s="5" t="str">
        <f t="shared" si="47"/>
        <v/>
      </c>
      <c r="F173" s="12" t="str">
        <f t="shared" si="48"/>
        <v/>
      </c>
      <c r="J173" s="7" t="str">
        <f t="shared" si="49"/>
        <v/>
      </c>
      <c r="K173" s="9" t="str">
        <f t="shared" si="50"/>
        <v/>
      </c>
      <c r="L173" s="6">
        <f t="shared" si="51"/>
        <v>0</v>
      </c>
      <c r="M173" s="6">
        <f t="shared" si="52"/>
        <v>0</v>
      </c>
      <c r="N173" s="94" t="str">
        <f t="shared" si="53"/>
        <v/>
      </c>
      <c r="O173"/>
      <c r="P173"/>
      <c r="Q173"/>
      <c r="R173"/>
      <c r="S173"/>
      <c r="T173" s="136" t="str">
        <f t="shared" si="54"/>
        <v/>
      </c>
      <c r="U173" s="137" t="str">
        <f t="shared" si="55"/>
        <v/>
      </c>
      <c r="V173" s="1"/>
      <c r="Y173" s="90" t="str">
        <f t="shared" si="56"/>
        <v/>
      </c>
      <c r="AC173" s="6" t="s">
        <v>2751</v>
      </c>
      <c r="AD173" s="6" t="s">
        <v>6852</v>
      </c>
      <c r="AE173" s="158" t="s">
        <v>3633</v>
      </c>
      <c r="AF173" s="159" t="s">
        <v>8299</v>
      </c>
      <c r="AG173" s="160">
        <v>195219</v>
      </c>
      <c r="AH173" s="194" t="s">
        <v>1314</v>
      </c>
      <c r="AI173" s="6" t="s">
        <v>2817</v>
      </c>
      <c r="AJ173" s="3" t="s">
        <v>8226</v>
      </c>
      <c r="AK173" t="s">
        <v>8671</v>
      </c>
      <c r="AL173" s="4">
        <f t="shared" si="57"/>
        <v>0</v>
      </c>
      <c r="AM173" s="6" t="s">
        <v>2262</v>
      </c>
      <c r="AN173" s="6" t="s">
        <v>5983</v>
      </c>
      <c r="AO173" t="str">
        <f t="shared" si="45"/>
        <v/>
      </c>
      <c r="AP173" t="s">
        <v>953</v>
      </c>
      <c r="AQ173" t="s">
        <v>4841</v>
      </c>
      <c r="AR173" s="15" t="s">
        <v>4640</v>
      </c>
      <c r="AV173" t="s">
        <v>199</v>
      </c>
      <c r="AW173" t="s">
        <v>8127</v>
      </c>
      <c r="AX173" s="5">
        <v>0.63888888888888895</v>
      </c>
      <c r="AZ173" t="str">
        <f t="shared" si="59"/>
        <v>(15:14-15:20)</v>
      </c>
      <c r="BA173" s="5" t="str">
        <f t="shared" si="58"/>
        <v>(15:14-15:20)</v>
      </c>
    </row>
    <row r="174" spans="1:53" ht="13.5">
      <c r="A174" s="135" t="str">
        <f t="shared" si="60"/>
        <v/>
      </c>
      <c r="B174" s="19" t="str">
        <f t="shared" si="61"/>
        <v/>
      </c>
      <c r="C174" s="19" t="str">
        <f t="shared" si="62"/>
        <v/>
      </c>
      <c r="D174" s="19" t="str">
        <f t="shared" si="63"/>
        <v/>
      </c>
      <c r="E174" s="5" t="str">
        <f t="shared" si="47"/>
        <v/>
      </c>
      <c r="F174" s="12" t="str">
        <f t="shared" si="48"/>
        <v/>
      </c>
      <c r="J174" s="7" t="str">
        <f t="shared" si="49"/>
        <v/>
      </c>
      <c r="K174" s="9" t="str">
        <f t="shared" si="50"/>
        <v/>
      </c>
      <c r="L174" s="6">
        <f t="shared" si="51"/>
        <v>0</v>
      </c>
      <c r="M174" s="6">
        <f t="shared" si="52"/>
        <v>0</v>
      </c>
      <c r="N174" s="94" t="str">
        <f t="shared" si="53"/>
        <v/>
      </c>
      <c r="O174"/>
      <c r="P174"/>
      <c r="Q174"/>
      <c r="R174"/>
      <c r="S174"/>
      <c r="T174" s="136" t="str">
        <f t="shared" si="54"/>
        <v/>
      </c>
      <c r="U174" s="137" t="str">
        <f t="shared" si="55"/>
        <v/>
      </c>
      <c r="V174" s="1"/>
      <c r="Y174" s="90" t="str">
        <f t="shared" si="56"/>
        <v/>
      </c>
      <c r="AC174" s="6" t="s">
        <v>1310</v>
      </c>
      <c r="AD174" s="6" t="s">
        <v>6853</v>
      </c>
      <c r="AE174" s="158" t="s">
        <v>3832</v>
      </c>
      <c r="AF174" s="159" t="s">
        <v>8299</v>
      </c>
      <c r="AG174" s="160">
        <v>195220</v>
      </c>
      <c r="AH174" s="194" t="s">
        <v>1314</v>
      </c>
      <c r="AI174" s="6">
        <v>55272</v>
      </c>
      <c r="AJ174" s="3" t="s">
        <v>8206</v>
      </c>
      <c r="AK174" t="s">
        <v>8206</v>
      </c>
      <c r="AL174" s="4">
        <f t="shared" si="57"/>
        <v>0</v>
      </c>
      <c r="AM174" s="6" t="s">
        <v>975</v>
      </c>
      <c r="AN174" s="6" t="s">
        <v>5984</v>
      </c>
      <c r="AO174" t="str">
        <f t="shared" si="45"/>
        <v/>
      </c>
      <c r="AP174" t="s">
        <v>1063</v>
      </c>
      <c r="AQ174" t="s">
        <v>4518</v>
      </c>
      <c r="AR174" s="15" t="s">
        <v>4631</v>
      </c>
      <c r="AV174" t="s">
        <v>4497</v>
      </c>
      <c r="AW174" t="s">
        <v>8010</v>
      </c>
      <c r="AX174" s="5">
        <v>0.41180555555555554</v>
      </c>
      <c r="AZ174" t="str">
        <f t="shared" si="59"/>
        <v>(09:51-9:53)</v>
      </c>
      <c r="BA174" s="5" t="str">
        <f t="shared" si="58"/>
        <v>(09:51-9:53)</v>
      </c>
    </row>
    <row r="175" spans="1:53" ht="13.5">
      <c r="A175" s="135" t="str">
        <f t="shared" si="60"/>
        <v/>
      </c>
      <c r="B175" s="19" t="str">
        <f t="shared" si="61"/>
        <v/>
      </c>
      <c r="C175" s="19" t="str">
        <f t="shared" si="62"/>
        <v/>
      </c>
      <c r="D175" s="19" t="str">
        <f t="shared" si="63"/>
        <v/>
      </c>
      <c r="E175" s="5" t="str">
        <f t="shared" si="47"/>
        <v/>
      </c>
      <c r="F175" s="12" t="str">
        <f t="shared" si="48"/>
        <v/>
      </c>
      <c r="J175" s="7" t="str">
        <f t="shared" si="49"/>
        <v/>
      </c>
      <c r="K175" s="9" t="str">
        <f t="shared" si="50"/>
        <v/>
      </c>
      <c r="L175" s="6">
        <f t="shared" si="51"/>
        <v>0</v>
      </c>
      <c r="M175" s="6">
        <f t="shared" si="52"/>
        <v>0</v>
      </c>
      <c r="N175" s="94" t="str">
        <f t="shared" si="53"/>
        <v/>
      </c>
      <c r="O175"/>
      <c r="P175"/>
      <c r="Q175"/>
      <c r="R175"/>
      <c r="S175"/>
      <c r="T175" s="136" t="str">
        <f t="shared" si="54"/>
        <v/>
      </c>
      <c r="U175" s="137" t="str">
        <f t="shared" si="55"/>
        <v/>
      </c>
      <c r="V175" s="1"/>
      <c r="Y175" s="90" t="str">
        <f t="shared" si="56"/>
        <v/>
      </c>
      <c r="AC175" s="6">
        <v>245211</v>
      </c>
      <c r="AD175" s="6" t="s">
        <v>6854</v>
      </c>
      <c r="AE175" s="158" t="s">
        <v>3833</v>
      </c>
      <c r="AF175" s="159" t="s">
        <v>8299</v>
      </c>
      <c r="AG175" s="160">
        <v>195221</v>
      </c>
      <c r="AH175" s="194" t="s">
        <v>679</v>
      </c>
      <c r="AI175" s="6" t="s">
        <v>2115</v>
      </c>
      <c r="AJ175" s="3" t="s">
        <v>8194</v>
      </c>
      <c r="AK175" t="s">
        <v>8194</v>
      </c>
      <c r="AL175" s="4">
        <f t="shared" si="57"/>
        <v>0</v>
      </c>
      <c r="AM175" s="6" t="s">
        <v>2507</v>
      </c>
      <c r="AN175" s="6" t="s">
        <v>5985</v>
      </c>
      <c r="AO175" t="str">
        <f t="shared" si="45"/>
        <v/>
      </c>
      <c r="AP175" t="s">
        <v>2262</v>
      </c>
      <c r="AQ175" t="s">
        <v>4518</v>
      </c>
      <c r="AR175" s="15" t="s">
        <v>4856</v>
      </c>
      <c r="AV175" t="s">
        <v>4475</v>
      </c>
      <c r="AW175" t="s">
        <v>8092</v>
      </c>
      <c r="AX175" s="5">
        <v>0.59513888888888888</v>
      </c>
      <c r="AZ175" t="str">
        <f t="shared" si="59"/>
        <v>(13:17-14:17)</v>
      </c>
      <c r="BA175" s="5" t="str">
        <f t="shared" si="58"/>
        <v>(13:17-14:17)</v>
      </c>
    </row>
    <row r="176" spans="1:53" ht="13.5">
      <c r="A176" s="135" t="str">
        <f t="shared" si="60"/>
        <v/>
      </c>
      <c r="B176" s="19" t="str">
        <f t="shared" si="61"/>
        <v/>
      </c>
      <c r="C176" s="19" t="str">
        <f t="shared" si="62"/>
        <v/>
      </c>
      <c r="D176" s="19" t="str">
        <f t="shared" si="63"/>
        <v/>
      </c>
      <c r="E176" s="5" t="str">
        <f t="shared" si="47"/>
        <v/>
      </c>
      <c r="F176" s="12" t="str">
        <f t="shared" si="48"/>
        <v/>
      </c>
      <c r="J176" s="7" t="str">
        <f t="shared" si="49"/>
        <v/>
      </c>
      <c r="K176" s="9" t="str">
        <f t="shared" si="50"/>
        <v/>
      </c>
      <c r="L176" s="6">
        <f t="shared" si="51"/>
        <v>0</v>
      </c>
      <c r="M176" s="6">
        <f t="shared" si="52"/>
        <v>0</v>
      </c>
      <c r="N176" s="94" t="str">
        <f t="shared" si="53"/>
        <v/>
      </c>
      <c r="O176"/>
      <c r="P176"/>
      <c r="Q176"/>
      <c r="R176"/>
      <c r="S176"/>
      <c r="T176" s="136" t="str">
        <f t="shared" si="54"/>
        <v/>
      </c>
      <c r="U176" s="137" t="str">
        <f t="shared" si="55"/>
        <v/>
      </c>
      <c r="V176" s="1"/>
      <c r="Y176" s="90" t="str">
        <f t="shared" si="56"/>
        <v/>
      </c>
      <c r="AC176" s="6">
        <v>245216</v>
      </c>
      <c r="AD176" s="6" t="s">
        <v>6855</v>
      </c>
      <c r="AE176" s="158" t="s">
        <v>3834</v>
      </c>
      <c r="AF176" s="159" t="s">
        <v>8299</v>
      </c>
      <c r="AG176" s="160">
        <v>195222</v>
      </c>
      <c r="AH176" s="194" t="s">
        <v>678</v>
      </c>
      <c r="AI176" s="6" t="s">
        <v>978</v>
      </c>
      <c r="AJ176" s="3" t="s">
        <v>8207</v>
      </c>
      <c r="AK176" t="s">
        <v>8207</v>
      </c>
      <c r="AL176" s="4">
        <f t="shared" si="57"/>
        <v>0</v>
      </c>
      <c r="AM176" s="6" t="s">
        <v>2</v>
      </c>
      <c r="AN176" s="6" t="s">
        <v>5986</v>
      </c>
      <c r="AO176" t="str">
        <f t="shared" si="45"/>
        <v/>
      </c>
      <c r="AP176" t="s">
        <v>975</v>
      </c>
      <c r="AQ176" t="s">
        <v>4841</v>
      </c>
      <c r="AR176" s="15" t="s">
        <v>4857</v>
      </c>
      <c r="AV176" t="s">
        <v>5082</v>
      </c>
      <c r="AW176" t="s">
        <v>7963</v>
      </c>
      <c r="AX176" s="5">
        <v>0.57430555555555551</v>
      </c>
      <c r="AZ176" t="str">
        <f t="shared" si="59"/>
        <v>(23:07-13:47)</v>
      </c>
      <c r="BA176" s="5" t="str">
        <f t="shared" si="58"/>
        <v>(23:07-13:47)</v>
      </c>
    </row>
    <row r="177" spans="1:53" ht="13.5">
      <c r="A177" s="135" t="str">
        <f t="shared" si="60"/>
        <v/>
      </c>
      <c r="B177" s="19" t="str">
        <f t="shared" si="61"/>
        <v/>
      </c>
      <c r="C177" s="19" t="str">
        <f t="shared" si="62"/>
        <v/>
      </c>
      <c r="D177" s="19" t="str">
        <f t="shared" si="63"/>
        <v/>
      </c>
      <c r="E177" s="5" t="str">
        <f t="shared" si="47"/>
        <v/>
      </c>
      <c r="F177" s="12" t="str">
        <f t="shared" si="48"/>
        <v/>
      </c>
      <c r="J177" s="7" t="str">
        <f t="shared" si="49"/>
        <v/>
      </c>
      <c r="K177" s="9" t="str">
        <f t="shared" si="50"/>
        <v/>
      </c>
      <c r="L177" s="6">
        <f t="shared" si="51"/>
        <v>0</v>
      </c>
      <c r="M177" s="6">
        <f t="shared" si="52"/>
        <v>0</v>
      </c>
      <c r="N177" s="94" t="str">
        <f t="shared" si="53"/>
        <v/>
      </c>
      <c r="O177"/>
      <c r="P177"/>
      <c r="Q177"/>
      <c r="R177"/>
      <c r="S177"/>
      <c r="T177" s="136" t="str">
        <f t="shared" si="54"/>
        <v/>
      </c>
      <c r="U177" s="137" t="str">
        <f t="shared" si="55"/>
        <v/>
      </c>
      <c r="V177" s="1"/>
      <c r="Y177" s="90" t="str">
        <f t="shared" si="56"/>
        <v/>
      </c>
      <c r="AC177" s="6">
        <v>385661</v>
      </c>
      <c r="AD177" s="6" t="s">
        <v>6856</v>
      </c>
      <c r="AE177" s="158" t="s">
        <v>45</v>
      </c>
      <c r="AF177" s="159" t="s">
        <v>8299</v>
      </c>
      <c r="AG177" s="160">
        <v>195223</v>
      </c>
      <c r="AH177" s="194" t="s">
        <v>679</v>
      </c>
      <c r="AI177" s="6">
        <v>245328</v>
      </c>
      <c r="AJ177" s="3" t="s">
        <v>8241</v>
      </c>
      <c r="AK177" t="s">
        <v>8675</v>
      </c>
      <c r="AL177" s="4">
        <f t="shared" si="57"/>
        <v>0</v>
      </c>
      <c r="AM177" s="6" t="s">
        <v>1279</v>
      </c>
      <c r="AN177" s="6" t="s">
        <v>5987</v>
      </c>
      <c r="AO177" t="str">
        <f t="shared" si="45"/>
        <v/>
      </c>
      <c r="AP177" t="s">
        <v>2507</v>
      </c>
      <c r="AQ177" t="s">
        <v>4512</v>
      </c>
      <c r="AR177" s="15">
        <v>1967</v>
      </c>
      <c r="AV177" t="s">
        <v>5079</v>
      </c>
      <c r="AW177" t="s">
        <v>8020</v>
      </c>
      <c r="AX177" s="5">
        <v>0.42569444444444443</v>
      </c>
      <c r="AZ177" t="str">
        <f t="shared" si="59"/>
        <v>(10:11-10:13)</v>
      </c>
      <c r="BA177" s="5" t="str">
        <f t="shared" si="58"/>
        <v>(10:11-10:13)</v>
      </c>
    </row>
    <row r="178" spans="1:53" ht="13.5">
      <c r="A178" s="135" t="str">
        <f t="shared" si="60"/>
        <v/>
      </c>
      <c r="B178" s="19" t="str">
        <f t="shared" si="61"/>
        <v/>
      </c>
      <c r="C178" s="19" t="str">
        <f t="shared" si="62"/>
        <v/>
      </c>
      <c r="D178" s="19" t="str">
        <f t="shared" si="63"/>
        <v/>
      </c>
      <c r="E178" s="5" t="str">
        <f t="shared" si="47"/>
        <v/>
      </c>
      <c r="F178" s="12" t="str">
        <f t="shared" si="48"/>
        <v/>
      </c>
      <c r="J178" s="7" t="str">
        <f t="shared" si="49"/>
        <v/>
      </c>
      <c r="K178" s="9" t="str">
        <f t="shared" si="50"/>
        <v/>
      </c>
      <c r="L178" s="6">
        <f t="shared" si="51"/>
        <v>0</v>
      </c>
      <c r="M178" s="6">
        <f t="shared" si="52"/>
        <v>0</v>
      </c>
      <c r="N178" s="94" t="str">
        <f t="shared" si="53"/>
        <v/>
      </c>
      <c r="O178"/>
      <c r="P178"/>
      <c r="Q178"/>
      <c r="R178"/>
      <c r="S178"/>
      <c r="T178" s="136" t="str">
        <f t="shared" si="54"/>
        <v/>
      </c>
      <c r="U178" s="137" t="str">
        <f t="shared" si="55"/>
        <v/>
      </c>
      <c r="V178" s="1"/>
      <c r="Y178" s="90" t="str">
        <f t="shared" si="56"/>
        <v/>
      </c>
      <c r="AC178" s="6" t="s">
        <v>2648</v>
      </c>
      <c r="AD178" s="6" t="s">
        <v>6818</v>
      </c>
      <c r="AE178" s="158" t="s">
        <v>3901</v>
      </c>
      <c r="AF178" s="159" t="s">
        <v>8299</v>
      </c>
      <c r="AG178" s="160">
        <v>203888</v>
      </c>
      <c r="AH178" s="194" t="s">
        <v>679</v>
      </c>
      <c r="AI178" s="6" t="s">
        <v>172</v>
      </c>
      <c r="AJ178" s="3" t="s">
        <v>8197</v>
      </c>
      <c r="AK178" t="s">
        <v>8197</v>
      </c>
      <c r="AL178" s="4">
        <f t="shared" si="57"/>
        <v>0</v>
      </c>
      <c r="AM178" s="6" t="s">
        <v>1073</v>
      </c>
      <c r="AN178" s="6" t="s">
        <v>5988</v>
      </c>
      <c r="AO178" t="str">
        <f t="shared" si="45"/>
        <v/>
      </c>
      <c r="AP178" t="s">
        <v>2</v>
      </c>
      <c r="AQ178" t="s">
        <v>4512</v>
      </c>
      <c r="AR178" s="15">
        <v>2960</v>
      </c>
      <c r="AV178" t="s">
        <v>171</v>
      </c>
      <c r="AW178" t="s">
        <v>8064</v>
      </c>
      <c r="AX178" s="5">
        <v>0.5131944444444444</v>
      </c>
      <c r="AZ178" t="str">
        <f t="shared" ref="AZ178:AZ197" si="64">IF(ISBLANK(AW178),"",CONCATENATE("(",RIGHT(AW178,5),"-",TEXT(AX178,"h:mm;@"),")"))</f>
        <v>(12:15-12:19)</v>
      </c>
      <c r="BA178" s="5" t="str">
        <f t="shared" si="58"/>
        <v>(12:11-12:14)(12:15-12:19)</v>
      </c>
    </row>
    <row r="179" spans="1:53" ht="13.5">
      <c r="A179" s="135" t="str">
        <f t="shared" si="60"/>
        <v/>
      </c>
      <c r="B179" s="19" t="str">
        <f t="shared" si="61"/>
        <v/>
      </c>
      <c r="C179" s="19" t="str">
        <f t="shared" si="62"/>
        <v/>
      </c>
      <c r="D179" s="19" t="str">
        <f t="shared" si="63"/>
        <v/>
      </c>
      <c r="E179" s="5" t="str">
        <f t="shared" si="47"/>
        <v/>
      </c>
      <c r="F179" s="12" t="str">
        <f t="shared" si="48"/>
        <v/>
      </c>
      <c r="J179" s="7" t="str">
        <f t="shared" si="49"/>
        <v/>
      </c>
      <c r="K179" s="9" t="str">
        <f t="shared" si="50"/>
        <v/>
      </c>
      <c r="L179" s="6">
        <f t="shared" si="51"/>
        <v>0</v>
      </c>
      <c r="M179" s="6">
        <f t="shared" si="52"/>
        <v>0</v>
      </c>
      <c r="N179" s="94" t="str">
        <f t="shared" si="53"/>
        <v/>
      </c>
      <c r="O179"/>
      <c r="P179"/>
      <c r="Q179"/>
      <c r="R179"/>
      <c r="S179"/>
      <c r="T179" s="136" t="str">
        <f t="shared" si="54"/>
        <v/>
      </c>
      <c r="U179" s="137" t="str">
        <f t="shared" si="55"/>
        <v/>
      </c>
      <c r="V179" s="1"/>
      <c r="Y179" s="90" t="str">
        <f t="shared" si="56"/>
        <v/>
      </c>
      <c r="AC179" s="6" t="s">
        <v>2490</v>
      </c>
      <c r="AD179" s="6" t="s">
        <v>6857</v>
      </c>
      <c r="AE179" s="158" t="s">
        <v>3902</v>
      </c>
      <c r="AF179" s="159" t="s">
        <v>8299</v>
      </c>
      <c r="AG179" s="160">
        <v>203889</v>
      </c>
      <c r="AH179" s="194" t="s">
        <v>679</v>
      </c>
      <c r="AI179" s="6" t="s">
        <v>3298</v>
      </c>
      <c r="AJ179" s="3" t="s">
        <v>8220</v>
      </c>
      <c r="AK179" t="s">
        <v>8220</v>
      </c>
      <c r="AL179" s="4">
        <f t="shared" si="57"/>
        <v>0</v>
      </c>
      <c r="AM179" s="6" t="s">
        <v>1281</v>
      </c>
      <c r="AN179" s="6" t="s">
        <v>5989</v>
      </c>
      <c r="AO179" t="str">
        <f t="shared" si="45"/>
        <v/>
      </c>
      <c r="AP179" t="s">
        <v>1279</v>
      </c>
      <c r="AQ179" t="s">
        <v>4518</v>
      </c>
      <c r="AR179" s="15" t="s">
        <v>4647</v>
      </c>
      <c r="AV179" t="s">
        <v>171</v>
      </c>
      <c r="AW179" t="s">
        <v>8060</v>
      </c>
      <c r="AX179" s="5">
        <v>0.50972222222222219</v>
      </c>
      <c r="AZ179" t="str">
        <f t="shared" si="64"/>
        <v>(12:11-12:14)</v>
      </c>
      <c r="BA179" s="5" t="str">
        <f t="shared" si="58"/>
        <v>(12:15-12:19)(12:11-12:14)</v>
      </c>
    </row>
    <row r="180" spans="1:53" ht="13.5">
      <c r="A180" s="135" t="str">
        <f t="shared" si="60"/>
        <v/>
      </c>
      <c r="B180" s="19" t="str">
        <f t="shared" si="61"/>
        <v/>
      </c>
      <c r="C180" s="19" t="str">
        <f t="shared" si="62"/>
        <v/>
      </c>
      <c r="D180" s="19" t="str">
        <f t="shared" si="63"/>
        <v/>
      </c>
      <c r="E180" s="5" t="str">
        <f t="shared" si="47"/>
        <v/>
      </c>
      <c r="F180" s="12" t="str">
        <f t="shared" si="48"/>
        <v/>
      </c>
      <c r="J180" s="7" t="str">
        <f t="shared" si="49"/>
        <v/>
      </c>
      <c r="K180" s="9" t="str">
        <f t="shared" si="50"/>
        <v/>
      </c>
      <c r="L180" s="6">
        <f t="shared" si="51"/>
        <v>0</v>
      </c>
      <c r="M180" s="6">
        <f t="shared" si="52"/>
        <v>0</v>
      </c>
      <c r="N180" s="94" t="str">
        <f t="shared" si="53"/>
        <v/>
      </c>
      <c r="O180"/>
      <c r="P180"/>
      <c r="Q180"/>
      <c r="R180"/>
      <c r="S180"/>
      <c r="T180" s="136" t="str">
        <f t="shared" si="54"/>
        <v/>
      </c>
      <c r="U180" s="137" t="str">
        <f t="shared" si="55"/>
        <v/>
      </c>
      <c r="V180" s="1"/>
      <c r="Y180" s="90" t="str">
        <f t="shared" si="56"/>
        <v/>
      </c>
      <c r="AC180" s="6">
        <v>385659</v>
      </c>
      <c r="AD180" s="6" t="s">
        <v>6858</v>
      </c>
      <c r="AE180" s="158" t="s">
        <v>3903</v>
      </c>
      <c r="AF180" s="159" t="s">
        <v>8299</v>
      </c>
      <c r="AG180" s="160">
        <v>205588</v>
      </c>
      <c r="AH180" s="194" t="s">
        <v>1314</v>
      </c>
      <c r="AI180" s="6" t="s">
        <v>1091</v>
      </c>
      <c r="AJ180" s="3" t="s">
        <v>8212</v>
      </c>
      <c r="AK180" t="s">
        <v>8212</v>
      </c>
      <c r="AL180" s="4">
        <f t="shared" si="57"/>
        <v>0</v>
      </c>
      <c r="AM180" s="6" t="s">
        <v>1067</v>
      </c>
      <c r="AN180" s="6" t="s">
        <v>5990</v>
      </c>
      <c r="AO180" t="str">
        <f t="shared" si="45"/>
        <v/>
      </c>
      <c r="AP180" t="s">
        <v>1073</v>
      </c>
      <c r="AQ180" t="s">
        <v>4518</v>
      </c>
      <c r="AR180" s="15" t="s">
        <v>4634</v>
      </c>
      <c r="AV180" t="s">
        <v>1601</v>
      </c>
      <c r="AW180" t="s">
        <v>8156</v>
      </c>
      <c r="AX180" s="5">
        <v>0.66180555555555554</v>
      </c>
      <c r="AZ180" t="str">
        <f t="shared" si="64"/>
        <v>(15:51-15:53)</v>
      </c>
      <c r="BA180" s="5" t="str">
        <f t="shared" si="58"/>
        <v>(15:51-15:53)</v>
      </c>
    </row>
    <row r="181" spans="1:53" ht="13.5">
      <c r="A181" s="135" t="str">
        <f t="shared" si="60"/>
        <v/>
      </c>
      <c r="B181" s="19" t="str">
        <f t="shared" si="61"/>
        <v/>
      </c>
      <c r="C181" s="19" t="str">
        <f t="shared" si="62"/>
        <v/>
      </c>
      <c r="D181" s="19" t="str">
        <f t="shared" si="63"/>
        <v/>
      </c>
      <c r="E181" s="5" t="str">
        <f t="shared" si="47"/>
        <v/>
      </c>
      <c r="F181" s="12" t="str">
        <f t="shared" si="48"/>
        <v/>
      </c>
      <c r="J181" s="7" t="str">
        <f t="shared" si="49"/>
        <v/>
      </c>
      <c r="K181" s="9" t="str">
        <f t="shared" si="50"/>
        <v/>
      </c>
      <c r="L181" s="6">
        <f t="shared" si="51"/>
        <v>0</v>
      </c>
      <c r="M181" s="6">
        <f t="shared" si="52"/>
        <v>0</v>
      </c>
      <c r="N181" s="94" t="str">
        <f t="shared" si="53"/>
        <v/>
      </c>
      <c r="O181"/>
      <c r="P181"/>
      <c r="Q181"/>
      <c r="R181"/>
      <c r="S181"/>
      <c r="T181" s="136" t="str">
        <f t="shared" si="54"/>
        <v/>
      </c>
      <c r="U181" s="137" t="str">
        <f t="shared" si="55"/>
        <v/>
      </c>
      <c r="V181" s="1"/>
      <c r="Y181" s="90" t="str">
        <f t="shared" si="56"/>
        <v/>
      </c>
      <c r="AC181" s="6">
        <v>246836</v>
      </c>
      <c r="AD181" s="6" t="s">
        <v>6859</v>
      </c>
      <c r="AE181" s="158" t="s">
        <v>3904</v>
      </c>
      <c r="AF181" s="159" t="s">
        <v>8299</v>
      </c>
      <c r="AG181" s="160">
        <v>205589</v>
      </c>
      <c r="AH181" s="194" t="s">
        <v>679</v>
      </c>
      <c r="AI181" s="6" t="s">
        <v>634</v>
      </c>
      <c r="AJ181" s="3" t="s">
        <v>8216</v>
      </c>
      <c r="AK181" t="s">
        <v>8216</v>
      </c>
      <c r="AL181" s="4">
        <f t="shared" si="57"/>
        <v>0</v>
      </c>
      <c r="AM181" s="6" t="s">
        <v>1045</v>
      </c>
      <c r="AN181" s="6" t="s">
        <v>5991</v>
      </c>
      <c r="AO181" t="str">
        <f t="shared" si="45"/>
        <v/>
      </c>
      <c r="AP181" t="s">
        <v>1281</v>
      </c>
      <c r="AQ181" t="s">
        <v>4842</v>
      </c>
      <c r="AR181" s="15" t="s">
        <v>4858</v>
      </c>
      <c r="AV181" t="s">
        <v>166</v>
      </c>
      <c r="AW181" t="s">
        <v>8078</v>
      </c>
      <c r="AX181" s="5">
        <v>0.65902777777777777</v>
      </c>
      <c r="AZ181" t="str">
        <f t="shared" si="64"/>
        <v>(12:48-15:49)</v>
      </c>
      <c r="BA181" s="5" t="str">
        <f t="shared" si="58"/>
        <v>(12:48-15:49)</v>
      </c>
    </row>
    <row r="182" spans="1:53" ht="13.5">
      <c r="A182" s="135" t="str">
        <f t="shared" si="60"/>
        <v/>
      </c>
      <c r="B182" s="19" t="str">
        <f t="shared" si="61"/>
        <v/>
      </c>
      <c r="C182" s="19" t="str">
        <f t="shared" si="62"/>
        <v/>
      </c>
      <c r="D182" s="19" t="str">
        <f t="shared" si="63"/>
        <v/>
      </c>
      <c r="E182" s="5" t="str">
        <f t="shared" si="47"/>
        <v/>
      </c>
      <c r="F182" s="12" t="str">
        <f t="shared" si="48"/>
        <v/>
      </c>
      <c r="J182" s="7" t="str">
        <f t="shared" si="49"/>
        <v/>
      </c>
      <c r="K182" s="9" t="str">
        <f t="shared" si="50"/>
        <v/>
      </c>
      <c r="L182" s="6">
        <f t="shared" si="51"/>
        <v>0</v>
      </c>
      <c r="M182" s="6">
        <f t="shared" si="52"/>
        <v>0</v>
      </c>
      <c r="N182" s="94" t="str">
        <f t="shared" si="53"/>
        <v/>
      </c>
      <c r="O182"/>
      <c r="P182"/>
      <c r="Q182"/>
      <c r="R182"/>
      <c r="S182"/>
      <c r="T182" s="136" t="str">
        <f t="shared" si="54"/>
        <v/>
      </c>
      <c r="U182" s="137" t="str">
        <f t="shared" si="55"/>
        <v/>
      </c>
      <c r="V182" s="1"/>
      <c r="Y182" s="90" t="str">
        <f t="shared" si="56"/>
        <v/>
      </c>
      <c r="AC182" s="6" t="s">
        <v>3979</v>
      </c>
      <c r="AD182" s="6" t="s">
        <v>6853</v>
      </c>
      <c r="AE182" s="158" t="s">
        <v>3905</v>
      </c>
      <c r="AF182" s="159" t="s">
        <v>8299</v>
      </c>
      <c r="AG182" s="160">
        <v>205590</v>
      </c>
      <c r="AH182" s="194" t="s">
        <v>679</v>
      </c>
      <c r="AI182" s="6" t="s">
        <v>6665</v>
      </c>
      <c r="AJ182" s="3" t="s">
        <v>8219</v>
      </c>
      <c r="AK182" t="s">
        <v>8219</v>
      </c>
      <c r="AL182" s="4">
        <f t="shared" si="57"/>
        <v>0</v>
      </c>
      <c r="AM182" s="6" t="s">
        <v>991</v>
      </c>
      <c r="AN182" s="6" t="s">
        <v>5992</v>
      </c>
      <c r="AO182" t="str">
        <f t="shared" si="45"/>
        <v/>
      </c>
      <c r="AP182" t="s">
        <v>1067</v>
      </c>
      <c r="AQ182" t="s">
        <v>4518</v>
      </c>
      <c r="AR182" s="15" t="s">
        <v>4632</v>
      </c>
      <c r="AV182" t="s">
        <v>165</v>
      </c>
      <c r="AW182" t="s">
        <v>8166</v>
      </c>
      <c r="AX182" s="5">
        <v>0.68680555555555556</v>
      </c>
      <c r="AZ182" t="str">
        <f t="shared" si="64"/>
        <v>(16:26-16:29)</v>
      </c>
      <c r="BA182" s="5" t="str">
        <f t="shared" si="58"/>
        <v>(16:26-16:29)</v>
      </c>
    </row>
    <row r="183" spans="1:53" ht="13.5">
      <c r="A183" s="135" t="str">
        <f t="shared" si="60"/>
        <v/>
      </c>
      <c r="B183" s="19" t="str">
        <f t="shared" si="61"/>
        <v/>
      </c>
      <c r="C183" s="19" t="str">
        <f t="shared" si="62"/>
        <v/>
      </c>
      <c r="D183" s="19" t="str">
        <f t="shared" si="63"/>
        <v/>
      </c>
      <c r="E183" s="5" t="str">
        <f t="shared" si="47"/>
        <v/>
      </c>
      <c r="F183" s="12" t="str">
        <f t="shared" si="48"/>
        <v/>
      </c>
      <c r="J183" s="7" t="str">
        <f t="shared" si="49"/>
        <v/>
      </c>
      <c r="K183" s="9" t="str">
        <f t="shared" si="50"/>
        <v/>
      </c>
      <c r="L183" s="6">
        <f t="shared" si="51"/>
        <v>0</v>
      </c>
      <c r="M183" s="6">
        <f t="shared" si="52"/>
        <v>0</v>
      </c>
      <c r="N183" s="94" t="str">
        <f t="shared" si="53"/>
        <v/>
      </c>
      <c r="O183"/>
      <c r="P183"/>
      <c r="Q183"/>
      <c r="R183"/>
      <c r="S183"/>
      <c r="T183" s="136" t="str">
        <f t="shared" si="54"/>
        <v/>
      </c>
      <c r="U183" s="137" t="str">
        <f t="shared" si="55"/>
        <v/>
      </c>
      <c r="V183" s="1"/>
      <c r="Y183" s="90" t="str">
        <f t="shared" si="56"/>
        <v/>
      </c>
      <c r="AC183" s="6">
        <v>445744</v>
      </c>
      <c r="AD183" s="6" t="s">
        <v>6860</v>
      </c>
      <c r="AE183" s="158" t="s">
        <v>4082</v>
      </c>
      <c r="AF183" s="159" t="s">
        <v>8300</v>
      </c>
      <c r="AG183" s="160">
        <v>206416</v>
      </c>
      <c r="AH183" s="194" t="s">
        <v>1314</v>
      </c>
      <c r="AI183" s="6" t="s">
        <v>6659</v>
      </c>
      <c r="AJ183" s="3" t="s">
        <v>8219</v>
      </c>
      <c r="AK183" t="s">
        <v>8219</v>
      </c>
      <c r="AL183" s="4">
        <f t="shared" si="57"/>
        <v>0</v>
      </c>
      <c r="AM183" s="6" t="s">
        <v>972</v>
      </c>
      <c r="AN183" s="6" t="s">
        <v>5993</v>
      </c>
      <c r="AO183" t="str">
        <f t="shared" si="45"/>
        <v/>
      </c>
      <c r="AP183" t="s">
        <v>1045</v>
      </c>
      <c r="AQ183" t="s">
        <v>4518</v>
      </c>
      <c r="AR183" s="15" t="s">
        <v>4622</v>
      </c>
      <c r="AV183" t="s">
        <v>1200</v>
      </c>
      <c r="AW183" t="s">
        <v>8010</v>
      </c>
      <c r="AX183" s="5">
        <v>0.41180555555555554</v>
      </c>
      <c r="AZ183" t="str">
        <f t="shared" si="64"/>
        <v>(09:51-9:53)</v>
      </c>
      <c r="BA183" s="5" t="str">
        <f t="shared" si="58"/>
        <v>(09:51-9:53)</v>
      </c>
    </row>
    <row r="184" spans="1:53" ht="13.5">
      <c r="A184" s="135" t="str">
        <f t="shared" si="60"/>
        <v/>
      </c>
      <c r="B184" s="19" t="str">
        <f t="shared" si="61"/>
        <v/>
      </c>
      <c r="C184" s="19" t="str">
        <f t="shared" si="62"/>
        <v/>
      </c>
      <c r="D184" s="19" t="str">
        <f t="shared" si="63"/>
        <v/>
      </c>
      <c r="E184" s="5" t="str">
        <f t="shared" si="47"/>
        <v/>
      </c>
      <c r="F184" s="12" t="str">
        <f t="shared" si="48"/>
        <v/>
      </c>
      <c r="J184" s="7" t="str">
        <f t="shared" si="49"/>
        <v/>
      </c>
      <c r="K184" s="9" t="str">
        <f t="shared" si="50"/>
        <v/>
      </c>
      <c r="L184" s="6">
        <f t="shared" si="51"/>
        <v>0</v>
      </c>
      <c r="M184" s="6">
        <f t="shared" si="52"/>
        <v>0</v>
      </c>
      <c r="N184" s="94" t="str">
        <f t="shared" si="53"/>
        <v/>
      </c>
      <c r="O184"/>
      <c r="P184"/>
      <c r="Q184"/>
      <c r="R184"/>
      <c r="S184"/>
      <c r="T184" s="136" t="str">
        <f t="shared" si="54"/>
        <v/>
      </c>
      <c r="U184" s="137" t="str">
        <f t="shared" si="55"/>
        <v/>
      </c>
      <c r="V184" s="1"/>
      <c r="Y184" s="90" t="str">
        <f t="shared" si="56"/>
        <v/>
      </c>
      <c r="AC184" s="6" t="s">
        <v>2660</v>
      </c>
      <c r="AD184" s="6" t="s">
        <v>6853</v>
      </c>
      <c r="AE184" s="158" t="s">
        <v>4083</v>
      </c>
      <c r="AF184" s="159" t="s">
        <v>8300</v>
      </c>
      <c r="AG184" s="160">
        <v>213529</v>
      </c>
      <c r="AH184" s="194" t="s">
        <v>679</v>
      </c>
      <c r="AI184" s="6" t="s">
        <v>6658</v>
      </c>
      <c r="AJ184" s="3" t="s">
        <v>8219</v>
      </c>
      <c r="AK184" t="s">
        <v>8219</v>
      </c>
      <c r="AL184" s="4">
        <f t="shared" si="57"/>
        <v>0</v>
      </c>
      <c r="AM184" s="6" t="s">
        <v>3421</v>
      </c>
      <c r="AN184" s="6" t="s">
        <v>5994</v>
      </c>
      <c r="AO184" t="str">
        <f t="shared" si="45"/>
        <v/>
      </c>
      <c r="AP184" t="s">
        <v>991</v>
      </c>
      <c r="AQ184" t="s">
        <v>4519</v>
      </c>
      <c r="AR184" s="15" t="s">
        <v>4613</v>
      </c>
      <c r="AV184" t="s">
        <v>5353</v>
      </c>
      <c r="AW184" t="s">
        <v>8028</v>
      </c>
      <c r="AX184" s="5">
        <v>0.42638888888888887</v>
      </c>
      <c r="AZ184" t="str">
        <f t="shared" si="64"/>
        <v>(10:08-10:14)</v>
      </c>
      <c r="BA184" s="5" t="str">
        <f t="shared" si="58"/>
        <v>(08:37-8:40)(08:48-8:53)(08:57-9:02)(09:06-9:11)(09:19-9:24)(09:30-9:53)(09:57-10:02)(10:08-10:14)</v>
      </c>
    </row>
    <row r="185" spans="1:53" ht="13.5">
      <c r="A185" s="135" t="str">
        <f t="shared" si="60"/>
        <v/>
      </c>
      <c r="B185" s="19" t="str">
        <f t="shared" si="61"/>
        <v/>
      </c>
      <c r="C185" s="19" t="str">
        <f t="shared" si="62"/>
        <v/>
      </c>
      <c r="D185" s="19" t="str">
        <f t="shared" si="63"/>
        <v/>
      </c>
      <c r="E185" s="5" t="str">
        <f t="shared" si="47"/>
        <v/>
      </c>
      <c r="F185" s="12" t="str">
        <f t="shared" si="48"/>
        <v/>
      </c>
      <c r="J185" s="7" t="str">
        <f t="shared" si="49"/>
        <v/>
      </c>
      <c r="K185" s="9" t="str">
        <f t="shared" si="50"/>
        <v/>
      </c>
      <c r="L185" s="6">
        <f t="shared" si="51"/>
        <v>0</v>
      </c>
      <c r="M185" s="6">
        <f t="shared" si="52"/>
        <v>0</v>
      </c>
      <c r="N185" s="94" t="str">
        <f t="shared" si="53"/>
        <v/>
      </c>
      <c r="O185"/>
      <c r="P185"/>
      <c r="Q185"/>
      <c r="R185"/>
      <c r="S185"/>
      <c r="T185" s="136" t="str">
        <f t="shared" si="54"/>
        <v/>
      </c>
      <c r="U185" s="137" t="str">
        <f t="shared" si="55"/>
        <v/>
      </c>
      <c r="V185" s="1"/>
      <c r="Y185" s="90" t="str">
        <f t="shared" si="56"/>
        <v/>
      </c>
      <c r="AC185" s="6" t="s">
        <v>2514</v>
      </c>
      <c r="AD185" s="6" t="s">
        <v>6861</v>
      </c>
      <c r="AE185" s="158" t="s">
        <v>4084</v>
      </c>
      <c r="AF185" s="159" t="s">
        <v>8300</v>
      </c>
      <c r="AG185" s="160">
        <v>215581</v>
      </c>
      <c r="AH185" s="194" t="s">
        <v>679</v>
      </c>
      <c r="AI185" s="6" t="s">
        <v>617</v>
      </c>
      <c r="AJ185" s="3" t="s">
        <v>8202</v>
      </c>
      <c r="AK185" t="s">
        <v>8202</v>
      </c>
      <c r="AL185" s="4">
        <f t="shared" si="57"/>
        <v>0</v>
      </c>
      <c r="AM185" s="6" t="s">
        <v>1051</v>
      </c>
      <c r="AN185" s="6" t="s">
        <v>5995</v>
      </c>
      <c r="AO185" t="str">
        <f t="shared" si="45"/>
        <v/>
      </c>
      <c r="AP185" t="s">
        <v>972</v>
      </c>
      <c r="AQ185" t="s">
        <v>4518</v>
      </c>
      <c r="AR185" s="15" t="s">
        <v>4630</v>
      </c>
      <c r="AV185" t="s">
        <v>5353</v>
      </c>
      <c r="AW185" t="s">
        <v>8017</v>
      </c>
      <c r="AX185" s="5">
        <v>0.41805555555555557</v>
      </c>
      <c r="AZ185" t="str">
        <f t="shared" si="64"/>
        <v>(09:57-10:02)</v>
      </c>
      <c r="BA185" s="5" t="str">
        <f t="shared" si="58"/>
        <v>(08:37-8:40)(08:48-8:53)(08:57-9:02)(09:06-9:11)(09:19-9:24)(09:30-9:53)(10:08-10:14)(09:57-10:02)</v>
      </c>
    </row>
    <row r="186" spans="1:53" ht="13.5">
      <c r="A186" s="135" t="str">
        <f t="shared" si="60"/>
        <v/>
      </c>
      <c r="B186" s="19" t="str">
        <f t="shared" si="61"/>
        <v/>
      </c>
      <c r="C186" s="19" t="str">
        <f t="shared" si="62"/>
        <v/>
      </c>
      <c r="D186" s="19" t="str">
        <f t="shared" si="63"/>
        <v/>
      </c>
      <c r="E186" s="5" t="str">
        <f t="shared" si="47"/>
        <v/>
      </c>
      <c r="F186" s="12" t="str">
        <f t="shared" si="48"/>
        <v/>
      </c>
      <c r="J186" s="7" t="str">
        <f t="shared" si="49"/>
        <v/>
      </c>
      <c r="K186" s="9" t="str">
        <f t="shared" si="50"/>
        <v/>
      </c>
      <c r="L186" s="6">
        <f t="shared" si="51"/>
        <v>0</v>
      </c>
      <c r="M186" s="6">
        <f t="shared" si="52"/>
        <v>0</v>
      </c>
      <c r="N186" s="94" t="str">
        <f t="shared" si="53"/>
        <v/>
      </c>
      <c r="O186"/>
      <c r="P186"/>
      <c r="Q186"/>
      <c r="R186"/>
      <c r="S186"/>
      <c r="T186" s="136" t="str">
        <f t="shared" si="54"/>
        <v/>
      </c>
      <c r="U186" s="137" t="str">
        <f t="shared" si="55"/>
        <v/>
      </c>
      <c r="V186" s="1"/>
      <c r="Y186" s="90" t="str">
        <f t="shared" si="56"/>
        <v/>
      </c>
      <c r="AC186" s="6" t="s">
        <v>4811</v>
      </c>
      <c r="AD186" s="6" t="s">
        <v>6862</v>
      </c>
      <c r="AE186" s="158" t="s">
        <v>4092</v>
      </c>
      <c r="AF186" s="159" t="s">
        <v>8309</v>
      </c>
      <c r="AG186" s="160">
        <v>215582</v>
      </c>
      <c r="AH186" s="194" t="s">
        <v>679</v>
      </c>
      <c r="AI186" s="6" t="s">
        <v>621</v>
      </c>
      <c r="AJ186" s="3" t="s">
        <v>8202</v>
      </c>
      <c r="AK186" t="s">
        <v>8202</v>
      </c>
      <c r="AL186" s="4">
        <f t="shared" si="57"/>
        <v>0</v>
      </c>
      <c r="AM186" s="6" t="s">
        <v>3287</v>
      </c>
      <c r="AN186" s="6" t="s">
        <v>5996</v>
      </c>
      <c r="AO186" t="str">
        <f t="shared" si="45"/>
        <v/>
      </c>
      <c r="AP186" t="s">
        <v>3421</v>
      </c>
      <c r="AQ186" t="s">
        <v>4841</v>
      </c>
      <c r="AR186" s="15" t="s">
        <v>4538</v>
      </c>
      <c r="AV186" t="s">
        <v>5353</v>
      </c>
      <c r="AW186" t="s">
        <v>8005</v>
      </c>
      <c r="AX186" s="5">
        <v>0.41180555555555554</v>
      </c>
      <c r="AZ186" t="str">
        <f t="shared" si="64"/>
        <v>(09:30-9:53)</v>
      </c>
      <c r="BA186" s="5" t="str">
        <f t="shared" si="58"/>
        <v>(08:37-8:40)(08:48-8:53)(08:57-9:02)(09:06-9:11)(09:19-9:24)(09:57-10:02)(09:30-9:53)</v>
      </c>
    </row>
    <row r="187" spans="1:53" ht="13.5">
      <c r="A187" s="135" t="str">
        <f t="shared" si="60"/>
        <v/>
      </c>
      <c r="B187" s="19" t="str">
        <f t="shared" si="61"/>
        <v/>
      </c>
      <c r="C187" s="19" t="str">
        <f t="shared" si="62"/>
        <v/>
      </c>
      <c r="D187" s="19" t="str">
        <f t="shared" si="63"/>
        <v/>
      </c>
      <c r="E187" s="5" t="str">
        <f t="shared" si="47"/>
        <v/>
      </c>
      <c r="F187" s="12" t="str">
        <f t="shared" si="48"/>
        <v/>
      </c>
      <c r="J187" s="7" t="str">
        <f t="shared" si="49"/>
        <v/>
      </c>
      <c r="K187" s="9" t="str">
        <f t="shared" si="50"/>
        <v/>
      </c>
      <c r="L187" s="6">
        <f t="shared" si="51"/>
        <v>0</v>
      </c>
      <c r="M187" s="6">
        <f t="shared" si="52"/>
        <v>0</v>
      </c>
      <c r="N187" s="94" t="str">
        <f t="shared" si="53"/>
        <v/>
      </c>
      <c r="O187"/>
      <c r="P187"/>
      <c r="Q187"/>
      <c r="R187"/>
      <c r="S187"/>
      <c r="T187" s="136" t="str">
        <f t="shared" si="54"/>
        <v/>
      </c>
      <c r="U187" s="137" t="str">
        <f t="shared" si="55"/>
        <v/>
      </c>
      <c r="V187" s="1"/>
      <c r="Y187" s="90" t="str">
        <f t="shared" si="56"/>
        <v/>
      </c>
      <c r="AC187" s="6" t="s">
        <v>2496</v>
      </c>
      <c r="AD187" s="6" t="s">
        <v>6863</v>
      </c>
      <c r="AE187" s="158" t="s">
        <v>4093</v>
      </c>
      <c r="AF187" s="159" t="s">
        <v>8299</v>
      </c>
      <c r="AG187" s="160">
        <v>223806</v>
      </c>
      <c r="AH187" s="194" t="s">
        <v>678</v>
      </c>
      <c r="AI187" s="6" t="s">
        <v>2640</v>
      </c>
      <c r="AJ187" s="3" t="s">
        <v>8242</v>
      </c>
      <c r="AK187" t="s">
        <v>8281</v>
      </c>
      <c r="AL187" s="4">
        <f t="shared" si="57"/>
        <v>0</v>
      </c>
      <c r="AM187" s="6" t="s">
        <v>3412</v>
      </c>
      <c r="AN187" s="6" t="s">
        <v>5997</v>
      </c>
      <c r="AO187" t="str">
        <f t="shared" si="45"/>
        <v/>
      </c>
      <c r="AP187" t="s">
        <v>1051</v>
      </c>
      <c r="AQ187" t="s">
        <v>4518</v>
      </c>
      <c r="AR187" s="15" t="s">
        <v>4626</v>
      </c>
      <c r="AV187" t="s">
        <v>5353</v>
      </c>
      <c r="AW187" t="s">
        <v>7994</v>
      </c>
      <c r="AX187" s="5">
        <v>0.39166666666666666</v>
      </c>
      <c r="AZ187" t="str">
        <f t="shared" si="64"/>
        <v>(09:19-9:24)</v>
      </c>
      <c r="BA187" s="5" t="str">
        <f t="shared" si="58"/>
        <v>(08:37-8:40)(08:48-8:53)(08:57-9:02)(09:06-9:11)(09:30-9:53)(09:19-9:24)</v>
      </c>
    </row>
    <row r="188" spans="1:53" ht="13.5">
      <c r="A188" s="135" t="str">
        <f t="shared" si="60"/>
        <v/>
      </c>
      <c r="B188" s="19" t="str">
        <f t="shared" si="61"/>
        <v/>
      </c>
      <c r="C188" s="19" t="str">
        <f t="shared" si="62"/>
        <v/>
      </c>
      <c r="D188" s="19" t="str">
        <f t="shared" si="63"/>
        <v/>
      </c>
      <c r="E188" s="5" t="str">
        <f t="shared" si="47"/>
        <v/>
      </c>
      <c r="F188" s="12" t="str">
        <f t="shared" si="48"/>
        <v/>
      </c>
      <c r="J188" s="7" t="str">
        <f t="shared" si="49"/>
        <v/>
      </c>
      <c r="K188" s="9" t="str">
        <f t="shared" si="50"/>
        <v/>
      </c>
      <c r="L188" s="6">
        <f t="shared" si="51"/>
        <v>0</v>
      </c>
      <c r="M188" s="6">
        <f t="shared" si="52"/>
        <v>0</v>
      </c>
      <c r="N188" s="94" t="str">
        <f t="shared" si="53"/>
        <v/>
      </c>
      <c r="O188"/>
      <c r="P188"/>
      <c r="Q188"/>
      <c r="R188"/>
      <c r="S188"/>
      <c r="T188" s="136" t="str">
        <f t="shared" si="54"/>
        <v/>
      </c>
      <c r="U188" s="137" t="str">
        <f t="shared" si="55"/>
        <v/>
      </c>
      <c r="V188" s="1"/>
      <c r="Y188" s="90" t="str">
        <f t="shared" si="56"/>
        <v/>
      </c>
      <c r="AC188" s="6" t="s">
        <v>2661</v>
      </c>
      <c r="AD188" s="6" t="s">
        <v>6853</v>
      </c>
      <c r="AE188" s="158" t="s">
        <v>4146</v>
      </c>
      <c r="AF188" s="159" t="s">
        <v>8341</v>
      </c>
      <c r="AG188" s="160">
        <v>225278</v>
      </c>
      <c r="AH188" s="194" t="s">
        <v>679</v>
      </c>
      <c r="AI188" s="6" t="s">
        <v>2745</v>
      </c>
      <c r="AJ188" s="3" t="s">
        <v>8241</v>
      </c>
      <c r="AK188" t="s">
        <v>8675</v>
      </c>
      <c r="AL188" s="4">
        <f t="shared" si="57"/>
        <v>0</v>
      </c>
      <c r="AM188" s="6" t="s">
        <v>961</v>
      </c>
      <c r="AN188" s="6" t="s">
        <v>5998</v>
      </c>
      <c r="AO188" t="str">
        <f t="shared" si="45"/>
        <v/>
      </c>
      <c r="AP188" t="s">
        <v>3287</v>
      </c>
      <c r="AQ188" t="s">
        <v>4841</v>
      </c>
      <c r="AR188" s="15" t="s">
        <v>4535</v>
      </c>
      <c r="AV188" t="s">
        <v>5353</v>
      </c>
      <c r="AW188" t="s">
        <v>7989</v>
      </c>
      <c r="AX188" s="5">
        <v>0.38263888888888892</v>
      </c>
      <c r="AZ188" t="str">
        <f t="shared" si="64"/>
        <v>(09:06-9:11)</v>
      </c>
      <c r="BA188" s="5" t="str">
        <f t="shared" si="58"/>
        <v>(08:37-8:40)(08:48-8:53)(08:57-9:02)(09:19-9:24)(09:06-9:11)</v>
      </c>
    </row>
    <row r="189" spans="1:53" ht="13.5">
      <c r="A189" s="135" t="str">
        <f t="shared" si="60"/>
        <v/>
      </c>
      <c r="B189" s="19" t="str">
        <f t="shared" si="61"/>
        <v/>
      </c>
      <c r="C189" s="19" t="str">
        <f t="shared" si="62"/>
        <v/>
      </c>
      <c r="D189" s="19" t="str">
        <f t="shared" si="63"/>
        <v/>
      </c>
      <c r="E189" s="5" t="str">
        <f t="shared" si="47"/>
        <v/>
      </c>
      <c r="F189" s="12" t="str">
        <f t="shared" si="48"/>
        <v/>
      </c>
      <c r="J189" s="7" t="str">
        <f t="shared" si="49"/>
        <v/>
      </c>
      <c r="K189" s="9" t="str">
        <f t="shared" si="50"/>
        <v/>
      </c>
      <c r="L189" s="6">
        <f t="shared" si="51"/>
        <v>0</v>
      </c>
      <c r="M189" s="6">
        <f t="shared" si="52"/>
        <v>0</v>
      </c>
      <c r="N189" s="94" t="str">
        <f t="shared" si="53"/>
        <v/>
      </c>
      <c r="O189"/>
      <c r="P189"/>
      <c r="Q189"/>
      <c r="R189"/>
      <c r="S189"/>
      <c r="T189" s="136" t="str">
        <f t="shared" si="54"/>
        <v/>
      </c>
      <c r="U189" s="137" t="str">
        <f t="shared" si="55"/>
        <v/>
      </c>
      <c r="V189" s="1"/>
      <c r="Y189" s="90" t="str">
        <f t="shared" si="56"/>
        <v/>
      </c>
      <c r="AC189" s="6">
        <v>876399</v>
      </c>
      <c r="AD189" s="6" t="s">
        <v>6864</v>
      </c>
      <c r="AE189" s="158" t="s">
        <v>4147</v>
      </c>
      <c r="AF189" s="159" t="s">
        <v>8299</v>
      </c>
      <c r="AG189" s="160">
        <v>233699</v>
      </c>
      <c r="AH189" s="194" t="s">
        <v>678</v>
      </c>
      <c r="AI189" s="6">
        <v>65277</v>
      </c>
      <c r="AJ189" s="3" t="s">
        <v>8206</v>
      </c>
      <c r="AK189" t="s">
        <v>8206</v>
      </c>
      <c r="AL189" s="4">
        <f t="shared" si="57"/>
        <v>0</v>
      </c>
      <c r="AM189" s="6" t="s">
        <v>1827</v>
      </c>
      <c r="AN189" s="6" t="s">
        <v>5999</v>
      </c>
      <c r="AO189" t="str">
        <f t="shared" si="45"/>
        <v/>
      </c>
      <c r="AP189" t="s">
        <v>3412</v>
      </c>
      <c r="AQ189" t="s">
        <v>4841</v>
      </c>
      <c r="AR189" s="15" t="s">
        <v>4545</v>
      </c>
      <c r="AV189" t="s">
        <v>5353</v>
      </c>
      <c r="AW189" t="s">
        <v>7999</v>
      </c>
      <c r="AX189" s="5">
        <v>0.37638888888888888</v>
      </c>
      <c r="AZ189" t="str">
        <f t="shared" si="64"/>
        <v>(08:57-9:02)</v>
      </c>
      <c r="BA189" s="5" t="str">
        <f t="shared" si="58"/>
        <v>(08:37-8:40)(08:48-8:53)(09:06-9:11)(08:57-9:02)</v>
      </c>
    </row>
    <row r="190" spans="1:53" ht="13.5">
      <c r="A190" s="135" t="str">
        <f t="shared" si="60"/>
        <v/>
      </c>
      <c r="B190" s="19" t="str">
        <f t="shared" si="61"/>
        <v/>
      </c>
      <c r="C190" s="19" t="str">
        <f t="shared" si="62"/>
        <v/>
      </c>
      <c r="D190" s="19" t="str">
        <f t="shared" si="63"/>
        <v/>
      </c>
      <c r="E190" s="5" t="str">
        <f t="shared" si="47"/>
        <v/>
      </c>
      <c r="F190" s="12" t="str">
        <f t="shared" si="48"/>
        <v/>
      </c>
      <c r="J190" s="7" t="str">
        <f t="shared" si="49"/>
        <v/>
      </c>
      <c r="K190" s="9" t="str">
        <f t="shared" si="50"/>
        <v/>
      </c>
      <c r="L190" s="6">
        <f t="shared" si="51"/>
        <v>0</v>
      </c>
      <c r="M190" s="6">
        <f t="shared" si="52"/>
        <v>0</v>
      </c>
      <c r="N190" s="94" t="str">
        <f t="shared" si="53"/>
        <v/>
      </c>
      <c r="O190"/>
      <c r="P190"/>
      <c r="Q190"/>
      <c r="R190"/>
      <c r="S190"/>
      <c r="T190" s="136" t="str">
        <f t="shared" si="54"/>
        <v/>
      </c>
      <c r="U190" s="137" t="str">
        <f t="shared" si="55"/>
        <v/>
      </c>
      <c r="V190" s="1"/>
      <c r="Y190" s="90" t="str">
        <f t="shared" si="56"/>
        <v/>
      </c>
      <c r="AC190" s="6" t="s">
        <v>2644</v>
      </c>
      <c r="AD190" s="6" t="s">
        <v>6865</v>
      </c>
      <c r="AE190" s="158" t="s">
        <v>4148</v>
      </c>
      <c r="AF190" s="159" t="s">
        <v>8299</v>
      </c>
      <c r="AG190" s="160">
        <v>233700</v>
      </c>
      <c r="AH190" s="194" t="s">
        <v>678</v>
      </c>
      <c r="AI190" s="6" t="s">
        <v>1379</v>
      </c>
      <c r="AJ190" s="3" t="s">
        <v>8201</v>
      </c>
      <c r="AK190" t="s">
        <v>8666</v>
      </c>
      <c r="AL190" s="4">
        <f t="shared" si="57"/>
        <v>0</v>
      </c>
      <c r="AM190" s="6" t="s">
        <v>1096</v>
      </c>
      <c r="AN190" s="6" t="s">
        <v>6000</v>
      </c>
      <c r="AO190" t="str">
        <f t="shared" si="45"/>
        <v/>
      </c>
      <c r="AP190" t="s">
        <v>961</v>
      </c>
      <c r="AQ190" t="s">
        <v>4518</v>
      </c>
      <c r="AR190" s="15" t="s">
        <v>4620</v>
      </c>
      <c r="AV190" t="s">
        <v>5353</v>
      </c>
      <c r="AW190" t="s">
        <v>7979</v>
      </c>
      <c r="AX190" s="5">
        <v>0.37013888888888885</v>
      </c>
      <c r="AZ190" t="str">
        <f t="shared" si="64"/>
        <v>(08:48-8:53)</v>
      </c>
      <c r="BA190" s="5" t="str">
        <f t="shared" si="58"/>
        <v>(08:37-8:40)(08:57-9:02)(08:48-8:53)</v>
      </c>
    </row>
    <row r="191" spans="1:53" ht="13.5">
      <c r="A191" s="135" t="str">
        <f t="shared" si="60"/>
        <v/>
      </c>
      <c r="B191" s="19" t="str">
        <f t="shared" si="61"/>
        <v/>
      </c>
      <c r="C191" s="19" t="str">
        <f t="shared" si="62"/>
        <v/>
      </c>
      <c r="D191" s="19" t="str">
        <f t="shared" si="63"/>
        <v/>
      </c>
      <c r="E191" s="5" t="str">
        <f t="shared" si="47"/>
        <v/>
      </c>
      <c r="F191" s="12" t="str">
        <f t="shared" si="48"/>
        <v/>
      </c>
      <c r="J191" s="7" t="str">
        <f t="shared" si="49"/>
        <v/>
      </c>
      <c r="K191" s="9" t="str">
        <f t="shared" si="50"/>
        <v/>
      </c>
      <c r="L191" s="6">
        <f t="shared" si="51"/>
        <v>0</v>
      </c>
      <c r="M191" s="6">
        <f t="shared" si="52"/>
        <v>0</v>
      </c>
      <c r="N191" s="94" t="str">
        <f t="shared" si="53"/>
        <v/>
      </c>
      <c r="O191"/>
      <c r="P191"/>
      <c r="Q191"/>
      <c r="R191"/>
      <c r="S191"/>
      <c r="T191" s="136" t="str">
        <f t="shared" si="54"/>
        <v/>
      </c>
      <c r="U191" s="137" t="str">
        <f t="shared" si="55"/>
        <v/>
      </c>
      <c r="V191" s="1"/>
      <c r="Y191" s="90" t="str">
        <f t="shared" si="56"/>
        <v/>
      </c>
      <c r="AC191" s="6" t="s">
        <v>2786</v>
      </c>
      <c r="AD191" s="6" t="s">
        <v>6866</v>
      </c>
      <c r="AE191" s="158" t="s">
        <v>83</v>
      </c>
      <c r="AF191" s="159" t="s">
        <v>8339</v>
      </c>
      <c r="AG191" s="160">
        <v>235279</v>
      </c>
      <c r="AH191" s="194" t="s">
        <v>678</v>
      </c>
      <c r="AI191" s="6" t="s">
        <v>470</v>
      </c>
      <c r="AJ191" s="3" t="s">
        <v>8209</v>
      </c>
      <c r="AK191" t="s">
        <v>8209</v>
      </c>
      <c r="AL191" s="4">
        <f t="shared" si="57"/>
        <v>0</v>
      </c>
      <c r="AM191" s="6" t="s">
        <v>3130</v>
      </c>
      <c r="AN191" s="6" t="s">
        <v>6001</v>
      </c>
      <c r="AO191" t="str">
        <f t="shared" si="45"/>
        <v/>
      </c>
      <c r="AP191" t="s">
        <v>1827</v>
      </c>
      <c r="AQ191" t="s">
        <v>4518</v>
      </c>
      <c r="AR191" s="15" t="s">
        <v>4859</v>
      </c>
      <c r="AV191" t="s">
        <v>5353</v>
      </c>
      <c r="AW191" t="s">
        <v>7975</v>
      </c>
      <c r="AX191" s="5">
        <v>0.3611111111111111</v>
      </c>
      <c r="AZ191" t="str">
        <f t="shared" si="64"/>
        <v>(08:37-8:40)</v>
      </c>
      <c r="BA191" s="5" t="str">
        <f t="shared" si="58"/>
        <v>(08:48-8:53)(08:37-8:40)</v>
      </c>
    </row>
    <row r="192" spans="1:53" ht="13.5">
      <c r="A192" s="135" t="str">
        <f t="shared" si="60"/>
        <v/>
      </c>
      <c r="B192" s="19" t="str">
        <f t="shared" si="61"/>
        <v/>
      </c>
      <c r="C192" s="19" t="str">
        <f t="shared" si="62"/>
        <v/>
      </c>
      <c r="D192" s="19" t="str">
        <f t="shared" si="63"/>
        <v/>
      </c>
      <c r="E192" s="5" t="str">
        <f t="shared" si="47"/>
        <v/>
      </c>
      <c r="F192" s="12" t="str">
        <f t="shared" si="48"/>
        <v/>
      </c>
      <c r="J192" s="7" t="str">
        <f t="shared" si="49"/>
        <v/>
      </c>
      <c r="K192" s="9" t="str">
        <f t="shared" si="50"/>
        <v/>
      </c>
      <c r="L192" s="6">
        <f t="shared" si="51"/>
        <v>0</v>
      </c>
      <c r="M192" s="6">
        <f t="shared" si="52"/>
        <v>0</v>
      </c>
      <c r="N192" s="94" t="str">
        <f t="shared" si="53"/>
        <v/>
      </c>
      <c r="O192"/>
      <c r="P192"/>
      <c r="Q192"/>
      <c r="R192"/>
      <c r="S192"/>
      <c r="T192" s="136" t="str">
        <f t="shared" si="54"/>
        <v/>
      </c>
      <c r="U192" s="137" t="str">
        <f t="shared" si="55"/>
        <v/>
      </c>
      <c r="V192" s="1"/>
      <c r="Y192" s="90" t="str">
        <f t="shared" si="56"/>
        <v/>
      </c>
      <c r="AC192" s="6" t="s">
        <v>2756</v>
      </c>
      <c r="AD192" s="6" t="s">
        <v>6867</v>
      </c>
      <c r="AE192" s="158" t="s">
        <v>4149</v>
      </c>
      <c r="AF192" s="159" t="s">
        <v>8299</v>
      </c>
      <c r="AG192" s="160">
        <v>235325</v>
      </c>
      <c r="AH192" s="194" t="s">
        <v>678</v>
      </c>
      <c r="AI192" s="6" t="s">
        <v>4730</v>
      </c>
      <c r="AJ192" s="3" t="s">
        <v>8226</v>
      </c>
      <c r="AK192" t="s">
        <v>8671</v>
      </c>
      <c r="AL192" s="4">
        <f t="shared" si="57"/>
        <v>0</v>
      </c>
      <c r="AM192" s="6" t="s">
        <v>1276</v>
      </c>
      <c r="AN192" s="6" t="s">
        <v>6002</v>
      </c>
      <c r="AO192" t="str">
        <f t="shared" si="45"/>
        <v/>
      </c>
      <c r="AP192" t="s">
        <v>1096</v>
      </c>
      <c r="AQ192" t="s">
        <v>4518</v>
      </c>
      <c r="AR192" s="15" t="s">
        <v>4644</v>
      </c>
      <c r="AV192" t="s">
        <v>5351</v>
      </c>
      <c r="AW192" t="s">
        <v>8059</v>
      </c>
      <c r="AX192" s="5">
        <v>0.56874999999999998</v>
      </c>
      <c r="AZ192" t="str">
        <f t="shared" si="64"/>
        <v>(12:01-13:39)</v>
      </c>
      <c r="BA192" s="5" t="str">
        <f t="shared" si="58"/>
        <v>(12:01-13:39)</v>
      </c>
    </row>
    <row r="193" spans="1:53" ht="13.5">
      <c r="A193" s="135" t="str">
        <f t="shared" si="60"/>
        <v/>
      </c>
      <c r="B193" s="19" t="str">
        <f t="shared" si="61"/>
        <v/>
      </c>
      <c r="C193" s="19" t="str">
        <f t="shared" si="62"/>
        <v/>
      </c>
      <c r="D193" s="19" t="str">
        <f t="shared" si="63"/>
        <v/>
      </c>
      <c r="E193" s="5" t="str">
        <f t="shared" si="47"/>
        <v/>
      </c>
      <c r="F193" s="12" t="str">
        <f t="shared" si="48"/>
        <v/>
      </c>
      <c r="J193" s="7" t="str">
        <f t="shared" si="49"/>
        <v/>
      </c>
      <c r="K193" s="9" t="str">
        <f t="shared" si="50"/>
        <v/>
      </c>
      <c r="L193" s="6">
        <f t="shared" si="51"/>
        <v>0</v>
      </c>
      <c r="M193" s="6">
        <f t="shared" si="52"/>
        <v>0</v>
      </c>
      <c r="N193" s="94" t="str">
        <f t="shared" si="53"/>
        <v/>
      </c>
      <c r="O193"/>
      <c r="P193"/>
      <c r="Q193"/>
      <c r="R193"/>
      <c r="S193"/>
      <c r="T193" s="136" t="str">
        <f t="shared" si="54"/>
        <v/>
      </c>
      <c r="U193" s="137" t="str">
        <f t="shared" si="55"/>
        <v/>
      </c>
      <c r="V193" s="1"/>
      <c r="Y193" s="90" t="str">
        <f t="shared" si="56"/>
        <v/>
      </c>
      <c r="AC193" s="6" t="s">
        <v>2643</v>
      </c>
      <c r="AD193" s="6" t="s">
        <v>6865</v>
      </c>
      <c r="AE193" s="158" t="s">
        <v>4150</v>
      </c>
      <c r="AF193" s="159" t="s">
        <v>8309</v>
      </c>
      <c r="AG193" s="160">
        <v>243418</v>
      </c>
      <c r="AH193" s="194" t="s">
        <v>679</v>
      </c>
      <c r="AI193" s="6" t="s">
        <v>2173</v>
      </c>
      <c r="AJ193" s="3" t="s">
        <v>8221</v>
      </c>
      <c r="AK193" t="s">
        <v>8669</v>
      </c>
      <c r="AL193" s="4">
        <f t="shared" si="57"/>
        <v>0</v>
      </c>
      <c r="AM193" s="6" t="s">
        <v>2263</v>
      </c>
      <c r="AN193" s="6" t="s">
        <v>6003</v>
      </c>
      <c r="AO193" t="str">
        <f t="shared" si="45"/>
        <v/>
      </c>
      <c r="AP193" t="s">
        <v>3130</v>
      </c>
      <c r="AQ193" t="s">
        <v>4841</v>
      </c>
      <c r="AR193" s="15" t="s">
        <v>4534</v>
      </c>
      <c r="AV193" t="s">
        <v>5499</v>
      </c>
      <c r="AW193" t="s">
        <v>8062</v>
      </c>
      <c r="AX193" s="5">
        <v>0.63541666666666663</v>
      </c>
      <c r="AZ193" t="str">
        <f t="shared" si="64"/>
        <v>(12:04-15:15)</v>
      </c>
      <c r="BA193" s="5" t="str">
        <f t="shared" si="58"/>
        <v>(11:37-11:41)(11:52-11:55)(11:58-11:59)(12:01-12:03)(12:04-15:15)</v>
      </c>
    </row>
    <row r="194" spans="1:53" ht="13.5">
      <c r="A194" s="135" t="str">
        <f t="shared" si="60"/>
        <v/>
      </c>
      <c r="B194" s="19" t="str">
        <f t="shared" si="61"/>
        <v/>
      </c>
      <c r="C194" s="19" t="str">
        <f t="shared" si="62"/>
        <v/>
      </c>
      <c r="D194" s="19" t="str">
        <f t="shared" si="63"/>
        <v/>
      </c>
      <c r="E194" s="5" t="str">
        <f t="shared" si="47"/>
        <v/>
      </c>
      <c r="F194" s="12" t="str">
        <f t="shared" si="48"/>
        <v/>
      </c>
      <c r="J194" s="7" t="str">
        <f t="shared" si="49"/>
        <v/>
      </c>
      <c r="K194" s="9" t="str">
        <f t="shared" si="50"/>
        <v/>
      </c>
      <c r="L194" s="6">
        <f t="shared" si="51"/>
        <v>0</v>
      </c>
      <c r="M194" s="6">
        <f t="shared" si="52"/>
        <v>0</v>
      </c>
      <c r="N194" s="94" t="str">
        <f t="shared" si="53"/>
        <v/>
      </c>
      <c r="O194"/>
      <c r="P194"/>
      <c r="Q194"/>
      <c r="R194"/>
      <c r="S194"/>
      <c r="T194" s="136" t="str">
        <f t="shared" si="54"/>
        <v/>
      </c>
      <c r="U194" s="137" t="str">
        <f t="shared" si="55"/>
        <v/>
      </c>
      <c r="V194" s="1"/>
      <c r="Y194" s="90" t="str">
        <f t="shared" si="56"/>
        <v/>
      </c>
      <c r="AC194" s="6" t="s">
        <v>2691</v>
      </c>
      <c r="AD194" s="6" t="s">
        <v>6868</v>
      </c>
      <c r="AE194" s="158" t="s">
        <v>4151</v>
      </c>
      <c r="AF194" s="159" t="s">
        <v>8299</v>
      </c>
      <c r="AG194" s="160">
        <v>243766</v>
      </c>
      <c r="AH194" s="194" t="s">
        <v>678</v>
      </c>
      <c r="AI194" s="6" t="s">
        <v>1775</v>
      </c>
      <c r="AJ194" s="3" t="s">
        <v>8232</v>
      </c>
      <c r="AK194" t="s">
        <v>8232</v>
      </c>
      <c r="AL194" s="4">
        <f t="shared" si="57"/>
        <v>0</v>
      </c>
      <c r="AM194" s="6" t="s">
        <v>3414</v>
      </c>
      <c r="AN194" s="6" t="s">
        <v>6004</v>
      </c>
      <c r="AO194" t="str">
        <f t="shared" si="45"/>
        <v/>
      </c>
      <c r="AP194" t="s">
        <v>1276</v>
      </c>
      <c r="AQ194" t="s">
        <v>4841</v>
      </c>
      <c r="AR194" s="15" t="s">
        <v>4645</v>
      </c>
      <c r="AV194" t="s">
        <v>5499</v>
      </c>
      <c r="AW194" t="s">
        <v>8059</v>
      </c>
      <c r="AX194" s="5">
        <v>0.50208333333333333</v>
      </c>
      <c r="AZ194" t="str">
        <f t="shared" si="64"/>
        <v>(12:01-12:03)</v>
      </c>
      <c r="BA194" s="5" t="str">
        <f t="shared" si="58"/>
        <v>(11:37-11:41)(11:52-11:55)(11:58-11:59)(12:04-15:15)(12:01-12:03)</v>
      </c>
    </row>
    <row r="195" spans="1:53" ht="13.5">
      <c r="A195" s="135" t="str">
        <f t="shared" si="60"/>
        <v/>
      </c>
      <c r="B195" s="19" t="str">
        <f t="shared" si="61"/>
        <v/>
      </c>
      <c r="C195" s="19" t="str">
        <f t="shared" si="62"/>
        <v/>
      </c>
      <c r="D195" s="19" t="str">
        <f t="shared" si="63"/>
        <v/>
      </c>
      <c r="E195" s="5" t="str">
        <f t="shared" si="47"/>
        <v/>
      </c>
      <c r="F195" s="12" t="str">
        <f t="shared" si="48"/>
        <v/>
      </c>
      <c r="J195" s="7" t="str">
        <f t="shared" si="49"/>
        <v/>
      </c>
      <c r="K195" s="9" t="str">
        <f t="shared" si="50"/>
        <v/>
      </c>
      <c r="L195" s="6">
        <f t="shared" si="51"/>
        <v>0</v>
      </c>
      <c r="M195" s="6">
        <f t="shared" si="52"/>
        <v>0</v>
      </c>
      <c r="N195" s="94" t="str">
        <f t="shared" si="53"/>
        <v/>
      </c>
      <c r="O195"/>
      <c r="P195"/>
      <c r="Q195"/>
      <c r="R195"/>
      <c r="S195"/>
      <c r="T195" s="136" t="str">
        <f t="shared" si="54"/>
        <v/>
      </c>
      <c r="U195" s="137" t="str">
        <f t="shared" si="55"/>
        <v/>
      </c>
      <c r="V195" s="1"/>
      <c r="Y195" s="90" t="str">
        <f t="shared" si="56"/>
        <v/>
      </c>
      <c r="AC195" s="6" t="s">
        <v>2642</v>
      </c>
      <c r="AD195" s="6" t="s">
        <v>6865</v>
      </c>
      <c r="AE195" s="158" t="s">
        <v>4152</v>
      </c>
      <c r="AF195" s="159" t="s">
        <v>8332</v>
      </c>
      <c r="AG195" s="160">
        <v>244881</v>
      </c>
      <c r="AH195" s="194" t="s">
        <v>679</v>
      </c>
      <c r="AI195" s="6" t="s">
        <v>2266</v>
      </c>
      <c r="AJ195" s="3" t="s">
        <v>8243</v>
      </c>
      <c r="AK195" t="s">
        <v>8243</v>
      </c>
      <c r="AL195" s="4">
        <f t="shared" si="57"/>
        <v>0</v>
      </c>
      <c r="AM195" s="6" t="s">
        <v>1025</v>
      </c>
      <c r="AN195" s="6" t="s">
        <v>6005</v>
      </c>
      <c r="AO195" t="str">
        <f t="shared" si="45"/>
        <v/>
      </c>
      <c r="AP195" t="s">
        <v>2263</v>
      </c>
      <c r="AQ195" t="s">
        <v>4841</v>
      </c>
      <c r="AR195" s="15" t="s">
        <v>4860</v>
      </c>
      <c r="AV195" t="s">
        <v>5499</v>
      </c>
      <c r="AW195" t="s">
        <v>8067</v>
      </c>
      <c r="AX195" s="5">
        <v>0.4993055555555555</v>
      </c>
      <c r="AZ195" t="str">
        <f t="shared" si="64"/>
        <v>(11:58-11:59)</v>
      </c>
      <c r="BA195" s="5" t="str">
        <f t="shared" si="58"/>
        <v>(11:37-11:41)(11:52-11:55)(12:01-12:03)(11:58-11:59)</v>
      </c>
    </row>
    <row r="196" spans="1:53" ht="13.5">
      <c r="A196" s="135" t="str">
        <f t="shared" si="60"/>
        <v/>
      </c>
      <c r="B196" s="19" t="str">
        <f t="shared" si="61"/>
        <v/>
      </c>
      <c r="C196" s="19" t="str">
        <f t="shared" si="62"/>
        <v/>
      </c>
      <c r="D196" s="19" t="str">
        <f t="shared" si="63"/>
        <v/>
      </c>
      <c r="E196" s="5" t="str">
        <f t="shared" si="47"/>
        <v/>
      </c>
      <c r="F196" s="12" t="str">
        <f t="shared" si="48"/>
        <v/>
      </c>
      <c r="J196" s="7" t="str">
        <f t="shared" si="49"/>
        <v/>
      </c>
      <c r="K196" s="9" t="str">
        <f t="shared" si="50"/>
        <v/>
      </c>
      <c r="L196" s="6">
        <f t="shared" si="51"/>
        <v>0</v>
      </c>
      <c r="M196" s="6">
        <f t="shared" si="52"/>
        <v>0</v>
      </c>
      <c r="N196" s="94" t="str">
        <f t="shared" si="53"/>
        <v/>
      </c>
      <c r="O196"/>
      <c r="P196"/>
      <c r="Q196"/>
      <c r="R196"/>
      <c r="S196"/>
      <c r="T196" s="136" t="str">
        <f t="shared" si="54"/>
        <v/>
      </c>
      <c r="U196" s="137" t="str">
        <f t="shared" si="55"/>
        <v/>
      </c>
      <c r="V196" s="1"/>
      <c r="Y196" s="90" t="str">
        <f t="shared" si="56"/>
        <v/>
      </c>
      <c r="AC196" s="6">
        <v>435738</v>
      </c>
      <c r="AD196" s="6" t="s">
        <v>6869</v>
      </c>
      <c r="AE196" s="158" t="s">
        <v>4100</v>
      </c>
      <c r="AF196" s="159" t="s">
        <v>8299</v>
      </c>
      <c r="AG196" s="160">
        <v>245209</v>
      </c>
      <c r="AH196" s="194" t="s">
        <v>1314</v>
      </c>
      <c r="AI196" s="6" t="s">
        <v>2269</v>
      </c>
      <c r="AJ196" s="3" t="s">
        <v>8243</v>
      </c>
      <c r="AK196" t="s">
        <v>8243</v>
      </c>
      <c r="AL196" s="4">
        <f t="shared" si="57"/>
        <v>0</v>
      </c>
      <c r="AM196" s="6" t="s">
        <v>1116</v>
      </c>
      <c r="AN196" s="6" t="s">
        <v>6006</v>
      </c>
      <c r="AO196" t="str">
        <f t="shared" si="45"/>
        <v/>
      </c>
      <c r="AP196" t="s">
        <v>3414</v>
      </c>
      <c r="AQ196" t="s">
        <v>4512</v>
      </c>
      <c r="AR196" s="15">
        <v>6052</v>
      </c>
      <c r="AV196" t="s">
        <v>5499</v>
      </c>
      <c r="AW196" t="s">
        <v>8051</v>
      </c>
      <c r="AX196" s="5">
        <v>0.49652777777777773</v>
      </c>
      <c r="AZ196" t="str">
        <f t="shared" si="64"/>
        <v>(11:52-11:55)</v>
      </c>
      <c r="BA196" s="5" t="str">
        <f t="shared" si="58"/>
        <v>(11:37-11:41)(11:58-11:59)(11:52-11:55)</v>
      </c>
    </row>
    <row r="197" spans="1:53" ht="13.5">
      <c r="A197" s="135" t="str">
        <f t="shared" si="60"/>
        <v/>
      </c>
      <c r="B197" s="19" t="str">
        <f t="shared" si="61"/>
        <v/>
      </c>
      <c r="C197" s="19" t="str">
        <f t="shared" si="62"/>
        <v/>
      </c>
      <c r="D197" s="19" t="str">
        <f t="shared" si="63"/>
        <v/>
      </c>
      <c r="E197" s="5" t="str">
        <f t="shared" si="47"/>
        <v/>
      </c>
      <c r="F197" s="12" t="str">
        <f t="shared" si="48"/>
        <v/>
      </c>
      <c r="J197" s="7" t="str">
        <f t="shared" si="49"/>
        <v/>
      </c>
      <c r="K197" s="9" t="str">
        <f t="shared" si="50"/>
        <v/>
      </c>
      <c r="L197" s="6">
        <f t="shared" si="51"/>
        <v>0</v>
      </c>
      <c r="M197" s="6">
        <f t="shared" si="52"/>
        <v>0</v>
      </c>
      <c r="N197" s="94" t="str">
        <f t="shared" si="53"/>
        <v/>
      </c>
      <c r="O197"/>
      <c r="P197"/>
      <c r="Q197"/>
      <c r="R197"/>
      <c r="S197"/>
      <c r="T197" s="136" t="str">
        <f t="shared" si="54"/>
        <v/>
      </c>
      <c r="U197" s="137" t="str">
        <f t="shared" si="55"/>
        <v/>
      </c>
      <c r="V197" s="1"/>
      <c r="Y197" s="90" t="str">
        <f t="shared" si="56"/>
        <v/>
      </c>
      <c r="AC197" s="6" t="s">
        <v>2804</v>
      </c>
      <c r="AD197" s="6" t="s">
        <v>6818</v>
      </c>
      <c r="AE197" s="158" t="s">
        <v>67</v>
      </c>
      <c r="AF197" s="159" t="s">
        <v>8299</v>
      </c>
      <c r="AG197" s="160">
        <v>245210</v>
      </c>
      <c r="AH197" s="194" t="s">
        <v>679</v>
      </c>
      <c r="AI197" s="6" t="s">
        <v>4414</v>
      </c>
      <c r="AJ197" s="3" t="s">
        <v>8235</v>
      </c>
      <c r="AK197" t="s">
        <v>8672</v>
      </c>
      <c r="AL197" s="4">
        <f t="shared" si="57"/>
        <v>0</v>
      </c>
      <c r="AM197" s="6" t="s">
        <v>1026</v>
      </c>
      <c r="AN197" s="6" t="s">
        <v>6007</v>
      </c>
      <c r="AO197" t="str">
        <f t="shared" ref="AO197:AO260" si="65">IFERROR(CONCATENATE(VLOOKUP(I197,$AP$5:$AR$500,3,0),"  (Host-",VLOOKUP(I197,$AP$5:$AR$500,2,0),")"),"")</f>
        <v/>
      </c>
      <c r="AP197" t="s">
        <v>1025</v>
      </c>
      <c r="AQ197" t="s">
        <v>4842</v>
      </c>
      <c r="AR197" s="15" t="s">
        <v>4590</v>
      </c>
      <c r="AV197" t="s">
        <v>5499</v>
      </c>
      <c r="AW197" t="s">
        <v>8050</v>
      </c>
      <c r="AX197" s="5">
        <v>0.48680555555555555</v>
      </c>
      <c r="AZ197" t="str">
        <f t="shared" si="64"/>
        <v>(11:37-11:41)</v>
      </c>
      <c r="BA197" s="5" t="str">
        <f t="shared" si="58"/>
        <v>(11:52-11:55)(11:37-11:41)</v>
      </c>
    </row>
    <row r="198" spans="1:53" ht="13.5">
      <c r="A198" s="135" t="str">
        <f t="shared" si="60"/>
        <v/>
      </c>
      <c r="B198" s="19" t="str">
        <f t="shared" si="61"/>
        <v/>
      </c>
      <c r="C198" s="19" t="str">
        <f t="shared" si="62"/>
        <v/>
      </c>
      <c r="D198" s="19" t="str">
        <f t="shared" si="63"/>
        <v/>
      </c>
      <c r="E198" s="5" t="str">
        <f t="shared" ref="E198:E261" si="66">IF(ISNA(VLOOKUP(I198,AI:AK,2,FALSE)),"",VLOOKUP(I198,AI:AK,2,FALSE))</f>
        <v/>
      </c>
      <c r="F198" s="12" t="str">
        <f t="shared" ref="F198:F261" si="67">IF(ISNA(VLOOKUP(I198,AI:AK,3,FALSE)),"",VLOOKUP(I198,AI:AK,3,FALSE))</f>
        <v/>
      </c>
      <c r="J198" s="7" t="str">
        <f t="shared" ref="J198:J237" si="68">IF(ISNA(VLOOKUP(I198,Z:AA,2,FALSE)),"",VLOOKUP(I198,Z:AA,2,FALSE))</f>
        <v/>
      </c>
      <c r="K198" s="9" t="str">
        <f t="shared" ref="K198:K261" si="69">IF(AND(LEFT(L198,3)&lt;&gt;"IB0",LEFT(L198,3)&lt;&gt;"ME0",LEFT(L198,3)&lt;&gt;"PS0",LEFT(L198,3)&lt;&gt;"RY0",LEFT(L198,3)&lt;&gt;"BU0",LEFT(L198,3)&lt;&gt;"IS0",LEFT(L198,3)&lt;&gt;"KA0",LEFT(L198,3)&lt;&gt;"FB0",LEFT(L198,3)&lt;&gt;"MB0",LEFT(L198,3)&lt;&gt;"LH0",LEFT(L198,3)&lt;&gt;"MU0",LEFT(L198,3)&lt;&gt;"AB0"),"",L198)</f>
        <v/>
      </c>
      <c r="L198" s="6">
        <f t="shared" ref="L198:L261" si="70">IF(ISNA(VLOOKUP(I198,$S$5:$S$900,1,FALSE)),I198,"")</f>
        <v>0</v>
      </c>
      <c r="M198" s="6">
        <f t="shared" ref="M198:M261" si="71">IF(OR(LEFT(L198,3)="IB0",LEFT(L198,3)="ME0",LEFT(L198,3)="PS0",LEFT(L198,3)="RY0",LEFT(L198,3)="BU0",LEFT(L198,3)="IS0",LEFT(L198,3)="KA0",LEFT(L198,3)="FB0",LEFT(L198,3)="MB0",LEFT(L198,3)="LH0",LEFT(L198,3)="MU0",LEFT(L198,3)="AB0",),"",L198)</f>
        <v>0</v>
      </c>
      <c r="N198" s="94" t="str">
        <f t="shared" ref="N198:N261" si="72">IF(I198="","",(IF(ISNA(VLOOKUP(M198,$AJ$4:$AK$4000,2,FALSE)),M198,VLOOKUP(M198,$AJ$4:$AK$4000,2,FALSE))))</f>
        <v/>
      </c>
      <c r="O198"/>
      <c r="P198"/>
      <c r="Q198"/>
      <c r="R198"/>
      <c r="S198"/>
      <c r="T198" s="136" t="str">
        <f t="shared" ref="T198:T261" si="73">IF(ISNA(VLOOKUP(S198,$I$5:$I$900,1,FALSE)),IF(ISBLANK(S198),"","up"),"")</f>
        <v/>
      </c>
      <c r="U198" s="137" t="str">
        <f t="shared" ref="U198:U261" si="74">IF(T198="up",(IF(ISNA(VLOOKUP(S198,$AV$1:$AX$1200,3,FALSE)),"",VLOOKUP(S198,$AV$1:$AX$1200,3,FALSE))),"")</f>
        <v/>
      </c>
      <c r="V198" s="1"/>
      <c r="Y198" s="90" t="str">
        <f t="shared" ref="Y198:Y261" si="75">IFERROR(VLOOKUP(S198,$AV$1:$BA$1200,6,0),"")</f>
        <v/>
      </c>
      <c r="AC198" s="6" t="s">
        <v>2805</v>
      </c>
      <c r="AD198" s="6" t="s">
        <v>6806</v>
      </c>
      <c r="AE198" s="158" t="s">
        <v>4101</v>
      </c>
      <c r="AF198" s="159" t="s">
        <v>8299</v>
      </c>
      <c r="AG198" s="160">
        <v>245211</v>
      </c>
      <c r="AH198" s="194" t="s">
        <v>1314</v>
      </c>
      <c r="AI198" s="6" t="s">
        <v>2255</v>
      </c>
      <c r="AJ198" s="3" t="s">
        <v>8235</v>
      </c>
      <c r="AK198" t="s">
        <v>8672</v>
      </c>
      <c r="AL198" s="4">
        <f t="shared" ref="AL198:AL261" si="76">COUNTIF(G:G,G198)</f>
        <v>0</v>
      </c>
      <c r="AM198" s="6" t="s">
        <v>3415</v>
      </c>
      <c r="AN198" s="6" t="s">
        <v>6008</v>
      </c>
      <c r="AO198" t="str">
        <f t="shared" si="65"/>
        <v/>
      </c>
      <c r="AP198" t="s">
        <v>1116</v>
      </c>
      <c r="AQ198" t="s">
        <v>4519</v>
      </c>
      <c r="AR198" s="15" t="s">
        <v>4861</v>
      </c>
      <c r="AV198" t="s">
        <v>5238</v>
      </c>
      <c r="AW198" t="s">
        <v>8052</v>
      </c>
      <c r="AX198" s="5">
        <v>0.60625000000000007</v>
      </c>
      <c r="AZ198" t="str">
        <f t="shared" ref="AZ198:AZ261" si="77">IF(ISBLANK(AW198),"",CONCATENATE("(",RIGHT(AW198,5),"-",TEXT(AX198,"h:mm;@"),")"))</f>
        <v>(11:44-14:33)</v>
      </c>
      <c r="BA198" s="5" t="str">
        <f t="shared" ref="BA198:BA261" si="78">IF(AV214=AV198,"",CONCATENATE(IF(AV213=AV198,AZ213,""),IF(AV212=AV198,AZ212,""),IF(AV211=AV198,AZ211,""),IF(AV210=AV198,AZ210,""),IF(AV209=AV198,AZ209,""),IF(AV208=AV198,AZ208,""),IF(AV207=AV198,AZ207,""),IF(AV206=AV198,AZ206,""),IF(AV205=AV198,AZ205,""),IF(AV204=AV198,AZ204,""),IF(AV203=AV198,AZ203,""),IF(AV202=AV198,AZ202,""),IF(AV201=AV198,AZ201,""),IF(AV200=AV198,AZ200,""),IF(AV199=AV198,AZ199,""),IF(AV197=AV198,AZ197,""),AZ198))</f>
        <v>(11:44-14:33)</v>
      </c>
    </row>
    <row r="199" spans="1:53" ht="13.5">
      <c r="A199" s="135" t="str">
        <f t="shared" si="60"/>
        <v/>
      </c>
      <c r="B199" s="19" t="str">
        <f t="shared" si="61"/>
        <v/>
      </c>
      <c r="C199" s="19" t="str">
        <f t="shared" si="62"/>
        <v/>
      </c>
      <c r="D199" s="19" t="str">
        <f t="shared" si="63"/>
        <v/>
      </c>
      <c r="E199" s="5" t="str">
        <f t="shared" si="66"/>
        <v/>
      </c>
      <c r="F199" s="12" t="str">
        <f t="shared" si="67"/>
        <v/>
      </c>
      <c r="J199" s="7" t="str">
        <f t="shared" si="68"/>
        <v/>
      </c>
      <c r="K199" s="9" t="str">
        <f t="shared" si="69"/>
        <v/>
      </c>
      <c r="L199" s="6">
        <f t="shared" si="70"/>
        <v>0</v>
      </c>
      <c r="M199" s="6">
        <f t="shared" si="71"/>
        <v>0</v>
      </c>
      <c r="N199" s="94" t="str">
        <f t="shared" si="72"/>
        <v/>
      </c>
      <c r="O199"/>
      <c r="P199"/>
      <c r="Q199"/>
      <c r="R199"/>
      <c r="S199"/>
      <c r="T199" s="136" t="str">
        <f t="shared" si="73"/>
        <v/>
      </c>
      <c r="U199" s="137" t="str">
        <f t="shared" si="74"/>
        <v/>
      </c>
      <c r="V199" s="1"/>
      <c r="Y199" s="90" t="str">
        <f t="shared" si="75"/>
        <v/>
      </c>
      <c r="AC199" s="6">
        <v>247501</v>
      </c>
      <c r="AD199" s="6" t="s">
        <v>6870</v>
      </c>
      <c r="AE199" s="158" t="s">
        <v>4102</v>
      </c>
      <c r="AF199" s="159" t="s">
        <v>8299</v>
      </c>
      <c r="AG199" s="160">
        <v>245212</v>
      </c>
      <c r="AH199" s="194" t="s">
        <v>1314</v>
      </c>
      <c r="AI199" s="6" t="s">
        <v>2197</v>
      </c>
      <c r="AJ199" s="3" t="s">
        <v>8221</v>
      </c>
      <c r="AK199" t="s">
        <v>8669</v>
      </c>
      <c r="AL199" s="4">
        <f t="shared" si="76"/>
        <v>0</v>
      </c>
      <c r="AM199" s="6" t="s">
        <v>3416</v>
      </c>
      <c r="AN199" s="6" t="s">
        <v>6009</v>
      </c>
      <c r="AO199" t="str">
        <f t="shared" si="65"/>
        <v/>
      </c>
      <c r="AP199" t="s">
        <v>1026</v>
      </c>
      <c r="AQ199" t="s">
        <v>4519</v>
      </c>
      <c r="AR199" s="15" t="s">
        <v>4591</v>
      </c>
      <c r="AV199" t="s">
        <v>4731</v>
      </c>
      <c r="AW199" t="s">
        <v>8161</v>
      </c>
      <c r="AX199" s="5">
        <v>0.68263888888888891</v>
      </c>
      <c r="AZ199" t="str">
        <f t="shared" si="77"/>
        <v>(16:16-16:23)</v>
      </c>
      <c r="BA199" s="5" t="str">
        <f t="shared" si="78"/>
        <v>(16:16-16:23)</v>
      </c>
    </row>
    <row r="200" spans="1:53" ht="13.5">
      <c r="A200" s="135" t="str">
        <f t="shared" si="60"/>
        <v/>
      </c>
      <c r="B200" s="19" t="str">
        <f t="shared" si="61"/>
        <v/>
      </c>
      <c r="C200" s="19" t="str">
        <f t="shared" si="62"/>
        <v/>
      </c>
      <c r="D200" s="19" t="str">
        <f t="shared" si="63"/>
        <v/>
      </c>
      <c r="E200" s="5" t="str">
        <f t="shared" si="66"/>
        <v/>
      </c>
      <c r="F200" s="12" t="str">
        <f t="shared" si="67"/>
        <v/>
      </c>
      <c r="J200" s="7" t="str">
        <f t="shared" si="68"/>
        <v/>
      </c>
      <c r="K200" s="9" t="str">
        <f t="shared" si="69"/>
        <v/>
      </c>
      <c r="L200" s="6">
        <f t="shared" si="70"/>
        <v>0</v>
      </c>
      <c r="M200" s="6">
        <f t="shared" si="71"/>
        <v>0</v>
      </c>
      <c r="N200" s="94" t="str">
        <f t="shared" si="72"/>
        <v/>
      </c>
      <c r="O200"/>
      <c r="P200"/>
      <c r="Q200"/>
      <c r="R200"/>
      <c r="S200"/>
      <c r="T200" s="136" t="str">
        <f t="shared" si="73"/>
        <v/>
      </c>
      <c r="U200" s="137" t="str">
        <f t="shared" si="74"/>
        <v/>
      </c>
      <c r="V200" s="1"/>
      <c r="Y200" s="90" t="str">
        <f t="shared" si="75"/>
        <v/>
      </c>
      <c r="AC200" s="6" t="s">
        <v>2681</v>
      </c>
      <c r="AD200" s="6" t="s">
        <v>6871</v>
      </c>
      <c r="AE200" s="158" t="s">
        <v>68</v>
      </c>
      <c r="AF200" s="159" t="s">
        <v>8299</v>
      </c>
      <c r="AG200" s="160">
        <v>245213</v>
      </c>
      <c r="AH200" s="194" t="s">
        <v>1314</v>
      </c>
      <c r="AI200" s="6" t="s">
        <v>5314</v>
      </c>
      <c r="AJ200" s="3" t="s">
        <v>8213</v>
      </c>
      <c r="AK200" t="s">
        <v>8213</v>
      </c>
      <c r="AL200" s="4">
        <f t="shared" si="76"/>
        <v>0</v>
      </c>
      <c r="AM200" s="6" t="s">
        <v>1186</v>
      </c>
      <c r="AN200" s="6" t="s">
        <v>6010</v>
      </c>
      <c r="AO200" t="str">
        <f t="shared" si="65"/>
        <v/>
      </c>
      <c r="AP200" t="s">
        <v>3415</v>
      </c>
      <c r="AQ200" t="s">
        <v>4512</v>
      </c>
      <c r="AR200" s="15">
        <v>9346</v>
      </c>
      <c r="AV200" t="s">
        <v>4448</v>
      </c>
      <c r="AW200" t="s">
        <v>8162</v>
      </c>
      <c r="AX200" s="5">
        <v>0.67986111111111114</v>
      </c>
      <c r="AZ200" t="str">
        <f t="shared" si="77"/>
        <v>(16:14-16:19)</v>
      </c>
      <c r="BA200" s="5" t="str">
        <f t="shared" si="78"/>
        <v>(10:16-10:22)(11:17-11:21)(16:14-16:19)</v>
      </c>
    </row>
    <row r="201" spans="1:53" ht="15.75">
      <c r="A201" s="135" t="str">
        <f t="shared" si="60"/>
        <v/>
      </c>
      <c r="B201" s="19" t="str">
        <f t="shared" si="61"/>
        <v/>
      </c>
      <c r="C201" s="19" t="str">
        <f t="shared" si="62"/>
        <v/>
      </c>
      <c r="D201" s="19" t="str">
        <f t="shared" si="63"/>
        <v/>
      </c>
      <c r="E201" s="5" t="str">
        <f t="shared" si="66"/>
        <v/>
      </c>
      <c r="F201" s="12" t="str">
        <f t="shared" si="67"/>
        <v/>
      </c>
      <c r="J201" s="7" t="str">
        <f t="shared" si="68"/>
        <v/>
      </c>
      <c r="K201" s="9" t="str">
        <f t="shared" si="69"/>
        <v/>
      </c>
      <c r="L201" s="6">
        <f t="shared" si="70"/>
        <v>0</v>
      </c>
      <c r="M201" s="6">
        <f t="shared" si="71"/>
        <v>0</v>
      </c>
      <c r="N201" s="94" t="str">
        <f t="shared" si="72"/>
        <v/>
      </c>
      <c r="O201" s="201"/>
      <c r="P201" s="206"/>
      <c r="Q201" s="203"/>
      <c r="R201" s="198"/>
      <c r="S201" s="204"/>
      <c r="T201" s="136" t="str">
        <f t="shared" si="73"/>
        <v/>
      </c>
      <c r="U201" s="137" t="str">
        <f t="shared" si="74"/>
        <v/>
      </c>
      <c r="V201" s="1"/>
      <c r="Y201" s="90" t="str">
        <f t="shared" si="75"/>
        <v/>
      </c>
      <c r="AC201" s="6" t="s">
        <v>2732</v>
      </c>
      <c r="AD201" s="6" t="s">
        <v>6806</v>
      </c>
      <c r="AE201" s="158" t="s">
        <v>4103</v>
      </c>
      <c r="AF201" s="159" t="s">
        <v>8299</v>
      </c>
      <c r="AG201" s="160">
        <v>245214</v>
      </c>
      <c r="AH201" s="194" t="s">
        <v>679</v>
      </c>
      <c r="AI201" s="6" t="s">
        <v>5274</v>
      </c>
      <c r="AJ201" s="3" t="s">
        <v>8213</v>
      </c>
      <c r="AK201" t="s">
        <v>8213</v>
      </c>
      <c r="AL201" s="4">
        <f t="shared" si="76"/>
        <v>0</v>
      </c>
      <c r="AM201" s="6" t="s">
        <v>2792</v>
      </c>
      <c r="AN201" s="6" t="s">
        <v>6011</v>
      </c>
      <c r="AO201" t="str">
        <f t="shared" si="65"/>
        <v/>
      </c>
      <c r="AP201" t="s">
        <v>3416</v>
      </c>
      <c r="AQ201" t="s">
        <v>4518</v>
      </c>
      <c r="AR201" s="15" t="s">
        <v>4817</v>
      </c>
      <c r="AV201" t="s">
        <v>4448</v>
      </c>
      <c r="AW201" t="s">
        <v>8043</v>
      </c>
      <c r="AX201" s="5">
        <v>0.47291666666666665</v>
      </c>
      <c r="AZ201" t="str">
        <f t="shared" si="77"/>
        <v>(11:17-11:21)</v>
      </c>
      <c r="BA201" s="5" t="str">
        <f t="shared" si="78"/>
        <v>(10:16-10:22)(16:14-16:19)(11:17-11:21)</v>
      </c>
    </row>
    <row r="202" spans="1:53" ht="15.75">
      <c r="A202" s="135" t="str">
        <f t="shared" si="60"/>
        <v/>
      </c>
      <c r="B202" s="19" t="str">
        <f t="shared" si="61"/>
        <v/>
      </c>
      <c r="C202" s="19" t="str">
        <f t="shared" si="62"/>
        <v/>
      </c>
      <c r="D202" s="19" t="str">
        <f t="shared" si="63"/>
        <v/>
      </c>
      <c r="E202" s="5" t="str">
        <f t="shared" si="66"/>
        <v/>
      </c>
      <c r="F202" s="12" t="str">
        <f t="shared" si="67"/>
        <v/>
      </c>
      <c r="J202" s="7" t="str">
        <f t="shared" si="68"/>
        <v/>
      </c>
      <c r="K202" s="9" t="str">
        <f t="shared" si="69"/>
        <v/>
      </c>
      <c r="L202" s="6">
        <f t="shared" si="70"/>
        <v>0</v>
      </c>
      <c r="M202" s="6">
        <f t="shared" si="71"/>
        <v>0</v>
      </c>
      <c r="N202" s="94" t="str">
        <f t="shared" si="72"/>
        <v/>
      </c>
      <c r="O202" s="201"/>
      <c r="P202" s="206"/>
      <c r="Q202" s="203"/>
      <c r="R202" s="198"/>
      <c r="S202" s="204"/>
      <c r="T202" s="136" t="str">
        <f t="shared" si="73"/>
        <v/>
      </c>
      <c r="U202" s="137" t="str">
        <f t="shared" si="74"/>
        <v/>
      </c>
      <c r="V202" s="1"/>
      <c r="Y202" s="90" t="str">
        <f t="shared" si="75"/>
        <v/>
      </c>
      <c r="AC202" s="6" t="s">
        <v>2603</v>
      </c>
      <c r="AD202" s="6" t="s">
        <v>6872</v>
      </c>
      <c r="AE202" s="158" t="s">
        <v>1121</v>
      </c>
      <c r="AF202" s="159" t="s">
        <v>8299</v>
      </c>
      <c r="AG202" s="160">
        <v>245215</v>
      </c>
      <c r="AH202" s="194" t="s">
        <v>1314</v>
      </c>
      <c r="AI202" s="6" t="s">
        <v>1961</v>
      </c>
      <c r="AJ202" s="3" t="s">
        <v>8235</v>
      </c>
      <c r="AK202" t="s">
        <v>8672</v>
      </c>
      <c r="AL202" s="4">
        <f t="shared" si="76"/>
        <v>0</v>
      </c>
      <c r="AM202" s="6" t="s">
        <v>3413</v>
      </c>
      <c r="AN202" s="6" t="s">
        <v>6012</v>
      </c>
      <c r="AO202" t="str">
        <f t="shared" si="65"/>
        <v/>
      </c>
      <c r="AP202" t="s">
        <v>1186</v>
      </c>
      <c r="AQ202" t="s">
        <v>4518</v>
      </c>
      <c r="AR202" s="15" t="s">
        <v>4646</v>
      </c>
      <c r="AV202" t="s">
        <v>4448</v>
      </c>
      <c r="AW202" t="s">
        <v>8022</v>
      </c>
      <c r="AX202" s="5">
        <v>0.43194444444444446</v>
      </c>
      <c r="AZ202" t="str">
        <f t="shared" si="77"/>
        <v>(10:16-10:22)</v>
      </c>
      <c r="BA202" s="5" t="str">
        <f t="shared" si="78"/>
        <v>(11:17-11:21)(10:16-10:22)</v>
      </c>
    </row>
    <row r="203" spans="1:53" ht="15.75">
      <c r="A203" s="135" t="str">
        <f t="shared" si="60"/>
        <v/>
      </c>
      <c r="B203" s="19" t="str">
        <f t="shared" si="61"/>
        <v/>
      </c>
      <c r="C203" s="19" t="str">
        <f t="shared" si="62"/>
        <v/>
      </c>
      <c r="D203" s="19" t="str">
        <f t="shared" si="63"/>
        <v/>
      </c>
      <c r="E203" s="5" t="str">
        <f t="shared" si="66"/>
        <v/>
      </c>
      <c r="F203" s="12" t="str">
        <f t="shared" si="67"/>
        <v/>
      </c>
      <c r="J203" s="7" t="str">
        <f t="shared" si="68"/>
        <v/>
      </c>
      <c r="K203" s="9" t="str">
        <f t="shared" si="69"/>
        <v/>
      </c>
      <c r="L203" s="6">
        <f t="shared" si="70"/>
        <v>0</v>
      </c>
      <c r="M203" s="6">
        <f t="shared" si="71"/>
        <v>0</v>
      </c>
      <c r="N203" s="94" t="str">
        <f t="shared" si="72"/>
        <v/>
      </c>
      <c r="O203" s="201"/>
      <c r="P203" s="206"/>
      <c r="Q203" s="203"/>
      <c r="R203" s="198"/>
      <c r="S203" s="204"/>
      <c r="T203" s="136" t="str">
        <f t="shared" si="73"/>
        <v/>
      </c>
      <c r="U203" s="137" t="str">
        <f t="shared" si="74"/>
        <v/>
      </c>
      <c r="V203" s="1"/>
      <c r="Y203" s="90" t="str">
        <f t="shared" si="75"/>
        <v/>
      </c>
      <c r="AC203" s="6">
        <v>876398</v>
      </c>
      <c r="AD203" s="6" t="s">
        <v>6864</v>
      </c>
      <c r="AE203" s="158" t="s">
        <v>4104</v>
      </c>
      <c r="AF203" s="159" t="s">
        <v>8342</v>
      </c>
      <c r="AG203" s="160">
        <v>245216</v>
      </c>
      <c r="AH203" s="194" t="s">
        <v>679</v>
      </c>
      <c r="AI203" s="6" t="s">
        <v>3632</v>
      </c>
      <c r="AJ203" s="3" t="s">
        <v>8199</v>
      </c>
      <c r="AK203" t="s">
        <v>8199</v>
      </c>
      <c r="AL203" s="4">
        <f t="shared" si="76"/>
        <v>0</v>
      </c>
      <c r="AM203" s="6" t="s">
        <v>1268</v>
      </c>
      <c r="AN203" s="6" t="s">
        <v>6013</v>
      </c>
      <c r="AO203" t="str">
        <f t="shared" si="65"/>
        <v/>
      </c>
      <c r="AP203" t="s">
        <v>2792</v>
      </c>
      <c r="AQ203" t="s">
        <v>4519</v>
      </c>
      <c r="AR203" s="15" t="s">
        <v>4530</v>
      </c>
      <c r="AV203" t="s">
        <v>1587</v>
      </c>
      <c r="AW203" t="s">
        <v>8137</v>
      </c>
      <c r="AX203" s="5">
        <v>0.62361111111111112</v>
      </c>
      <c r="AZ203" t="str">
        <f t="shared" si="77"/>
        <v>(14:53-14:58)</v>
      </c>
      <c r="BA203" s="5" t="str">
        <f t="shared" si="78"/>
        <v>(14:53-14:58)</v>
      </c>
    </row>
    <row r="204" spans="1:53" ht="15.75">
      <c r="A204" s="135" t="str">
        <f t="shared" si="60"/>
        <v/>
      </c>
      <c r="B204" s="19" t="str">
        <f t="shared" si="61"/>
        <v/>
      </c>
      <c r="C204" s="19" t="str">
        <f t="shared" si="62"/>
        <v/>
      </c>
      <c r="D204" s="19" t="str">
        <f t="shared" si="63"/>
        <v/>
      </c>
      <c r="E204" s="5" t="str">
        <f t="shared" si="66"/>
        <v/>
      </c>
      <c r="F204" s="12" t="str">
        <f t="shared" si="67"/>
        <v/>
      </c>
      <c r="J204" s="7" t="str">
        <f t="shared" si="68"/>
        <v/>
      </c>
      <c r="K204" s="9" t="str">
        <f t="shared" si="69"/>
        <v/>
      </c>
      <c r="L204" s="6">
        <f t="shared" si="70"/>
        <v>0</v>
      </c>
      <c r="M204" s="6">
        <f t="shared" si="71"/>
        <v>0</v>
      </c>
      <c r="N204" s="94" t="str">
        <f t="shared" si="72"/>
        <v/>
      </c>
      <c r="O204" s="201"/>
      <c r="P204" s="206"/>
      <c r="Q204" s="203"/>
      <c r="R204" s="198"/>
      <c r="S204" s="204"/>
      <c r="T204" s="136" t="str">
        <f t="shared" si="73"/>
        <v/>
      </c>
      <c r="U204" s="137" t="str">
        <f t="shared" si="74"/>
        <v/>
      </c>
      <c r="V204" s="1"/>
      <c r="Y204" s="90" t="str">
        <f t="shared" si="75"/>
        <v/>
      </c>
      <c r="AC204" s="6" t="s">
        <v>2602</v>
      </c>
      <c r="AD204" s="6" t="s">
        <v>6872</v>
      </c>
      <c r="AE204" s="158" t="s">
        <v>69</v>
      </c>
      <c r="AF204" s="159" t="s">
        <v>8299</v>
      </c>
      <c r="AG204" s="160">
        <v>245249</v>
      </c>
      <c r="AH204" s="194" t="s">
        <v>679</v>
      </c>
      <c r="AI204" s="6" t="s">
        <v>2176</v>
      </c>
      <c r="AJ204" s="3" t="s">
        <v>8231</v>
      </c>
      <c r="AK204" t="s">
        <v>8238</v>
      </c>
      <c r="AL204" s="4">
        <f t="shared" si="76"/>
        <v>0</v>
      </c>
      <c r="AM204" s="6" t="s">
        <v>4475</v>
      </c>
      <c r="AN204" s="6" t="s">
        <v>6014</v>
      </c>
      <c r="AO204" t="str">
        <f t="shared" si="65"/>
        <v/>
      </c>
      <c r="AP204" t="s">
        <v>3413</v>
      </c>
      <c r="AQ204" t="s">
        <v>4512</v>
      </c>
      <c r="AR204" s="15">
        <v>9450</v>
      </c>
      <c r="AV204" t="s">
        <v>1565</v>
      </c>
      <c r="AW204" t="s">
        <v>7981</v>
      </c>
      <c r="AX204" s="5">
        <v>0.38958333333333334</v>
      </c>
      <c r="AZ204" t="str">
        <f t="shared" si="77"/>
        <v>(08:59-9:21)</v>
      </c>
      <c r="BA204" s="5" t="str">
        <f t="shared" si="78"/>
        <v>(08:59-9:21)</v>
      </c>
    </row>
    <row r="205" spans="1:53" ht="15.75">
      <c r="A205" s="135" t="str">
        <f t="shared" si="60"/>
        <v/>
      </c>
      <c r="B205" s="19" t="str">
        <f t="shared" si="61"/>
        <v/>
      </c>
      <c r="C205" s="19" t="str">
        <f t="shared" si="62"/>
        <v/>
      </c>
      <c r="D205" s="19" t="str">
        <f t="shared" si="63"/>
        <v/>
      </c>
      <c r="E205" s="5" t="str">
        <f t="shared" si="66"/>
        <v/>
      </c>
      <c r="F205" s="12" t="str">
        <f t="shared" si="67"/>
        <v/>
      </c>
      <c r="J205" s="7" t="str">
        <f t="shared" si="68"/>
        <v/>
      </c>
      <c r="K205" s="9" t="str">
        <f t="shared" si="69"/>
        <v/>
      </c>
      <c r="L205" s="6">
        <f t="shared" si="70"/>
        <v>0</v>
      </c>
      <c r="M205" s="6">
        <f t="shared" si="71"/>
        <v>0</v>
      </c>
      <c r="N205" s="94" t="str">
        <f t="shared" si="72"/>
        <v/>
      </c>
      <c r="O205" s="201"/>
      <c r="P205" s="206"/>
      <c r="Q205" s="203"/>
      <c r="R205" s="198"/>
      <c r="S205" s="204"/>
      <c r="T205" s="136" t="str">
        <f t="shared" si="73"/>
        <v/>
      </c>
      <c r="U205" s="137" t="str">
        <f t="shared" si="74"/>
        <v/>
      </c>
      <c r="V205" s="1"/>
      <c r="Y205" s="90" t="str">
        <f t="shared" si="75"/>
        <v/>
      </c>
      <c r="AC205" s="6" t="s">
        <v>2375</v>
      </c>
      <c r="AD205" s="6" t="s">
        <v>6806</v>
      </c>
      <c r="AE205" s="158" t="s">
        <v>62</v>
      </c>
      <c r="AF205" s="159" t="s">
        <v>8321</v>
      </c>
      <c r="AG205" s="160">
        <v>245250</v>
      </c>
      <c r="AH205" s="194" t="s">
        <v>678</v>
      </c>
      <c r="AI205" s="6" t="s">
        <v>2178</v>
      </c>
      <c r="AJ205" s="3" t="s">
        <v>8231</v>
      </c>
      <c r="AK205" t="s">
        <v>8238</v>
      </c>
      <c r="AL205" s="4">
        <f t="shared" si="76"/>
        <v>0</v>
      </c>
      <c r="AM205" s="6" t="s">
        <v>1006</v>
      </c>
      <c r="AN205" s="6" t="s">
        <v>6015</v>
      </c>
      <c r="AO205" t="str">
        <f t="shared" si="65"/>
        <v/>
      </c>
      <c r="AP205" t="s">
        <v>1268</v>
      </c>
      <c r="AQ205" t="s">
        <v>4518</v>
      </c>
      <c r="AR205" s="15" t="s">
        <v>4678</v>
      </c>
      <c r="AV205" t="s">
        <v>1541</v>
      </c>
      <c r="AW205" t="s">
        <v>8042</v>
      </c>
      <c r="AX205" s="5">
        <v>0.47847222222222219</v>
      </c>
      <c r="AZ205" t="str">
        <f t="shared" si="77"/>
        <v>(11:18-11:29)</v>
      </c>
      <c r="BA205" s="5" t="str">
        <f t="shared" si="78"/>
        <v>(11:18-11:29)</v>
      </c>
    </row>
    <row r="206" spans="1:53" ht="15.75">
      <c r="A206" s="135" t="str">
        <f t="shared" si="60"/>
        <v/>
      </c>
      <c r="B206" s="19" t="str">
        <f t="shared" si="61"/>
        <v/>
      </c>
      <c r="C206" s="19" t="str">
        <f t="shared" si="62"/>
        <v/>
      </c>
      <c r="D206" s="19" t="str">
        <f t="shared" si="63"/>
        <v/>
      </c>
      <c r="E206" s="5" t="str">
        <f t="shared" si="66"/>
        <v/>
      </c>
      <c r="F206" s="12" t="str">
        <f t="shared" si="67"/>
        <v/>
      </c>
      <c r="J206" s="7" t="str">
        <f t="shared" si="68"/>
        <v/>
      </c>
      <c r="K206" s="9" t="str">
        <f t="shared" si="69"/>
        <v/>
      </c>
      <c r="L206" s="6">
        <f t="shared" si="70"/>
        <v>0</v>
      </c>
      <c r="M206" s="6">
        <f t="shared" si="71"/>
        <v>0</v>
      </c>
      <c r="N206" s="94" t="str">
        <f t="shared" si="72"/>
        <v/>
      </c>
      <c r="O206" s="201"/>
      <c r="P206" s="206"/>
      <c r="Q206" s="203"/>
      <c r="R206" s="198"/>
      <c r="S206" s="204"/>
      <c r="T206" s="136" t="str">
        <f t="shared" si="73"/>
        <v/>
      </c>
      <c r="U206" s="137" t="str">
        <f t="shared" si="74"/>
        <v/>
      </c>
      <c r="V206" s="1"/>
      <c r="Y206" s="90" t="str">
        <f t="shared" si="75"/>
        <v/>
      </c>
      <c r="AC206" s="6" t="s">
        <v>2601</v>
      </c>
      <c r="AD206" s="6" t="s">
        <v>6872</v>
      </c>
      <c r="AE206" s="158" t="s">
        <v>4058</v>
      </c>
      <c r="AF206" s="159" t="s">
        <v>8299</v>
      </c>
      <c r="AG206" s="160">
        <v>245284</v>
      </c>
      <c r="AH206" s="194" t="s">
        <v>679</v>
      </c>
      <c r="AI206" s="6" t="s">
        <v>3697</v>
      </c>
      <c r="AJ206" s="3" t="s">
        <v>8218</v>
      </c>
      <c r="AK206" t="s">
        <v>8218</v>
      </c>
      <c r="AL206" s="4">
        <f t="shared" si="76"/>
        <v>0</v>
      </c>
      <c r="AM206" s="6" t="s">
        <v>1040</v>
      </c>
      <c r="AN206" s="6" t="s">
        <v>6016</v>
      </c>
      <c r="AO206" t="str">
        <f t="shared" si="65"/>
        <v/>
      </c>
      <c r="AP206" t="s">
        <v>4475</v>
      </c>
      <c r="AQ206" t="s">
        <v>4518</v>
      </c>
      <c r="AR206" s="15" t="s">
        <v>4862</v>
      </c>
      <c r="AV206" t="s">
        <v>1539</v>
      </c>
      <c r="AW206" t="s">
        <v>8041</v>
      </c>
      <c r="AX206" s="5">
        <v>0.49722222222222223</v>
      </c>
      <c r="AZ206" t="str">
        <f t="shared" si="77"/>
        <v>(11:02-11:56)</v>
      </c>
      <c r="BA206" s="5" t="str">
        <f t="shared" si="78"/>
        <v>(11:02-11:56)</v>
      </c>
    </row>
    <row r="207" spans="1:53" ht="15.75">
      <c r="A207" s="135" t="str">
        <f t="shared" si="60"/>
        <v/>
      </c>
      <c r="B207" s="19" t="str">
        <f t="shared" si="61"/>
        <v/>
      </c>
      <c r="C207" s="19" t="str">
        <f t="shared" si="62"/>
        <v/>
      </c>
      <c r="D207" s="19" t="str">
        <f t="shared" si="63"/>
        <v/>
      </c>
      <c r="E207" s="5" t="str">
        <f t="shared" si="66"/>
        <v/>
      </c>
      <c r="F207" s="12" t="str">
        <f t="shared" si="67"/>
        <v/>
      </c>
      <c r="J207" s="7" t="str">
        <f t="shared" si="68"/>
        <v/>
      </c>
      <c r="K207" s="9" t="str">
        <f t="shared" si="69"/>
        <v/>
      </c>
      <c r="L207" s="6">
        <f t="shared" si="70"/>
        <v>0</v>
      </c>
      <c r="M207" s="6">
        <f t="shared" si="71"/>
        <v>0</v>
      </c>
      <c r="N207" s="94" t="str">
        <f t="shared" si="72"/>
        <v/>
      </c>
      <c r="O207" s="201"/>
      <c r="P207" s="206"/>
      <c r="Q207" s="203"/>
      <c r="R207" s="198"/>
      <c r="S207" s="204"/>
      <c r="T207" s="136" t="str">
        <f t="shared" si="73"/>
        <v/>
      </c>
      <c r="U207" s="137" t="str">
        <f t="shared" si="74"/>
        <v/>
      </c>
      <c r="V207" s="1"/>
      <c r="Y207" s="90" t="str">
        <f t="shared" si="75"/>
        <v/>
      </c>
      <c r="AC207" s="6" t="s">
        <v>2731</v>
      </c>
      <c r="AD207" s="6" t="s">
        <v>6806</v>
      </c>
      <c r="AE207" s="158" t="s">
        <v>80</v>
      </c>
      <c r="AF207" s="159" t="s">
        <v>8299</v>
      </c>
      <c r="AG207" s="160">
        <v>245285</v>
      </c>
      <c r="AH207" s="194" t="s">
        <v>679</v>
      </c>
      <c r="AI207" s="6" t="s">
        <v>3706</v>
      </c>
      <c r="AJ207" s="3" t="s">
        <v>8244</v>
      </c>
      <c r="AK207" t="s">
        <v>8244</v>
      </c>
      <c r="AL207" s="4">
        <f t="shared" si="76"/>
        <v>0</v>
      </c>
      <c r="AM207" s="6" t="s">
        <v>1313</v>
      </c>
      <c r="AN207" s="6" t="s">
        <v>6017</v>
      </c>
      <c r="AO207" t="str">
        <f t="shared" si="65"/>
        <v/>
      </c>
      <c r="AP207" t="s">
        <v>1006</v>
      </c>
      <c r="AQ207" t="s">
        <v>4518</v>
      </c>
      <c r="AR207" s="15" t="s">
        <v>4564</v>
      </c>
      <c r="AV207" t="s">
        <v>959</v>
      </c>
      <c r="AW207" t="s">
        <v>8113</v>
      </c>
      <c r="AX207" s="5">
        <v>0.59861111111111109</v>
      </c>
      <c r="AZ207" t="str">
        <f t="shared" si="77"/>
        <v>(14:15-14:22)</v>
      </c>
      <c r="BA207" s="5" t="str">
        <f t="shared" si="78"/>
        <v>(14:15-14:22)</v>
      </c>
    </row>
    <row r="208" spans="1:53" ht="15.75">
      <c r="A208" s="135" t="str">
        <f t="shared" si="60"/>
        <v/>
      </c>
      <c r="B208" s="19" t="str">
        <f t="shared" si="61"/>
        <v/>
      </c>
      <c r="C208" s="19" t="str">
        <f t="shared" si="62"/>
        <v/>
      </c>
      <c r="D208" s="19" t="str">
        <f t="shared" si="63"/>
        <v/>
      </c>
      <c r="E208" s="5" t="str">
        <f t="shared" si="66"/>
        <v/>
      </c>
      <c r="F208" s="12" t="str">
        <f t="shared" si="67"/>
        <v/>
      </c>
      <c r="J208" s="7" t="str">
        <f t="shared" si="68"/>
        <v/>
      </c>
      <c r="K208" s="9" t="str">
        <f t="shared" si="69"/>
        <v/>
      </c>
      <c r="L208" s="6">
        <f t="shared" si="70"/>
        <v>0</v>
      </c>
      <c r="M208" s="6">
        <f t="shared" si="71"/>
        <v>0</v>
      </c>
      <c r="N208" s="94" t="str">
        <f t="shared" si="72"/>
        <v/>
      </c>
      <c r="O208" s="201"/>
      <c r="P208" s="206"/>
      <c r="Q208" s="203"/>
      <c r="R208" s="198"/>
      <c r="S208" s="204"/>
      <c r="T208" s="136" t="str">
        <f t="shared" si="73"/>
        <v/>
      </c>
      <c r="U208" s="137" t="str">
        <f t="shared" si="74"/>
        <v/>
      </c>
      <c r="V208" s="1"/>
      <c r="Y208" s="90" t="str">
        <f t="shared" si="75"/>
        <v/>
      </c>
      <c r="AC208" s="6" t="s">
        <v>2379</v>
      </c>
      <c r="AD208" s="6" t="s">
        <v>6806</v>
      </c>
      <c r="AE208" s="158" t="s">
        <v>4035</v>
      </c>
      <c r="AF208" s="159" t="s">
        <v>8299</v>
      </c>
      <c r="AG208" s="160">
        <v>245328</v>
      </c>
      <c r="AH208" s="194" t="s">
        <v>678</v>
      </c>
      <c r="AI208" s="6" t="s">
        <v>3721</v>
      </c>
      <c r="AJ208" s="3" t="s">
        <v>8245</v>
      </c>
      <c r="AK208" t="s">
        <v>8676</v>
      </c>
      <c r="AL208" s="4">
        <f t="shared" si="76"/>
        <v>0</v>
      </c>
      <c r="AM208" s="6" t="s">
        <v>2853</v>
      </c>
      <c r="AN208" s="6" t="s">
        <v>6018</v>
      </c>
      <c r="AO208" t="str">
        <f t="shared" si="65"/>
        <v/>
      </c>
      <c r="AP208" t="s">
        <v>1040</v>
      </c>
      <c r="AQ208" t="s">
        <v>4518</v>
      </c>
      <c r="AR208" s="15" t="s">
        <v>4548</v>
      </c>
      <c r="AV208" t="s">
        <v>5347</v>
      </c>
      <c r="AW208" t="s">
        <v>8158</v>
      </c>
      <c r="AX208" s="5">
        <v>0.67152777777777783</v>
      </c>
      <c r="AZ208" t="str">
        <f t="shared" si="77"/>
        <v>(16:06-16:07)</v>
      </c>
      <c r="BA208" s="5" t="str">
        <f t="shared" si="78"/>
        <v>(09:14-9:16)(09:23-9:24)(16:06-16:07)</v>
      </c>
    </row>
    <row r="209" spans="1:53" ht="15.75">
      <c r="A209" s="135" t="str">
        <f t="shared" si="60"/>
        <v/>
      </c>
      <c r="B209" s="19" t="str">
        <f t="shared" si="61"/>
        <v/>
      </c>
      <c r="C209" s="19" t="str">
        <f t="shared" si="62"/>
        <v/>
      </c>
      <c r="D209" s="19" t="str">
        <f t="shared" si="63"/>
        <v/>
      </c>
      <c r="E209" s="5" t="str">
        <f t="shared" si="66"/>
        <v/>
      </c>
      <c r="F209" s="12" t="str">
        <f t="shared" si="67"/>
        <v/>
      </c>
      <c r="J209" s="7" t="str">
        <f t="shared" si="68"/>
        <v/>
      </c>
      <c r="K209" s="9" t="str">
        <f t="shared" si="69"/>
        <v/>
      </c>
      <c r="L209" s="6">
        <f t="shared" si="70"/>
        <v>0</v>
      </c>
      <c r="M209" s="6">
        <f t="shared" si="71"/>
        <v>0</v>
      </c>
      <c r="N209" s="94" t="str">
        <f t="shared" si="72"/>
        <v/>
      </c>
      <c r="O209" s="201"/>
      <c r="P209" s="206"/>
      <c r="Q209" s="203"/>
      <c r="R209" s="198"/>
      <c r="S209" s="204"/>
      <c r="T209" s="136" t="str">
        <f t="shared" si="73"/>
        <v/>
      </c>
      <c r="U209" s="137" t="str">
        <f t="shared" si="74"/>
        <v/>
      </c>
      <c r="V209" s="1"/>
      <c r="Y209" s="90" t="str">
        <f t="shared" si="75"/>
        <v/>
      </c>
      <c r="AC209" s="6" t="s">
        <v>2377</v>
      </c>
      <c r="AD209" s="6" t="s">
        <v>6806</v>
      </c>
      <c r="AE209" s="158" t="s">
        <v>4036</v>
      </c>
      <c r="AF209" s="159" t="s">
        <v>8297</v>
      </c>
      <c r="AG209" s="160">
        <v>246045</v>
      </c>
      <c r="AH209" s="194" t="s">
        <v>678</v>
      </c>
      <c r="AI209" s="6" t="s">
        <v>3724</v>
      </c>
      <c r="AJ209" s="3" t="s">
        <v>8199</v>
      </c>
      <c r="AK209" t="s">
        <v>8199</v>
      </c>
      <c r="AL209" s="4">
        <f t="shared" si="76"/>
        <v>0</v>
      </c>
      <c r="AM209" s="6" t="s">
        <v>3417</v>
      </c>
      <c r="AN209" s="6" t="s">
        <v>6019</v>
      </c>
      <c r="AO209" t="str">
        <f t="shared" si="65"/>
        <v/>
      </c>
      <c r="AP209" t="s">
        <v>1102</v>
      </c>
      <c r="AQ209" t="s">
        <v>4520</v>
      </c>
      <c r="AR209" s="15" t="s">
        <v>4863</v>
      </c>
      <c r="AV209" t="s">
        <v>5347</v>
      </c>
      <c r="AW209" t="s">
        <v>8001</v>
      </c>
      <c r="AX209" s="5">
        <v>0.39166666666666666</v>
      </c>
      <c r="AZ209" t="str">
        <f t="shared" si="77"/>
        <v>(09:23-9:24)</v>
      </c>
      <c r="BA209" s="5" t="str">
        <f t="shared" si="78"/>
        <v>(09:14-9:16)(16:06-16:07)(09:23-9:24)</v>
      </c>
    </row>
    <row r="210" spans="1:53" ht="15.75">
      <c r="A210" s="135" t="str">
        <f t="shared" si="60"/>
        <v/>
      </c>
      <c r="B210" s="19" t="str">
        <f t="shared" si="61"/>
        <v/>
      </c>
      <c r="C210" s="19" t="str">
        <f t="shared" si="62"/>
        <v/>
      </c>
      <c r="D210" s="19" t="str">
        <f t="shared" si="63"/>
        <v/>
      </c>
      <c r="E210" s="5" t="str">
        <f t="shared" si="66"/>
        <v/>
      </c>
      <c r="F210" s="12" t="str">
        <f t="shared" si="67"/>
        <v/>
      </c>
      <c r="J210" s="7" t="str">
        <f t="shared" si="68"/>
        <v/>
      </c>
      <c r="K210" s="9" t="str">
        <f t="shared" si="69"/>
        <v/>
      </c>
      <c r="L210" s="6">
        <f t="shared" si="70"/>
        <v>0</v>
      </c>
      <c r="M210" s="6">
        <f t="shared" si="71"/>
        <v>0</v>
      </c>
      <c r="N210" s="94" t="str">
        <f t="shared" si="72"/>
        <v/>
      </c>
      <c r="O210" s="201"/>
      <c r="P210" s="206"/>
      <c r="Q210" s="203"/>
      <c r="R210" s="198"/>
      <c r="S210" s="204"/>
      <c r="T210" s="136" t="str">
        <f t="shared" si="73"/>
        <v/>
      </c>
      <c r="U210" s="137" t="str">
        <f t="shared" si="74"/>
        <v/>
      </c>
      <c r="V210" s="1"/>
      <c r="Y210" s="90" t="str">
        <f t="shared" si="75"/>
        <v/>
      </c>
      <c r="AC210" s="6" t="s">
        <v>3560</v>
      </c>
      <c r="AD210" s="6" t="s">
        <v>6873</v>
      </c>
      <c r="AE210" s="158" t="s">
        <v>46</v>
      </c>
      <c r="AF210" s="159" t="s">
        <v>8296</v>
      </c>
      <c r="AG210" s="160">
        <v>246093</v>
      </c>
      <c r="AH210" s="194" t="s">
        <v>678</v>
      </c>
      <c r="AI210" s="6" t="s">
        <v>3725</v>
      </c>
      <c r="AJ210" s="3" t="s">
        <v>8199</v>
      </c>
      <c r="AK210" t="s">
        <v>8199</v>
      </c>
      <c r="AL210" s="4">
        <f t="shared" si="76"/>
        <v>0</v>
      </c>
      <c r="AM210" s="6" t="s">
        <v>2803</v>
      </c>
      <c r="AN210" s="6" t="s">
        <v>6020</v>
      </c>
      <c r="AO210" t="str">
        <f t="shared" si="65"/>
        <v/>
      </c>
      <c r="AP210" t="s">
        <v>1313</v>
      </c>
      <c r="AQ210" t="s">
        <v>4518</v>
      </c>
      <c r="AR210" s="15" t="s">
        <v>4864</v>
      </c>
      <c r="AV210" t="s">
        <v>5347</v>
      </c>
      <c r="AW210" t="s">
        <v>7991</v>
      </c>
      <c r="AX210" s="5">
        <v>0.38611111111111113</v>
      </c>
      <c r="AZ210" t="str">
        <f t="shared" si="77"/>
        <v>(09:14-9:16)</v>
      </c>
      <c r="BA210" s="5" t="str">
        <f t="shared" si="78"/>
        <v>(09:23-9:24)(09:14-9:16)</v>
      </c>
    </row>
    <row r="211" spans="1:53" ht="15.75">
      <c r="A211" s="135" t="str">
        <f t="shared" si="60"/>
        <v/>
      </c>
      <c r="B211" s="19" t="str">
        <f t="shared" si="61"/>
        <v/>
      </c>
      <c r="C211" s="19" t="str">
        <f t="shared" si="62"/>
        <v/>
      </c>
      <c r="D211" s="19" t="str">
        <f t="shared" si="63"/>
        <v/>
      </c>
      <c r="E211" s="5" t="str">
        <f t="shared" si="66"/>
        <v/>
      </c>
      <c r="F211" s="12" t="str">
        <f t="shared" si="67"/>
        <v/>
      </c>
      <c r="J211" s="7" t="str">
        <f t="shared" si="68"/>
        <v/>
      </c>
      <c r="K211" s="9" t="str">
        <f t="shared" si="69"/>
        <v/>
      </c>
      <c r="L211" s="6">
        <f t="shared" si="70"/>
        <v>0</v>
      </c>
      <c r="M211" s="6">
        <f t="shared" si="71"/>
        <v>0</v>
      </c>
      <c r="N211" s="94" t="str">
        <f t="shared" si="72"/>
        <v/>
      </c>
      <c r="O211" s="201"/>
      <c r="P211" s="206"/>
      <c r="Q211" s="203"/>
      <c r="R211" s="198"/>
      <c r="S211" s="204"/>
      <c r="T211" s="136" t="str">
        <f t="shared" si="73"/>
        <v/>
      </c>
      <c r="U211" s="137" t="str">
        <f t="shared" si="74"/>
        <v/>
      </c>
      <c r="V211" s="1"/>
      <c r="Y211" s="90" t="str">
        <f t="shared" si="75"/>
        <v/>
      </c>
      <c r="AC211" s="6" t="s">
        <v>2378</v>
      </c>
      <c r="AD211" s="6" t="s">
        <v>6806</v>
      </c>
      <c r="AE211" s="158" t="s">
        <v>47</v>
      </c>
      <c r="AF211" s="159" t="s">
        <v>8299</v>
      </c>
      <c r="AG211" s="160">
        <v>246296</v>
      </c>
      <c r="AH211" s="194" t="s">
        <v>678</v>
      </c>
      <c r="AI211" s="6" t="s">
        <v>3726</v>
      </c>
      <c r="AJ211" s="3" t="s">
        <v>8244</v>
      </c>
      <c r="AK211" t="s">
        <v>8244</v>
      </c>
      <c r="AL211" s="4">
        <f t="shared" si="76"/>
        <v>0</v>
      </c>
      <c r="AM211" s="6" t="s">
        <v>1103</v>
      </c>
      <c r="AN211" s="6" t="s">
        <v>6021</v>
      </c>
      <c r="AO211" t="str">
        <f t="shared" si="65"/>
        <v/>
      </c>
      <c r="AP211" t="s">
        <v>2853</v>
      </c>
      <c r="AQ211" t="s">
        <v>4841</v>
      </c>
      <c r="AR211" s="15" t="s">
        <v>4539</v>
      </c>
      <c r="AV211" t="s">
        <v>4488</v>
      </c>
      <c r="AW211" t="s">
        <v>8015</v>
      </c>
      <c r="AX211" s="5">
        <v>0.40208333333333335</v>
      </c>
      <c r="AZ211" t="str">
        <f t="shared" si="77"/>
        <v>(09:36-9:39)</v>
      </c>
      <c r="BA211" s="5" t="str">
        <f t="shared" si="78"/>
        <v>(09:36-9:39)</v>
      </c>
    </row>
    <row r="212" spans="1:53" ht="15.75">
      <c r="A212" s="135" t="str">
        <f t="shared" si="60"/>
        <v/>
      </c>
      <c r="B212" s="19" t="str">
        <f t="shared" si="61"/>
        <v/>
      </c>
      <c r="C212" s="19" t="str">
        <f t="shared" si="62"/>
        <v/>
      </c>
      <c r="D212" s="19" t="str">
        <f t="shared" si="63"/>
        <v/>
      </c>
      <c r="E212" s="5" t="str">
        <f t="shared" si="66"/>
        <v/>
      </c>
      <c r="F212" s="12" t="str">
        <f t="shared" si="67"/>
        <v/>
      </c>
      <c r="J212" s="7" t="str">
        <f t="shared" si="68"/>
        <v/>
      </c>
      <c r="K212" s="9" t="str">
        <f t="shared" si="69"/>
        <v/>
      </c>
      <c r="L212" s="6">
        <f t="shared" si="70"/>
        <v>0</v>
      </c>
      <c r="M212" s="6">
        <f t="shared" si="71"/>
        <v>0</v>
      </c>
      <c r="N212" s="94" t="str">
        <f t="shared" si="72"/>
        <v/>
      </c>
      <c r="O212" s="201"/>
      <c r="P212" s="206"/>
      <c r="Q212" s="203"/>
      <c r="R212" s="198"/>
      <c r="S212" s="204"/>
      <c r="T212" s="136" t="str">
        <f t="shared" si="73"/>
        <v/>
      </c>
      <c r="U212" s="137" t="str">
        <f t="shared" si="74"/>
        <v/>
      </c>
      <c r="V212" s="1"/>
      <c r="Y212" s="90" t="str">
        <f t="shared" si="75"/>
        <v/>
      </c>
      <c r="AC212" s="6" t="s">
        <v>2736</v>
      </c>
      <c r="AD212" s="6" t="s">
        <v>6806</v>
      </c>
      <c r="AE212" s="158" t="s">
        <v>3674</v>
      </c>
      <c r="AF212" s="159" t="s">
        <v>8343</v>
      </c>
      <c r="AG212" s="160">
        <v>246445</v>
      </c>
      <c r="AH212" s="194" t="s">
        <v>679</v>
      </c>
      <c r="AI212" s="6" t="s">
        <v>4722</v>
      </c>
      <c r="AJ212" s="3" t="s">
        <v>8199</v>
      </c>
      <c r="AK212" t="s">
        <v>8199</v>
      </c>
      <c r="AL212" s="4">
        <f t="shared" si="76"/>
        <v>0</v>
      </c>
      <c r="AM212" s="6" t="s">
        <v>1075</v>
      </c>
      <c r="AN212" s="6" t="s">
        <v>6022</v>
      </c>
      <c r="AO212" t="str">
        <f t="shared" si="65"/>
        <v/>
      </c>
      <c r="AP212" t="s">
        <v>3417</v>
      </c>
      <c r="AQ212" t="s">
        <v>4841</v>
      </c>
      <c r="AR212" s="15" t="s">
        <v>4542</v>
      </c>
      <c r="AV212" t="s">
        <v>55</v>
      </c>
      <c r="AW212" t="s">
        <v>8004</v>
      </c>
      <c r="AX212" s="5">
        <v>0.4375</v>
      </c>
      <c r="AZ212" t="str">
        <f t="shared" si="77"/>
        <v>(09:33-10:30)</v>
      </c>
      <c r="BA212" s="5" t="str">
        <f t="shared" si="78"/>
        <v>(08:56-9:21)(09:33-10:30)</v>
      </c>
    </row>
    <row r="213" spans="1:53" ht="15">
      <c r="A213" s="135" t="str">
        <f t="shared" si="60"/>
        <v/>
      </c>
      <c r="B213" s="19" t="str">
        <f t="shared" si="61"/>
        <v/>
      </c>
      <c r="C213" s="19" t="str">
        <f t="shared" si="62"/>
        <v/>
      </c>
      <c r="D213" s="19" t="str">
        <f t="shared" si="63"/>
        <v/>
      </c>
      <c r="E213" s="5" t="str">
        <f t="shared" si="66"/>
        <v/>
      </c>
      <c r="F213" s="12" t="str">
        <f t="shared" si="67"/>
        <v/>
      </c>
      <c r="J213" s="7" t="str">
        <f t="shared" si="68"/>
        <v/>
      </c>
      <c r="K213" s="9" t="str">
        <f t="shared" si="69"/>
        <v/>
      </c>
      <c r="L213" s="6">
        <f t="shared" si="70"/>
        <v>0</v>
      </c>
      <c r="M213" s="6">
        <f t="shared" si="71"/>
        <v>0</v>
      </c>
      <c r="N213" s="94" t="str">
        <f t="shared" si="72"/>
        <v/>
      </c>
      <c r="O213" s="201"/>
      <c r="P213" s="205"/>
      <c r="Q213" s="203"/>
      <c r="R213" s="198"/>
      <c r="S213" s="204"/>
      <c r="T213" s="136" t="str">
        <f t="shared" si="73"/>
        <v/>
      </c>
      <c r="U213" s="137" t="str">
        <f t="shared" si="74"/>
        <v/>
      </c>
      <c r="V213" s="1"/>
      <c r="Y213" s="90" t="str">
        <f t="shared" si="75"/>
        <v/>
      </c>
      <c r="AC213" s="6" t="s">
        <v>2374</v>
      </c>
      <c r="AD213" s="6" t="s">
        <v>6806</v>
      </c>
      <c r="AE213" s="158" t="s">
        <v>79</v>
      </c>
      <c r="AF213" s="159" t="s">
        <v>8309</v>
      </c>
      <c r="AG213" s="160">
        <v>246832</v>
      </c>
      <c r="AH213" s="194" t="s">
        <v>678</v>
      </c>
      <c r="AI213" s="6" t="s">
        <v>3774</v>
      </c>
      <c r="AJ213" s="3" t="s">
        <v>8199</v>
      </c>
      <c r="AK213" t="s">
        <v>8199</v>
      </c>
      <c r="AL213" s="4">
        <f t="shared" si="76"/>
        <v>0</v>
      </c>
      <c r="AM213" s="6" t="s">
        <v>1104</v>
      </c>
      <c r="AN213" s="6" t="s">
        <v>6023</v>
      </c>
      <c r="AO213" t="str">
        <f t="shared" si="65"/>
        <v/>
      </c>
      <c r="AP213" t="s">
        <v>2803</v>
      </c>
      <c r="AQ213" t="s">
        <v>4841</v>
      </c>
      <c r="AR213" s="15" t="s">
        <v>4531</v>
      </c>
      <c r="AV213" t="s">
        <v>55</v>
      </c>
      <c r="AW213" t="s">
        <v>7984</v>
      </c>
      <c r="AX213" s="5">
        <v>0.38958333333333334</v>
      </c>
      <c r="AZ213" t="str">
        <f t="shared" si="77"/>
        <v>(08:56-9:21)</v>
      </c>
      <c r="BA213" s="5" t="str">
        <f t="shared" si="78"/>
        <v>(09:33-10:30)(08:56-9:21)</v>
      </c>
    </row>
    <row r="214" spans="1:53" ht="15">
      <c r="A214" s="135" t="str">
        <f t="shared" si="60"/>
        <v/>
      </c>
      <c r="B214" s="19" t="str">
        <f t="shared" si="61"/>
        <v/>
      </c>
      <c r="C214" s="19" t="str">
        <f t="shared" si="62"/>
        <v/>
      </c>
      <c r="D214" s="19" t="str">
        <f t="shared" si="63"/>
        <v/>
      </c>
      <c r="E214" s="5" t="str">
        <f t="shared" si="66"/>
        <v/>
      </c>
      <c r="F214" s="12" t="str">
        <f t="shared" si="67"/>
        <v/>
      </c>
      <c r="J214" s="7" t="str">
        <f t="shared" si="68"/>
        <v/>
      </c>
      <c r="K214" s="9" t="str">
        <f t="shared" si="69"/>
        <v/>
      </c>
      <c r="L214" s="6">
        <f t="shared" si="70"/>
        <v>0</v>
      </c>
      <c r="M214" s="6">
        <f t="shared" si="71"/>
        <v>0</v>
      </c>
      <c r="N214" s="94" t="str">
        <f t="shared" si="72"/>
        <v/>
      </c>
      <c r="O214" s="201"/>
      <c r="P214" s="201"/>
      <c r="Q214" s="207"/>
      <c r="R214" s="208"/>
      <c r="S214" s="209"/>
      <c r="T214" s="136" t="str">
        <f t="shared" si="73"/>
        <v/>
      </c>
      <c r="U214" s="137" t="str">
        <f t="shared" si="74"/>
        <v/>
      </c>
      <c r="V214" s="1"/>
      <c r="Y214" s="90" t="str">
        <f t="shared" si="75"/>
        <v/>
      </c>
      <c r="AC214" s="6" t="s">
        <v>2376</v>
      </c>
      <c r="AD214" s="6" t="s">
        <v>6806</v>
      </c>
      <c r="AE214" s="158" t="s">
        <v>3575</v>
      </c>
      <c r="AF214" s="159" t="s">
        <v>8299</v>
      </c>
      <c r="AG214" s="160">
        <v>246834</v>
      </c>
      <c r="AH214" s="194" t="s">
        <v>679</v>
      </c>
      <c r="AI214" s="6" t="s">
        <v>3781</v>
      </c>
      <c r="AJ214" s="3" t="s">
        <v>8245</v>
      </c>
      <c r="AK214" t="s">
        <v>8676</v>
      </c>
      <c r="AL214" s="4">
        <f t="shared" si="76"/>
        <v>0</v>
      </c>
      <c r="AM214" s="6" t="s">
        <v>3418</v>
      </c>
      <c r="AN214" s="6" t="s">
        <v>6024</v>
      </c>
      <c r="AO214" t="str">
        <f t="shared" si="65"/>
        <v/>
      </c>
      <c r="AP214" t="s">
        <v>1103</v>
      </c>
      <c r="AQ214" t="s">
        <v>4518</v>
      </c>
      <c r="AR214" s="15" t="s">
        <v>4648</v>
      </c>
      <c r="AV214" t="s">
        <v>3826</v>
      </c>
      <c r="AW214" t="s">
        <v>8106</v>
      </c>
      <c r="AX214" s="5">
        <v>0.61875000000000002</v>
      </c>
      <c r="AZ214" t="str">
        <f t="shared" si="77"/>
        <v>(13:55-14:51)</v>
      </c>
      <c r="BA214" s="5" t="str">
        <f t="shared" si="78"/>
        <v>(13:44-13:54)(13:55-14:51)</v>
      </c>
    </row>
    <row r="215" spans="1:53" ht="15">
      <c r="A215" s="135" t="str">
        <f t="shared" si="60"/>
        <v/>
      </c>
      <c r="B215" s="19" t="str">
        <f t="shared" si="61"/>
        <v/>
      </c>
      <c r="C215" s="19" t="str">
        <f t="shared" si="62"/>
        <v/>
      </c>
      <c r="D215" s="19" t="str">
        <f t="shared" si="63"/>
        <v/>
      </c>
      <c r="E215" s="5" t="str">
        <f t="shared" si="66"/>
        <v/>
      </c>
      <c r="F215" s="12" t="str">
        <f t="shared" si="67"/>
        <v/>
      </c>
      <c r="J215" s="7" t="str">
        <f t="shared" si="68"/>
        <v/>
      </c>
      <c r="K215" s="9" t="str">
        <f t="shared" si="69"/>
        <v/>
      </c>
      <c r="L215" s="6">
        <f t="shared" si="70"/>
        <v>0</v>
      </c>
      <c r="M215" s="6">
        <f t="shared" si="71"/>
        <v>0</v>
      </c>
      <c r="N215" s="94" t="str">
        <f t="shared" si="72"/>
        <v/>
      </c>
      <c r="O215" s="201"/>
      <c r="P215" s="201"/>
      <c r="Q215" s="203"/>
      <c r="R215" s="198"/>
      <c r="S215" s="204"/>
      <c r="T215" s="136" t="str">
        <f t="shared" si="73"/>
        <v/>
      </c>
      <c r="U215" s="137" t="str">
        <f t="shared" si="74"/>
        <v/>
      </c>
      <c r="V215" s="1"/>
      <c r="Y215" s="90" t="str">
        <f t="shared" si="75"/>
        <v/>
      </c>
      <c r="AC215" s="6" t="s">
        <v>2515</v>
      </c>
      <c r="AD215" s="6" t="s">
        <v>6874</v>
      </c>
      <c r="AE215" s="158" t="s">
        <v>3576</v>
      </c>
      <c r="AF215" s="159" t="s">
        <v>8299</v>
      </c>
      <c r="AG215" s="160">
        <v>246836</v>
      </c>
      <c r="AH215" s="194" t="s">
        <v>679</v>
      </c>
      <c r="AI215" s="6" t="s">
        <v>3783</v>
      </c>
      <c r="AJ215" s="3" t="s">
        <v>8245</v>
      </c>
      <c r="AK215" t="s">
        <v>8676</v>
      </c>
      <c r="AL215" s="4">
        <f t="shared" si="76"/>
        <v>0</v>
      </c>
      <c r="AM215" s="6" t="s">
        <v>1267</v>
      </c>
      <c r="AN215" s="6" t="s">
        <v>6025</v>
      </c>
      <c r="AO215" t="str">
        <f t="shared" si="65"/>
        <v/>
      </c>
      <c r="AP215" t="s">
        <v>1075</v>
      </c>
      <c r="AQ215" t="s">
        <v>4842</v>
      </c>
      <c r="AR215" s="15" t="s">
        <v>4865</v>
      </c>
      <c r="AV215" t="s">
        <v>3826</v>
      </c>
      <c r="AW215" t="s">
        <v>8098</v>
      </c>
      <c r="AX215" s="5">
        <v>0.57916666666666672</v>
      </c>
      <c r="AZ215" t="str">
        <f t="shared" si="77"/>
        <v>(13:44-13:54)</v>
      </c>
      <c r="BA215" s="5" t="str">
        <f t="shared" si="78"/>
        <v>(13:55-14:51)(13:44-13:54)</v>
      </c>
    </row>
    <row r="216" spans="1:53" ht="15">
      <c r="A216" s="135" t="str">
        <f t="shared" si="60"/>
        <v/>
      </c>
      <c r="B216" s="19" t="str">
        <f t="shared" si="61"/>
        <v/>
      </c>
      <c r="C216" s="19" t="str">
        <f t="shared" si="62"/>
        <v/>
      </c>
      <c r="D216" s="19" t="str">
        <f t="shared" si="63"/>
        <v/>
      </c>
      <c r="E216" s="5" t="str">
        <f t="shared" si="66"/>
        <v/>
      </c>
      <c r="F216" s="12" t="str">
        <f t="shared" si="67"/>
        <v/>
      </c>
      <c r="J216" s="7" t="str">
        <f t="shared" si="68"/>
        <v/>
      </c>
      <c r="K216" s="9" t="str">
        <f t="shared" si="69"/>
        <v/>
      </c>
      <c r="L216" s="6">
        <f t="shared" si="70"/>
        <v>0</v>
      </c>
      <c r="M216" s="6">
        <f t="shared" si="71"/>
        <v>0</v>
      </c>
      <c r="N216" s="94" t="str">
        <f t="shared" si="72"/>
        <v/>
      </c>
      <c r="O216" s="201"/>
      <c r="P216" s="201"/>
      <c r="Q216" s="203"/>
      <c r="R216" s="198"/>
      <c r="S216" s="204"/>
      <c r="T216" s="136" t="str">
        <f t="shared" si="73"/>
        <v/>
      </c>
      <c r="U216" s="137" t="str">
        <f t="shared" si="74"/>
        <v/>
      </c>
      <c r="V216" s="1"/>
      <c r="Y216" s="90" t="str">
        <f t="shared" si="75"/>
        <v/>
      </c>
      <c r="AC216" s="6" t="s">
        <v>2730</v>
      </c>
      <c r="AD216" s="6" t="s">
        <v>6806</v>
      </c>
      <c r="AE216" s="158" t="s">
        <v>54</v>
      </c>
      <c r="AF216" s="159" t="s">
        <v>8299</v>
      </c>
      <c r="AG216" s="160">
        <v>247501</v>
      </c>
      <c r="AH216" s="194" t="s">
        <v>678</v>
      </c>
      <c r="AI216" s="6" t="s">
        <v>3784</v>
      </c>
      <c r="AJ216" s="3" t="s">
        <v>8245</v>
      </c>
      <c r="AK216" t="s">
        <v>8676</v>
      </c>
      <c r="AL216" s="4">
        <f t="shared" si="76"/>
        <v>0</v>
      </c>
      <c r="AM216" s="6" t="s">
        <v>3419</v>
      </c>
      <c r="AN216" s="6" t="s">
        <v>6026</v>
      </c>
      <c r="AO216" t="str">
        <f t="shared" si="65"/>
        <v/>
      </c>
      <c r="AP216" t="s">
        <v>1104</v>
      </c>
      <c r="AQ216" t="s">
        <v>4841</v>
      </c>
      <c r="AR216" s="15" t="s">
        <v>4649</v>
      </c>
      <c r="AV216" t="s">
        <v>3821</v>
      </c>
      <c r="AW216" t="s">
        <v>8011</v>
      </c>
      <c r="AX216" s="5">
        <v>0.41666666666666669</v>
      </c>
      <c r="AZ216" t="str">
        <f t="shared" si="77"/>
        <v>(09:56-10:00)</v>
      </c>
      <c r="BA216" s="5" t="str">
        <f t="shared" si="78"/>
        <v>(09:56-10:00)</v>
      </c>
    </row>
    <row r="217" spans="1:53" ht="15">
      <c r="A217" s="135" t="str">
        <f t="shared" si="60"/>
        <v/>
      </c>
      <c r="B217" s="19" t="str">
        <f t="shared" si="61"/>
        <v/>
      </c>
      <c r="C217" s="19" t="str">
        <f t="shared" si="62"/>
        <v/>
      </c>
      <c r="D217" s="19" t="str">
        <f t="shared" si="63"/>
        <v/>
      </c>
      <c r="E217" s="5" t="str">
        <f t="shared" si="66"/>
        <v/>
      </c>
      <c r="F217" s="12" t="str">
        <f t="shared" si="67"/>
        <v/>
      </c>
      <c r="J217" s="7" t="str">
        <f t="shared" si="68"/>
        <v/>
      </c>
      <c r="K217" s="9" t="str">
        <f t="shared" si="69"/>
        <v/>
      </c>
      <c r="L217" s="6">
        <f t="shared" si="70"/>
        <v>0</v>
      </c>
      <c r="M217" s="6">
        <f t="shared" si="71"/>
        <v>0</v>
      </c>
      <c r="N217" s="94" t="str">
        <f t="shared" si="72"/>
        <v/>
      </c>
      <c r="O217" s="201"/>
      <c r="P217" s="201"/>
      <c r="Q217" s="203"/>
      <c r="R217" s="198"/>
      <c r="S217" s="204"/>
      <c r="T217" s="136" t="str">
        <f t="shared" si="73"/>
        <v/>
      </c>
      <c r="U217" s="137" t="str">
        <f t="shared" si="74"/>
        <v/>
      </c>
      <c r="V217" s="1"/>
      <c r="Y217" s="90" t="str">
        <f t="shared" si="75"/>
        <v/>
      </c>
      <c r="AC217" s="6">
        <v>386347</v>
      </c>
      <c r="AD217" s="6" t="s">
        <v>6820</v>
      </c>
      <c r="AE217" s="158" t="s">
        <v>1206</v>
      </c>
      <c r="AF217" s="159" t="s">
        <v>8299</v>
      </c>
      <c r="AG217" s="160">
        <v>255312</v>
      </c>
      <c r="AH217" s="194" t="s">
        <v>678</v>
      </c>
      <c r="AI217" s="6" t="s">
        <v>3787</v>
      </c>
      <c r="AJ217" s="3" t="s">
        <v>8245</v>
      </c>
      <c r="AK217" t="s">
        <v>8676</v>
      </c>
      <c r="AL217" s="4">
        <f t="shared" si="76"/>
        <v>0</v>
      </c>
      <c r="AM217" s="6" t="s">
        <v>3422</v>
      </c>
      <c r="AN217" s="6" t="s">
        <v>6027</v>
      </c>
      <c r="AO217" t="str">
        <f t="shared" si="65"/>
        <v/>
      </c>
      <c r="AP217" t="s">
        <v>3418</v>
      </c>
      <c r="AQ217" t="s">
        <v>4519</v>
      </c>
      <c r="AR217" s="15" t="s">
        <v>4543</v>
      </c>
      <c r="AV217" t="s">
        <v>3807</v>
      </c>
      <c r="AW217" t="s">
        <v>8100</v>
      </c>
      <c r="AX217" s="5">
        <v>0.61875000000000002</v>
      </c>
      <c r="AZ217" t="str">
        <f t="shared" si="77"/>
        <v>(13:45-14:51)</v>
      </c>
      <c r="BA217" s="5" t="str">
        <f t="shared" si="78"/>
        <v>(13:45-14:51)</v>
      </c>
    </row>
    <row r="218" spans="1:53" ht="15">
      <c r="A218" s="135" t="str">
        <f t="shared" si="60"/>
        <v/>
      </c>
      <c r="B218" s="19" t="str">
        <f t="shared" si="61"/>
        <v/>
      </c>
      <c r="C218" s="19" t="str">
        <f t="shared" si="62"/>
        <v/>
      </c>
      <c r="D218" s="19" t="str">
        <f t="shared" si="63"/>
        <v/>
      </c>
      <c r="E218" s="5" t="str">
        <f t="shared" si="66"/>
        <v/>
      </c>
      <c r="F218" s="12" t="str">
        <f t="shared" si="67"/>
        <v/>
      </c>
      <c r="J218" s="7" t="str">
        <f t="shared" si="68"/>
        <v/>
      </c>
      <c r="K218" s="9" t="str">
        <f t="shared" si="69"/>
        <v/>
      </c>
      <c r="L218" s="6">
        <f t="shared" si="70"/>
        <v>0</v>
      </c>
      <c r="M218" s="6">
        <f t="shared" si="71"/>
        <v>0</v>
      </c>
      <c r="N218" s="94" t="str">
        <f t="shared" si="72"/>
        <v/>
      </c>
      <c r="O218" s="201"/>
      <c r="P218" s="201"/>
      <c r="Q218" s="203"/>
      <c r="R218" s="198"/>
      <c r="S218" s="204"/>
      <c r="T218" s="136" t="str">
        <f t="shared" si="73"/>
        <v/>
      </c>
      <c r="U218" s="137" t="str">
        <f t="shared" si="74"/>
        <v/>
      </c>
      <c r="V218" s="1"/>
      <c r="Y218" s="90" t="str">
        <f t="shared" si="75"/>
        <v/>
      </c>
      <c r="AC218" s="6" t="s">
        <v>2383</v>
      </c>
      <c r="AD218" s="6" t="s">
        <v>6875</v>
      </c>
      <c r="AE218" s="158" t="s">
        <v>3846</v>
      </c>
      <c r="AF218" s="159" t="s">
        <v>8299</v>
      </c>
      <c r="AG218" s="160">
        <v>255313</v>
      </c>
      <c r="AH218" s="194" t="s">
        <v>679</v>
      </c>
      <c r="AI218" s="6" t="s">
        <v>3797</v>
      </c>
      <c r="AJ218" s="3" t="s">
        <v>8199</v>
      </c>
      <c r="AK218" t="s">
        <v>8199</v>
      </c>
      <c r="AL218" s="4">
        <f t="shared" si="76"/>
        <v>0</v>
      </c>
      <c r="AM218" s="6" t="s">
        <v>2807</v>
      </c>
      <c r="AN218" s="6" t="s">
        <v>6028</v>
      </c>
      <c r="AO218" t="str">
        <f t="shared" si="65"/>
        <v/>
      </c>
      <c r="AP218" t="s">
        <v>1267</v>
      </c>
      <c r="AQ218" t="s">
        <v>4512</v>
      </c>
      <c r="AR218" s="15">
        <v>1727</v>
      </c>
      <c r="AV218" t="s">
        <v>3799</v>
      </c>
      <c r="AW218" t="s">
        <v>8073</v>
      </c>
      <c r="AX218" s="5">
        <v>0.56736111111111109</v>
      </c>
      <c r="AZ218" t="str">
        <f t="shared" si="77"/>
        <v>(12:52-13:37)</v>
      </c>
      <c r="BA218" s="5" t="str">
        <f t="shared" si="78"/>
        <v>(12:52-13:37)</v>
      </c>
    </row>
    <row r="219" spans="1:53" ht="15">
      <c r="A219" s="135" t="str">
        <f t="shared" si="60"/>
        <v/>
      </c>
      <c r="B219" s="19" t="str">
        <f t="shared" si="61"/>
        <v/>
      </c>
      <c r="C219" s="19" t="str">
        <f t="shared" si="62"/>
        <v/>
      </c>
      <c r="D219" s="19" t="str">
        <f t="shared" si="63"/>
        <v/>
      </c>
      <c r="E219" s="5" t="str">
        <f t="shared" si="66"/>
        <v/>
      </c>
      <c r="F219" s="12" t="str">
        <f t="shared" si="67"/>
        <v/>
      </c>
      <c r="J219" s="7" t="str">
        <f t="shared" si="68"/>
        <v/>
      </c>
      <c r="K219" s="9" t="str">
        <f t="shared" si="69"/>
        <v/>
      </c>
      <c r="L219" s="6">
        <f t="shared" si="70"/>
        <v>0</v>
      </c>
      <c r="M219" s="6">
        <f t="shared" si="71"/>
        <v>0</v>
      </c>
      <c r="N219" s="94" t="str">
        <f t="shared" si="72"/>
        <v/>
      </c>
      <c r="O219" s="201"/>
      <c r="P219" s="201"/>
      <c r="Q219" s="203"/>
      <c r="R219" s="198"/>
      <c r="S219" s="204"/>
      <c r="T219" s="136" t="str">
        <f t="shared" si="73"/>
        <v/>
      </c>
      <c r="U219" s="137" t="str">
        <f t="shared" si="74"/>
        <v/>
      </c>
      <c r="V219" s="1"/>
      <c r="Y219" s="90" t="str">
        <f t="shared" si="75"/>
        <v/>
      </c>
      <c r="AC219" s="6" t="s">
        <v>2734</v>
      </c>
      <c r="AD219" s="6" t="s">
        <v>6806</v>
      </c>
      <c r="AE219" s="158" t="s">
        <v>3906</v>
      </c>
      <c r="AF219" s="159" t="s">
        <v>8299</v>
      </c>
      <c r="AG219" s="160">
        <v>255314</v>
      </c>
      <c r="AH219" s="194" t="s">
        <v>679</v>
      </c>
      <c r="AI219" s="6" t="s">
        <v>3801</v>
      </c>
      <c r="AJ219" s="3" t="s">
        <v>8199</v>
      </c>
      <c r="AK219" t="s">
        <v>8199</v>
      </c>
      <c r="AL219" s="4">
        <f t="shared" si="76"/>
        <v>0</v>
      </c>
      <c r="AM219" s="6" t="s">
        <v>3423</v>
      </c>
      <c r="AN219" s="6" t="s">
        <v>6029</v>
      </c>
      <c r="AO219" t="str">
        <f t="shared" si="65"/>
        <v/>
      </c>
      <c r="AP219" t="s">
        <v>3419</v>
      </c>
      <c r="AQ219" t="s">
        <v>4841</v>
      </c>
      <c r="AR219" s="15" t="s">
        <v>4541</v>
      </c>
      <c r="AV219" t="s">
        <v>3798</v>
      </c>
      <c r="AW219" t="s">
        <v>8049</v>
      </c>
      <c r="AX219" s="5">
        <v>0.56944444444444442</v>
      </c>
      <c r="AZ219" t="str">
        <f t="shared" si="77"/>
        <v>(11:32-13:40)</v>
      </c>
      <c r="BA219" s="5" t="str">
        <f t="shared" si="78"/>
        <v>(11:32-13:40)</v>
      </c>
    </row>
    <row r="220" spans="1:53" ht="15">
      <c r="A220" s="135" t="str">
        <f t="shared" si="60"/>
        <v/>
      </c>
      <c r="B220" s="19" t="str">
        <f t="shared" si="61"/>
        <v/>
      </c>
      <c r="C220" s="19" t="str">
        <f t="shared" si="62"/>
        <v/>
      </c>
      <c r="D220" s="19" t="str">
        <f t="shared" si="63"/>
        <v/>
      </c>
      <c r="E220" s="5" t="str">
        <f t="shared" si="66"/>
        <v/>
      </c>
      <c r="F220" s="12" t="str">
        <f t="shared" si="67"/>
        <v/>
      </c>
      <c r="J220" s="7" t="str">
        <f t="shared" si="68"/>
        <v/>
      </c>
      <c r="K220" s="9" t="str">
        <f t="shared" si="69"/>
        <v/>
      </c>
      <c r="L220" s="6">
        <f t="shared" si="70"/>
        <v>0</v>
      </c>
      <c r="M220" s="6">
        <f t="shared" si="71"/>
        <v>0</v>
      </c>
      <c r="N220" s="94" t="str">
        <f t="shared" si="72"/>
        <v/>
      </c>
      <c r="O220" s="201"/>
      <c r="P220" s="201"/>
      <c r="Q220" s="203"/>
      <c r="R220" s="198"/>
      <c r="S220" s="204"/>
      <c r="T220" s="136" t="str">
        <f t="shared" si="73"/>
        <v/>
      </c>
      <c r="U220" s="137" t="str">
        <f t="shared" si="74"/>
        <v/>
      </c>
      <c r="V220" s="1"/>
      <c r="Y220" s="90" t="str">
        <f t="shared" si="75"/>
        <v/>
      </c>
      <c r="AC220" s="6" t="s">
        <v>2733</v>
      </c>
      <c r="AD220" s="6" t="s">
        <v>6806</v>
      </c>
      <c r="AE220" s="158" t="s">
        <v>3577</v>
      </c>
      <c r="AF220" s="159" t="s">
        <v>8299</v>
      </c>
      <c r="AG220" s="160">
        <v>255315</v>
      </c>
      <c r="AH220" s="194" t="s">
        <v>679</v>
      </c>
      <c r="AI220" s="6" t="s">
        <v>3806</v>
      </c>
      <c r="AJ220" s="3" t="s">
        <v>8245</v>
      </c>
      <c r="AK220" t="s">
        <v>8676</v>
      </c>
      <c r="AL220" s="4">
        <f t="shared" si="76"/>
        <v>0</v>
      </c>
      <c r="AM220" s="6" t="s">
        <v>3424</v>
      </c>
      <c r="AN220" s="6" t="s">
        <v>6030</v>
      </c>
      <c r="AO220" t="str">
        <f t="shared" si="65"/>
        <v/>
      </c>
      <c r="AP220" t="s">
        <v>3422</v>
      </c>
      <c r="AQ220" t="s">
        <v>4519</v>
      </c>
      <c r="AR220" s="15" t="s">
        <v>4866</v>
      </c>
      <c r="AV220" t="s">
        <v>5539</v>
      </c>
      <c r="AW220" t="s">
        <v>8060</v>
      </c>
      <c r="AX220" s="5">
        <v>0.51041666666666663</v>
      </c>
      <c r="AZ220" t="str">
        <f t="shared" si="77"/>
        <v>(12:11-12:15)</v>
      </c>
      <c r="BA220" s="5" t="str">
        <f t="shared" si="78"/>
        <v>(12:11-12:15)</v>
      </c>
    </row>
    <row r="221" spans="1:53" ht="15">
      <c r="A221" s="135" t="str">
        <f t="shared" si="60"/>
        <v/>
      </c>
      <c r="B221" s="19" t="str">
        <f t="shared" si="61"/>
        <v/>
      </c>
      <c r="C221" s="19" t="str">
        <f t="shared" si="62"/>
        <v/>
      </c>
      <c r="D221" s="19" t="str">
        <f t="shared" si="63"/>
        <v/>
      </c>
      <c r="E221" s="5" t="str">
        <f t="shared" si="66"/>
        <v/>
      </c>
      <c r="F221" s="12" t="str">
        <f t="shared" si="67"/>
        <v/>
      </c>
      <c r="J221" s="7" t="str">
        <f t="shared" si="68"/>
        <v/>
      </c>
      <c r="K221" s="9" t="str">
        <f t="shared" si="69"/>
        <v/>
      </c>
      <c r="L221" s="6">
        <f t="shared" si="70"/>
        <v>0</v>
      </c>
      <c r="M221" s="6">
        <f t="shared" si="71"/>
        <v>0</v>
      </c>
      <c r="N221" s="94" t="str">
        <f t="shared" si="72"/>
        <v/>
      </c>
      <c r="O221" s="201"/>
      <c r="P221" s="201"/>
      <c r="Q221" s="203"/>
      <c r="R221" s="198"/>
      <c r="S221" s="204"/>
      <c r="T221" s="136" t="str">
        <f t="shared" si="73"/>
        <v/>
      </c>
      <c r="U221" s="137" t="str">
        <f t="shared" si="74"/>
        <v/>
      </c>
      <c r="V221" s="1"/>
      <c r="Y221" s="90" t="str">
        <f t="shared" si="75"/>
        <v/>
      </c>
      <c r="AC221" s="6" t="s">
        <v>4429</v>
      </c>
      <c r="AD221" s="6" t="s">
        <v>6806</v>
      </c>
      <c r="AE221" s="158" t="s">
        <v>3967</v>
      </c>
      <c r="AF221" s="159" t="s">
        <v>8299</v>
      </c>
      <c r="AG221" s="160">
        <v>255316</v>
      </c>
      <c r="AH221" s="194" t="s">
        <v>679</v>
      </c>
      <c r="AI221" s="6" t="s">
        <v>3822</v>
      </c>
      <c r="AJ221" s="3" t="s">
        <v>8244</v>
      </c>
      <c r="AK221" t="s">
        <v>8244</v>
      </c>
      <c r="AL221" s="4">
        <f t="shared" si="76"/>
        <v>0</v>
      </c>
      <c r="AM221" s="6" t="s">
        <v>1312</v>
      </c>
      <c r="AN221" s="6" t="s">
        <v>6031</v>
      </c>
      <c r="AO221" t="str">
        <f t="shared" si="65"/>
        <v/>
      </c>
      <c r="AP221" t="s">
        <v>2807</v>
      </c>
      <c r="AQ221" t="s">
        <v>4512</v>
      </c>
      <c r="AR221" s="15">
        <v>1953</v>
      </c>
      <c r="AV221" t="s">
        <v>3776</v>
      </c>
      <c r="AW221" t="s">
        <v>8136</v>
      </c>
      <c r="AX221" s="5">
        <v>0.62291666666666667</v>
      </c>
      <c r="AZ221" t="str">
        <f t="shared" si="77"/>
        <v>(14:51-14:57)</v>
      </c>
      <c r="BA221" s="5" t="str">
        <f t="shared" si="78"/>
        <v>(14:02-14:10)(14:17-14:25)(14:28-14:37)(14:39-14:50)(14:51-14:57)</v>
      </c>
    </row>
    <row r="222" spans="1:53" ht="15">
      <c r="A222" s="135" t="str">
        <f t="shared" si="60"/>
        <v/>
      </c>
      <c r="B222" s="19" t="str">
        <f t="shared" si="61"/>
        <v/>
      </c>
      <c r="C222" s="19" t="str">
        <f t="shared" si="62"/>
        <v/>
      </c>
      <c r="D222" s="19" t="str">
        <f t="shared" si="63"/>
        <v/>
      </c>
      <c r="E222" s="5" t="str">
        <f t="shared" si="66"/>
        <v/>
      </c>
      <c r="F222" s="12" t="str">
        <f t="shared" si="67"/>
        <v/>
      </c>
      <c r="J222" s="7" t="str">
        <f t="shared" si="68"/>
        <v/>
      </c>
      <c r="K222" s="9" t="str">
        <f t="shared" si="69"/>
        <v/>
      </c>
      <c r="L222" s="6">
        <f t="shared" si="70"/>
        <v>0</v>
      </c>
      <c r="M222" s="6">
        <f t="shared" si="71"/>
        <v>0</v>
      </c>
      <c r="N222" s="94" t="str">
        <f t="shared" si="72"/>
        <v/>
      </c>
      <c r="O222" s="201"/>
      <c r="P222" s="201"/>
      <c r="Q222" s="203"/>
      <c r="R222" s="198"/>
      <c r="S222" s="204"/>
      <c r="T222" s="136" t="str">
        <f t="shared" si="73"/>
        <v/>
      </c>
      <c r="U222" s="137" t="str">
        <f t="shared" si="74"/>
        <v/>
      </c>
      <c r="V222" s="1"/>
      <c r="Y222" s="90" t="str">
        <f t="shared" si="75"/>
        <v/>
      </c>
      <c r="AC222" s="6" t="s">
        <v>2373</v>
      </c>
      <c r="AD222" s="6" t="s">
        <v>6806</v>
      </c>
      <c r="AE222" s="158" t="s">
        <v>5202</v>
      </c>
      <c r="AF222" s="159" t="s">
        <v>8299</v>
      </c>
      <c r="AG222" s="160">
        <v>255317</v>
      </c>
      <c r="AH222" s="194" t="s">
        <v>679</v>
      </c>
      <c r="AI222" s="6" t="s">
        <v>2561</v>
      </c>
      <c r="AJ222" s="3" t="s">
        <v>8226</v>
      </c>
      <c r="AK222" t="s">
        <v>8671</v>
      </c>
      <c r="AL222" s="4">
        <f t="shared" si="76"/>
        <v>0</v>
      </c>
      <c r="AM222" s="6" t="s">
        <v>1247</v>
      </c>
      <c r="AN222" s="6" t="s">
        <v>6032</v>
      </c>
      <c r="AO222" t="str">
        <f t="shared" si="65"/>
        <v/>
      </c>
      <c r="AP222" t="s">
        <v>3423</v>
      </c>
      <c r="AQ222" t="s">
        <v>4518</v>
      </c>
      <c r="AR222" s="15" t="s">
        <v>4536</v>
      </c>
      <c r="AV222" t="s">
        <v>3776</v>
      </c>
      <c r="AW222" t="s">
        <v>8135</v>
      </c>
      <c r="AX222" s="5">
        <v>0.61805555555555558</v>
      </c>
      <c r="AZ222" t="str">
        <f t="shared" si="77"/>
        <v>(14:39-14:50)</v>
      </c>
      <c r="BA222" s="5" t="str">
        <f t="shared" si="78"/>
        <v>(14:02-14:10)(14:17-14:25)(14:28-14:37)(14:51-14:57)(14:39-14:50)</v>
      </c>
    </row>
    <row r="223" spans="1:53" ht="15">
      <c r="A223" s="135" t="str">
        <f t="shared" si="60"/>
        <v/>
      </c>
      <c r="B223" s="19" t="str">
        <f t="shared" si="61"/>
        <v/>
      </c>
      <c r="C223" s="19" t="str">
        <f t="shared" si="62"/>
        <v/>
      </c>
      <c r="D223" s="19" t="str">
        <f t="shared" si="63"/>
        <v/>
      </c>
      <c r="E223" s="5" t="str">
        <f t="shared" si="66"/>
        <v/>
      </c>
      <c r="F223" s="12" t="str">
        <f t="shared" si="67"/>
        <v/>
      </c>
      <c r="J223" s="7" t="str">
        <f t="shared" si="68"/>
        <v/>
      </c>
      <c r="K223" s="9" t="str">
        <f t="shared" si="69"/>
        <v/>
      </c>
      <c r="L223" s="6">
        <f t="shared" si="70"/>
        <v>0</v>
      </c>
      <c r="M223" s="6">
        <f t="shared" si="71"/>
        <v>0</v>
      </c>
      <c r="N223" s="94" t="str">
        <f t="shared" si="72"/>
        <v/>
      </c>
      <c r="O223" s="201"/>
      <c r="P223" s="201"/>
      <c r="Q223" s="203"/>
      <c r="R223" s="198"/>
      <c r="S223" s="204"/>
      <c r="T223" s="136" t="str">
        <f t="shared" si="73"/>
        <v/>
      </c>
      <c r="U223" s="137" t="str">
        <f t="shared" si="74"/>
        <v/>
      </c>
      <c r="V223" s="1"/>
      <c r="Y223" s="90" t="str">
        <f t="shared" si="75"/>
        <v/>
      </c>
      <c r="AC223" s="6" t="s">
        <v>2610</v>
      </c>
      <c r="AD223" s="6" t="s">
        <v>6876</v>
      </c>
      <c r="AE223" s="158" t="s">
        <v>4038</v>
      </c>
      <c r="AF223" s="159" t="s">
        <v>8299</v>
      </c>
      <c r="AG223" s="160">
        <v>263630</v>
      </c>
      <c r="AH223" s="194" t="s">
        <v>679</v>
      </c>
      <c r="AI223" s="6" t="s">
        <v>2639</v>
      </c>
      <c r="AJ223" s="3" t="s">
        <v>8226</v>
      </c>
      <c r="AK223" t="s">
        <v>8671</v>
      </c>
      <c r="AL223" s="4">
        <f t="shared" si="76"/>
        <v>0</v>
      </c>
      <c r="AM223" s="6" t="s">
        <v>1098</v>
      </c>
      <c r="AN223" s="6" t="s">
        <v>6033</v>
      </c>
      <c r="AO223" t="str">
        <f t="shared" si="65"/>
        <v/>
      </c>
      <c r="AP223" t="s">
        <v>3424</v>
      </c>
      <c r="AQ223" t="s">
        <v>4841</v>
      </c>
      <c r="AR223" s="15" t="s">
        <v>4818</v>
      </c>
      <c r="AV223" t="s">
        <v>3776</v>
      </c>
      <c r="AW223" t="s">
        <v>8120</v>
      </c>
      <c r="AX223" s="5">
        <v>0.60902777777777783</v>
      </c>
      <c r="AZ223" t="str">
        <f t="shared" si="77"/>
        <v>(14:28-14:37)</v>
      </c>
      <c r="BA223" s="5" t="str">
        <f t="shared" si="78"/>
        <v>(14:02-14:10)(14:17-14:25)(14:39-14:50)(14:28-14:37)</v>
      </c>
    </row>
    <row r="224" spans="1:53" ht="15">
      <c r="A224" s="135" t="str">
        <f t="shared" si="60"/>
        <v/>
      </c>
      <c r="B224" s="19" t="str">
        <f t="shared" si="61"/>
        <v/>
      </c>
      <c r="C224" s="19" t="str">
        <f t="shared" si="62"/>
        <v/>
      </c>
      <c r="D224" s="19" t="str">
        <f t="shared" si="63"/>
        <v/>
      </c>
      <c r="E224" s="5" t="str">
        <f t="shared" si="66"/>
        <v/>
      </c>
      <c r="F224" s="12" t="str">
        <f t="shared" si="67"/>
        <v/>
      </c>
      <c r="J224" s="7" t="str">
        <f t="shared" si="68"/>
        <v/>
      </c>
      <c r="K224" s="9" t="str">
        <f t="shared" si="69"/>
        <v/>
      </c>
      <c r="L224" s="6">
        <f t="shared" si="70"/>
        <v>0</v>
      </c>
      <c r="M224" s="6">
        <f t="shared" si="71"/>
        <v>0</v>
      </c>
      <c r="N224" s="94" t="str">
        <f t="shared" si="72"/>
        <v/>
      </c>
      <c r="O224" s="201"/>
      <c r="P224" s="201"/>
      <c r="Q224" s="203"/>
      <c r="R224" s="198"/>
      <c r="S224" s="204"/>
      <c r="T224" s="136" t="str">
        <f t="shared" si="73"/>
        <v/>
      </c>
      <c r="U224" s="137" t="str">
        <f t="shared" si="74"/>
        <v/>
      </c>
      <c r="V224" s="1"/>
      <c r="Y224" s="90" t="str">
        <f t="shared" si="75"/>
        <v/>
      </c>
      <c r="AC224" s="6" t="s">
        <v>2552</v>
      </c>
      <c r="AD224" s="6" t="s">
        <v>6877</v>
      </c>
      <c r="AE224" s="158" t="s">
        <v>60</v>
      </c>
      <c r="AF224" s="159" t="s">
        <v>8299</v>
      </c>
      <c r="AG224" s="160">
        <v>265286</v>
      </c>
      <c r="AH224" s="194" t="s">
        <v>679</v>
      </c>
      <c r="AI224" s="6" t="s">
        <v>2693</v>
      </c>
      <c r="AJ224" s="3" t="s">
        <v>8226</v>
      </c>
      <c r="AK224" t="s">
        <v>8671</v>
      </c>
      <c r="AL224" s="4">
        <f t="shared" si="76"/>
        <v>0</v>
      </c>
      <c r="AM224" s="6" t="s">
        <v>3427</v>
      </c>
      <c r="AN224" s="6" t="s">
        <v>6034</v>
      </c>
      <c r="AO224" t="str">
        <f t="shared" si="65"/>
        <v/>
      </c>
      <c r="AP224" t="s">
        <v>1312</v>
      </c>
      <c r="AQ224" t="s">
        <v>4518</v>
      </c>
      <c r="AR224" s="15" t="s">
        <v>4554</v>
      </c>
      <c r="AV224" t="s">
        <v>3776</v>
      </c>
      <c r="AW224" t="s">
        <v>8114</v>
      </c>
      <c r="AX224" s="5">
        <v>0.60069444444444442</v>
      </c>
      <c r="AZ224" t="str">
        <f t="shared" si="77"/>
        <v>(14:17-14:25)</v>
      </c>
      <c r="BA224" s="5" t="str">
        <f t="shared" si="78"/>
        <v>(14:02-14:10)(14:28-14:37)(14:17-14:25)</v>
      </c>
    </row>
    <row r="225" spans="1:53" ht="15">
      <c r="A225" s="135" t="str">
        <f t="shared" si="60"/>
        <v/>
      </c>
      <c r="B225" s="19" t="str">
        <f t="shared" si="61"/>
        <v/>
      </c>
      <c r="C225" s="19" t="str">
        <f t="shared" si="62"/>
        <v/>
      </c>
      <c r="D225" s="19" t="str">
        <f t="shared" si="63"/>
        <v/>
      </c>
      <c r="E225" s="5" t="str">
        <f t="shared" si="66"/>
        <v/>
      </c>
      <c r="F225" s="12" t="str">
        <f t="shared" si="67"/>
        <v/>
      </c>
      <c r="J225" s="7" t="str">
        <f t="shared" si="68"/>
        <v/>
      </c>
      <c r="K225" s="9" t="str">
        <f t="shared" si="69"/>
        <v/>
      </c>
      <c r="L225" s="6">
        <f t="shared" si="70"/>
        <v>0</v>
      </c>
      <c r="M225" s="6">
        <f t="shared" si="71"/>
        <v>0</v>
      </c>
      <c r="N225" s="94" t="str">
        <f t="shared" si="72"/>
        <v/>
      </c>
      <c r="O225" s="201"/>
      <c r="P225" s="201"/>
      <c r="Q225" s="203"/>
      <c r="R225" s="198"/>
      <c r="S225" s="204"/>
      <c r="T225" s="136" t="str">
        <f t="shared" si="73"/>
        <v/>
      </c>
      <c r="U225" s="137" t="str">
        <f t="shared" si="74"/>
        <v/>
      </c>
      <c r="V225" s="1"/>
      <c r="Y225" s="90" t="str">
        <f t="shared" si="75"/>
        <v/>
      </c>
      <c r="AC225" s="6">
        <v>435739</v>
      </c>
      <c r="AD225" s="6" t="s">
        <v>6878</v>
      </c>
      <c r="AE225" s="158" t="s">
        <v>4180</v>
      </c>
      <c r="AF225" s="159" t="s">
        <v>8309</v>
      </c>
      <c r="AG225" s="160">
        <v>265287</v>
      </c>
      <c r="AH225" s="194" t="s">
        <v>679</v>
      </c>
      <c r="AI225" s="6" t="s">
        <v>2694</v>
      </c>
      <c r="AJ225" s="3" t="s">
        <v>8226</v>
      </c>
      <c r="AK225" t="s">
        <v>8671</v>
      </c>
      <c r="AL225" s="4">
        <f t="shared" si="76"/>
        <v>0</v>
      </c>
      <c r="AM225" s="6" t="s">
        <v>1262</v>
      </c>
      <c r="AN225" s="6" t="s">
        <v>6035</v>
      </c>
      <c r="AO225" t="str">
        <f t="shared" si="65"/>
        <v/>
      </c>
      <c r="AP225" t="s">
        <v>1247</v>
      </c>
      <c r="AQ225" t="s">
        <v>4842</v>
      </c>
      <c r="AR225" s="15" t="s">
        <v>4867</v>
      </c>
      <c r="AV225" t="s">
        <v>3776</v>
      </c>
      <c r="AW225" t="s">
        <v>8112</v>
      </c>
      <c r="AX225" s="5">
        <v>0.59027777777777779</v>
      </c>
      <c r="AZ225" t="str">
        <f t="shared" si="77"/>
        <v>(14:02-14:10)</v>
      </c>
      <c r="BA225" s="5" t="str">
        <f t="shared" si="78"/>
        <v>(14:17-14:25)(14:02-14:10)</v>
      </c>
    </row>
    <row r="226" spans="1:53" ht="15">
      <c r="A226" s="135" t="str">
        <f t="shared" si="60"/>
        <v/>
      </c>
      <c r="B226" s="19" t="str">
        <f t="shared" si="61"/>
        <v/>
      </c>
      <c r="C226" s="19" t="str">
        <f t="shared" si="62"/>
        <v/>
      </c>
      <c r="D226" s="19" t="str">
        <f t="shared" si="63"/>
        <v/>
      </c>
      <c r="E226" s="5" t="str">
        <f t="shared" si="66"/>
        <v/>
      </c>
      <c r="F226" s="12" t="str">
        <f t="shared" si="67"/>
        <v/>
      </c>
      <c r="J226" s="7" t="str">
        <f t="shared" si="68"/>
        <v/>
      </c>
      <c r="K226" s="9" t="str">
        <f t="shared" si="69"/>
        <v/>
      </c>
      <c r="L226" s="6">
        <f t="shared" si="70"/>
        <v>0</v>
      </c>
      <c r="M226" s="6">
        <f t="shared" si="71"/>
        <v>0</v>
      </c>
      <c r="N226" s="94" t="str">
        <f t="shared" si="72"/>
        <v/>
      </c>
      <c r="O226" s="201"/>
      <c r="P226" s="201"/>
      <c r="Q226" s="203"/>
      <c r="R226" s="198"/>
      <c r="S226" s="204"/>
      <c r="T226" s="136" t="str">
        <f t="shared" si="73"/>
        <v/>
      </c>
      <c r="U226" s="137" t="str">
        <f t="shared" si="74"/>
        <v/>
      </c>
      <c r="V226" s="1"/>
      <c r="Y226" s="90" t="str">
        <f t="shared" si="75"/>
        <v/>
      </c>
      <c r="AC226" s="6" t="s">
        <v>1311</v>
      </c>
      <c r="AD226" s="6" t="s">
        <v>6879</v>
      </c>
      <c r="AE226" s="158" t="s">
        <v>3579</v>
      </c>
      <c r="AF226" s="159" t="s">
        <v>8299</v>
      </c>
      <c r="AG226" s="160">
        <v>265288</v>
      </c>
      <c r="AH226" s="194" t="s">
        <v>679</v>
      </c>
      <c r="AI226" s="6" t="s">
        <v>147</v>
      </c>
      <c r="AJ226" s="3" t="s">
        <v>8219</v>
      </c>
      <c r="AK226" t="s">
        <v>8219</v>
      </c>
      <c r="AL226" s="4">
        <f t="shared" si="76"/>
        <v>0</v>
      </c>
      <c r="AM226" s="6" t="s">
        <v>1059</v>
      </c>
      <c r="AN226" s="6" t="s">
        <v>6036</v>
      </c>
      <c r="AO226" t="str">
        <f t="shared" si="65"/>
        <v/>
      </c>
      <c r="AP226" t="s">
        <v>1098</v>
      </c>
      <c r="AQ226" t="s">
        <v>4518</v>
      </c>
      <c r="AR226" s="15" t="s">
        <v>4868</v>
      </c>
      <c r="AV226" t="s">
        <v>3768</v>
      </c>
      <c r="AW226" t="s">
        <v>8021</v>
      </c>
      <c r="AX226" s="5">
        <v>0.44236111111111115</v>
      </c>
      <c r="AZ226" t="str">
        <f t="shared" si="77"/>
        <v>(10:17-10:37)</v>
      </c>
      <c r="BA226" s="5" t="str">
        <f t="shared" si="78"/>
        <v>(10:17-10:37)</v>
      </c>
    </row>
    <row r="227" spans="1:53" ht="15">
      <c r="A227" s="135" t="str">
        <f t="shared" si="60"/>
        <v/>
      </c>
      <c r="B227" s="19" t="str">
        <f t="shared" si="61"/>
        <v/>
      </c>
      <c r="C227" s="19" t="str">
        <f t="shared" si="62"/>
        <v/>
      </c>
      <c r="D227" s="19" t="str">
        <f t="shared" si="63"/>
        <v/>
      </c>
      <c r="E227" s="5" t="str">
        <f t="shared" si="66"/>
        <v/>
      </c>
      <c r="F227" s="12" t="str">
        <f t="shared" si="67"/>
        <v/>
      </c>
      <c r="J227" s="7" t="str">
        <f t="shared" si="68"/>
        <v/>
      </c>
      <c r="K227" s="9" t="str">
        <f t="shared" si="69"/>
        <v/>
      </c>
      <c r="L227" s="6">
        <f t="shared" si="70"/>
        <v>0</v>
      </c>
      <c r="M227" s="6">
        <f t="shared" si="71"/>
        <v>0</v>
      </c>
      <c r="N227" s="94" t="str">
        <f t="shared" si="72"/>
        <v/>
      </c>
      <c r="O227" s="201"/>
      <c r="P227" s="201"/>
      <c r="Q227" s="203"/>
      <c r="R227" s="198"/>
      <c r="S227" s="204"/>
      <c r="T227" s="136" t="str">
        <f t="shared" si="73"/>
        <v/>
      </c>
      <c r="U227" s="137" t="str">
        <f t="shared" si="74"/>
        <v/>
      </c>
      <c r="V227" s="1"/>
      <c r="Y227" s="90" t="str">
        <f t="shared" si="75"/>
        <v/>
      </c>
      <c r="AC227" s="6" t="s">
        <v>2673</v>
      </c>
      <c r="AD227" s="6" t="s">
        <v>6880</v>
      </c>
      <c r="AE227" s="158" t="s">
        <v>1119</v>
      </c>
      <c r="AF227" s="159" t="s">
        <v>8299</v>
      </c>
      <c r="AG227" s="160">
        <v>265377</v>
      </c>
      <c r="AH227" s="194" t="s">
        <v>679</v>
      </c>
      <c r="AI227" s="6" t="s">
        <v>1009</v>
      </c>
      <c r="AJ227" s="3" t="s">
        <v>8197</v>
      </c>
      <c r="AK227" t="s">
        <v>8197</v>
      </c>
      <c r="AL227" s="4">
        <f t="shared" si="76"/>
        <v>0</v>
      </c>
      <c r="AM227" s="6" t="s">
        <v>3431</v>
      </c>
      <c r="AN227" s="6" t="s">
        <v>6037</v>
      </c>
      <c r="AO227" t="str">
        <f t="shared" si="65"/>
        <v/>
      </c>
      <c r="AP227" t="s">
        <v>3427</v>
      </c>
      <c r="AQ227" t="s">
        <v>4841</v>
      </c>
      <c r="AR227" s="15" t="s">
        <v>4533</v>
      </c>
      <c r="AV227" t="s">
        <v>3763</v>
      </c>
      <c r="AW227" t="s">
        <v>7989</v>
      </c>
      <c r="AX227" s="5">
        <v>0.40138888888888885</v>
      </c>
      <c r="AZ227" t="str">
        <f t="shared" si="77"/>
        <v>(09:06-9:38)</v>
      </c>
      <c r="BA227" s="5" t="str">
        <f t="shared" si="78"/>
        <v>(09:06-9:38)</v>
      </c>
    </row>
    <row r="228" spans="1:53" ht="15">
      <c r="A228" s="135" t="str">
        <f t="shared" si="60"/>
        <v/>
      </c>
      <c r="B228" s="19" t="str">
        <f t="shared" si="61"/>
        <v/>
      </c>
      <c r="C228" s="19" t="str">
        <f t="shared" si="62"/>
        <v/>
      </c>
      <c r="D228" s="19" t="str">
        <f t="shared" si="63"/>
        <v/>
      </c>
      <c r="E228" s="5" t="str">
        <f t="shared" si="66"/>
        <v/>
      </c>
      <c r="F228" s="12" t="str">
        <f t="shared" si="67"/>
        <v/>
      </c>
      <c r="J228" s="7" t="str">
        <f t="shared" si="68"/>
        <v/>
      </c>
      <c r="K228" s="9" t="str">
        <f t="shared" si="69"/>
        <v/>
      </c>
      <c r="L228" s="6">
        <f t="shared" si="70"/>
        <v>0</v>
      </c>
      <c r="M228" s="6">
        <f t="shared" si="71"/>
        <v>0</v>
      </c>
      <c r="N228" s="94" t="str">
        <f t="shared" si="72"/>
        <v/>
      </c>
      <c r="O228" s="201"/>
      <c r="P228" s="201"/>
      <c r="Q228" s="203"/>
      <c r="R228" s="198"/>
      <c r="S228" s="204"/>
      <c r="T228" s="136" t="str">
        <f t="shared" si="73"/>
        <v/>
      </c>
      <c r="U228" s="137" t="str">
        <f t="shared" si="74"/>
        <v/>
      </c>
      <c r="V228" s="1"/>
      <c r="Y228" s="90" t="str">
        <f t="shared" si="75"/>
        <v/>
      </c>
      <c r="AC228" s="6" t="s">
        <v>2611</v>
      </c>
      <c r="AD228" s="6" t="s">
        <v>6881</v>
      </c>
      <c r="AE228" s="158" t="s">
        <v>1120</v>
      </c>
      <c r="AF228" s="159" t="s">
        <v>8299</v>
      </c>
      <c r="AG228" s="160">
        <v>271932</v>
      </c>
      <c r="AH228" s="194" t="s">
        <v>679</v>
      </c>
      <c r="AI228" s="6" t="s">
        <v>1664</v>
      </c>
      <c r="AJ228" s="3" t="s">
        <v>8197</v>
      </c>
      <c r="AK228" t="s">
        <v>8197</v>
      </c>
      <c r="AL228" s="4">
        <f t="shared" si="76"/>
        <v>0</v>
      </c>
      <c r="AM228" s="6" t="s">
        <v>1207</v>
      </c>
      <c r="AN228" s="6" t="s">
        <v>6038</v>
      </c>
      <c r="AO228" t="str">
        <f t="shared" si="65"/>
        <v/>
      </c>
      <c r="AP228" t="s">
        <v>1262</v>
      </c>
      <c r="AQ228" t="s">
        <v>4512</v>
      </c>
      <c r="AR228" s="15">
        <v>1777</v>
      </c>
      <c r="AV228" t="s">
        <v>3722</v>
      </c>
      <c r="AW228" t="s">
        <v>8152</v>
      </c>
      <c r="AX228" s="5">
        <v>0.66041666666666665</v>
      </c>
      <c r="AZ228" t="str">
        <f t="shared" si="77"/>
        <v>(15:45-15:51)</v>
      </c>
      <c r="BA228" s="5" t="str">
        <f t="shared" si="78"/>
        <v>(15:45-15:51)</v>
      </c>
    </row>
    <row r="229" spans="1:53" ht="15">
      <c r="A229" s="135" t="str">
        <f t="shared" si="60"/>
        <v/>
      </c>
      <c r="B229" s="19" t="str">
        <f t="shared" si="61"/>
        <v/>
      </c>
      <c r="C229" s="19" t="str">
        <f t="shared" si="62"/>
        <v/>
      </c>
      <c r="D229" s="19" t="str">
        <f t="shared" si="63"/>
        <v/>
      </c>
      <c r="E229" s="5" t="str">
        <f t="shared" si="66"/>
        <v/>
      </c>
      <c r="F229" s="12" t="str">
        <f t="shared" si="67"/>
        <v/>
      </c>
      <c r="J229" s="7" t="str">
        <f t="shared" si="68"/>
        <v/>
      </c>
      <c r="K229" s="9" t="str">
        <f t="shared" si="69"/>
        <v/>
      </c>
      <c r="L229" s="6">
        <f t="shared" si="70"/>
        <v>0</v>
      </c>
      <c r="M229" s="6">
        <f t="shared" si="71"/>
        <v>0</v>
      </c>
      <c r="N229" s="94" t="str">
        <f t="shared" si="72"/>
        <v/>
      </c>
      <c r="O229" s="201"/>
      <c r="P229" s="201"/>
      <c r="Q229" s="203"/>
      <c r="R229" s="198"/>
      <c r="S229" s="204"/>
      <c r="T229" s="136" t="str">
        <f t="shared" si="73"/>
        <v/>
      </c>
      <c r="U229" s="137" t="str">
        <f t="shared" si="74"/>
        <v/>
      </c>
      <c r="V229" s="1"/>
      <c r="Y229" s="90" t="str">
        <f t="shared" si="75"/>
        <v/>
      </c>
      <c r="AC229" s="6">
        <v>876397</v>
      </c>
      <c r="AD229" s="6" t="s">
        <v>6864</v>
      </c>
      <c r="AE229" s="158" t="s">
        <v>3634</v>
      </c>
      <c r="AF229" s="159" t="s">
        <v>8309</v>
      </c>
      <c r="AG229" s="160">
        <v>273707</v>
      </c>
      <c r="AH229" s="194" t="s">
        <v>679</v>
      </c>
      <c r="AI229" s="6" t="s">
        <v>1587</v>
      </c>
      <c r="AJ229" s="3" t="s">
        <v>8197</v>
      </c>
      <c r="AK229" t="s">
        <v>8197</v>
      </c>
      <c r="AL229" s="4">
        <f t="shared" si="76"/>
        <v>0</v>
      </c>
      <c r="AM229" s="6" t="s">
        <v>3430</v>
      </c>
      <c r="AN229" s="6" t="s">
        <v>6039</v>
      </c>
      <c r="AO229" t="str">
        <f t="shared" si="65"/>
        <v/>
      </c>
      <c r="AP229" t="s">
        <v>1059</v>
      </c>
      <c r="AQ229" t="s">
        <v>4841</v>
      </c>
      <c r="AR229" s="15" t="s">
        <v>4869</v>
      </c>
      <c r="AV229" t="s">
        <v>3718</v>
      </c>
      <c r="AW229" t="s">
        <v>8157</v>
      </c>
      <c r="AX229" s="5">
        <v>0.67083333333333339</v>
      </c>
      <c r="AZ229" t="str">
        <f t="shared" si="77"/>
        <v>(15:59-16:06)</v>
      </c>
      <c r="BA229" s="5" t="str">
        <f t="shared" si="78"/>
        <v>(12:12-12:38)(13:21-13:32)(13:34-13:45)(14:40-14:48)(15:08-15:14)(15:22-15:29)(15:59-16:06)</v>
      </c>
    </row>
    <row r="230" spans="1:53" ht="15">
      <c r="A230" s="135" t="str">
        <f t="shared" si="60"/>
        <v/>
      </c>
      <c r="B230" s="19" t="str">
        <f t="shared" si="61"/>
        <v/>
      </c>
      <c r="C230" s="19" t="str">
        <f t="shared" si="62"/>
        <v/>
      </c>
      <c r="D230" s="19" t="str">
        <f t="shared" si="63"/>
        <v/>
      </c>
      <c r="E230" s="5" t="str">
        <f t="shared" si="66"/>
        <v/>
      </c>
      <c r="F230" s="12" t="str">
        <f t="shared" si="67"/>
        <v/>
      </c>
      <c r="J230" s="7" t="str">
        <f t="shared" si="68"/>
        <v/>
      </c>
      <c r="K230" s="9" t="str">
        <f t="shared" si="69"/>
        <v/>
      </c>
      <c r="L230" s="6">
        <f t="shared" si="70"/>
        <v>0</v>
      </c>
      <c r="M230" s="6">
        <f t="shared" si="71"/>
        <v>0</v>
      </c>
      <c r="N230" s="94" t="str">
        <f t="shared" si="72"/>
        <v/>
      </c>
      <c r="O230" s="201"/>
      <c r="P230" s="201"/>
      <c r="Q230" s="203"/>
      <c r="R230" s="198"/>
      <c r="S230" s="204"/>
      <c r="T230" s="136" t="str">
        <f t="shared" si="73"/>
        <v/>
      </c>
      <c r="U230" s="137" t="str">
        <f t="shared" si="74"/>
        <v/>
      </c>
      <c r="V230" s="1"/>
      <c r="Y230" s="90" t="str">
        <f t="shared" si="75"/>
        <v/>
      </c>
      <c r="AC230" s="6" t="s">
        <v>2656</v>
      </c>
      <c r="AD230" s="6" t="s">
        <v>6882</v>
      </c>
      <c r="AE230" s="158" t="s">
        <v>3580</v>
      </c>
      <c r="AF230" s="159" t="s">
        <v>8323</v>
      </c>
      <c r="AG230" s="160">
        <v>275243</v>
      </c>
      <c r="AH230" s="194" t="s">
        <v>679</v>
      </c>
      <c r="AI230" s="6" t="s">
        <v>4729</v>
      </c>
      <c r="AJ230" s="3" t="s">
        <v>8197</v>
      </c>
      <c r="AK230" t="s">
        <v>8197</v>
      </c>
      <c r="AL230" s="4">
        <f t="shared" si="76"/>
        <v>0</v>
      </c>
      <c r="AM230" s="6" t="s">
        <v>1280</v>
      </c>
      <c r="AN230" s="6" t="s">
        <v>6040</v>
      </c>
      <c r="AO230" t="str">
        <f t="shared" si="65"/>
        <v/>
      </c>
      <c r="AP230" t="s">
        <v>3431</v>
      </c>
      <c r="AQ230" t="s">
        <v>4842</v>
      </c>
      <c r="AR230" s="15" t="s">
        <v>4544</v>
      </c>
      <c r="AV230" t="s">
        <v>3718</v>
      </c>
      <c r="AW230" t="s">
        <v>8132</v>
      </c>
      <c r="AX230" s="5">
        <v>0.64513888888888882</v>
      </c>
      <c r="AZ230" t="str">
        <f t="shared" si="77"/>
        <v>(15:22-15:29)</v>
      </c>
      <c r="BA230" s="5" t="str">
        <f t="shared" si="78"/>
        <v>(12:12-12:38)(13:21-13:32)(13:34-13:45)(14:40-14:48)(15:08-15:14)(15:59-16:06)(15:22-15:29)</v>
      </c>
    </row>
    <row r="231" spans="1:53" ht="15">
      <c r="A231" s="135" t="str">
        <f t="shared" si="60"/>
        <v/>
      </c>
      <c r="B231" s="19" t="str">
        <f t="shared" si="61"/>
        <v/>
      </c>
      <c r="C231" s="19" t="str">
        <f t="shared" si="62"/>
        <v/>
      </c>
      <c r="D231" s="19" t="str">
        <f t="shared" si="63"/>
        <v/>
      </c>
      <c r="E231" s="5" t="str">
        <f t="shared" si="66"/>
        <v/>
      </c>
      <c r="F231" s="12" t="str">
        <f t="shared" si="67"/>
        <v/>
      </c>
      <c r="J231" s="7" t="str">
        <f t="shared" si="68"/>
        <v/>
      </c>
      <c r="K231" s="9" t="str">
        <f t="shared" si="69"/>
        <v/>
      </c>
      <c r="L231" s="6">
        <f t="shared" si="70"/>
        <v>0</v>
      </c>
      <c r="M231" s="6">
        <f t="shared" si="71"/>
        <v>0</v>
      </c>
      <c r="N231" s="94" t="str">
        <f t="shared" si="72"/>
        <v/>
      </c>
      <c r="O231" s="201"/>
      <c r="P231" s="201"/>
      <c r="Q231" s="203"/>
      <c r="R231" s="198"/>
      <c r="S231" s="204"/>
      <c r="T231" s="136" t="str">
        <f t="shared" si="73"/>
        <v/>
      </c>
      <c r="U231" s="137" t="str">
        <f t="shared" si="74"/>
        <v/>
      </c>
      <c r="V231" s="1"/>
      <c r="Y231" s="90" t="str">
        <f t="shared" si="75"/>
        <v/>
      </c>
      <c r="AC231" s="6" t="s">
        <v>4767</v>
      </c>
      <c r="AD231" s="6" t="s">
        <v>6806</v>
      </c>
      <c r="AE231" s="158" t="s">
        <v>3581</v>
      </c>
      <c r="AF231" s="159" t="s">
        <v>8332</v>
      </c>
      <c r="AG231" s="160">
        <v>275244</v>
      </c>
      <c r="AH231" s="194" t="s">
        <v>1314</v>
      </c>
      <c r="AI231" s="6" t="s">
        <v>4736</v>
      </c>
      <c r="AJ231" s="3" t="s">
        <v>8197</v>
      </c>
      <c r="AK231" t="s">
        <v>8197</v>
      </c>
      <c r="AL231" s="4">
        <f t="shared" si="76"/>
        <v>0</v>
      </c>
      <c r="AM231" s="6" t="s">
        <v>4824</v>
      </c>
      <c r="AN231" s="6" t="s">
        <v>6041</v>
      </c>
      <c r="AO231" t="str">
        <f t="shared" si="65"/>
        <v/>
      </c>
      <c r="AP231" t="s">
        <v>1207</v>
      </c>
      <c r="AQ231" t="s">
        <v>4519</v>
      </c>
      <c r="AR231" s="15" t="s">
        <v>4633</v>
      </c>
      <c r="AV231" t="s">
        <v>3718</v>
      </c>
      <c r="AW231" t="s">
        <v>8138</v>
      </c>
      <c r="AX231" s="5">
        <v>0.63472222222222219</v>
      </c>
      <c r="AZ231" t="str">
        <f t="shared" si="77"/>
        <v>(15:08-15:14)</v>
      </c>
      <c r="BA231" s="5" t="str">
        <f t="shared" si="78"/>
        <v>(12:12-12:38)(13:21-13:32)(13:34-13:45)(14:40-14:48)(15:22-15:29)(15:08-15:14)</v>
      </c>
    </row>
    <row r="232" spans="1:53" ht="15">
      <c r="A232" s="135" t="str">
        <f t="shared" ref="A232:A295" si="79">IF(ISNA(VLOOKUP(I232,AC:AD,2,FALSE)),"",VLOOKUP(I232,AC:AD,2,FALSE))</f>
        <v/>
      </c>
      <c r="B232" s="19" t="str">
        <f t="shared" ref="B232:B295" si="80">IF(ISNA(VLOOKUP(I232,AE:AF,2,FALSE)),"",VLOOKUP(I232,AE:AF,2,FALSE))</f>
        <v/>
      </c>
      <c r="C232" s="19" t="str">
        <f t="shared" ref="C232:C295" si="81">IF(ISNA(VLOOKUP(I232,AM:AN,2,FALSE)),"",VLOOKUP(I232,AM:AN,2,FALSE))</f>
        <v/>
      </c>
      <c r="D232" s="19" t="str">
        <f t="shared" ref="D232:D295" si="82">IF(ISNA(VLOOKUP(I232,AG:AH,2,FALSE)),"",VLOOKUP(I232,AG:AH,2,FALSE))</f>
        <v/>
      </c>
      <c r="E232" s="5" t="str">
        <f t="shared" si="66"/>
        <v/>
      </c>
      <c r="F232" s="12" t="str">
        <f t="shared" si="67"/>
        <v/>
      </c>
      <c r="J232" s="7" t="str">
        <f t="shared" si="68"/>
        <v/>
      </c>
      <c r="K232" s="9" t="str">
        <f t="shared" si="69"/>
        <v/>
      </c>
      <c r="L232" s="6">
        <f t="shared" si="70"/>
        <v>0</v>
      </c>
      <c r="M232" s="6">
        <f t="shared" si="71"/>
        <v>0</v>
      </c>
      <c r="N232" s="94" t="str">
        <f t="shared" si="72"/>
        <v/>
      </c>
      <c r="O232" s="201"/>
      <c r="P232" s="201"/>
      <c r="Q232" s="203"/>
      <c r="R232" s="198"/>
      <c r="S232" s="204"/>
      <c r="T232" s="136" t="str">
        <f t="shared" si="73"/>
        <v/>
      </c>
      <c r="U232" s="137" t="str">
        <f t="shared" si="74"/>
        <v/>
      </c>
      <c r="V232" s="1"/>
      <c r="Y232" s="90" t="str">
        <f t="shared" si="75"/>
        <v/>
      </c>
      <c r="AC232" s="6" t="s">
        <v>2528</v>
      </c>
      <c r="AD232" s="6" t="s">
        <v>6883</v>
      </c>
      <c r="AE232" s="158" t="s">
        <v>3696</v>
      </c>
      <c r="AF232" s="159" t="s">
        <v>8299</v>
      </c>
      <c r="AG232" s="160">
        <v>275289</v>
      </c>
      <c r="AH232" s="194" t="s">
        <v>679</v>
      </c>
      <c r="AI232" s="6" t="s">
        <v>5281</v>
      </c>
      <c r="AJ232" s="3" t="s">
        <v>8197</v>
      </c>
      <c r="AK232" t="s">
        <v>8197</v>
      </c>
      <c r="AL232" s="4">
        <f t="shared" si="76"/>
        <v>0</v>
      </c>
      <c r="AM232" s="6" t="s">
        <v>1681</v>
      </c>
      <c r="AN232" s="6" t="s">
        <v>6042</v>
      </c>
      <c r="AO232" t="str">
        <f t="shared" si="65"/>
        <v/>
      </c>
      <c r="AP232" t="s">
        <v>3430</v>
      </c>
      <c r="AQ232" t="s">
        <v>4841</v>
      </c>
      <c r="AR232" s="15" t="s">
        <v>4540</v>
      </c>
      <c r="AV232" t="s">
        <v>3718</v>
      </c>
      <c r="AW232" t="s">
        <v>8134</v>
      </c>
      <c r="AX232" s="5">
        <v>0.6166666666666667</v>
      </c>
      <c r="AZ232" t="str">
        <f t="shared" si="77"/>
        <v>(14:40-14:48)</v>
      </c>
      <c r="BA232" s="5" t="str">
        <f t="shared" si="78"/>
        <v>(12:12-12:38)(13:21-13:32)(13:34-13:45)(15:08-15:14)(14:40-14:48)</v>
      </c>
    </row>
    <row r="233" spans="1:53" ht="15">
      <c r="A233" s="135" t="str">
        <f t="shared" si="79"/>
        <v/>
      </c>
      <c r="B233" s="19" t="str">
        <f t="shared" si="80"/>
        <v/>
      </c>
      <c r="C233" s="19" t="str">
        <f t="shared" si="81"/>
        <v/>
      </c>
      <c r="D233" s="19" t="str">
        <f t="shared" si="82"/>
        <v/>
      </c>
      <c r="E233" s="5" t="str">
        <f t="shared" si="66"/>
        <v/>
      </c>
      <c r="F233" s="12" t="str">
        <f t="shared" si="67"/>
        <v/>
      </c>
      <c r="J233" s="7" t="str">
        <f t="shared" si="68"/>
        <v/>
      </c>
      <c r="K233" s="9" t="str">
        <f t="shared" si="69"/>
        <v/>
      </c>
      <c r="L233" s="6">
        <f t="shared" si="70"/>
        <v>0</v>
      </c>
      <c r="M233" s="6">
        <f t="shared" si="71"/>
        <v>0</v>
      </c>
      <c r="N233" s="94" t="str">
        <f t="shared" si="72"/>
        <v/>
      </c>
      <c r="O233" s="201"/>
      <c r="P233" s="201"/>
      <c r="Q233" s="203"/>
      <c r="R233" s="198"/>
      <c r="S233" s="204"/>
      <c r="T233" s="136" t="str">
        <f t="shared" si="73"/>
        <v/>
      </c>
      <c r="U233" s="137" t="str">
        <f t="shared" si="74"/>
        <v/>
      </c>
      <c r="V233" s="1"/>
      <c r="Y233" s="90" t="str">
        <f t="shared" si="75"/>
        <v/>
      </c>
      <c r="AC233" s="6" t="s">
        <v>2706</v>
      </c>
      <c r="AD233" s="6" t="s">
        <v>6884</v>
      </c>
      <c r="AE233" s="158" t="s">
        <v>3697</v>
      </c>
      <c r="AF233" s="159" t="s">
        <v>8320</v>
      </c>
      <c r="AG233" s="160">
        <v>275290</v>
      </c>
      <c r="AH233" s="194" t="s">
        <v>1314</v>
      </c>
      <c r="AI233" s="6" t="s">
        <v>1896</v>
      </c>
      <c r="AJ233" s="3" t="s">
        <v>8227</v>
      </c>
      <c r="AK233" t="s">
        <v>8227</v>
      </c>
      <c r="AL233" s="4">
        <f t="shared" si="76"/>
        <v>0</v>
      </c>
      <c r="AM233" s="6" t="s">
        <v>2275</v>
      </c>
      <c r="AN233" s="6" t="s">
        <v>6043</v>
      </c>
      <c r="AO233" t="str">
        <f t="shared" si="65"/>
        <v/>
      </c>
      <c r="AP233" t="s">
        <v>1280</v>
      </c>
      <c r="AQ233" t="s">
        <v>4519</v>
      </c>
      <c r="AR233" s="15" t="s">
        <v>4589</v>
      </c>
      <c r="AV233" t="s">
        <v>3718</v>
      </c>
      <c r="AW233" t="s">
        <v>8096</v>
      </c>
      <c r="AX233" s="5">
        <v>0.57291666666666663</v>
      </c>
      <c r="AZ233" t="str">
        <f t="shared" si="77"/>
        <v>(13:34-13:45)</v>
      </c>
      <c r="BA233" s="5" t="str">
        <f t="shared" si="78"/>
        <v>(12:12-12:38)(13:21-13:32)(14:40-14:48)(13:34-13:45)</v>
      </c>
    </row>
    <row r="234" spans="1:53" ht="15">
      <c r="A234" s="135" t="str">
        <f t="shared" si="79"/>
        <v/>
      </c>
      <c r="B234" s="19" t="str">
        <f t="shared" si="80"/>
        <v/>
      </c>
      <c r="C234" s="19" t="str">
        <f t="shared" si="81"/>
        <v/>
      </c>
      <c r="D234" s="19" t="str">
        <f t="shared" si="82"/>
        <v/>
      </c>
      <c r="E234" s="5" t="str">
        <f t="shared" si="66"/>
        <v/>
      </c>
      <c r="F234" s="12" t="str">
        <f t="shared" si="67"/>
        <v/>
      </c>
      <c r="J234" s="7" t="str">
        <f t="shared" si="68"/>
        <v/>
      </c>
      <c r="K234" s="9" t="str">
        <f t="shared" si="69"/>
        <v/>
      </c>
      <c r="L234" s="6">
        <f t="shared" si="70"/>
        <v>0</v>
      </c>
      <c r="M234" s="6">
        <f t="shared" si="71"/>
        <v>0</v>
      </c>
      <c r="N234" s="94" t="str">
        <f t="shared" si="72"/>
        <v/>
      </c>
      <c r="O234" s="201"/>
      <c r="P234" s="201"/>
      <c r="Q234" s="203"/>
      <c r="R234" s="198"/>
      <c r="S234" s="204"/>
      <c r="T234" s="136" t="str">
        <f t="shared" si="73"/>
        <v/>
      </c>
      <c r="U234" s="137" t="str">
        <f t="shared" si="74"/>
        <v/>
      </c>
      <c r="V234" s="1"/>
      <c r="Y234" s="90" t="str">
        <f t="shared" si="75"/>
        <v/>
      </c>
      <c r="AC234" s="6" t="s">
        <v>2509</v>
      </c>
      <c r="AD234" s="6" t="s">
        <v>6884</v>
      </c>
      <c r="AE234" s="158" t="s">
        <v>3698</v>
      </c>
      <c r="AF234" s="159" t="s">
        <v>8339</v>
      </c>
      <c r="AG234" s="160">
        <v>285291</v>
      </c>
      <c r="AH234" s="194" t="s">
        <v>679</v>
      </c>
      <c r="AI234" s="6" t="s">
        <v>6660</v>
      </c>
      <c r="AJ234" s="3" t="s">
        <v>8219</v>
      </c>
      <c r="AK234" t="s">
        <v>8219</v>
      </c>
      <c r="AL234" s="4">
        <f t="shared" si="76"/>
        <v>0</v>
      </c>
      <c r="AM234" s="6" t="s">
        <v>3439</v>
      </c>
      <c r="AN234" s="6" t="s">
        <v>6044</v>
      </c>
      <c r="AO234" t="str">
        <f t="shared" si="65"/>
        <v/>
      </c>
      <c r="AP234" t="s">
        <v>4824</v>
      </c>
      <c r="AQ234" t="s">
        <v>4518</v>
      </c>
      <c r="AR234" s="15" t="s">
        <v>4870</v>
      </c>
      <c r="AV234" t="s">
        <v>3718</v>
      </c>
      <c r="AW234" t="s">
        <v>8091</v>
      </c>
      <c r="AX234" s="5">
        <v>0.56388888888888888</v>
      </c>
      <c r="AZ234" t="str">
        <f t="shared" si="77"/>
        <v>(13:21-13:32)</v>
      </c>
      <c r="BA234" s="5" t="str">
        <f t="shared" si="78"/>
        <v>(12:12-12:38)(13:34-13:45)(13:21-13:32)</v>
      </c>
    </row>
    <row r="235" spans="1:53" ht="15">
      <c r="A235" s="135" t="str">
        <f t="shared" si="79"/>
        <v/>
      </c>
      <c r="B235" s="19" t="str">
        <f t="shared" si="80"/>
        <v/>
      </c>
      <c r="C235" s="19" t="str">
        <f t="shared" si="81"/>
        <v/>
      </c>
      <c r="D235" s="19" t="str">
        <f t="shared" si="82"/>
        <v/>
      </c>
      <c r="E235" s="5" t="str">
        <f t="shared" si="66"/>
        <v/>
      </c>
      <c r="F235" s="12" t="str">
        <f t="shared" si="67"/>
        <v/>
      </c>
      <c r="J235" s="7" t="str">
        <f t="shared" si="68"/>
        <v/>
      </c>
      <c r="K235" s="9" t="str">
        <f t="shared" si="69"/>
        <v/>
      </c>
      <c r="L235" s="6">
        <f t="shared" si="70"/>
        <v>0</v>
      </c>
      <c r="M235" s="6">
        <f t="shared" si="71"/>
        <v>0</v>
      </c>
      <c r="N235" s="94" t="str">
        <f t="shared" si="72"/>
        <v/>
      </c>
      <c r="O235" s="201"/>
      <c r="P235" s="201"/>
      <c r="Q235" s="203"/>
      <c r="R235" s="198"/>
      <c r="S235" s="204"/>
      <c r="T235" s="136" t="str">
        <f t="shared" si="73"/>
        <v/>
      </c>
      <c r="U235" s="137" t="str">
        <f t="shared" si="74"/>
        <v/>
      </c>
      <c r="V235" s="1"/>
      <c r="Y235" s="90" t="str">
        <f t="shared" si="75"/>
        <v/>
      </c>
      <c r="AC235" s="6" t="s">
        <v>2657</v>
      </c>
      <c r="AD235" s="6" t="s">
        <v>6882</v>
      </c>
      <c r="AE235" s="158" t="s">
        <v>3699</v>
      </c>
      <c r="AF235" s="159" t="s">
        <v>8299</v>
      </c>
      <c r="AG235" s="160">
        <v>285418</v>
      </c>
      <c r="AH235" s="194" t="s">
        <v>679</v>
      </c>
      <c r="AI235" s="6" t="s">
        <v>6689</v>
      </c>
      <c r="AJ235" s="3" t="s">
        <v>8197</v>
      </c>
      <c r="AK235" t="s">
        <v>8197</v>
      </c>
      <c r="AL235" s="4">
        <f t="shared" si="76"/>
        <v>0</v>
      </c>
      <c r="AM235" s="6" t="s">
        <v>1283</v>
      </c>
      <c r="AN235" s="6" t="s">
        <v>6045</v>
      </c>
      <c r="AO235" t="str">
        <f t="shared" si="65"/>
        <v/>
      </c>
      <c r="AP235" t="s">
        <v>1681</v>
      </c>
      <c r="AQ235" t="s">
        <v>4512</v>
      </c>
      <c r="AR235" s="15">
        <v>4165</v>
      </c>
      <c r="AV235" t="s">
        <v>3718</v>
      </c>
      <c r="AW235" t="s">
        <v>8063</v>
      </c>
      <c r="AX235" s="5">
        <v>0.52638888888888891</v>
      </c>
      <c r="AZ235" t="str">
        <f t="shared" si="77"/>
        <v>(12:12-12:38)</v>
      </c>
      <c r="BA235" s="5" t="str">
        <f t="shared" si="78"/>
        <v>(13:21-13:32)(12:12-12:38)</v>
      </c>
    </row>
    <row r="236" spans="1:53" ht="15">
      <c r="A236" s="135" t="str">
        <f t="shared" si="79"/>
        <v/>
      </c>
      <c r="B236" s="19" t="str">
        <f t="shared" si="80"/>
        <v/>
      </c>
      <c r="C236" s="19" t="str">
        <f t="shared" si="81"/>
        <v/>
      </c>
      <c r="D236" s="19" t="str">
        <f t="shared" si="82"/>
        <v/>
      </c>
      <c r="E236" s="5" t="str">
        <f t="shared" si="66"/>
        <v/>
      </c>
      <c r="F236" s="12" t="str">
        <f t="shared" si="67"/>
        <v/>
      </c>
      <c r="J236" s="7" t="str">
        <f t="shared" si="68"/>
        <v/>
      </c>
      <c r="K236" s="9" t="str">
        <f t="shared" si="69"/>
        <v/>
      </c>
      <c r="L236" s="6">
        <f t="shared" si="70"/>
        <v>0</v>
      </c>
      <c r="M236" s="6">
        <f t="shared" si="71"/>
        <v>0</v>
      </c>
      <c r="N236" s="94" t="str">
        <f t="shared" si="72"/>
        <v/>
      </c>
      <c r="O236" s="201"/>
      <c r="P236" s="201"/>
      <c r="Q236" s="203"/>
      <c r="R236" s="198"/>
      <c r="S236" s="204"/>
      <c r="T236" s="136" t="str">
        <f t="shared" si="73"/>
        <v/>
      </c>
      <c r="U236" s="137" t="str">
        <f t="shared" si="74"/>
        <v/>
      </c>
      <c r="V236" s="1"/>
      <c r="Y236" s="90" t="str">
        <f t="shared" si="75"/>
        <v/>
      </c>
      <c r="AC236" s="6" t="s">
        <v>2539</v>
      </c>
      <c r="AD236" s="6" t="s">
        <v>6885</v>
      </c>
      <c r="AE236" s="158" t="s">
        <v>3700</v>
      </c>
      <c r="AF236" s="159" t="s">
        <v>8331</v>
      </c>
      <c r="AG236" s="160">
        <v>293591</v>
      </c>
      <c r="AH236" s="194" t="s">
        <v>679</v>
      </c>
      <c r="AI236" s="6" t="s">
        <v>6684</v>
      </c>
      <c r="AJ236" s="3" t="s">
        <v>8197</v>
      </c>
      <c r="AK236" t="s">
        <v>8197</v>
      </c>
      <c r="AL236" s="4">
        <f t="shared" si="76"/>
        <v>0</v>
      </c>
      <c r="AM236" s="6" t="s">
        <v>1187</v>
      </c>
      <c r="AN236" s="6" t="s">
        <v>6046</v>
      </c>
      <c r="AO236" t="str">
        <f t="shared" si="65"/>
        <v/>
      </c>
      <c r="AP236" t="s">
        <v>2275</v>
      </c>
      <c r="AQ236" t="s">
        <v>4518</v>
      </c>
      <c r="AR236" s="15" t="s">
        <v>4686</v>
      </c>
      <c r="AV236" t="s">
        <v>3698</v>
      </c>
      <c r="AW236" t="s">
        <v>7997</v>
      </c>
      <c r="AX236" s="5">
        <v>0.36249999999999999</v>
      </c>
      <c r="AZ236" t="str">
        <f t="shared" si="77"/>
        <v>(08:40-8:42)</v>
      </c>
      <c r="BA236" s="5" t="str">
        <f t="shared" si="78"/>
        <v>(08:40-8:42)</v>
      </c>
    </row>
    <row r="237" spans="1:53" ht="15">
      <c r="A237" s="135" t="str">
        <f t="shared" si="79"/>
        <v/>
      </c>
      <c r="B237" s="19" t="str">
        <f t="shared" si="80"/>
        <v/>
      </c>
      <c r="C237" s="19" t="str">
        <f t="shared" si="81"/>
        <v/>
      </c>
      <c r="D237" s="19" t="str">
        <f t="shared" si="82"/>
        <v/>
      </c>
      <c r="E237" s="5" t="str">
        <f t="shared" si="66"/>
        <v/>
      </c>
      <c r="F237" s="12" t="str">
        <f t="shared" si="67"/>
        <v/>
      </c>
      <c r="J237" s="7" t="str">
        <f t="shared" si="68"/>
        <v/>
      </c>
      <c r="K237" s="9" t="str">
        <f t="shared" si="69"/>
        <v/>
      </c>
      <c r="L237" s="6">
        <f t="shared" si="70"/>
        <v>0</v>
      </c>
      <c r="M237" s="6">
        <f t="shared" si="71"/>
        <v>0</v>
      </c>
      <c r="N237" s="94" t="str">
        <f t="shared" si="72"/>
        <v/>
      </c>
      <c r="O237" s="201"/>
      <c r="P237" s="201"/>
      <c r="Q237" s="203"/>
      <c r="R237" s="198"/>
      <c r="S237" s="204"/>
      <c r="T237" s="136" t="str">
        <f t="shared" si="73"/>
        <v/>
      </c>
      <c r="U237" s="137" t="str">
        <f t="shared" si="74"/>
        <v/>
      </c>
      <c r="V237" s="1"/>
      <c r="Y237" s="90" t="str">
        <f t="shared" si="75"/>
        <v/>
      </c>
      <c r="AC237" s="6" t="s">
        <v>2659</v>
      </c>
      <c r="AD237" s="6" t="s">
        <v>6882</v>
      </c>
      <c r="AE237" s="158" t="s">
        <v>3701</v>
      </c>
      <c r="AF237" s="159" t="s">
        <v>8299</v>
      </c>
      <c r="AG237" s="160">
        <v>293697</v>
      </c>
      <c r="AH237" s="194" t="s">
        <v>678</v>
      </c>
      <c r="AI237" s="6" t="s">
        <v>2418</v>
      </c>
      <c r="AJ237" s="3" t="s">
        <v>8237</v>
      </c>
      <c r="AK237" t="s">
        <v>8237</v>
      </c>
      <c r="AL237" s="4">
        <f t="shared" si="76"/>
        <v>0</v>
      </c>
      <c r="AM237" s="6" t="s">
        <v>4463</v>
      </c>
      <c r="AN237" s="6" t="s">
        <v>6047</v>
      </c>
      <c r="AO237" t="str">
        <f t="shared" si="65"/>
        <v/>
      </c>
      <c r="AP237" t="s">
        <v>3439</v>
      </c>
      <c r="AQ237" t="s">
        <v>4518</v>
      </c>
      <c r="AR237" s="15" t="s">
        <v>4871</v>
      </c>
      <c r="AV237" t="s">
        <v>4406</v>
      </c>
      <c r="AW237" t="s">
        <v>8089</v>
      </c>
      <c r="AX237" s="5">
        <v>0.56527777777777777</v>
      </c>
      <c r="AZ237" t="str">
        <f t="shared" si="77"/>
        <v>(13:24-13:34)</v>
      </c>
      <c r="BA237" s="5" t="str">
        <f t="shared" si="78"/>
        <v>(13:24-13:34)</v>
      </c>
    </row>
    <row r="238" spans="1:53" ht="13.5">
      <c r="A238" s="135" t="str">
        <f t="shared" si="79"/>
        <v/>
      </c>
      <c r="B238" s="19" t="str">
        <f t="shared" si="80"/>
        <v/>
      </c>
      <c r="C238" s="19" t="str">
        <f t="shared" si="81"/>
        <v/>
      </c>
      <c r="D238" s="19" t="str">
        <f t="shared" si="82"/>
        <v/>
      </c>
      <c r="E238" s="5" t="str">
        <f t="shared" si="66"/>
        <v/>
      </c>
      <c r="F238" s="12" t="str">
        <f t="shared" si="67"/>
        <v/>
      </c>
      <c r="K238" s="9" t="str">
        <f t="shared" si="69"/>
        <v/>
      </c>
      <c r="L238" s="6">
        <f t="shared" si="70"/>
        <v>0</v>
      </c>
      <c r="M238" s="6">
        <f t="shared" si="71"/>
        <v>0</v>
      </c>
      <c r="N238" s="94" t="str">
        <f t="shared" si="72"/>
        <v/>
      </c>
      <c r="O238" s="202"/>
      <c r="P238" s="197"/>
      <c r="Q238" s="203"/>
      <c r="R238" s="198"/>
      <c r="S238" s="204"/>
      <c r="T238" s="136" t="str">
        <f t="shared" si="73"/>
        <v/>
      </c>
      <c r="U238" s="137" t="str">
        <f t="shared" si="74"/>
        <v/>
      </c>
      <c r="V238" s="1"/>
      <c r="Y238" s="90" t="str">
        <f t="shared" si="75"/>
        <v/>
      </c>
      <c r="AC238" s="6" t="s">
        <v>2806</v>
      </c>
      <c r="AD238" s="6" t="s">
        <v>6862</v>
      </c>
      <c r="AE238" s="158" t="s">
        <v>3702</v>
      </c>
      <c r="AF238" s="159" t="s">
        <v>8299</v>
      </c>
      <c r="AG238" s="160">
        <v>293698</v>
      </c>
      <c r="AH238" s="194" t="s">
        <v>679</v>
      </c>
      <c r="AI238" s="6" t="s">
        <v>1426</v>
      </c>
      <c r="AJ238" s="3" t="s">
        <v>8197</v>
      </c>
      <c r="AK238" t="s">
        <v>8197</v>
      </c>
      <c r="AL238" s="4">
        <f t="shared" si="76"/>
        <v>0</v>
      </c>
      <c r="AM238" s="6" t="s">
        <v>1642</v>
      </c>
      <c r="AN238" s="6" t="s">
        <v>6048</v>
      </c>
      <c r="AO238" t="str">
        <f t="shared" si="65"/>
        <v/>
      </c>
      <c r="AP238" t="s">
        <v>1283</v>
      </c>
      <c r="AQ238" t="s">
        <v>4512</v>
      </c>
      <c r="AR238" s="15">
        <v>8651</v>
      </c>
      <c r="AV238" t="s">
        <v>137</v>
      </c>
      <c r="AW238" t="s">
        <v>7985</v>
      </c>
      <c r="AX238" s="5">
        <v>0.39374999999999999</v>
      </c>
      <c r="AZ238" t="str">
        <f t="shared" si="77"/>
        <v>(09:02-9:27)</v>
      </c>
      <c r="BA238" s="5" t="str">
        <f t="shared" si="78"/>
        <v>(09:02-9:27)</v>
      </c>
    </row>
    <row r="239" spans="1:53" ht="15">
      <c r="A239" s="135" t="str">
        <f t="shared" si="79"/>
        <v/>
      </c>
      <c r="B239" s="19" t="str">
        <f t="shared" si="80"/>
        <v/>
      </c>
      <c r="C239" s="19" t="str">
        <f t="shared" si="81"/>
        <v/>
      </c>
      <c r="D239" s="19" t="str">
        <f t="shared" si="82"/>
        <v/>
      </c>
      <c r="E239" s="5" t="str">
        <f t="shared" si="66"/>
        <v/>
      </c>
      <c r="F239" s="12" t="str">
        <f t="shared" si="67"/>
        <v/>
      </c>
      <c r="K239" s="9" t="str">
        <f t="shared" si="69"/>
        <v/>
      </c>
      <c r="L239" s="6">
        <f t="shared" si="70"/>
        <v>0</v>
      </c>
      <c r="M239" s="6">
        <f t="shared" si="71"/>
        <v>0</v>
      </c>
      <c r="N239" s="94" t="str">
        <f t="shared" si="72"/>
        <v/>
      </c>
      <c r="O239" s="202"/>
      <c r="P239" s="199"/>
      <c r="Q239" s="203"/>
      <c r="R239" s="198"/>
      <c r="S239" s="204"/>
      <c r="T239" s="136" t="str">
        <f t="shared" si="73"/>
        <v/>
      </c>
      <c r="U239" s="137" t="str">
        <f t="shared" si="74"/>
        <v/>
      </c>
      <c r="V239" s="1"/>
      <c r="Y239" s="90" t="str">
        <f t="shared" si="75"/>
        <v/>
      </c>
      <c r="AC239" s="6" t="s">
        <v>2658</v>
      </c>
      <c r="AD239" s="6" t="s">
        <v>6882</v>
      </c>
      <c r="AE239" s="158" t="s">
        <v>3703</v>
      </c>
      <c r="AF239" s="159" t="s">
        <v>8299</v>
      </c>
      <c r="AG239" s="160">
        <v>295245</v>
      </c>
      <c r="AH239" s="194" t="s">
        <v>679</v>
      </c>
      <c r="AI239" s="6" t="s">
        <v>1427</v>
      </c>
      <c r="AJ239" s="3" t="s">
        <v>8197</v>
      </c>
      <c r="AK239" t="s">
        <v>8197</v>
      </c>
      <c r="AL239" s="4">
        <f t="shared" si="76"/>
        <v>0</v>
      </c>
      <c r="AM239" s="6" t="s">
        <v>1282</v>
      </c>
      <c r="AN239" s="6" t="s">
        <v>6049</v>
      </c>
      <c r="AO239" t="str">
        <f t="shared" si="65"/>
        <v/>
      </c>
      <c r="AP239" t="s">
        <v>1187</v>
      </c>
      <c r="AQ239" t="s">
        <v>4512</v>
      </c>
      <c r="AR239" s="15">
        <v>3498</v>
      </c>
      <c r="AV239" t="s">
        <v>78</v>
      </c>
      <c r="AW239" t="s">
        <v>8009</v>
      </c>
      <c r="AX239" s="5">
        <v>0.44166666666666665</v>
      </c>
      <c r="AZ239" t="str">
        <f t="shared" si="77"/>
        <v>(09:44-10:36)</v>
      </c>
      <c r="BA239" s="5" t="str">
        <f t="shared" si="78"/>
        <v>(09:44-10:36)</v>
      </c>
    </row>
    <row r="240" spans="1:53" ht="13.5">
      <c r="A240" s="135" t="str">
        <f t="shared" si="79"/>
        <v/>
      </c>
      <c r="B240" s="19" t="str">
        <f t="shared" si="80"/>
        <v/>
      </c>
      <c r="C240" s="19" t="str">
        <f t="shared" si="81"/>
        <v/>
      </c>
      <c r="D240" s="19" t="str">
        <f t="shared" si="82"/>
        <v/>
      </c>
      <c r="E240" s="5" t="str">
        <f t="shared" si="66"/>
        <v/>
      </c>
      <c r="F240" s="12" t="str">
        <f t="shared" si="67"/>
        <v/>
      </c>
      <c r="K240" s="9" t="str">
        <f t="shared" si="69"/>
        <v/>
      </c>
      <c r="L240" s="6">
        <f t="shared" si="70"/>
        <v>0</v>
      </c>
      <c r="M240" s="6">
        <f t="shared" si="71"/>
        <v>0</v>
      </c>
      <c r="N240" s="94" t="str">
        <f t="shared" si="72"/>
        <v/>
      </c>
      <c r="O240" s="202"/>
      <c r="P240" s="197"/>
      <c r="Q240" s="203"/>
      <c r="R240" s="198"/>
      <c r="S240" s="204"/>
      <c r="T240" s="136" t="str">
        <f t="shared" si="73"/>
        <v/>
      </c>
      <c r="U240" s="137" t="str">
        <f t="shared" si="74"/>
        <v/>
      </c>
      <c r="V240" s="1"/>
      <c r="Y240" s="90" t="str">
        <f t="shared" si="75"/>
        <v/>
      </c>
      <c r="AC240" s="6" t="s">
        <v>2655</v>
      </c>
      <c r="AD240" s="6" t="s">
        <v>6882</v>
      </c>
      <c r="AE240" s="158" t="s">
        <v>3704</v>
      </c>
      <c r="AF240" s="159" t="s">
        <v>8299</v>
      </c>
      <c r="AG240" s="160">
        <v>295246</v>
      </c>
      <c r="AH240" s="194" t="s">
        <v>679</v>
      </c>
      <c r="AI240" s="6" t="s">
        <v>173</v>
      </c>
      <c r="AJ240" s="3" t="s">
        <v>8197</v>
      </c>
      <c r="AK240" t="s">
        <v>8197</v>
      </c>
      <c r="AL240" s="4">
        <f t="shared" si="76"/>
        <v>0</v>
      </c>
      <c r="AM240" s="6" t="s">
        <v>2826</v>
      </c>
      <c r="AN240" s="6" t="s">
        <v>6050</v>
      </c>
      <c r="AO240" t="str">
        <f t="shared" si="65"/>
        <v/>
      </c>
      <c r="AP240" t="s">
        <v>4463</v>
      </c>
      <c r="AQ240" t="s">
        <v>4512</v>
      </c>
      <c r="AR240" s="15">
        <v>4753</v>
      </c>
      <c r="AV240" t="s">
        <v>3576</v>
      </c>
      <c r="AW240" t="s">
        <v>8031</v>
      </c>
      <c r="AX240" s="5">
        <v>0.45277777777777778</v>
      </c>
      <c r="AZ240" t="str">
        <f t="shared" si="77"/>
        <v>(10:36-10:52)</v>
      </c>
      <c r="BA240" s="5" t="str">
        <f t="shared" si="78"/>
        <v>(10:36-10:52)</v>
      </c>
    </row>
    <row r="241" spans="1:53" ht="13.5">
      <c r="A241" s="135" t="str">
        <f t="shared" si="79"/>
        <v/>
      </c>
      <c r="B241" s="19" t="str">
        <f t="shared" si="80"/>
        <v/>
      </c>
      <c r="C241" s="19" t="str">
        <f t="shared" si="81"/>
        <v/>
      </c>
      <c r="D241" s="19" t="str">
        <f t="shared" si="82"/>
        <v/>
      </c>
      <c r="E241" s="5" t="str">
        <f t="shared" si="66"/>
        <v/>
      </c>
      <c r="F241" s="12" t="str">
        <f t="shared" si="67"/>
        <v/>
      </c>
      <c r="K241" s="9" t="str">
        <f t="shared" si="69"/>
        <v/>
      </c>
      <c r="L241" s="6">
        <f t="shared" si="70"/>
        <v>0</v>
      </c>
      <c r="M241" s="6">
        <f t="shared" si="71"/>
        <v>0</v>
      </c>
      <c r="N241" s="94" t="str">
        <f t="shared" si="72"/>
        <v/>
      </c>
      <c r="O241" s="202"/>
      <c r="P241" s="200"/>
      <c r="Q241" s="203"/>
      <c r="R241" s="198"/>
      <c r="S241" s="204"/>
      <c r="T241" s="136" t="str">
        <f t="shared" si="73"/>
        <v/>
      </c>
      <c r="U241" s="137" t="str">
        <f t="shared" si="74"/>
        <v/>
      </c>
      <c r="V241" s="1"/>
      <c r="Y241" s="90" t="str">
        <f t="shared" si="75"/>
        <v/>
      </c>
      <c r="AC241" s="6" t="s">
        <v>2654</v>
      </c>
      <c r="AD241" s="6" t="s">
        <v>6882</v>
      </c>
      <c r="AE241" s="158" t="s">
        <v>3705</v>
      </c>
      <c r="AF241" s="159" t="s">
        <v>8299</v>
      </c>
      <c r="AG241" s="160">
        <v>295247</v>
      </c>
      <c r="AH241" s="194" t="s">
        <v>679</v>
      </c>
      <c r="AI241" s="6" t="s">
        <v>179</v>
      </c>
      <c r="AJ241" s="3" t="s">
        <v>8219</v>
      </c>
      <c r="AK241" t="s">
        <v>8219</v>
      </c>
      <c r="AL241" s="4">
        <f t="shared" si="76"/>
        <v>0</v>
      </c>
      <c r="AM241" s="6" t="s">
        <v>1374</v>
      </c>
      <c r="AN241" s="6" t="s">
        <v>6051</v>
      </c>
      <c r="AO241" t="str">
        <f t="shared" si="65"/>
        <v/>
      </c>
      <c r="AP241" t="s">
        <v>1642</v>
      </c>
      <c r="AQ241" t="s">
        <v>4519</v>
      </c>
      <c r="AR241" s="15" t="s">
        <v>4872</v>
      </c>
      <c r="AV241" t="s">
        <v>4314</v>
      </c>
      <c r="AW241" t="s">
        <v>8013</v>
      </c>
      <c r="AX241" s="5">
        <v>0.44027777777777777</v>
      </c>
      <c r="AZ241" t="str">
        <f t="shared" si="77"/>
        <v>(10:03-10:34)</v>
      </c>
      <c r="BA241" s="5" t="str">
        <f t="shared" si="78"/>
        <v>(10:03-10:34)</v>
      </c>
    </row>
    <row r="242" spans="1:53" ht="13.5">
      <c r="A242" s="135" t="str">
        <f t="shared" si="79"/>
        <v/>
      </c>
      <c r="B242" s="19" t="str">
        <f t="shared" si="80"/>
        <v/>
      </c>
      <c r="C242" s="19" t="str">
        <f t="shared" si="81"/>
        <v/>
      </c>
      <c r="D242" s="19" t="str">
        <f t="shared" si="82"/>
        <v/>
      </c>
      <c r="E242" s="5" t="str">
        <f t="shared" si="66"/>
        <v/>
      </c>
      <c r="F242" s="12" t="str">
        <f t="shared" si="67"/>
        <v/>
      </c>
      <c r="K242" s="9" t="str">
        <f t="shared" si="69"/>
        <v/>
      </c>
      <c r="L242" s="6">
        <f t="shared" si="70"/>
        <v>0</v>
      </c>
      <c r="M242" s="6">
        <f t="shared" si="71"/>
        <v>0</v>
      </c>
      <c r="N242" s="94" t="str">
        <f t="shared" si="72"/>
        <v/>
      </c>
      <c r="O242" s="202"/>
      <c r="P242" s="200"/>
      <c r="Q242" s="203"/>
      <c r="R242" s="198"/>
      <c r="S242" s="204"/>
      <c r="T242" s="136" t="str">
        <f t="shared" si="73"/>
        <v/>
      </c>
      <c r="U242" s="137" t="str">
        <f t="shared" si="74"/>
        <v/>
      </c>
      <c r="V242" s="1"/>
      <c r="Y242" s="90" t="str">
        <f t="shared" si="75"/>
        <v/>
      </c>
      <c r="AC242" s="6" t="s">
        <v>2772</v>
      </c>
      <c r="AD242" s="6" t="s">
        <v>6886</v>
      </c>
      <c r="AE242" s="158" t="s">
        <v>938</v>
      </c>
      <c r="AF242" s="159" t="s">
        <v>8299</v>
      </c>
      <c r="AG242" s="160">
        <v>295248</v>
      </c>
      <c r="AH242" s="194" t="s">
        <v>679</v>
      </c>
      <c r="AI242" s="6" t="s">
        <v>2855</v>
      </c>
      <c r="AJ242" s="3" t="s">
        <v>8203</v>
      </c>
      <c r="AK242" t="s">
        <v>8203</v>
      </c>
      <c r="AL242" s="4">
        <f t="shared" si="76"/>
        <v>0</v>
      </c>
      <c r="AM242" s="6" t="s">
        <v>1666</v>
      </c>
      <c r="AN242" s="6" t="s">
        <v>6052</v>
      </c>
      <c r="AO242" t="str">
        <f t="shared" si="65"/>
        <v/>
      </c>
      <c r="AP242" t="s">
        <v>1282</v>
      </c>
      <c r="AQ242" t="s">
        <v>4512</v>
      </c>
      <c r="AR242" s="15">
        <v>2273</v>
      </c>
      <c r="AV242" t="s">
        <v>4312</v>
      </c>
      <c r="AW242" t="s">
        <v>8104</v>
      </c>
      <c r="AX242" s="5">
        <v>0.57222222222222219</v>
      </c>
      <c r="AZ242" t="str">
        <f t="shared" si="77"/>
        <v>(13:42-13:44)</v>
      </c>
      <c r="BA242" s="5" t="str">
        <f t="shared" si="78"/>
        <v>(13:42-13:44)</v>
      </c>
    </row>
    <row r="243" spans="1:53" ht="13.5">
      <c r="A243" s="135" t="str">
        <f t="shared" si="79"/>
        <v/>
      </c>
      <c r="B243" s="19" t="str">
        <f t="shared" si="80"/>
        <v/>
      </c>
      <c r="C243" s="19" t="str">
        <f t="shared" si="81"/>
        <v/>
      </c>
      <c r="D243" s="19" t="str">
        <f t="shared" si="82"/>
        <v/>
      </c>
      <c r="E243" s="5" t="str">
        <f t="shared" si="66"/>
        <v/>
      </c>
      <c r="F243" s="12" t="str">
        <f t="shared" si="67"/>
        <v/>
      </c>
      <c r="K243" s="9" t="str">
        <f t="shared" si="69"/>
        <v/>
      </c>
      <c r="L243" s="6">
        <f t="shared" si="70"/>
        <v>0</v>
      </c>
      <c r="M243" s="6">
        <f t="shared" si="71"/>
        <v>0</v>
      </c>
      <c r="N243" s="94" t="str">
        <f t="shared" si="72"/>
        <v/>
      </c>
      <c r="O243" s="202"/>
      <c r="P243" s="200"/>
      <c r="Q243" s="203"/>
      <c r="R243" s="198"/>
      <c r="S243" s="204"/>
      <c r="T243" s="136" t="str">
        <f t="shared" si="73"/>
        <v/>
      </c>
      <c r="U243" s="137" t="str">
        <f t="shared" si="74"/>
        <v/>
      </c>
      <c r="V243" s="1"/>
      <c r="Y243" s="90" t="str">
        <f t="shared" si="75"/>
        <v/>
      </c>
      <c r="AC243" s="6" t="s">
        <v>4081</v>
      </c>
      <c r="AD243" s="6" t="s">
        <v>6887</v>
      </c>
      <c r="AE243" s="158" t="s">
        <v>3706</v>
      </c>
      <c r="AF243" s="159" t="s">
        <v>8299</v>
      </c>
      <c r="AG243" s="160">
        <v>295292</v>
      </c>
      <c r="AH243" s="194" t="s">
        <v>678</v>
      </c>
      <c r="AI243" s="6" t="s">
        <v>2859</v>
      </c>
      <c r="AJ243" s="3" t="s">
        <v>8204</v>
      </c>
      <c r="AK243" t="s">
        <v>8204</v>
      </c>
      <c r="AL243" s="4">
        <f t="shared" si="76"/>
        <v>0</v>
      </c>
      <c r="AM243" s="6" t="s">
        <v>1027</v>
      </c>
      <c r="AN243" s="6" t="s">
        <v>6053</v>
      </c>
      <c r="AO243" t="str">
        <f t="shared" si="65"/>
        <v/>
      </c>
      <c r="AP243" t="s">
        <v>2826</v>
      </c>
      <c r="AQ243" t="s">
        <v>4512</v>
      </c>
      <c r="AR243" s="15">
        <v>1325</v>
      </c>
      <c r="AV243" t="s">
        <v>4309</v>
      </c>
      <c r="AW243" t="s">
        <v>8034</v>
      </c>
      <c r="AX243" s="5">
        <v>0.45</v>
      </c>
      <c r="AZ243" t="str">
        <f t="shared" si="77"/>
        <v>(10:46-10:48)</v>
      </c>
      <c r="BA243" s="5" t="str">
        <f t="shared" si="78"/>
        <v>(10:46-10:48)</v>
      </c>
    </row>
    <row r="244" spans="1:53" ht="13.5">
      <c r="A244" s="135" t="str">
        <f t="shared" si="79"/>
        <v/>
      </c>
      <c r="B244" s="19" t="str">
        <f t="shared" si="80"/>
        <v/>
      </c>
      <c r="C244" s="19" t="str">
        <f t="shared" si="81"/>
        <v/>
      </c>
      <c r="D244" s="19" t="str">
        <f t="shared" si="82"/>
        <v/>
      </c>
      <c r="E244" s="5" t="str">
        <f t="shared" si="66"/>
        <v/>
      </c>
      <c r="F244" s="12" t="str">
        <f t="shared" si="67"/>
        <v/>
      </c>
      <c r="K244" s="9" t="str">
        <f t="shared" si="69"/>
        <v/>
      </c>
      <c r="L244" s="6">
        <f t="shared" si="70"/>
        <v>0</v>
      </c>
      <c r="M244" s="6">
        <f t="shared" si="71"/>
        <v>0</v>
      </c>
      <c r="N244" s="94" t="str">
        <f t="shared" si="72"/>
        <v/>
      </c>
      <c r="O244" s="202"/>
      <c r="P244" s="200"/>
      <c r="Q244" s="203"/>
      <c r="R244" s="198"/>
      <c r="S244" s="204"/>
      <c r="T244" s="136" t="str">
        <f t="shared" si="73"/>
        <v/>
      </c>
      <c r="U244" s="137" t="str">
        <f t="shared" si="74"/>
        <v/>
      </c>
      <c r="V244" s="1"/>
      <c r="Y244" s="90" t="str">
        <f t="shared" si="75"/>
        <v/>
      </c>
      <c r="AC244" s="6" t="s">
        <v>2481</v>
      </c>
      <c r="AD244" s="6" t="s">
        <v>6888</v>
      </c>
      <c r="AE244" s="158" t="s">
        <v>3707</v>
      </c>
      <c r="AF244" s="159" t="s">
        <v>8299</v>
      </c>
      <c r="AG244" s="160">
        <v>295293</v>
      </c>
      <c r="AH244" s="194" t="s">
        <v>679</v>
      </c>
      <c r="AI244" s="6" t="s">
        <v>2860</v>
      </c>
      <c r="AJ244" s="3" t="s">
        <v>8204</v>
      </c>
      <c r="AK244" t="s">
        <v>8204</v>
      </c>
      <c r="AL244" s="4">
        <f t="shared" si="76"/>
        <v>0</v>
      </c>
      <c r="AM244" s="6" t="s">
        <v>3442</v>
      </c>
      <c r="AN244" s="6" t="s">
        <v>6054</v>
      </c>
      <c r="AO244" t="str">
        <f t="shared" si="65"/>
        <v/>
      </c>
      <c r="AP244" t="s">
        <v>1374</v>
      </c>
      <c r="AQ244" t="s">
        <v>4841</v>
      </c>
      <c r="AR244" s="15" t="s">
        <v>4547</v>
      </c>
      <c r="AV244" t="s">
        <v>118</v>
      </c>
      <c r="AW244" t="s">
        <v>8139</v>
      </c>
      <c r="AX244" s="5">
        <v>0.64097222222222217</v>
      </c>
      <c r="AZ244" t="str">
        <f t="shared" si="77"/>
        <v>(15:17-15:23)</v>
      </c>
      <c r="BA244" s="5" t="str">
        <f t="shared" si="78"/>
        <v>(09:18-9:23)(12:22-12:27)(15:17-15:23)</v>
      </c>
    </row>
    <row r="245" spans="1:53" ht="13.5">
      <c r="A245" s="135" t="str">
        <f t="shared" si="79"/>
        <v/>
      </c>
      <c r="B245" s="19" t="str">
        <f t="shared" si="80"/>
        <v/>
      </c>
      <c r="C245" s="19" t="str">
        <f t="shared" si="81"/>
        <v/>
      </c>
      <c r="D245" s="19" t="str">
        <f t="shared" si="82"/>
        <v/>
      </c>
      <c r="E245" s="5" t="str">
        <f t="shared" si="66"/>
        <v/>
      </c>
      <c r="F245" s="12" t="str">
        <f t="shared" si="67"/>
        <v/>
      </c>
      <c r="K245" s="9" t="str">
        <f t="shared" si="69"/>
        <v/>
      </c>
      <c r="L245" s="6">
        <f t="shared" si="70"/>
        <v>0</v>
      </c>
      <c r="M245" s="6">
        <f t="shared" si="71"/>
        <v>0</v>
      </c>
      <c r="N245" s="94" t="str">
        <f t="shared" si="72"/>
        <v/>
      </c>
      <c r="O245" s="202"/>
      <c r="P245" s="200"/>
      <c r="Q245" s="203"/>
      <c r="R245" s="198"/>
      <c r="S245" s="204"/>
      <c r="T245" s="136" t="str">
        <f t="shared" si="73"/>
        <v/>
      </c>
      <c r="U245" s="137" t="str">
        <f t="shared" si="74"/>
        <v/>
      </c>
      <c r="V245" s="1"/>
      <c r="Y245" s="90" t="str">
        <f t="shared" si="75"/>
        <v/>
      </c>
      <c r="AC245" s="6" t="s">
        <v>5714</v>
      </c>
      <c r="AD245" s="6" t="s">
        <v>6889</v>
      </c>
      <c r="AE245" s="158" t="s">
        <v>3708</v>
      </c>
      <c r="AF245" s="159" t="s">
        <v>8299</v>
      </c>
      <c r="AG245" s="161">
        <v>295294</v>
      </c>
      <c r="AH245" s="194" t="s">
        <v>678</v>
      </c>
      <c r="AI245" s="6" t="s">
        <v>2875</v>
      </c>
      <c r="AJ245" s="3" t="s">
        <v>8246</v>
      </c>
      <c r="AK245" t="s">
        <v>8246</v>
      </c>
      <c r="AL245" s="4">
        <f t="shared" si="76"/>
        <v>0</v>
      </c>
      <c r="AM245" s="6" t="s">
        <v>1193</v>
      </c>
      <c r="AN245" s="6" t="s">
        <v>6055</v>
      </c>
      <c r="AO245" t="str">
        <f t="shared" si="65"/>
        <v/>
      </c>
      <c r="AP245" t="s">
        <v>1666</v>
      </c>
      <c r="AQ245" t="s">
        <v>4512</v>
      </c>
      <c r="AR245" s="15">
        <v>3480</v>
      </c>
      <c r="AV245" t="s">
        <v>118</v>
      </c>
      <c r="AW245" t="s">
        <v>8066</v>
      </c>
      <c r="AX245" s="5">
        <v>0.51874999999999993</v>
      </c>
      <c r="AZ245" t="str">
        <f t="shared" si="77"/>
        <v>(12:22-12:27)</v>
      </c>
      <c r="BA245" s="5" t="str">
        <f t="shared" si="78"/>
        <v>(09:18-9:23)(15:17-15:23)(12:22-12:27)</v>
      </c>
    </row>
    <row r="246" spans="1:53" ht="13.5">
      <c r="A246" s="135" t="str">
        <f t="shared" si="79"/>
        <v/>
      </c>
      <c r="B246" s="19" t="str">
        <f t="shared" si="80"/>
        <v/>
      </c>
      <c r="C246" s="19" t="str">
        <f t="shared" si="81"/>
        <v/>
      </c>
      <c r="D246" s="19" t="str">
        <f t="shared" si="82"/>
        <v/>
      </c>
      <c r="E246" s="5" t="str">
        <f t="shared" si="66"/>
        <v/>
      </c>
      <c r="F246" s="12" t="str">
        <f t="shared" si="67"/>
        <v/>
      </c>
      <c r="K246" s="9" t="str">
        <f t="shared" si="69"/>
        <v/>
      </c>
      <c r="L246" s="6">
        <f t="shared" si="70"/>
        <v>0</v>
      </c>
      <c r="M246" s="6">
        <f t="shared" si="71"/>
        <v>0</v>
      </c>
      <c r="N246" s="94" t="str">
        <f t="shared" si="72"/>
        <v/>
      </c>
      <c r="O246" s="202"/>
      <c r="P246" s="200"/>
      <c r="Q246" s="203"/>
      <c r="R246" s="198"/>
      <c r="S246" s="204"/>
      <c r="T246" s="136" t="str">
        <f t="shared" si="73"/>
        <v/>
      </c>
      <c r="U246" s="137" t="str">
        <f t="shared" si="74"/>
        <v/>
      </c>
      <c r="V246" s="1"/>
      <c r="Y246" s="90" t="str">
        <f t="shared" si="75"/>
        <v/>
      </c>
      <c r="AC246" s="6" t="s">
        <v>2773</v>
      </c>
      <c r="AD246" s="6" t="s">
        <v>6886</v>
      </c>
      <c r="AE246" s="158" t="s">
        <v>3709</v>
      </c>
      <c r="AF246" s="159" t="s">
        <v>8339</v>
      </c>
      <c r="AG246" s="160">
        <v>295295</v>
      </c>
      <c r="AH246" s="194" t="s">
        <v>679</v>
      </c>
      <c r="AI246" s="6" t="s">
        <v>2883</v>
      </c>
      <c r="AJ246" s="3" t="s">
        <v>8193</v>
      </c>
      <c r="AK246" t="s">
        <v>8205</v>
      </c>
      <c r="AL246" s="4">
        <f t="shared" si="76"/>
        <v>0</v>
      </c>
      <c r="AM246" s="6" t="s">
        <v>4462</v>
      </c>
      <c r="AN246" s="6" t="s">
        <v>6056</v>
      </c>
      <c r="AO246" t="str">
        <f t="shared" si="65"/>
        <v/>
      </c>
      <c r="AP246" t="s">
        <v>1027</v>
      </c>
      <c r="AQ246" t="s">
        <v>4518</v>
      </c>
      <c r="AR246" s="15" t="s">
        <v>4873</v>
      </c>
      <c r="AV246" t="s">
        <v>118</v>
      </c>
      <c r="AW246" t="s">
        <v>7993</v>
      </c>
      <c r="AX246" s="5">
        <v>0.39097222222222222</v>
      </c>
      <c r="AZ246" t="str">
        <f t="shared" si="77"/>
        <v>(09:18-9:23)</v>
      </c>
      <c r="BA246" s="5" t="str">
        <f t="shared" si="78"/>
        <v>(12:22-12:27)(09:18-9:23)</v>
      </c>
    </row>
    <row r="247" spans="1:53" ht="13.5">
      <c r="A247" s="135" t="str">
        <f t="shared" si="79"/>
        <v/>
      </c>
      <c r="B247" s="19" t="str">
        <f t="shared" si="80"/>
        <v/>
      </c>
      <c r="C247" s="19" t="str">
        <f t="shared" si="81"/>
        <v/>
      </c>
      <c r="D247" s="19" t="str">
        <f t="shared" si="82"/>
        <v/>
      </c>
      <c r="E247" s="5" t="str">
        <f t="shared" si="66"/>
        <v/>
      </c>
      <c r="F247" s="12" t="str">
        <f t="shared" si="67"/>
        <v/>
      </c>
      <c r="K247" s="9" t="str">
        <f t="shared" si="69"/>
        <v/>
      </c>
      <c r="L247" s="6">
        <f t="shared" si="70"/>
        <v>0</v>
      </c>
      <c r="M247" s="6">
        <f t="shared" si="71"/>
        <v>0</v>
      </c>
      <c r="N247" s="94" t="str">
        <f t="shared" si="72"/>
        <v/>
      </c>
      <c r="O247" s="202"/>
      <c r="P247" s="200"/>
      <c r="Q247" s="203"/>
      <c r="R247" s="198"/>
      <c r="S247" s="204"/>
      <c r="T247" s="136" t="str">
        <f t="shared" si="73"/>
        <v/>
      </c>
      <c r="U247" s="137" t="str">
        <f t="shared" si="74"/>
        <v/>
      </c>
      <c r="V247" s="1"/>
      <c r="Y247" s="90" t="str">
        <f t="shared" si="75"/>
        <v/>
      </c>
      <c r="AC247" s="6" t="s">
        <v>2653</v>
      </c>
      <c r="AD247" s="6" t="s">
        <v>6882</v>
      </c>
      <c r="AE247" s="158" t="s">
        <v>3710</v>
      </c>
      <c r="AF247" s="159" t="s">
        <v>8339</v>
      </c>
      <c r="AG247" s="160">
        <v>295296</v>
      </c>
      <c r="AH247" s="194" t="s">
        <v>679</v>
      </c>
      <c r="AI247" s="6" t="s">
        <v>2918</v>
      </c>
      <c r="AJ247" s="3" t="s">
        <v>8193</v>
      </c>
      <c r="AK247" t="s">
        <v>8205</v>
      </c>
      <c r="AL247" s="4">
        <f t="shared" si="76"/>
        <v>0</v>
      </c>
      <c r="AM247" s="6" t="s">
        <v>1269</v>
      </c>
      <c r="AN247" s="6" t="s">
        <v>6057</v>
      </c>
      <c r="AO247" t="str">
        <f t="shared" si="65"/>
        <v/>
      </c>
      <c r="AP247" t="s">
        <v>3442</v>
      </c>
      <c r="AQ247" t="s">
        <v>4512</v>
      </c>
      <c r="AR247" s="15">
        <v>9468</v>
      </c>
      <c r="AV247" t="s">
        <v>3549</v>
      </c>
      <c r="AW247" t="s">
        <v>8103</v>
      </c>
      <c r="AX247" s="5">
        <v>0.56736111111111109</v>
      </c>
      <c r="AZ247" t="str">
        <f t="shared" si="77"/>
        <v>(13:32-13:37)</v>
      </c>
      <c r="BA247" s="5" t="str">
        <f t="shared" si="78"/>
        <v>(10:05-10:11)(13:32-13:37)</v>
      </c>
    </row>
    <row r="248" spans="1:53" ht="13.5">
      <c r="A248" s="135" t="str">
        <f t="shared" si="79"/>
        <v/>
      </c>
      <c r="B248" s="19" t="str">
        <f t="shared" si="80"/>
        <v/>
      </c>
      <c r="C248" s="19" t="str">
        <f t="shared" si="81"/>
        <v/>
      </c>
      <c r="D248" s="19" t="str">
        <f t="shared" si="82"/>
        <v/>
      </c>
      <c r="E248" s="5" t="str">
        <f t="shared" si="66"/>
        <v/>
      </c>
      <c r="F248" s="12" t="str">
        <f t="shared" si="67"/>
        <v/>
      </c>
      <c r="K248" s="9" t="str">
        <f t="shared" si="69"/>
        <v/>
      </c>
      <c r="L248" s="6">
        <f t="shared" si="70"/>
        <v>0</v>
      </c>
      <c r="M248" s="6">
        <f t="shared" si="71"/>
        <v>0</v>
      </c>
      <c r="N248" s="94" t="str">
        <f t="shared" si="72"/>
        <v/>
      </c>
      <c r="O248" s="202"/>
      <c r="P248" s="200"/>
      <c r="Q248" s="203"/>
      <c r="R248" s="198"/>
      <c r="S248" s="204"/>
      <c r="T248" s="136" t="str">
        <f t="shared" si="73"/>
        <v/>
      </c>
      <c r="U248" s="137" t="str">
        <f t="shared" si="74"/>
        <v/>
      </c>
      <c r="V248" s="1"/>
      <c r="Y248" s="90" t="str">
        <f t="shared" si="75"/>
        <v/>
      </c>
      <c r="AC248" s="6" t="s">
        <v>2690</v>
      </c>
      <c r="AD248" s="6" t="s">
        <v>6890</v>
      </c>
      <c r="AE248" s="158" t="s">
        <v>3711</v>
      </c>
      <c r="AF248" s="159" t="s">
        <v>8299</v>
      </c>
      <c r="AG248" s="160">
        <v>295297</v>
      </c>
      <c r="AH248" s="194" t="s">
        <v>679</v>
      </c>
      <c r="AI248" s="6" t="s">
        <v>2944</v>
      </c>
      <c r="AJ248" s="3" t="s">
        <v>8240</v>
      </c>
      <c r="AK248" t="s">
        <v>8240</v>
      </c>
      <c r="AL248" s="4">
        <f t="shared" si="76"/>
        <v>0</v>
      </c>
      <c r="AM248" s="6" t="s">
        <v>4464</v>
      </c>
      <c r="AN248" s="6" t="s">
        <v>6058</v>
      </c>
      <c r="AO248" t="str">
        <f t="shared" si="65"/>
        <v/>
      </c>
      <c r="AP248" t="s">
        <v>1193</v>
      </c>
      <c r="AQ248" t="s">
        <v>4512</v>
      </c>
      <c r="AR248" s="15">
        <v>7193</v>
      </c>
      <c r="AV248" t="s">
        <v>3549</v>
      </c>
      <c r="AW248" t="s">
        <v>8027</v>
      </c>
      <c r="AX248" s="5">
        <v>0.42430555555555555</v>
      </c>
      <c r="AZ248" t="str">
        <f t="shared" si="77"/>
        <v>(10:05-10:11)</v>
      </c>
      <c r="BA248" s="5" t="str">
        <f t="shared" si="78"/>
        <v>(13:32-13:37)(10:05-10:11)</v>
      </c>
    </row>
    <row r="249" spans="1:53" ht="13.5">
      <c r="A249" s="135" t="str">
        <f t="shared" si="79"/>
        <v/>
      </c>
      <c r="B249" s="19" t="str">
        <f t="shared" si="80"/>
        <v/>
      </c>
      <c r="C249" s="19" t="str">
        <f t="shared" si="81"/>
        <v/>
      </c>
      <c r="D249" s="19" t="str">
        <f t="shared" si="82"/>
        <v/>
      </c>
      <c r="E249" s="5" t="str">
        <f t="shared" si="66"/>
        <v/>
      </c>
      <c r="F249" s="12" t="str">
        <f t="shared" si="67"/>
        <v/>
      </c>
      <c r="K249" s="9" t="str">
        <f t="shared" si="69"/>
        <v/>
      </c>
      <c r="L249" s="6">
        <f t="shared" si="70"/>
        <v>0</v>
      </c>
      <c r="M249" s="6">
        <f t="shared" si="71"/>
        <v>0</v>
      </c>
      <c r="N249" s="94" t="str">
        <f t="shared" si="72"/>
        <v/>
      </c>
      <c r="O249" s="202"/>
      <c r="P249" s="200"/>
      <c r="Q249" s="203"/>
      <c r="R249" s="198"/>
      <c r="S249" s="204"/>
      <c r="T249" s="136" t="str">
        <f t="shared" si="73"/>
        <v/>
      </c>
      <c r="U249" s="137" t="str">
        <f t="shared" si="74"/>
        <v/>
      </c>
      <c r="V249" s="1"/>
      <c r="Y249" s="90" t="str">
        <f t="shared" si="75"/>
        <v/>
      </c>
      <c r="AC249" s="6" t="s">
        <v>2504</v>
      </c>
      <c r="AD249" s="6" t="s">
        <v>6890</v>
      </c>
      <c r="AE249" s="158" t="s">
        <v>3712</v>
      </c>
      <c r="AF249" s="159" t="s">
        <v>8299</v>
      </c>
      <c r="AG249" s="160">
        <v>303558</v>
      </c>
      <c r="AH249" s="194" t="s">
        <v>679</v>
      </c>
      <c r="AI249" s="6" t="s">
        <v>2953</v>
      </c>
      <c r="AJ249" s="3" t="s">
        <v>8220</v>
      </c>
      <c r="AK249" t="s">
        <v>8220</v>
      </c>
      <c r="AL249" s="4">
        <f t="shared" si="76"/>
        <v>0</v>
      </c>
      <c r="AM249" s="6" t="s">
        <v>3443</v>
      </c>
      <c r="AN249" s="6" t="s">
        <v>6059</v>
      </c>
      <c r="AO249" t="str">
        <f t="shared" si="65"/>
        <v/>
      </c>
      <c r="AP249" t="s">
        <v>4462</v>
      </c>
      <c r="AQ249" t="s">
        <v>4512</v>
      </c>
      <c r="AR249" s="15">
        <v>4542</v>
      </c>
      <c r="AV249" t="s">
        <v>115</v>
      </c>
      <c r="AW249" t="s">
        <v>8084</v>
      </c>
      <c r="AX249" s="5">
        <v>0.59722222222222221</v>
      </c>
      <c r="AZ249" t="str">
        <f t="shared" si="77"/>
        <v>(13:14-14:20)</v>
      </c>
      <c r="BA249" s="5" t="str">
        <f t="shared" si="78"/>
        <v>(10:19-10:24)(10:25-10:28)(10:42-10:45)(10:48-10:52)(11:34-11:35)(13:14-14:20)</v>
      </c>
    </row>
    <row r="250" spans="1:53" ht="13.5">
      <c r="A250" s="135" t="str">
        <f t="shared" si="79"/>
        <v/>
      </c>
      <c r="B250" s="19" t="str">
        <f t="shared" si="80"/>
        <v/>
      </c>
      <c r="C250" s="19" t="str">
        <f t="shared" si="81"/>
        <v/>
      </c>
      <c r="D250" s="19" t="str">
        <f t="shared" si="82"/>
        <v/>
      </c>
      <c r="E250" s="5" t="str">
        <f t="shared" si="66"/>
        <v/>
      </c>
      <c r="F250" s="12" t="str">
        <f t="shared" si="67"/>
        <v/>
      </c>
      <c r="K250" s="9" t="str">
        <f t="shared" si="69"/>
        <v/>
      </c>
      <c r="L250" s="6">
        <f t="shared" si="70"/>
        <v>0</v>
      </c>
      <c r="M250" s="6">
        <f t="shared" si="71"/>
        <v>0</v>
      </c>
      <c r="N250" s="94" t="str">
        <f t="shared" si="72"/>
        <v/>
      </c>
      <c r="O250" s="202"/>
      <c r="P250" s="200"/>
      <c r="Q250" s="203"/>
      <c r="R250" s="198"/>
      <c r="S250" s="204"/>
      <c r="T250" s="136" t="str">
        <f t="shared" si="73"/>
        <v/>
      </c>
      <c r="U250" s="137" t="str">
        <f t="shared" si="74"/>
        <v/>
      </c>
      <c r="V250" s="1"/>
      <c r="Y250" s="90" t="str">
        <f t="shared" si="75"/>
        <v/>
      </c>
      <c r="AC250" s="6">
        <v>243418</v>
      </c>
      <c r="AD250" s="6" t="s">
        <v>6891</v>
      </c>
      <c r="AE250" s="158" t="s">
        <v>3713</v>
      </c>
      <c r="AF250" s="159" t="s">
        <v>8299</v>
      </c>
      <c r="AG250" s="160">
        <v>305298</v>
      </c>
      <c r="AH250" s="194" t="s">
        <v>679</v>
      </c>
      <c r="AI250" s="6" t="s">
        <v>2996</v>
      </c>
      <c r="AJ250" s="3" t="s">
        <v>8211</v>
      </c>
      <c r="AK250" t="s">
        <v>8242</v>
      </c>
      <c r="AL250" s="4">
        <f t="shared" si="76"/>
        <v>0</v>
      </c>
      <c r="AM250" s="6" t="s">
        <v>3444</v>
      </c>
      <c r="AN250" s="6" t="s">
        <v>6060</v>
      </c>
      <c r="AO250" t="str">
        <f t="shared" si="65"/>
        <v/>
      </c>
      <c r="AP250" t="s">
        <v>1269</v>
      </c>
      <c r="AQ250" t="s">
        <v>4841</v>
      </c>
      <c r="AR250" s="15" t="s">
        <v>4679</v>
      </c>
      <c r="AV250" t="s">
        <v>115</v>
      </c>
      <c r="AW250" t="s">
        <v>8054</v>
      </c>
      <c r="AX250" s="5">
        <v>0.4826388888888889</v>
      </c>
      <c r="AZ250" t="str">
        <f t="shared" si="77"/>
        <v>(11:34-11:35)</v>
      </c>
      <c r="BA250" s="5" t="str">
        <f t="shared" si="78"/>
        <v>(10:19-10:24)(10:25-10:28)(10:42-10:45)(10:48-10:52)(13:14-14:20)(11:34-11:35)</v>
      </c>
    </row>
    <row r="251" spans="1:53" ht="13.5">
      <c r="A251" s="135" t="str">
        <f t="shared" si="79"/>
        <v/>
      </c>
      <c r="B251" s="19" t="str">
        <f t="shared" si="80"/>
        <v/>
      </c>
      <c r="C251" s="19" t="str">
        <f t="shared" si="81"/>
        <v/>
      </c>
      <c r="D251" s="19" t="str">
        <f t="shared" si="82"/>
        <v/>
      </c>
      <c r="E251" s="5" t="str">
        <f t="shared" si="66"/>
        <v/>
      </c>
      <c r="F251" s="12" t="str">
        <f t="shared" si="67"/>
        <v/>
      </c>
      <c r="K251" s="9" t="str">
        <f t="shared" si="69"/>
        <v/>
      </c>
      <c r="L251" s="6">
        <f t="shared" si="70"/>
        <v>0</v>
      </c>
      <c r="M251" s="6">
        <f t="shared" si="71"/>
        <v>0</v>
      </c>
      <c r="N251" s="94" t="str">
        <f t="shared" si="72"/>
        <v/>
      </c>
      <c r="O251" s="202"/>
      <c r="P251" s="200"/>
      <c r="Q251" s="203"/>
      <c r="R251" s="198"/>
      <c r="S251" s="204"/>
      <c r="T251" s="136" t="str">
        <f t="shared" si="73"/>
        <v/>
      </c>
      <c r="U251" s="137" t="str">
        <f t="shared" si="74"/>
        <v/>
      </c>
      <c r="V251" s="1"/>
      <c r="Y251" s="90" t="str">
        <f t="shared" si="75"/>
        <v/>
      </c>
      <c r="AC251" s="6" t="s">
        <v>2617</v>
      </c>
      <c r="AD251" s="6" t="s">
        <v>6892</v>
      </c>
      <c r="AE251" s="158" t="s">
        <v>3714</v>
      </c>
      <c r="AF251" s="159" t="s">
        <v>8299</v>
      </c>
      <c r="AG251" s="160">
        <v>305407</v>
      </c>
      <c r="AH251" s="194" t="s">
        <v>679</v>
      </c>
      <c r="AI251" s="6" t="s">
        <v>3005</v>
      </c>
      <c r="AJ251" s="3" t="s">
        <v>8203</v>
      </c>
      <c r="AK251" t="s">
        <v>8203</v>
      </c>
      <c r="AL251" s="4">
        <f t="shared" si="76"/>
        <v>0</v>
      </c>
      <c r="AM251" s="6" t="s">
        <v>2277</v>
      </c>
      <c r="AN251" s="6" t="s">
        <v>6061</v>
      </c>
      <c r="AO251" t="str">
        <f t="shared" si="65"/>
        <v/>
      </c>
      <c r="AP251" t="s">
        <v>4464</v>
      </c>
      <c r="AQ251" t="s">
        <v>4512</v>
      </c>
      <c r="AR251" s="15">
        <v>4933</v>
      </c>
      <c r="AV251" t="s">
        <v>115</v>
      </c>
      <c r="AW251" t="s">
        <v>8040</v>
      </c>
      <c r="AX251" s="5">
        <v>0.45277777777777778</v>
      </c>
      <c r="AZ251" t="str">
        <f t="shared" si="77"/>
        <v>(10:48-10:52)</v>
      </c>
      <c r="BA251" s="5" t="str">
        <f t="shared" si="78"/>
        <v>(10:19-10:24)(10:25-10:28)(10:42-10:45)(11:34-11:35)(10:48-10:52)</v>
      </c>
    </row>
    <row r="252" spans="1:53" ht="13.5">
      <c r="A252" s="135" t="str">
        <f t="shared" si="79"/>
        <v/>
      </c>
      <c r="B252" s="19" t="str">
        <f t="shared" si="80"/>
        <v/>
      </c>
      <c r="C252" s="19" t="str">
        <f t="shared" si="81"/>
        <v/>
      </c>
      <c r="D252" s="19" t="str">
        <f t="shared" si="82"/>
        <v/>
      </c>
      <c r="E252" s="5" t="str">
        <f t="shared" si="66"/>
        <v/>
      </c>
      <c r="F252" s="12" t="str">
        <f t="shared" si="67"/>
        <v/>
      </c>
      <c r="K252" s="9" t="str">
        <f t="shared" si="69"/>
        <v/>
      </c>
      <c r="L252" s="6">
        <f t="shared" si="70"/>
        <v>0</v>
      </c>
      <c r="M252" s="6">
        <f t="shared" si="71"/>
        <v>0</v>
      </c>
      <c r="N252" s="94" t="str">
        <f t="shared" si="72"/>
        <v/>
      </c>
      <c r="O252" s="202"/>
      <c r="P252" s="200"/>
      <c r="Q252" s="203"/>
      <c r="R252" s="198"/>
      <c r="S252" s="204"/>
      <c r="T252" s="136" t="str">
        <f t="shared" si="73"/>
        <v/>
      </c>
      <c r="U252" s="137" t="str">
        <f t="shared" si="74"/>
        <v/>
      </c>
      <c r="V252" s="1"/>
      <c r="Y252" s="90" t="str">
        <f t="shared" si="75"/>
        <v/>
      </c>
      <c r="AC252" s="6" t="s">
        <v>2591</v>
      </c>
      <c r="AD252" s="6" t="s">
        <v>6893</v>
      </c>
      <c r="AE252" s="158" t="s">
        <v>3715</v>
      </c>
      <c r="AF252" s="159" t="s">
        <v>8299</v>
      </c>
      <c r="AG252" s="160">
        <v>305408</v>
      </c>
      <c r="AH252" s="194" t="s">
        <v>679</v>
      </c>
      <c r="AI252" s="6" t="s">
        <v>3006</v>
      </c>
      <c r="AJ252" s="3" t="s">
        <v>8203</v>
      </c>
      <c r="AK252" t="s">
        <v>8203</v>
      </c>
      <c r="AL252" s="4">
        <f t="shared" si="76"/>
        <v>0</v>
      </c>
      <c r="AM252" s="6" t="s">
        <v>2276</v>
      </c>
      <c r="AN252" s="6" t="s">
        <v>6062</v>
      </c>
      <c r="AO252" t="str">
        <f t="shared" si="65"/>
        <v/>
      </c>
      <c r="AP252" t="s">
        <v>3443</v>
      </c>
      <c r="AQ252" t="s">
        <v>4519</v>
      </c>
      <c r="AR252" s="15" t="s">
        <v>4537</v>
      </c>
      <c r="AV252" t="s">
        <v>115</v>
      </c>
      <c r="AW252" t="s">
        <v>8038</v>
      </c>
      <c r="AX252" s="5">
        <v>0.44791666666666669</v>
      </c>
      <c r="AZ252" t="str">
        <f t="shared" si="77"/>
        <v>(10:42-10:45)</v>
      </c>
      <c r="BA252" s="5" t="str">
        <f t="shared" si="78"/>
        <v>(10:19-10:24)(10:25-10:28)(10:48-10:52)(10:42-10:45)</v>
      </c>
    </row>
    <row r="253" spans="1:53" ht="13.5">
      <c r="A253" s="135" t="str">
        <f t="shared" si="79"/>
        <v/>
      </c>
      <c r="B253" s="19" t="str">
        <f t="shared" si="80"/>
        <v/>
      </c>
      <c r="C253" s="19" t="str">
        <f t="shared" si="81"/>
        <v/>
      </c>
      <c r="D253" s="19" t="str">
        <f t="shared" si="82"/>
        <v/>
      </c>
      <c r="E253" s="5" t="str">
        <f t="shared" si="66"/>
        <v/>
      </c>
      <c r="F253" s="12" t="str">
        <f t="shared" si="67"/>
        <v/>
      </c>
      <c r="K253" s="9" t="str">
        <f t="shared" si="69"/>
        <v/>
      </c>
      <c r="L253" s="6">
        <f t="shared" si="70"/>
        <v>0</v>
      </c>
      <c r="M253" s="6">
        <f t="shared" si="71"/>
        <v>0</v>
      </c>
      <c r="N253" s="94" t="str">
        <f t="shared" si="72"/>
        <v/>
      </c>
      <c r="O253" s="202"/>
      <c r="P253" s="200"/>
      <c r="Q253" s="203"/>
      <c r="R253" s="198"/>
      <c r="S253" s="204"/>
      <c r="T253" s="136" t="str">
        <f t="shared" si="73"/>
        <v/>
      </c>
      <c r="U253" s="137" t="str">
        <f t="shared" si="74"/>
        <v/>
      </c>
      <c r="V253" s="1"/>
      <c r="Y253" s="90" t="str">
        <f t="shared" si="75"/>
        <v/>
      </c>
      <c r="AC253" s="6" t="s">
        <v>2483</v>
      </c>
      <c r="AD253" s="6" t="s">
        <v>6894</v>
      </c>
      <c r="AE253" s="158" t="s">
        <v>3716</v>
      </c>
      <c r="AF253" s="159" t="s">
        <v>8299</v>
      </c>
      <c r="AG253" s="160">
        <v>313556</v>
      </c>
      <c r="AH253" s="194" t="s">
        <v>679</v>
      </c>
      <c r="AI253" s="6" t="s">
        <v>3007</v>
      </c>
      <c r="AJ253" s="3" t="s">
        <v>8203</v>
      </c>
      <c r="AK253" t="s">
        <v>8203</v>
      </c>
      <c r="AL253" s="4">
        <f t="shared" si="76"/>
        <v>0</v>
      </c>
      <c r="AM253" s="6" t="s">
        <v>1236</v>
      </c>
      <c r="AN253" s="6" t="s">
        <v>6063</v>
      </c>
      <c r="AO253" t="str">
        <f t="shared" si="65"/>
        <v/>
      </c>
      <c r="AP253" t="s">
        <v>3444</v>
      </c>
      <c r="AQ253" t="s">
        <v>4512</v>
      </c>
      <c r="AR253" s="15">
        <v>9001</v>
      </c>
      <c r="AV253" t="s">
        <v>115</v>
      </c>
      <c r="AW253" t="s">
        <v>8030</v>
      </c>
      <c r="AX253" s="5">
        <v>0.43611111111111112</v>
      </c>
      <c r="AZ253" t="str">
        <f t="shared" si="77"/>
        <v>(10:25-10:28)</v>
      </c>
      <c r="BA253" s="5" t="str">
        <f t="shared" si="78"/>
        <v>(10:19-10:24)(10:42-10:45)(10:25-10:28)</v>
      </c>
    </row>
    <row r="254" spans="1:53" ht="13.5">
      <c r="A254" s="135" t="str">
        <f t="shared" si="79"/>
        <v/>
      </c>
      <c r="B254" s="19" t="str">
        <f t="shared" si="80"/>
        <v/>
      </c>
      <c r="C254" s="19" t="str">
        <f t="shared" si="81"/>
        <v/>
      </c>
      <c r="D254" s="19" t="str">
        <f t="shared" si="82"/>
        <v/>
      </c>
      <c r="E254" s="5" t="str">
        <f t="shared" si="66"/>
        <v/>
      </c>
      <c r="F254" s="12" t="str">
        <f t="shared" si="67"/>
        <v/>
      </c>
      <c r="K254" s="9" t="str">
        <f t="shared" si="69"/>
        <v/>
      </c>
      <c r="L254" s="6">
        <f t="shared" si="70"/>
        <v>0</v>
      </c>
      <c r="M254" s="6">
        <f t="shared" si="71"/>
        <v>0</v>
      </c>
      <c r="N254" s="94" t="str">
        <f t="shared" si="72"/>
        <v/>
      </c>
      <c r="O254" s="202"/>
      <c r="P254" s="200"/>
      <c r="Q254" s="203"/>
      <c r="R254" s="198"/>
      <c r="S254" s="204"/>
      <c r="T254" s="136" t="str">
        <f t="shared" si="73"/>
        <v/>
      </c>
      <c r="U254" s="137" t="str">
        <f t="shared" si="74"/>
        <v/>
      </c>
      <c r="V254" s="1"/>
      <c r="Y254" s="90" t="str">
        <f t="shared" si="75"/>
        <v/>
      </c>
      <c r="AC254" s="6" t="s">
        <v>2785</v>
      </c>
      <c r="AD254" s="6" t="s">
        <v>6895</v>
      </c>
      <c r="AE254" s="158" t="s">
        <v>940</v>
      </c>
      <c r="AF254" s="159" t="s">
        <v>8299</v>
      </c>
      <c r="AG254" s="160">
        <v>313557</v>
      </c>
      <c r="AH254" s="194" t="s">
        <v>679</v>
      </c>
      <c r="AI254" s="6" t="s">
        <v>3021</v>
      </c>
      <c r="AJ254" s="3" t="s">
        <v>8193</v>
      </c>
      <c r="AK254" t="s">
        <v>8205</v>
      </c>
      <c r="AL254" s="4">
        <f t="shared" si="76"/>
        <v>0</v>
      </c>
      <c r="AM254" s="6" t="s">
        <v>3446</v>
      </c>
      <c r="AN254" s="6" t="s">
        <v>6064</v>
      </c>
      <c r="AO254" t="str">
        <f t="shared" si="65"/>
        <v/>
      </c>
      <c r="AP254" t="s">
        <v>2277</v>
      </c>
      <c r="AQ254" t="s">
        <v>4518</v>
      </c>
      <c r="AR254" s="15" t="s">
        <v>4874</v>
      </c>
      <c r="AV254" t="s">
        <v>115</v>
      </c>
      <c r="AW254" t="s">
        <v>8029</v>
      </c>
      <c r="AX254" s="5">
        <v>0.43333333333333335</v>
      </c>
      <c r="AZ254" t="str">
        <f t="shared" si="77"/>
        <v>(10:19-10:24)</v>
      </c>
      <c r="BA254" s="5" t="str">
        <f t="shared" si="78"/>
        <v>(10:25-10:28)(10:19-10:24)</v>
      </c>
    </row>
    <row r="255" spans="1:53" ht="13.5">
      <c r="A255" s="135" t="str">
        <f t="shared" si="79"/>
        <v/>
      </c>
      <c r="B255" s="19" t="str">
        <f t="shared" si="80"/>
        <v/>
      </c>
      <c r="C255" s="19" t="str">
        <f t="shared" si="81"/>
        <v/>
      </c>
      <c r="D255" s="19" t="str">
        <f t="shared" si="82"/>
        <v/>
      </c>
      <c r="E255" s="5" t="str">
        <f t="shared" si="66"/>
        <v/>
      </c>
      <c r="F255" s="12" t="str">
        <f t="shared" si="67"/>
        <v/>
      </c>
      <c r="K255" s="9" t="str">
        <f t="shared" si="69"/>
        <v/>
      </c>
      <c r="L255" s="6">
        <f t="shared" si="70"/>
        <v>0</v>
      </c>
      <c r="M255" s="6">
        <f t="shared" si="71"/>
        <v>0</v>
      </c>
      <c r="N255" s="94" t="str">
        <f t="shared" si="72"/>
        <v/>
      </c>
      <c r="O255" s="202"/>
      <c r="P255" s="200"/>
      <c r="Q255" s="203"/>
      <c r="R255" s="198"/>
      <c r="S255" s="204"/>
      <c r="T255" s="136" t="str">
        <f t="shared" si="73"/>
        <v/>
      </c>
      <c r="U255" s="137" t="str">
        <f t="shared" si="74"/>
        <v/>
      </c>
      <c r="V255" s="1"/>
      <c r="Y255" s="90" t="str">
        <f t="shared" si="75"/>
        <v/>
      </c>
      <c r="AC255" s="6" t="s">
        <v>2697</v>
      </c>
      <c r="AD255" s="6" t="s">
        <v>6896</v>
      </c>
      <c r="AE255" s="158" t="s">
        <v>3717</v>
      </c>
      <c r="AF255" s="159" t="s">
        <v>8312</v>
      </c>
      <c r="AG255" s="160">
        <v>313566</v>
      </c>
      <c r="AH255" s="194" t="s">
        <v>679</v>
      </c>
      <c r="AI255" s="6" t="s">
        <v>3024</v>
      </c>
      <c r="AJ255" s="3" t="s">
        <v>8204</v>
      </c>
      <c r="AK255" t="s">
        <v>8204</v>
      </c>
      <c r="AL255" s="4">
        <f t="shared" si="76"/>
        <v>0</v>
      </c>
      <c r="AM255" s="6" t="s">
        <v>3447</v>
      </c>
      <c r="AN255" s="6" t="s">
        <v>6065</v>
      </c>
      <c r="AO255" t="str">
        <f t="shared" si="65"/>
        <v/>
      </c>
      <c r="AP255" t="s">
        <v>2276</v>
      </c>
      <c r="AQ255" t="s">
        <v>4519</v>
      </c>
      <c r="AR255" s="15" t="s">
        <v>4875</v>
      </c>
      <c r="AV255" t="s">
        <v>114</v>
      </c>
      <c r="AW255" t="s">
        <v>8084</v>
      </c>
      <c r="AX255" s="5">
        <v>0.59722222222222221</v>
      </c>
      <c r="AZ255" t="str">
        <f t="shared" si="77"/>
        <v>(13:14-14:20)</v>
      </c>
      <c r="BA255" s="5" t="str">
        <f t="shared" si="78"/>
        <v>(10:17-10:24)(10:25-10:28)(10:40-10:45)(10:48-10:52)(11:34-11:35)(13:14-14:20)</v>
      </c>
    </row>
    <row r="256" spans="1:53" ht="13.5">
      <c r="A256" s="135" t="str">
        <f t="shared" si="79"/>
        <v/>
      </c>
      <c r="B256" s="19" t="str">
        <f t="shared" si="80"/>
        <v/>
      </c>
      <c r="C256" s="19" t="str">
        <f t="shared" si="81"/>
        <v/>
      </c>
      <c r="D256" s="19" t="str">
        <f t="shared" si="82"/>
        <v/>
      </c>
      <c r="E256" s="5" t="str">
        <f t="shared" si="66"/>
        <v/>
      </c>
      <c r="F256" s="12" t="str">
        <f t="shared" si="67"/>
        <v/>
      </c>
      <c r="K256" s="9" t="str">
        <f t="shared" si="69"/>
        <v/>
      </c>
      <c r="L256" s="6">
        <f t="shared" si="70"/>
        <v>0</v>
      </c>
      <c r="M256" s="6">
        <f t="shared" si="71"/>
        <v>0</v>
      </c>
      <c r="N256" s="94" t="str">
        <f t="shared" si="72"/>
        <v/>
      </c>
      <c r="O256" s="202"/>
      <c r="P256" s="200"/>
      <c r="Q256" s="203"/>
      <c r="R256" s="198"/>
      <c r="S256" s="204"/>
      <c r="T256" s="136" t="str">
        <f t="shared" si="73"/>
        <v/>
      </c>
      <c r="U256" s="137" t="str">
        <f t="shared" si="74"/>
        <v/>
      </c>
      <c r="V256" s="1"/>
      <c r="Y256" s="90" t="str">
        <f t="shared" si="75"/>
        <v/>
      </c>
      <c r="AC256" s="6" t="s">
        <v>4730</v>
      </c>
      <c r="AD256" s="6" t="s">
        <v>6897</v>
      </c>
      <c r="AE256" s="158" t="s">
        <v>3718</v>
      </c>
      <c r="AF256" s="159" t="s">
        <v>8299</v>
      </c>
      <c r="AG256" s="160">
        <v>313677</v>
      </c>
      <c r="AH256" s="194" t="s">
        <v>679</v>
      </c>
      <c r="AI256" s="6" t="s">
        <v>3026</v>
      </c>
      <c r="AJ256" s="3" t="s">
        <v>8203</v>
      </c>
      <c r="AK256" t="s">
        <v>8203</v>
      </c>
      <c r="AL256" s="4">
        <f t="shared" si="76"/>
        <v>0</v>
      </c>
      <c r="AM256" s="6" t="s">
        <v>1669</v>
      </c>
      <c r="AN256" s="6" t="s">
        <v>6066</v>
      </c>
      <c r="AO256" t="str">
        <f t="shared" si="65"/>
        <v/>
      </c>
      <c r="AP256" t="s">
        <v>4461</v>
      </c>
      <c r="AQ256" t="s">
        <v>4518</v>
      </c>
      <c r="AR256" s="15" t="s">
        <v>4532</v>
      </c>
      <c r="AV256" t="s">
        <v>114</v>
      </c>
      <c r="AW256" t="s">
        <v>8054</v>
      </c>
      <c r="AX256" s="5">
        <v>0.4826388888888889</v>
      </c>
      <c r="AZ256" t="str">
        <f t="shared" si="77"/>
        <v>(11:34-11:35)</v>
      </c>
      <c r="BA256" s="5" t="str">
        <f t="shared" si="78"/>
        <v>(10:17-10:24)(10:25-10:28)(10:40-10:45)(10:48-10:52)(13:14-14:20)(11:34-11:35)</v>
      </c>
    </row>
    <row r="257" spans="1:53" ht="13.5">
      <c r="A257" s="135" t="str">
        <f t="shared" si="79"/>
        <v/>
      </c>
      <c r="B257" s="19" t="str">
        <f t="shared" si="80"/>
        <v/>
      </c>
      <c r="C257" s="19" t="str">
        <f t="shared" si="81"/>
        <v/>
      </c>
      <c r="D257" s="19" t="str">
        <f t="shared" si="82"/>
        <v/>
      </c>
      <c r="E257" s="5" t="str">
        <f t="shared" si="66"/>
        <v/>
      </c>
      <c r="F257" s="12" t="str">
        <f t="shared" si="67"/>
        <v/>
      </c>
      <c r="K257" s="9" t="str">
        <f t="shared" si="69"/>
        <v/>
      </c>
      <c r="L257" s="6">
        <f t="shared" si="70"/>
        <v>0</v>
      </c>
      <c r="M257" s="6">
        <f t="shared" si="71"/>
        <v>0</v>
      </c>
      <c r="N257" s="94" t="str">
        <f t="shared" si="72"/>
        <v/>
      </c>
      <c r="O257" s="202"/>
      <c r="P257" s="200"/>
      <c r="Q257" s="203"/>
      <c r="R257" s="198"/>
      <c r="S257" s="204"/>
      <c r="T257" s="136" t="str">
        <f t="shared" si="73"/>
        <v/>
      </c>
      <c r="U257" s="137" t="str">
        <f t="shared" si="74"/>
        <v/>
      </c>
      <c r="V257" s="1"/>
      <c r="Y257" s="90" t="str">
        <f t="shared" si="75"/>
        <v/>
      </c>
      <c r="AC257" s="6">
        <v>435742</v>
      </c>
      <c r="AD257" s="6" t="s">
        <v>6898</v>
      </c>
      <c r="AE257" s="158" t="s">
        <v>3719</v>
      </c>
      <c r="AF257" s="159" t="s">
        <v>8299</v>
      </c>
      <c r="AG257" s="160">
        <v>315318</v>
      </c>
      <c r="AH257" s="194" t="s">
        <v>679</v>
      </c>
      <c r="AI257" s="6" t="s">
        <v>3027</v>
      </c>
      <c r="AJ257" s="3" t="s">
        <v>8203</v>
      </c>
      <c r="AK257" t="s">
        <v>8203</v>
      </c>
      <c r="AL257" s="4">
        <f t="shared" si="76"/>
        <v>0</v>
      </c>
      <c r="AM257" s="6" t="s">
        <v>1190</v>
      </c>
      <c r="AN257" s="6" t="s">
        <v>6067</v>
      </c>
      <c r="AO257" t="str">
        <f t="shared" si="65"/>
        <v/>
      </c>
      <c r="AP257" t="s">
        <v>1236</v>
      </c>
      <c r="AQ257" t="s">
        <v>4512</v>
      </c>
      <c r="AR257" s="15">
        <v>1776</v>
      </c>
      <c r="AV257" t="s">
        <v>114</v>
      </c>
      <c r="AW257" t="s">
        <v>8040</v>
      </c>
      <c r="AX257" s="5">
        <v>0.45277777777777778</v>
      </c>
      <c r="AZ257" t="str">
        <f t="shared" si="77"/>
        <v>(10:48-10:52)</v>
      </c>
      <c r="BA257" s="5" t="str">
        <f t="shared" si="78"/>
        <v>(10:17-10:24)(10:25-10:28)(10:40-10:45)(11:34-11:35)(10:48-10:52)</v>
      </c>
    </row>
    <row r="258" spans="1:53" ht="13.5">
      <c r="A258" s="135" t="str">
        <f t="shared" si="79"/>
        <v/>
      </c>
      <c r="B258" s="19" t="str">
        <f t="shared" si="80"/>
        <v/>
      </c>
      <c r="C258" s="19" t="str">
        <f t="shared" si="81"/>
        <v/>
      </c>
      <c r="D258" s="19" t="str">
        <f t="shared" si="82"/>
        <v/>
      </c>
      <c r="E258" s="5" t="str">
        <f t="shared" si="66"/>
        <v/>
      </c>
      <c r="F258" s="12" t="str">
        <f t="shared" si="67"/>
        <v/>
      </c>
      <c r="K258" s="9" t="str">
        <f t="shared" si="69"/>
        <v/>
      </c>
      <c r="L258" s="6">
        <f t="shared" si="70"/>
        <v>0</v>
      </c>
      <c r="M258" s="6">
        <f t="shared" si="71"/>
        <v>0</v>
      </c>
      <c r="N258" s="94" t="str">
        <f t="shared" si="72"/>
        <v/>
      </c>
      <c r="O258" s="202"/>
      <c r="P258" s="200"/>
      <c r="Q258" s="203"/>
      <c r="R258" s="198"/>
      <c r="S258" s="204"/>
      <c r="T258" s="136" t="str">
        <f t="shared" si="73"/>
        <v/>
      </c>
      <c r="U258" s="137" t="str">
        <f t="shared" si="74"/>
        <v/>
      </c>
      <c r="V258" s="1"/>
      <c r="Y258" s="90" t="str">
        <f t="shared" si="75"/>
        <v/>
      </c>
      <c r="AC258" s="6">
        <v>435740</v>
      </c>
      <c r="AD258" s="6" t="s">
        <v>6899</v>
      </c>
      <c r="AE258" s="158" t="s">
        <v>3720</v>
      </c>
      <c r="AF258" s="159" t="s">
        <v>8299</v>
      </c>
      <c r="AG258" s="160">
        <v>315319</v>
      </c>
      <c r="AH258" s="194" t="s">
        <v>678</v>
      </c>
      <c r="AI258" s="6" t="s">
        <v>3028</v>
      </c>
      <c r="AJ258" s="3" t="s">
        <v>8203</v>
      </c>
      <c r="AK258" t="s">
        <v>8203</v>
      </c>
      <c r="AL258" s="4">
        <f t="shared" si="76"/>
        <v>0</v>
      </c>
      <c r="AM258" s="6" t="s">
        <v>4415</v>
      </c>
      <c r="AN258" s="6" t="s">
        <v>6068</v>
      </c>
      <c r="AO258" t="str">
        <f t="shared" si="65"/>
        <v/>
      </c>
      <c r="AP258" t="s">
        <v>3446</v>
      </c>
      <c r="AQ258" t="s">
        <v>4512</v>
      </c>
      <c r="AR258" s="15">
        <v>9523</v>
      </c>
      <c r="AV258" t="s">
        <v>114</v>
      </c>
      <c r="AW258" t="s">
        <v>8039</v>
      </c>
      <c r="AX258" s="5">
        <v>0.44791666666666669</v>
      </c>
      <c r="AZ258" t="str">
        <f t="shared" si="77"/>
        <v>(10:40-10:45)</v>
      </c>
      <c r="BA258" s="5" t="str">
        <f t="shared" si="78"/>
        <v>(10:17-10:24)(10:25-10:28)(10:48-10:52)(10:40-10:45)</v>
      </c>
    </row>
    <row r="259" spans="1:53" ht="13.5">
      <c r="A259" s="135" t="str">
        <f t="shared" si="79"/>
        <v/>
      </c>
      <c r="B259" s="19" t="str">
        <f t="shared" si="80"/>
        <v/>
      </c>
      <c r="C259" s="19" t="str">
        <f t="shared" si="81"/>
        <v/>
      </c>
      <c r="D259" s="19" t="str">
        <f t="shared" si="82"/>
        <v/>
      </c>
      <c r="E259" s="5" t="str">
        <f t="shared" si="66"/>
        <v/>
      </c>
      <c r="F259" s="12" t="str">
        <f t="shared" si="67"/>
        <v/>
      </c>
      <c r="K259" s="9" t="str">
        <f t="shared" si="69"/>
        <v/>
      </c>
      <c r="L259" s="6">
        <f t="shared" si="70"/>
        <v>0</v>
      </c>
      <c r="M259" s="6">
        <f t="shared" si="71"/>
        <v>0</v>
      </c>
      <c r="N259" s="94" t="str">
        <f t="shared" si="72"/>
        <v/>
      </c>
      <c r="O259" s="202"/>
      <c r="P259" s="200"/>
      <c r="Q259" s="203"/>
      <c r="R259" s="198"/>
      <c r="S259" s="204"/>
      <c r="T259" s="136" t="str">
        <f t="shared" si="73"/>
        <v/>
      </c>
      <c r="U259" s="137" t="str">
        <f t="shared" si="74"/>
        <v/>
      </c>
      <c r="V259" s="1"/>
      <c r="Y259" s="90" t="str">
        <f t="shared" si="75"/>
        <v/>
      </c>
      <c r="AC259" s="6" t="s">
        <v>2518</v>
      </c>
      <c r="AD259" s="6" t="s">
        <v>6900</v>
      </c>
      <c r="AE259" s="158" t="s">
        <v>3721</v>
      </c>
      <c r="AF259" s="159" t="s">
        <v>8299</v>
      </c>
      <c r="AG259" s="160">
        <v>315320</v>
      </c>
      <c r="AH259" s="194" t="s">
        <v>678</v>
      </c>
      <c r="AI259" s="6" t="s">
        <v>3043</v>
      </c>
      <c r="AJ259" s="3" t="s">
        <v>8203</v>
      </c>
      <c r="AK259" t="s">
        <v>8203</v>
      </c>
      <c r="AL259" s="4">
        <f t="shared" si="76"/>
        <v>0</v>
      </c>
      <c r="AM259" s="6" t="s">
        <v>4466</v>
      </c>
      <c r="AN259" s="6" t="s">
        <v>6069</v>
      </c>
      <c r="AO259" t="str">
        <f t="shared" si="65"/>
        <v/>
      </c>
      <c r="AP259" t="s">
        <v>3447</v>
      </c>
      <c r="AQ259" t="s">
        <v>4518</v>
      </c>
      <c r="AR259" s="15" t="s">
        <v>4698</v>
      </c>
      <c r="AV259" t="s">
        <v>114</v>
      </c>
      <c r="AW259" t="s">
        <v>8030</v>
      </c>
      <c r="AX259" s="5">
        <v>0.43611111111111112</v>
      </c>
      <c r="AZ259" t="str">
        <f t="shared" si="77"/>
        <v>(10:25-10:28)</v>
      </c>
      <c r="BA259" s="5" t="str">
        <f t="shared" si="78"/>
        <v>(10:17-10:24)(10:40-10:45)(10:25-10:28)</v>
      </c>
    </row>
    <row r="260" spans="1:53" ht="13.5">
      <c r="A260" s="135" t="str">
        <f t="shared" si="79"/>
        <v/>
      </c>
      <c r="B260" s="19" t="str">
        <f t="shared" si="80"/>
        <v/>
      </c>
      <c r="C260" s="19" t="str">
        <f t="shared" si="81"/>
        <v/>
      </c>
      <c r="D260" s="19" t="str">
        <f t="shared" si="82"/>
        <v/>
      </c>
      <c r="E260" s="5" t="str">
        <f t="shared" si="66"/>
        <v/>
      </c>
      <c r="F260" s="12" t="str">
        <f t="shared" si="67"/>
        <v/>
      </c>
      <c r="K260" s="9" t="str">
        <f t="shared" si="69"/>
        <v/>
      </c>
      <c r="L260" s="6">
        <f t="shared" si="70"/>
        <v>0</v>
      </c>
      <c r="M260" s="6">
        <f t="shared" si="71"/>
        <v>0</v>
      </c>
      <c r="N260" s="94" t="str">
        <f t="shared" si="72"/>
        <v/>
      </c>
      <c r="O260" s="202"/>
      <c r="P260" s="200"/>
      <c r="Q260" s="203"/>
      <c r="R260" s="198"/>
      <c r="S260" s="204"/>
      <c r="T260" s="136" t="str">
        <f t="shared" si="73"/>
        <v/>
      </c>
      <c r="U260" s="137" t="str">
        <f t="shared" si="74"/>
        <v/>
      </c>
      <c r="V260" s="1"/>
      <c r="Y260" s="90" t="str">
        <f t="shared" si="75"/>
        <v/>
      </c>
      <c r="AC260" s="6" t="s">
        <v>2789</v>
      </c>
      <c r="AD260" s="6" t="s">
        <v>6862</v>
      </c>
      <c r="AE260" s="158" t="s">
        <v>1210</v>
      </c>
      <c r="AF260" s="159" t="s">
        <v>8299</v>
      </c>
      <c r="AG260" s="160">
        <v>315321</v>
      </c>
      <c r="AH260" s="194" t="s">
        <v>679</v>
      </c>
      <c r="AI260" s="6" t="s">
        <v>3046</v>
      </c>
      <c r="AJ260" s="3" t="s">
        <v>8203</v>
      </c>
      <c r="AK260" t="s">
        <v>8203</v>
      </c>
      <c r="AL260" s="4">
        <f t="shared" si="76"/>
        <v>0</v>
      </c>
      <c r="AM260" s="6" t="s">
        <v>1191</v>
      </c>
      <c r="AN260" s="6" t="s">
        <v>6070</v>
      </c>
      <c r="AO260" t="str">
        <f t="shared" si="65"/>
        <v/>
      </c>
      <c r="AP260" t="s">
        <v>1669</v>
      </c>
      <c r="AQ260" t="s">
        <v>4518</v>
      </c>
      <c r="AR260" s="15" t="s">
        <v>4876</v>
      </c>
      <c r="AV260" t="s">
        <v>114</v>
      </c>
      <c r="AW260" t="s">
        <v>8021</v>
      </c>
      <c r="AX260" s="5">
        <v>0.43333333333333335</v>
      </c>
      <c r="AZ260" t="str">
        <f t="shared" si="77"/>
        <v>(10:17-10:24)</v>
      </c>
      <c r="BA260" s="5" t="str">
        <f t="shared" si="78"/>
        <v>(10:25-10:28)(10:17-10:24)</v>
      </c>
    </row>
    <row r="261" spans="1:53" ht="13.5">
      <c r="A261" s="135" t="str">
        <f t="shared" si="79"/>
        <v/>
      </c>
      <c r="B261" s="19" t="str">
        <f t="shared" si="80"/>
        <v/>
      </c>
      <c r="C261" s="19" t="str">
        <f t="shared" si="81"/>
        <v/>
      </c>
      <c r="D261" s="19" t="str">
        <f t="shared" si="82"/>
        <v/>
      </c>
      <c r="E261" s="5" t="str">
        <f t="shared" si="66"/>
        <v/>
      </c>
      <c r="F261" s="12" t="str">
        <f t="shared" si="67"/>
        <v/>
      </c>
      <c r="K261" s="9" t="str">
        <f t="shared" si="69"/>
        <v/>
      </c>
      <c r="L261" s="6">
        <f t="shared" si="70"/>
        <v>0</v>
      </c>
      <c r="M261" s="6">
        <f t="shared" si="71"/>
        <v>0</v>
      </c>
      <c r="N261" s="94" t="str">
        <f t="shared" si="72"/>
        <v/>
      </c>
      <c r="O261" s="202"/>
      <c r="P261" s="200"/>
      <c r="Q261" s="203"/>
      <c r="R261" s="198"/>
      <c r="S261" s="204"/>
      <c r="T261" s="136" t="str">
        <f t="shared" si="73"/>
        <v/>
      </c>
      <c r="U261" s="137" t="str">
        <f t="shared" si="74"/>
        <v/>
      </c>
      <c r="V261" s="1"/>
      <c r="Y261" s="90" t="str">
        <f t="shared" si="75"/>
        <v/>
      </c>
      <c r="AC261" s="6">
        <v>876396</v>
      </c>
      <c r="AD261" s="6" t="s">
        <v>6864</v>
      </c>
      <c r="AE261" s="158" t="s">
        <v>4072</v>
      </c>
      <c r="AF261" s="159" t="s">
        <v>8299</v>
      </c>
      <c r="AG261" s="160">
        <v>315322</v>
      </c>
      <c r="AH261" s="194" t="s">
        <v>679</v>
      </c>
      <c r="AI261" s="6" t="s">
        <v>3103</v>
      </c>
      <c r="AJ261" s="3" t="s">
        <v>8203</v>
      </c>
      <c r="AK261" t="s">
        <v>8203</v>
      </c>
      <c r="AL261" s="4">
        <f t="shared" si="76"/>
        <v>0</v>
      </c>
      <c r="AM261" s="6" t="s">
        <v>1197</v>
      </c>
      <c r="AN261" s="6" t="s">
        <v>6071</v>
      </c>
      <c r="AO261" t="str">
        <f t="shared" ref="AO261:AO324" si="83">IFERROR(CONCATENATE(VLOOKUP(I261,$AP$5:$AR$500,3,0),"  (Host-",VLOOKUP(I261,$AP$5:$AR$500,2,0),")"),"")</f>
        <v/>
      </c>
      <c r="AP261" t="s">
        <v>1190</v>
      </c>
      <c r="AQ261" t="s">
        <v>4841</v>
      </c>
      <c r="AR261" s="15" t="s">
        <v>4877</v>
      </c>
      <c r="AV261">
        <v>771614</v>
      </c>
      <c r="AW261" t="s">
        <v>8101</v>
      </c>
      <c r="AX261" s="5">
        <v>0.58333333333333337</v>
      </c>
      <c r="AZ261" t="str">
        <f t="shared" si="77"/>
        <v>(13:40-14:00)</v>
      </c>
      <c r="BA261" s="5" t="str">
        <f t="shared" si="78"/>
        <v>(09:32-9:42)(09:16-9:42)(13:54-14:00)(13:40-14:00)</v>
      </c>
    </row>
    <row r="262" spans="1:53" ht="13.5">
      <c r="A262" s="135" t="str">
        <f t="shared" si="79"/>
        <v/>
      </c>
      <c r="B262" s="19" t="str">
        <f t="shared" si="80"/>
        <v/>
      </c>
      <c r="C262" s="19" t="str">
        <f t="shared" si="81"/>
        <v/>
      </c>
      <c r="D262" s="19" t="str">
        <f t="shared" si="82"/>
        <v/>
      </c>
      <c r="E262" s="5" t="str">
        <f t="shared" ref="E262:E325" si="84">IF(ISNA(VLOOKUP(I262,AI:AK,2,FALSE)),"",VLOOKUP(I262,AI:AK,2,FALSE))</f>
        <v/>
      </c>
      <c r="F262" s="12" t="str">
        <f t="shared" ref="F262:F325" si="85">IF(ISNA(VLOOKUP(I262,AI:AK,3,FALSE)),"",VLOOKUP(I262,AI:AK,3,FALSE))</f>
        <v/>
      </c>
      <c r="K262" s="9" t="str">
        <f t="shared" ref="K262:K325" si="86">IF(AND(LEFT(L262,3)&lt;&gt;"IB0",LEFT(L262,3)&lt;&gt;"ME0",LEFT(L262,3)&lt;&gt;"PS0",LEFT(L262,3)&lt;&gt;"RY0",LEFT(L262,3)&lt;&gt;"BU0",LEFT(L262,3)&lt;&gt;"IS0",LEFT(L262,3)&lt;&gt;"KA0",LEFT(L262,3)&lt;&gt;"FB0",LEFT(L262,3)&lt;&gt;"MB0",LEFT(L262,3)&lt;&gt;"LH0",LEFT(L262,3)&lt;&gt;"MU0",LEFT(L262,3)&lt;&gt;"AB0"),"",L262)</f>
        <v/>
      </c>
      <c r="L262" s="6">
        <f t="shared" ref="L262:L325" si="87">IF(ISNA(VLOOKUP(I262,$S$5:$S$900,1,FALSE)),I262,"")</f>
        <v>0</v>
      </c>
      <c r="M262" s="6">
        <f t="shared" ref="M262:M325" si="88">IF(OR(LEFT(L262,3)="IB0",LEFT(L262,3)="ME0",LEFT(L262,3)="PS0",LEFT(L262,3)="RY0",LEFT(L262,3)="BU0",LEFT(L262,3)="IS0",LEFT(L262,3)="KA0",LEFT(L262,3)="FB0",LEFT(L262,3)="MB0",LEFT(L262,3)="LH0",LEFT(L262,3)="MU0",LEFT(L262,3)="AB0",),"",L262)</f>
        <v>0</v>
      </c>
      <c r="N262" s="94" t="str">
        <f t="shared" ref="N262:N325" si="89">IF(I262="","",(IF(ISNA(VLOOKUP(M262,$AJ$4:$AK$4000,2,FALSE)),M262,VLOOKUP(M262,$AJ$4:$AK$4000,2,FALSE))))</f>
        <v/>
      </c>
      <c r="O262" s="202"/>
      <c r="P262" s="200"/>
      <c r="Q262" s="203"/>
      <c r="R262" s="198"/>
      <c r="S262" s="204"/>
      <c r="T262" s="136" t="str">
        <f t="shared" ref="T262:T325" si="90">IF(ISNA(VLOOKUP(S262,$I$5:$I$900,1,FALSE)),IF(ISBLANK(S262),"","up"),"")</f>
        <v/>
      </c>
      <c r="U262" s="137" t="str">
        <f t="shared" ref="U262:U325" si="91">IF(T262="up",(IF(ISNA(VLOOKUP(S262,$AV$1:$AX$1200,3,FALSE)),"",VLOOKUP(S262,$AV$1:$AX$1200,3,FALSE))),"")</f>
        <v/>
      </c>
      <c r="V262" s="1"/>
      <c r="Y262" s="90" t="str">
        <f t="shared" ref="Y262:Y325" si="92">IFERROR(VLOOKUP(S262,$AV$1:$BA$1200,6,0),"")</f>
        <v/>
      </c>
      <c r="AC262" s="6" t="s">
        <v>2801</v>
      </c>
      <c r="AD262" s="6" t="s">
        <v>6862</v>
      </c>
      <c r="AE262" s="158" t="s">
        <v>4073</v>
      </c>
      <c r="AF262" s="159" t="s">
        <v>8299</v>
      </c>
      <c r="AG262" s="160">
        <v>315323</v>
      </c>
      <c r="AH262" s="194" t="s">
        <v>679</v>
      </c>
      <c r="AI262" s="6" t="s">
        <v>3116</v>
      </c>
      <c r="AJ262" s="3" t="s">
        <v>8211</v>
      </c>
      <c r="AK262" t="s">
        <v>8242</v>
      </c>
      <c r="AL262" s="4">
        <f t="shared" ref="AL262:AL325" si="93">COUNTIF(G:G,G262)</f>
        <v>0</v>
      </c>
      <c r="AM262" s="6" t="s">
        <v>4365</v>
      </c>
      <c r="AN262" s="6" t="s">
        <v>6072</v>
      </c>
      <c r="AO262" t="str">
        <f t="shared" si="83"/>
        <v/>
      </c>
      <c r="AP262" t="s">
        <v>4415</v>
      </c>
      <c r="AQ262" t="s">
        <v>4519</v>
      </c>
      <c r="AR262" s="15" t="s">
        <v>4524</v>
      </c>
      <c r="AV262">
        <v>771614</v>
      </c>
      <c r="AW262" t="s">
        <v>8105</v>
      </c>
      <c r="AX262" s="5">
        <v>0.58333333333333337</v>
      </c>
      <c r="AZ262" t="str">
        <f t="shared" ref="AZ262:AZ325" si="94">IF(ISBLANK(AW262),"",CONCATENATE("(",RIGHT(AW262,5),"-",TEXT(AX262,"h:mm;@"),")"))</f>
        <v>(13:54-14:00)</v>
      </c>
      <c r="BA262" s="5" t="str">
        <f t="shared" ref="BA262:BA325" si="95">IF(AV278=AV262,"",CONCATENATE(IF(AV277=AV262,AZ277,""),IF(AV276=AV262,AZ276,""),IF(AV275=AV262,AZ275,""),IF(AV274=AV262,AZ274,""),IF(AV273=AV262,AZ273,""),IF(AV272=AV262,AZ272,""),IF(AV271=AV262,AZ271,""),IF(AV270=AV262,AZ270,""),IF(AV269=AV262,AZ269,""),IF(AV268=AV262,AZ268,""),IF(AV267=AV262,AZ267,""),IF(AV266=AV262,AZ266,""),IF(AV265=AV262,AZ265,""),IF(AV264=AV262,AZ264,""),IF(AV263=AV262,AZ263,""),IF(AV261=AV262,AZ261,""),AZ262))</f>
        <v>(09:32-9:42)(09:16-9:42)(13:40-14:00)(13:54-14:00)</v>
      </c>
    </row>
    <row r="263" spans="1:53" ht="13.5">
      <c r="A263" s="135" t="str">
        <f t="shared" si="79"/>
        <v/>
      </c>
      <c r="B263" s="19" t="str">
        <f t="shared" si="80"/>
        <v/>
      </c>
      <c r="C263" s="19" t="str">
        <f t="shared" si="81"/>
        <v/>
      </c>
      <c r="D263" s="19" t="str">
        <f t="shared" si="82"/>
        <v/>
      </c>
      <c r="E263" s="5" t="str">
        <f t="shared" si="84"/>
        <v/>
      </c>
      <c r="F263" s="12" t="str">
        <f t="shared" si="85"/>
        <v/>
      </c>
      <c r="K263" s="9" t="str">
        <f t="shared" si="86"/>
        <v/>
      </c>
      <c r="L263" s="6">
        <f t="shared" si="87"/>
        <v>0</v>
      </c>
      <c r="M263" s="6">
        <f t="shared" si="88"/>
        <v>0</v>
      </c>
      <c r="N263" s="94" t="str">
        <f t="shared" si="89"/>
        <v/>
      </c>
      <c r="O263" s="202"/>
      <c r="P263" s="200"/>
      <c r="Q263" s="203"/>
      <c r="R263" s="198"/>
      <c r="S263" s="204"/>
      <c r="T263" s="136" t="str">
        <f t="shared" si="90"/>
        <v/>
      </c>
      <c r="U263" s="137" t="str">
        <f t="shared" si="91"/>
        <v/>
      </c>
      <c r="V263" s="1"/>
      <c r="Y263" s="90" t="str">
        <f t="shared" si="92"/>
        <v/>
      </c>
      <c r="AC263" s="6" t="s">
        <v>5618</v>
      </c>
      <c r="AD263" s="6" t="s">
        <v>6889</v>
      </c>
      <c r="AE263" s="158" t="s">
        <v>4074</v>
      </c>
      <c r="AF263" s="159" t="s">
        <v>8297</v>
      </c>
      <c r="AG263" s="160">
        <v>315346</v>
      </c>
      <c r="AH263" s="194" t="s">
        <v>679</v>
      </c>
      <c r="AI263" s="6" t="s">
        <v>3117</v>
      </c>
      <c r="AJ263" s="3" t="s">
        <v>8211</v>
      </c>
      <c r="AK263" t="s">
        <v>8242</v>
      </c>
      <c r="AL263" s="4">
        <f t="shared" si="93"/>
        <v>0</v>
      </c>
      <c r="AM263" s="6" t="s">
        <v>4465</v>
      </c>
      <c r="AN263" s="6" t="s">
        <v>6073</v>
      </c>
      <c r="AO263" t="str">
        <f t="shared" si="83"/>
        <v/>
      </c>
      <c r="AP263" t="s">
        <v>4466</v>
      </c>
      <c r="AQ263" t="s">
        <v>4518</v>
      </c>
      <c r="AR263" s="15" t="s">
        <v>4878</v>
      </c>
      <c r="AV263">
        <v>771614</v>
      </c>
      <c r="AW263" t="s">
        <v>7995</v>
      </c>
      <c r="AX263" s="5">
        <v>0.40416666666666662</v>
      </c>
      <c r="AZ263" t="str">
        <f t="shared" si="94"/>
        <v>(09:16-9:42)</v>
      </c>
      <c r="BA263" s="5" t="str">
        <f t="shared" si="95"/>
        <v>(09:32-9:42)(13:54-14:00)(09:16-9:42)</v>
      </c>
    </row>
    <row r="264" spans="1:53" ht="13.5">
      <c r="A264" s="135" t="str">
        <f t="shared" si="79"/>
        <v/>
      </c>
      <c r="B264" s="19" t="str">
        <f t="shared" si="80"/>
        <v/>
      </c>
      <c r="C264" s="19" t="str">
        <f t="shared" si="81"/>
        <v/>
      </c>
      <c r="D264" s="19" t="str">
        <f t="shared" si="82"/>
        <v/>
      </c>
      <c r="E264" s="5" t="str">
        <f t="shared" si="84"/>
        <v/>
      </c>
      <c r="F264" s="12" t="str">
        <f t="shared" si="85"/>
        <v/>
      </c>
      <c r="K264" s="9" t="str">
        <f t="shared" si="86"/>
        <v/>
      </c>
      <c r="L264" s="6">
        <f t="shared" si="87"/>
        <v>0</v>
      </c>
      <c r="M264" s="6">
        <f t="shared" si="88"/>
        <v>0</v>
      </c>
      <c r="N264" s="94" t="str">
        <f t="shared" si="89"/>
        <v/>
      </c>
      <c r="O264" s="202"/>
      <c r="P264" s="200"/>
      <c r="Q264" s="203"/>
      <c r="R264" s="198"/>
      <c r="S264" s="204"/>
      <c r="T264" s="136" t="str">
        <f t="shared" si="90"/>
        <v/>
      </c>
      <c r="U264" s="137" t="str">
        <f t="shared" si="91"/>
        <v/>
      </c>
      <c r="V264" s="1"/>
      <c r="Y264" s="90" t="str">
        <f t="shared" si="92"/>
        <v/>
      </c>
      <c r="AC264" s="6" t="s">
        <v>2719</v>
      </c>
      <c r="AD264" s="6" t="s">
        <v>6879</v>
      </c>
      <c r="AE264" s="158" t="s">
        <v>4153</v>
      </c>
      <c r="AF264" s="159" t="s">
        <v>8299</v>
      </c>
      <c r="AG264" s="160">
        <v>315347</v>
      </c>
      <c r="AH264" s="194" t="s">
        <v>679</v>
      </c>
      <c r="AI264" s="6" t="s">
        <v>3121</v>
      </c>
      <c r="AJ264" s="3" t="s">
        <v>8220</v>
      </c>
      <c r="AK264" t="s">
        <v>8220</v>
      </c>
      <c r="AL264" s="4">
        <f t="shared" si="93"/>
        <v>0</v>
      </c>
      <c r="AM264" s="6" t="s">
        <v>4516</v>
      </c>
      <c r="AN264" s="6" t="s">
        <v>6074</v>
      </c>
      <c r="AO264" t="str">
        <f t="shared" si="83"/>
        <v/>
      </c>
      <c r="AP264" t="s">
        <v>1191</v>
      </c>
      <c r="AQ264" t="s">
        <v>4512</v>
      </c>
      <c r="AR264" s="15">
        <v>5560</v>
      </c>
      <c r="AV264">
        <v>771614</v>
      </c>
      <c r="AW264" t="s">
        <v>8007</v>
      </c>
      <c r="AX264" s="5">
        <v>0.40416666666666662</v>
      </c>
      <c r="AZ264" t="str">
        <f t="shared" si="94"/>
        <v>(09:32-9:42)</v>
      </c>
      <c r="BA264" s="5" t="str">
        <f t="shared" si="95"/>
        <v>(09:16-9:42)(09:32-9:42)</v>
      </c>
    </row>
    <row r="265" spans="1:53" ht="13.5">
      <c r="A265" s="135" t="str">
        <f t="shared" si="79"/>
        <v/>
      </c>
      <c r="B265" s="19" t="str">
        <f t="shared" si="80"/>
        <v/>
      </c>
      <c r="C265" s="19" t="str">
        <f t="shared" si="81"/>
        <v/>
      </c>
      <c r="D265" s="19" t="str">
        <f t="shared" si="82"/>
        <v/>
      </c>
      <c r="E265" s="5" t="str">
        <f t="shared" si="84"/>
        <v/>
      </c>
      <c r="F265" s="12" t="str">
        <f t="shared" si="85"/>
        <v/>
      </c>
      <c r="K265" s="9" t="str">
        <f t="shared" si="86"/>
        <v/>
      </c>
      <c r="L265" s="6">
        <f t="shared" si="87"/>
        <v>0</v>
      </c>
      <c r="M265" s="6">
        <f t="shared" si="88"/>
        <v>0</v>
      </c>
      <c r="N265" s="94" t="str">
        <f t="shared" si="89"/>
        <v/>
      </c>
      <c r="O265" s="202"/>
      <c r="P265" s="200"/>
      <c r="Q265" s="203"/>
      <c r="R265" s="198"/>
      <c r="S265" s="204"/>
      <c r="T265" s="136" t="str">
        <f t="shared" si="90"/>
        <v/>
      </c>
      <c r="U265" s="137" t="str">
        <f t="shared" si="91"/>
        <v/>
      </c>
      <c r="V265" s="1"/>
      <c r="Y265" s="90" t="str">
        <f t="shared" si="92"/>
        <v/>
      </c>
      <c r="AC265" s="6" t="s">
        <v>2720</v>
      </c>
      <c r="AD265" s="6" t="s">
        <v>6879</v>
      </c>
      <c r="AE265" s="158" t="s">
        <v>4154</v>
      </c>
      <c r="AF265" s="159" t="s">
        <v>8299</v>
      </c>
      <c r="AG265" s="160">
        <v>315348</v>
      </c>
      <c r="AH265" s="194" t="s">
        <v>679</v>
      </c>
      <c r="AI265" s="6" t="s">
        <v>3137</v>
      </c>
      <c r="AJ265" s="3" t="s">
        <v>8211</v>
      </c>
      <c r="AK265" t="s">
        <v>8242</v>
      </c>
      <c r="AL265" s="4">
        <f t="shared" si="93"/>
        <v>0</v>
      </c>
      <c r="AM265" s="6" t="s">
        <v>1049</v>
      </c>
      <c r="AN265" s="6" t="s">
        <v>6075</v>
      </c>
      <c r="AO265" t="str">
        <f t="shared" si="83"/>
        <v/>
      </c>
      <c r="AP265" t="s">
        <v>1197</v>
      </c>
      <c r="AQ265" t="s">
        <v>4841</v>
      </c>
      <c r="AR265" s="15" t="s">
        <v>4549</v>
      </c>
      <c r="AV265">
        <v>505360</v>
      </c>
      <c r="AW265" t="s">
        <v>7965</v>
      </c>
      <c r="AX265" s="5">
        <v>0.36805555555555558</v>
      </c>
      <c r="AZ265" t="str">
        <f t="shared" si="94"/>
        <v>(05:47-8:50)</v>
      </c>
      <c r="BA265" s="5" t="str">
        <f t="shared" si="95"/>
        <v>(05:47-8:50)</v>
      </c>
    </row>
    <row r="266" spans="1:53" ht="13.5">
      <c r="A266" s="135" t="str">
        <f t="shared" si="79"/>
        <v/>
      </c>
      <c r="B266" s="19" t="str">
        <f t="shared" si="80"/>
        <v/>
      </c>
      <c r="C266" s="19" t="str">
        <f t="shared" si="81"/>
        <v/>
      </c>
      <c r="D266" s="19" t="str">
        <f t="shared" si="82"/>
        <v/>
      </c>
      <c r="E266" s="5" t="str">
        <f t="shared" si="84"/>
        <v/>
      </c>
      <c r="F266" s="12" t="str">
        <f t="shared" si="85"/>
        <v/>
      </c>
      <c r="K266" s="9" t="str">
        <f t="shared" si="86"/>
        <v/>
      </c>
      <c r="L266" s="6">
        <f t="shared" si="87"/>
        <v>0</v>
      </c>
      <c r="M266" s="6">
        <f t="shared" si="88"/>
        <v>0</v>
      </c>
      <c r="N266" s="94" t="str">
        <f t="shared" si="89"/>
        <v/>
      </c>
      <c r="O266" s="202"/>
      <c r="P266" s="200"/>
      <c r="Q266" s="203"/>
      <c r="R266" s="198"/>
      <c r="S266" s="204"/>
      <c r="T266" s="136" t="str">
        <f t="shared" si="90"/>
        <v/>
      </c>
      <c r="U266" s="137" t="str">
        <f t="shared" si="91"/>
        <v/>
      </c>
      <c r="V266" s="1"/>
      <c r="Y266" s="90" t="str">
        <f t="shared" si="92"/>
        <v/>
      </c>
      <c r="AC266" s="6">
        <v>245209</v>
      </c>
      <c r="AD266" s="6" t="s">
        <v>6901</v>
      </c>
      <c r="AE266" s="158" t="s">
        <v>1127</v>
      </c>
      <c r="AF266" s="159" t="s">
        <v>8299</v>
      </c>
      <c r="AG266" s="160">
        <v>325299</v>
      </c>
      <c r="AH266" s="194" t="s">
        <v>679</v>
      </c>
      <c r="AI266" s="6" t="s">
        <v>3233</v>
      </c>
      <c r="AJ266" s="3" t="s">
        <v>8240</v>
      </c>
      <c r="AK266" t="s">
        <v>8240</v>
      </c>
      <c r="AL266" s="4">
        <f t="shared" si="93"/>
        <v>0</v>
      </c>
      <c r="AM266" s="6" t="s">
        <v>1194</v>
      </c>
      <c r="AN266" s="6" t="s">
        <v>6076</v>
      </c>
      <c r="AO266" t="str">
        <f t="shared" si="83"/>
        <v/>
      </c>
      <c r="AP266" t="s">
        <v>4365</v>
      </c>
      <c r="AQ266" t="s">
        <v>4841</v>
      </c>
      <c r="AR266" s="15" t="s">
        <v>4879</v>
      </c>
      <c r="AV266">
        <v>315347</v>
      </c>
      <c r="AW266" t="s">
        <v>8168</v>
      </c>
      <c r="AX266" s="5">
        <v>0.65277777777777779</v>
      </c>
      <c r="AZ266" t="str">
        <f t="shared" si="94"/>
        <v>(15:29-15:40)</v>
      </c>
      <c r="BA266" s="5" t="str">
        <f t="shared" si="95"/>
        <v>(11:41-11:46)(12:14-12:17)(13:16-13:21)(15:29-15:40)</v>
      </c>
    </row>
    <row r="267" spans="1:53" ht="13.5">
      <c r="A267" s="135" t="str">
        <f t="shared" si="79"/>
        <v/>
      </c>
      <c r="B267" s="19" t="str">
        <f t="shared" si="80"/>
        <v/>
      </c>
      <c r="C267" s="19" t="str">
        <f t="shared" si="81"/>
        <v/>
      </c>
      <c r="D267" s="19" t="str">
        <f t="shared" si="82"/>
        <v/>
      </c>
      <c r="E267" s="5" t="str">
        <f t="shared" si="84"/>
        <v/>
      </c>
      <c r="F267" s="12" t="str">
        <f t="shared" si="85"/>
        <v/>
      </c>
      <c r="K267" s="9" t="str">
        <f t="shared" si="86"/>
        <v/>
      </c>
      <c r="L267" s="6">
        <f t="shared" si="87"/>
        <v>0</v>
      </c>
      <c r="M267" s="6">
        <f t="shared" si="88"/>
        <v>0</v>
      </c>
      <c r="N267" s="94" t="str">
        <f t="shared" si="89"/>
        <v/>
      </c>
      <c r="O267" s="202"/>
      <c r="P267" s="200"/>
      <c r="Q267" s="203"/>
      <c r="R267" s="198"/>
      <c r="S267" s="204"/>
      <c r="T267" s="136" t="str">
        <f t="shared" si="90"/>
        <v/>
      </c>
      <c r="U267" s="137" t="str">
        <f t="shared" si="91"/>
        <v/>
      </c>
      <c r="V267" s="1"/>
      <c r="Y267" s="90" t="str">
        <f t="shared" si="92"/>
        <v/>
      </c>
      <c r="AC267" s="6" t="s">
        <v>2542</v>
      </c>
      <c r="AD267" s="6" t="s">
        <v>6902</v>
      </c>
      <c r="AE267" s="158" t="s">
        <v>4155</v>
      </c>
      <c r="AF267" s="159" t="s">
        <v>8299</v>
      </c>
      <c r="AG267" s="160">
        <v>335300</v>
      </c>
      <c r="AH267" s="194" t="s">
        <v>679</v>
      </c>
      <c r="AI267" s="6" t="s">
        <v>3242</v>
      </c>
      <c r="AJ267" s="3" t="s">
        <v>8211</v>
      </c>
      <c r="AK267" t="s">
        <v>8242</v>
      </c>
      <c r="AL267" s="4">
        <f t="shared" si="93"/>
        <v>0</v>
      </c>
      <c r="AM267" s="6" t="s">
        <v>4468</v>
      </c>
      <c r="AN267" s="6" t="s">
        <v>6077</v>
      </c>
      <c r="AO267" t="str">
        <f t="shared" si="83"/>
        <v/>
      </c>
      <c r="AP267" t="s">
        <v>4825</v>
      </c>
      <c r="AQ267" t="s">
        <v>4519</v>
      </c>
      <c r="AR267" s="15" t="s">
        <v>4687</v>
      </c>
      <c r="AV267">
        <v>315347</v>
      </c>
      <c r="AW267" t="s">
        <v>8088</v>
      </c>
      <c r="AX267" s="5">
        <v>0.55625000000000002</v>
      </c>
      <c r="AZ267" t="str">
        <f t="shared" si="94"/>
        <v>(13:16-13:21)</v>
      </c>
      <c r="BA267" s="5" t="str">
        <f t="shared" si="95"/>
        <v>(11:41-11:46)(12:14-12:17)(15:29-15:40)(13:16-13:21)</v>
      </c>
    </row>
    <row r="268" spans="1:53" ht="13.5">
      <c r="A268" s="135" t="str">
        <f t="shared" si="79"/>
        <v/>
      </c>
      <c r="B268" s="19" t="str">
        <f t="shared" si="80"/>
        <v/>
      </c>
      <c r="C268" s="19" t="str">
        <f t="shared" si="81"/>
        <v/>
      </c>
      <c r="D268" s="19" t="str">
        <f t="shared" si="82"/>
        <v/>
      </c>
      <c r="E268" s="5" t="str">
        <f t="shared" si="84"/>
        <v/>
      </c>
      <c r="F268" s="12" t="str">
        <f t="shared" si="85"/>
        <v/>
      </c>
      <c r="K268" s="9" t="str">
        <f t="shared" si="86"/>
        <v/>
      </c>
      <c r="L268" s="6">
        <f t="shared" si="87"/>
        <v>0</v>
      </c>
      <c r="M268" s="6">
        <f t="shared" si="88"/>
        <v>0</v>
      </c>
      <c r="N268" s="94" t="str">
        <f t="shared" si="89"/>
        <v/>
      </c>
      <c r="O268" s="202"/>
      <c r="P268" s="200"/>
      <c r="Q268" s="203"/>
      <c r="R268" s="198"/>
      <c r="S268" s="204"/>
      <c r="T268" s="136" t="str">
        <f t="shared" si="90"/>
        <v/>
      </c>
      <c r="U268" s="137" t="str">
        <f t="shared" si="91"/>
        <v/>
      </c>
      <c r="V268" s="1"/>
      <c r="Y268" s="90" t="str">
        <f t="shared" si="92"/>
        <v/>
      </c>
      <c r="AC268" s="6" t="s">
        <v>2516</v>
      </c>
      <c r="AD268" s="6" t="s">
        <v>6903</v>
      </c>
      <c r="AE268" s="158" t="s">
        <v>4156</v>
      </c>
      <c r="AF268" s="159" t="s">
        <v>8300</v>
      </c>
      <c r="AG268" s="160">
        <v>335301</v>
      </c>
      <c r="AH268" s="194" t="s">
        <v>679</v>
      </c>
      <c r="AI268" s="6" t="s">
        <v>3265</v>
      </c>
      <c r="AJ268" s="3" t="s">
        <v>8205</v>
      </c>
      <c r="AK268" t="s">
        <v>8211</v>
      </c>
      <c r="AL268" s="4">
        <f t="shared" si="93"/>
        <v>0</v>
      </c>
      <c r="AM268" s="6" t="s">
        <v>4499</v>
      </c>
      <c r="AN268" s="6" t="s">
        <v>6078</v>
      </c>
      <c r="AO268" t="str">
        <f t="shared" si="83"/>
        <v/>
      </c>
      <c r="AP268" t="s">
        <v>4465</v>
      </c>
      <c r="AQ268" t="s">
        <v>4841</v>
      </c>
      <c r="AR268" s="15" t="s">
        <v>4880</v>
      </c>
      <c r="AV268">
        <v>315347</v>
      </c>
      <c r="AW268" t="s">
        <v>8069</v>
      </c>
      <c r="AX268" s="5">
        <v>0.51180555555555551</v>
      </c>
      <c r="AZ268" t="str">
        <f t="shared" si="94"/>
        <v>(12:14-12:17)</v>
      </c>
      <c r="BA268" s="5" t="str">
        <f t="shared" si="95"/>
        <v>(11:41-11:46)(13:16-13:21)(12:14-12:17)</v>
      </c>
    </row>
    <row r="269" spans="1:53" ht="13.5">
      <c r="A269" s="135" t="str">
        <f t="shared" si="79"/>
        <v/>
      </c>
      <c r="B269" s="19" t="str">
        <f t="shared" si="80"/>
        <v/>
      </c>
      <c r="C269" s="19" t="str">
        <f t="shared" si="81"/>
        <v/>
      </c>
      <c r="D269" s="19" t="str">
        <f t="shared" si="82"/>
        <v/>
      </c>
      <c r="E269" s="5" t="str">
        <f t="shared" si="84"/>
        <v/>
      </c>
      <c r="F269" s="12" t="str">
        <f t="shared" si="85"/>
        <v/>
      </c>
      <c r="K269" s="9" t="str">
        <f t="shared" si="86"/>
        <v/>
      </c>
      <c r="L269" s="6">
        <f t="shared" si="87"/>
        <v>0</v>
      </c>
      <c r="M269" s="6">
        <f t="shared" si="88"/>
        <v>0</v>
      </c>
      <c r="N269" s="94" t="str">
        <f t="shared" si="89"/>
        <v/>
      </c>
      <c r="O269" s="202"/>
      <c r="P269" s="200"/>
      <c r="Q269" s="203"/>
      <c r="R269" s="198"/>
      <c r="S269" s="204"/>
      <c r="T269" s="136" t="str">
        <f t="shared" si="90"/>
        <v/>
      </c>
      <c r="U269" s="137" t="str">
        <f t="shared" si="91"/>
        <v/>
      </c>
      <c r="V269" s="1"/>
      <c r="Y269" s="90" t="str">
        <f t="shared" si="92"/>
        <v/>
      </c>
      <c r="AC269" s="6" t="s">
        <v>2709</v>
      </c>
      <c r="AD269" s="6" t="s">
        <v>6904</v>
      </c>
      <c r="AE269" s="158" t="s">
        <v>4157</v>
      </c>
      <c r="AF269" s="159" t="s">
        <v>8299</v>
      </c>
      <c r="AG269" s="160">
        <v>335302</v>
      </c>
      <c r="AH269" s="194" t="s">
        <v>679</v>
      </c>
      <c r="AI269" s="6" t="s">
        <v>3272</v>
      </c>
      <c r="AJ269" s="3" t="s">
        <v>8205</v>
      </c>
      <c r="AK269" t="s">
        <v>8211</v>
      </c>
      <c r="AL269" s="4">
        <f t="shared" si="93"/>
        <v>0</v>
      </c>
      <c r="AM269" s="6" t="s">
        <v>4809</v>
      </c>
      <c r="AN269" s="6" t="s">
        <v>6079</v>
      </c>
      <c r="AO269" t="str">
        <f t="shared" si="83"/>
        <v/>
      </c>
      <c r="AP269" t="s">
        <v>4516</v>
      </c>
      <c r="AQ269" t="s">
        <v>4519</v>
      </c>
      <c r="AR269" s="15" t="s">
        <v>4693</v>
      </c>
      <c r="AV269">
        <v>315347</v>
      </c>
      <c r="AW269" t="s">
        <v>8056</v>
      </c>
      <c r="AX269" s="5">
        <v>0.49027777777777781</v>
      </c>
      <c r="AZ269" t="str">
        <f t="shared" si="94"/>
        <v>(11:41-11:46)</v>
      </c>
      <c r="BA269" s="5" t="str">
        <f t="shared" si="95"/>
        <v>(12:14-12:17)(11:41-11:46)</v>
      </c>
    </row>
    <row r="270" spans="1:53" ht="13.5">
      <c r="A270" s="135" t="str">
        <f t="shared" si="79"/>
        <v/>
      </c>
      <c r="B270" s="19" t="str">
        <f t="shared" si="80"/>
        <v/>
      </c>
      <c r="C270" s="19" t="str">
        <f t="shared" si="81"/>
        <v/>
      </c>
      <c r="D270" s="19" t="str">
        <f t="shared" si="82"/>
        <v/>
      </c>
      <c r="E270" s="5" t="str">
        <f t="shared" si="84"/>
        <v/>
      </c>
      <c r="F270" s="12" t="str">
        <f t="shared" si="85"/>
        <v/>
      </c>
      <c r="K270" s="9" t="str">
        <f t="shared" si="86"/>
        <v/>
      </c>
      <c r="L270" s="6">
        <f t="shared" si="87"/>
        <v>0</v>
      </c>
      <c r="M270" s="6">
        <f t="shared" si="88"/>
        <v>0</v>
      </c>
      <c r="N270" s="94" t="str">
        <f t="shared" si="89"/>
        <v/>
      </c>
      <c r="O270" s="202"/>
      <c r="P270" s="200"/>
      <c r="Q270" s="203"/>
      <c r="R270" s="198"/>
      <c r="S270" s="204"/>
      <c r="T270" s="136" t="str">
        <f t="shared" si="90"/>
        <v/>
      </c>
      <c r="U270" s="137" t="str">
        <f t="shared" si="91"/>
        <v/>
      </c>
      <c r="V270" s="1"/>
      <c r="Y270" s="90" t="str">
        <f t="shared" si="92"/>
        <v/>
      </c>
      <c r="AC270" s="6" t="s">
        <v>2560</v>
      </c>
      <c r="AD270" s="6" t="s">
        <v>6862</v>
      </c>
      <c r="AE270" s="158" t="s">
        <v>4106</v>
      </c>
      <c r="AF270" s="159" t="s">
        <v>8299</v>
      </c>
      <c r="AG270" s="160">
        <v>335303</v>
      </c>
      <c r="AH270" s="194" t="s">
        <v>679</v>
      </c>
      <c r="AI270" s="6" t="s">
        <v>4421</v>
      </c>
      <c r="AJ270" s="3" t="s">
        <v>8220</v>
      </c>
      <c r="AK270" t="s">
        <v>8220</v>
      </c>
      <c r="AL270" s="4">
        <f t="shared" si="93"/>
        <v>0</v>
      </c>
      <c r="AM270" s="6" t="s">
        <v>4812</v>
      </c>
      <c r="AN270" s="6" t="s">
        <v>6080</v>
      </c>
      <c r="AO270" t="str">
        <f t="shared" si="83"/>
        <v/>
      </c>
      <c r="AP270" t="s">
        <v>1049</v>
      </c>
      <c r="AQ270" t="s">
        <v>4519</v>
      </c>
      <c r="AR270" s="15" t="s">
        <v>4881</v>
      </c>
      <c r="AV270">
        <v>315319</v>
      </c>
      <c r="AW270" t="s">
        <v>7994</v>
      </c>
      <c r="AX270" s="5">
        <v>0.38958333333333334</v>
      </c>
      <c r="AZ270" t="str">
        <f t="shared" si="94"/>
        <v>(09:19-9:21)</v>
      </c>
      <c r="BA270" s="5" t="str">
        <f t="shared" si="95"/>
        <v>(09:14-9:18)(09:19-9:21)</v>
      </c>
    </row>
    <row r="271" spans="1:53" ht="13.5">
      <c r="A271" s="135" t="str">
        <f t="shared" si="79"/>
        <v/>
      </c>
      <c r="B271" s="19" t="str">
        <f t="shared" si="80"/>
        <v/>
      </c>
      <c r="C271" s="19" t="str">
        <f t="shared" si="81"/>
        <v/>
      </c>
      <c r="D271" s="19" t="str">
        <f t="shared" si="82"/>
        <v/>
      </c>
      <c r="E271" s="5" t="str">
        <f t="shared" si="84"/>
        <v/>
      </c>
      <c r="F271" s="12" t="str">
        <f t="shared" si="85"/>
        <v/>
      </c>
      <c r="K271" s="9" t="str">
        <f t="shared" si="86"/>
        <v/>
      </c>
      <c r="L271" s="6">
        <f t="shared" si="87"/>
        <v>0</v>
      </c>
      <c r="M271" s="6">
        <f t="shared" si="88"/>
        <v>0</v>
      </c>
      <c r="N271" s="94" t="str">
        <f t="shared" si="89"/>
        <v/>
      </c>
      <c r="O271" s="202"/>
      <c r="P271" s="200"/>
      <c r="Q271" s="203"/>
      <c r="R271" s="198"/>
      <c r="S271" s="204"/>
      <c r="T271" s="136" t="str">
        <f t="shared" si="90"/>
        <v/>
      </c>
      <c r="U271" s="137" t="str">
        <f t="shared" si="91"/>
        <v/>
      </c>
      <c r="V271" s="1"/>
      <c r="Y271" s="90" t="str">
        <f t="shared" si="92"/>
        <v/>
      </c>
      <c r="AC271" s="6" t="s">
        <v>2484</v>
      </c>
      <c r="AD271" s="6" t="s">
        <v>6862</v>
      </c>
      <c r="AE271" s="158" t="s">
        <v>4107</v>
      </c>
      <c r="AF271" s="159" t="s">
        <v>8299</v>
      </c>
      <c r="AG271" s="160">
        <v>335409</v>
      </c>
      <c r="AH271" s="194" t="s">
        <v>679</v>
      </c>
      <c r="AI271" s="6" t="s">
        <v>5385</v>
      </c>
      <c r="AJ271" s="3" t="s">
        <v>8193</v>
      </c>
      <c r="AK271" t="s">
        <v>8205</v>
      </c>
      <c r="AL271" s="4">
        <f t="shared" si="93"/>
        <v>0</v>
      </c>
      <c r="AM271" s="6" t="s">
        <v>1199</v>
      </c>
      <c r="AN271" s="6" t="s">
        <v>6081</v>
      </c>
      <c r="AO271" t="str">
        <f t="shared" si="83"/>
        <v/>
      </c>
      <c r="AP271" t="s">
        <v>1194</v>
      </c>
      <c r="AQ271" t="s">
        <v>4841</v>
      </c>
      <c r="AR271" s="15" t="s">
        <v>4882</v>
      </c>
      <c r="AV271">
        <v>315319</v>
      </c>
      <c r="AW271" t="s">
        <v>7991</v>
      </c>
      <c r="AX271" s="5">
        <v>0.38750000000000001</v>
      </c>
      <c r="AZ271" t="str">
        <f t="shared" si="94"/>
        <v>(09:14-9:18)</v>
      </c>
      <c r="BA271" s="5" t="str">
        <f t="shared" si="95"/>
        <v>(09:19-9:21)(09:14-9:18)</v>
      </c>
    </row>
    <row r="272" spans="1:53" ht="13.5">
      <c r="A272" s="135" t="str">
        <f t="shared" si="79"/>
        <v/>
      </c>
      <c r="B272" s="19" t="str">
        <f t="shared" si="80"/>
        <v/>
      </c>
      <c r="C272" s="19" t="str">
        <f t="shared" si="81"/>
        <v/>
      </c>
      <c r="D272" s="19" t="str">
        <f t="shared" si="82"/>
        <v/>
      </c>
      <c r="E272" s="5" t="str">
        <f t="shared" si="84"/>
        <v/>
      </c>
      <c r="F272" s="12" t="str">
        <f t="shared" si="85"/>
        <v/>
      </c>
      <c r="K272" s="9" t="str">
        <f t="shared" si="86"/>
        <v/>
      </c>
      <c r="L272" s="6">
        <f t="shared" si="87"/>
        <v>0</v>
      </c>
      <c r="M272" s="6">
        <f t="shared" si="88"/>
        <v>0</v>
      </c>
      <c r="N272" s="94" t="str">
        <f t="shared" si="89"/>
        <v/>
      </c>
      <c r="O272" s="202"/>
      <c r="P272" s="200"/>
      <c r="Q272" s="203"/>
      <c r="R272" s="198"/>
      <c r="S272" s="204"/>
      <c r="T272" s="136" t="str">
        <f t="shared" si="90"/>
        <v/>
      </c>
      <c r="U272" s="137" t="str">
        <f t="shared" si="91"/>
        <v/>
      </c>
      <c r="V272" s="1"/>
      <c r="Y272" s="90" t="str">
        <f t="shared" si="92"/>
        <v/>
      </c>
      <c r="AC272" s="6">
        <v>385658</v>
      </c>
      <c r="AD272" s="6" t="s">
        <v>6905</v>
      </c>
      <c r="AE272" s="158" t="s">
        <v>4108</v>
      </c>
      <c r="AF272" s="159" t="s">
        <v>8339</v>
      </c>
      <c r="AG272" s="160">
        <v>335410</v>
      </c>
      <c r="AH272" s="194" t="s">
        <v>679</v>
      </c>
      <c r="AI272" s="6" t="s">
        <v>3310</v>
      </c>
      <c r="AJ272" s="3" t="s">
        <v>8240</v>
      </c>
      <c r="AK272" t="s">
        <v>8240</v>
      </c>
      <c r="AL272" s="4">
        <f t="shared" si="93"/>
        <v>0</v>
      </c>
      <c r="AM272" s="6" t="s">
        <v>1201</v>
      </c>
      <c r="AN272" s="6" t="s">
        <v>6082</v>
      </c>
      <c r="AO272" t="str">
        <f t="shared" si="83"/>
        <v/>
      </c>
      <c r="AP272" t="s">
        <v>4468</v>
      </c>
      <c r="AQ272" t="s">
        <v>4518</v>
      </c>
      <c r="AR272" s="15" t="s">
        <v>4883</v>
      </c>
      <c r="AV272">
        <v>265377</v>
      </c>
      <c r="AW272" t="s">
        <v>7990</v>
      </c>
      <c r="AX272" s="5">
        <v>0.38958333333333334</v>
      </c>
      <c r="AZ272" t="str">
        <f t="shared" si="94"/>
        <v>(09:10-9:21)</v>
      </c>
      <c r="BA272" s="5" t="str">
        <f t="shared" si="95"/>
        <v>(09:10-9:21)</v>
      </c>
    </row>
    <row r="273" spans="1:53" ht="13.5">
      <c r="A273" s="135" t="str">
        <f t="shared" si="79"/>
        <v/>
      </c>
      <c r="B273" s="19" t="str">
        <f t="shared" si="80"/>
        <v/>
      </c>
      <c r="C273" s="19" t="str">
        <f t="shared" si="81"/>
        <v/>
      </c>
      <c r="D273" s="19" t="str">
        <f t="shared" si="82"/>
        <v/>
      </c>
      <c r="E273" s="5" t="str">
        <f t="shared" si="84"/>
        <v/>
      </c>
      <c r="F273" s="12" t="str">
        <f t="shared" si="85"/>
        <v/>
      </c>
      <c r="K273" s="9" t="str">
        <f t="shared" si="86"/>
        <v/>
      </c>
      <c r="L273" s="6">
        <f t="shared" si="87"/>
        <v>0</v>
      </c>
      <c r="M273" s="6">
        <f t="shared" si="88"/>
        <v>0</v>
      </c>
      <c r="N273" s="94" t="str">
        <f t="shared" si="89"/>
        <v/>
      </c>
      <c r="O273" s="202"/>
      <c r="P273" s="200"/>
      <c r="Q273" s="203"/>
      <c r="R273" s="198"/>
      <c r="S273" s="204"/>
      <c r="T273" s="136" t="str">
        <f t="shared" si="90"/>
        <v/>
      </c>
      <c r="U273" s="137" t="str">
        <f t="shared" si="91"/>
        <v/>
      </c>
      <c r="V273" s="1"/>
      <c r="Y273" s="90" t="str">
        <f t="shared" si="92"/>
        <v/>
      </c>
      <c r="AC273" s="6" t="s">
        <v>2633</v>
      </c>
      <c r="AD273" s="6" t="s">
        <v>6889</v>
      </c>
      <c r="AE273" s="158" t="s">
        <v>4109</v>
      </c>
      <c r="AF273" s="159" t="s">
        <v>8299</v>
      </c>
      <c r="AG273" s="160">
        <v>335411</v>
      </c>
      <c r="AH273" s="194" t="s">
        <v>679</v>
      </c>
      <c r="AI273" s="6" t="s">
        <v>3314</v>
      </c>
      <c r="AJ273" s="3" t="s">
        <v>8211</v>
      </c>
      <c r="AK273" t="s">
        <v>8242</v>
      </c>
      <c r="AL273" s="4">
        <f t="shared" si="93"/>
        <v>0</v>
      </c>
      <c r="AM273" s="6" t="s">
        <v>1200</v>
      </c>
      <c r="AN273" s="6" t="s">
        <v>6083</v>
      </c>
      <c r="AO273" t="str">
        <f t="shared" si="83"/>
        <v/>
      </c>
      <c r="AP273" t="s">
        <v>4460</v>
      </c>
      <c r="AQ273" t="s">
        <v>4519</v>
      </c>
      <c r="AR273" s="15" t="s">
        <v>4691</v>
      </c>
      <c r="AV273">
        <v>113601</v>
      </c>
      <c r="AW273" t="s">
        <v>8139</v>
      </c>
      <c r="AX273" s="5">
        <v>0.63888888888888895</v>
      </c>
      <c r="AZ273" t="str">
        <f t="shared" si="94"/>
        <v>(15:17-15:20)</v>
      </c>
      <c r="BA273" s="5" t="str">
        <f t="shared" si="95"/>
        <v>(09:18-9:19)(12:22-12:23)(15:17-15:20)</v>
      </c>
    </row>
    <row r="274" spans="1:53" ht="13.5">
      <c r="A274" s="135" t="str">
        <f t="shared" si="79"/>
        <v/>
      </c>
      <c r="B274" s="19" t="str">
        <f t="shared" si="80"/>
        <v/>
      </c>
      <c r="C274" s="19" t="str">
        <f t="shared" si="81"/>
        <v/>
      </c>
      <c r="D274" s="19" t="str">
        <f t="shared" si="82"/>
        <v/>
      </c>
      <c r="E274" s="5" t="str">
        <f t="shared" si="84"/>
        <v/>
      </c>
      <c r="F274" s="12" t="str">
        <f t="shared" si="85"/>
        <v/>
      </c>
      <c r="K274" s="9" t="str">
        <f t="shared" si="86"/>
        <v/>
      </c>
      <c r="L274" s="6">
        <f t="shared" si="87"/>
        <v>0</v>
      </c>
      <c r="M274" s="6">
        <f t="shared" si="88"/>
        <v>0</v>
      </c>
      <c r="N274" s="94" t="str">
        <f t="shared" si="89"/>
        <v/>
      </c>
      <c r="O274" s="202"/>
      <c r="P274" s="200"/>
      <c r="Q274" s="203"/>
      <c r="R274" s="198"/>
      <c r="S274" s="204"/>
      <c r="T274" s="136" t="str">
        <f t="shared" si="90"/>
        <v/>
      </c>
      <c r="U274" s="137" t="str">
        <f t="shared" si="91"/>
        <v/>
      </c>
      <c r="V274" s="1"/>
      <c r="Y274" s="90" t="str">
        <f t="shared" si="92"/>
        <v/>
      </c>
      <c r="AC274" s="6" t="s">
        <v>2829</v>
      </c>
      <c r="AD274" s="6" t="s">
        <v>6906</v>
      </c>
      <c r="AE274" s="158" t="s">
        <v>4110</v>
      </c>
      <c r="AF274" s="159" t="s">
        <v>8299</v>
      </c>
      <c r="AG274" s="160">
        <v>335412</v>
      </c>
      <c r="AH274" s="194" t="s">
        <v>679</v>
      </c>
      <c r="AI274" s="6" t="s">
        <v>4427</v>
      </c>
      <c r="AJ274" s="3" t="s">
        <v>8247</v>
      </c>
      <c r="AK274" t="s">
        <v>8247</v>
      </c>
      <c r="AL274" s="4">
        <f t="shared" si="93"/>
        <v>0</v>
      </c>
      <c r="AM274" s="6" t="s">
        <v>4469</v>
      </c>
      <c r="AN274" s="6" t="s">
        <v>6084</v>
      </c>
      <c r="AO274" t="str">
        <f t="shared" si="83"/>
        <v/>
      </c>
      <c r="AP274" t="s">
        <v>4499</v>
      </c>
      <c r="AQ274" t="s">
        <v>4512</v>
      </c>
      <c r="AR274" s="15">
        <v>2775</v>
      </c>
      <c r="AV274">
        <v>113601</v>
      </c>
      <c r="AW274" t="s">
        <v>8066</v>
      </c>
      <c r="AX274" s="5">
        <v>0.51597222222222217</v>
      </c>
      <c r="AZ274" t="str">
        <f t="shared" si="94"/>
        <v>(12:22-12:23)</v>
      </c>
      <c r="BA274" s="5" t="str">
        <f t="shared" si="95"/>
        <v>(09:18-9:19)(15:17-15:20)(12:22-12:23)</v>
      </c>
    </row>
    <row r="275" spans="1:53" ht="13.5">
      <c r="A275" s="135" t="str">
        <f t="shared" si="79"/>
        <v/>
      </c>
      <c r="B275" s="19" t="str">
        <f t="shared" si="80"/>
        <v/>
      </c>
      <c r="C275" s="19" t="str">
        <f t="shared" si="81"/>
        <v/>
      </c>
      <c r="D275" s="19" t="str">
        <f t="shared" si="82"/>
        <v/>
      </c>
      <c r="E275" s="5" t="str">
        <f t="shared" si="84"/>
        <v/>
      </c>
      <c r="F275" s="12" t="str">
        <f t="shared" si="85"/>
        <v/>
      </c>
      <c r="K275" s="9" t="str">
        <f t="shared" si="86"/>
        <v/>
      </c>
      <c r="L275" s="6">
        <f t="shared" si="87"/>
        <v>0</v>
      </c>
      <c r="M275" s="6">
        <f t="shared" si="88"/>
        <v>0</v>
      </c>
      <c r="N275" s="94" t="str">
        <f t="shared" si="89"/>
        <v/>
      </c>
      <c r="O275" s="202"/>
      <c r="P275" s="200"/>
      <c r="Q275" s="203"/>
      <c r="R275" s="198"/>
      <c r="S275" s="204"/>
      <c r="T275" s="136" t="str">
        <f t="shared" si="90"/>
        <v/>
      </c>
      <c r="U275" s="137" t="str">
        <f t="shared" si="91"/>
        <v/>
      </c>
      <c r="V275" s="1"/>
      <c r="Y275" s="90" t="str">
        <f t="shared" si="92"/>
        <v/>
      </c>
      <c r="AC275" s="6">
        <v>435741</v>
      </c>
      <c r="AD275" s="6" t="s">
        <v>6907</v>
      </c>
      <c r="AE275" s="158" t="s">
        <v>4111</v>
      </c>
      <c r="AF275" s="159" t="s">
        <v>8299</v>
      </c>
      <c r="AG275" s="160">
        <v>343696</v>
      </c>
      <c r="AH275" s="194" t="s">
        <v>4700</v>
      </c>
      <c r="AI275" s="6" t="s">
        <v>3341</v>
      </c>
      <c r="AJ275" s="3" t="s">
        <v>8240</v>
      </c>
      <c r="AK275" t="s">
        <v>8240</v>
      </c>
      <c r="AL275" s="4">
        <f t="shared" si="93"/>
        <v>0</v>
      </c>
      <c r="AM275" s="6" t="s">
        <v>4498</v>
      </c>
      <c r="AN275" s="6" t="s">
        <v>6085</v>
      </c>
      <c r="AO275" t="str">
        <f t="shared" si="83"/>
        <v/>
      </c>
      <c r="AP275" t="s">
        <v>4809</v>
      </c>
      <c r="AQ275" t="s">
        <v>4518</v>
      </c>
      <c r="AR275" s="15" t="s">
        <v>4884</v>
      </c>
      <c r="AV275">
        <v>113601</v>
      </c>
      <c r="AW275" t="s">
        <v>7993</v>
      </c>
      <c r="AX275" s="5">
        <v>0.38819444444444445</v>
      </c>
      <c r="AZ275" t="str">
        <f t="shared" si="94"/>
        <v>(09:18-9:19)</v>
      </c>
      <c r="BA275" s="5" t="str">
        <f t="shared" si="95"/>
        <v>(12:22-12:23)(09:18-9:19)</v>
      </c>
    </row>
    <row r="276" spans="1:53" ht="13.5">
      <c r="A276" s="135" t="str">
        <f t="shared" si="79"/>
        <v/>
      </c>
      <c r="B276" s="19" t="str">
        <f t="shared" si="80"/>
        <v/>
      </c>
      <c r="C276" s="19" t="str">
        <f t="shared" si="81"/>
        <v/>
      </c>
      <c r="D276" s="19" t="str">
        <f t="shared" si="82"/>
        <v/>
      </c>
      <c r="E276" s="5" t="str">
        <f t="shared" si="84"/>
        <v/>
      </c>
      <c r="F276" s="12" t="str">
        <f t="shared" si="85"/>
        <v/>
      </c>
      <c r="K276" s="9" t="str">
        <f t="shared" si="86"/>
        <v/>
      </c>
      <c r="L276" s="6">
        <f t="shared" si="87"/>
        <v>0</v>
      </c>
      <c r="M276" s="6">
        <f t="shared" si="88"/>
        <v>0</v>
      </c>
      <c r="N276" s="94" t="str">
        <f t="shared" si="89"/>
        <v/>
      </c>
      <c r="O276" s="202"/>
      <c r="P276" s="200"/>
      <c r="Q276" s="203"/>
      <c r="R276" s="198"/>
      <c r="S276" s="204"/>
      <c r="T276" s="136" t="str">
        <f t="shared" si="90"/>
        <v/>
      </c>
      <c r="U276" s="137" t="str">
        <f t="shared" si="91"/>
        <v/>
      </c>
      <c r="V276" s="1"/>
      <c r="Y276" s="90" t="str">
        <f t="shared" si="92"/>
        <v/>
      </c>
      <c r="AC276" s="6" t="s">
        <v>2713</v>
      </c>
      <c r="AD276" s="6" t="s">
        <v>6908</v>
      </c>
      <c r="AE276" s="158" t="s">
        <v>4112</v>
      </c>
      <c r="AF276" s="159" t="s">
        <v>8299</v>
      </c>
      <c r="AG276" s="160">
        <v>345240</v>
      </c>
      <c r="AH276" s="194" t="s">
        <v>679</v>
      </c>
      <c r="AI276" s="6" t="s">
        <v>3429</v>
      </c>
      <c r="AJ276" s="3" t="s">
        <v>8220</v>
      </c>
      <c r="AK276" t="s">
        <v>8220</v>
      </c>
      <c r="AL276" s="4">
        <f t="shared" si="93"/>
        <v>0</v>
      </c>
      <c r="AM276" s="6" t="s">
        <v>1198</v>
      </c>
      <c r="AN276" s="6" t="s">
        <v>6086</v>
      </c>
      <c r="AO276" t="str">
        <f t="shared" si="83"/>
        <v/>
      </c>
      <c r="AP276" t="s">
        <v>4812</v>
      </c>
      <c r="AQ276" t="s">
        <v>4518</v>
      </c>
      <c r="AR276" s="15" t="s">
        <v>4885</v>
      </c>
      <c r="AV276">
        <v>25341</v>
      </c>
      <c r="AW276" t="s">
        <v>8074</v>
      </c>
      <c r="AX276" s="5">
        <v>0.54027777777777775</v>
      </c>
      <c r="AZ276" t="str">
        <f t="shared" si="94"/>
        <v>(12:50-12:58)</v>
      </c>
      <c r="BA276" s="5" t="str">
        <f t="shared" si="95"/>
        <v>(12:50-12:58)</v>
      </c>
    </row>
    <row r="277" spans="1:53" ht="13.5">
      <c r="A277" s="135" t="str">
        <f t="shared" si="79"/>
        <v/>
      </c>
      <c r="B277" s="19" t="str">
        <f t="shared" si="80"/>
        <v/>
      </c>
      <c r="C277" s="19" t="str">
        <f t="shared" si="81"/>
        <v/>
      </c>
      <c r="D277" s="19" t="str">
        <f t="shared" si="82"/>
        <v/>
      </c>
      <c r="E277" s="5" t="str">
        <f t="shared" si="84"/>
        <v/>
      </c>
      <c r="F277" s="12" t="str">
        <f t="shared" si="85"/>
        <v/>
      </c>
      <c r="K277" s="9" t="str">
        <f t="shared" si="86"/>
        <v/>
      </c>
      <c r="L277" s="6">
        <f t="shared" si="87"/>
        <v>0</v>
      </c>
      <c r="M277" s="6">
        <f t="shared" si="88"/>
        <v>0</v>
      </c>
      <c r="N277" s="94" t="str">
        <f t="shared" si="89"/>
        <v/>
      </c>
      <c r="O277" s="202"/>
      <c r="P277" s="200"/>
      <c r="Q277" s="203"/>
      <c r="R277" s="198"/>
      <c r="S277" s="204"/>
      <c r="T277" s="136" t="str">
        <f t="shared" si="90"/>
        <v/>
      </c>
      <c r="U277" s="137" t="str">
        <f t="shared" si="91"/>
        <v/>
      </c>
      <c r="V277" s="1"/>
      <c r="Y277" s="90" t="str">
        <f t="shared" si="92"/>
        <v/>
      </c>
      <c r="AC277" s="6" t="s">
        <v>2830</v>
      </c>
      <c r="AD277" s="6" t="s">
        <v>6909</v>
      </c>
      <c r="AE277" s="158" t="s">
        <v>4113</v>
      </c>
      <c r="AF277" s="159" t="s">
        <v>8299</v>
      </c>
      <c r="AG277" s="160">
        <v>345241</v>
      </c>
      <c r="AH277" s="194" t="s">
        <v>1314</v>
      </c>
      <c r="AI277" s="6" t="s">
        <v>3352</v>
      </c>
      <c r="AJ277" s="3" t="s">
        <v>8211</v>
      </c>
      <c r="AK277" t="s">
        <v>8242</v>
      </c>
      <c r="AL277" s="4">
        <f t="shared" si="93"/>
        <v>0</v>
      </c>
      <c r="AM277" s="6" t="s">
        <v>4470</v>
      </c>
      <c r="AN277" s="6" t="s">
        <v>6087</v>
      </c>
      <c r="AO277" t="str">
        <f t="shared" si="83"/>
        <v/>
      </c>
      <c r="AP277" t="s">
        <v>1199</v>
      </c>
      <c r="AQ277" t="s">
        <v>4519</v>
      </c>
      <c r="AR277" s="15" t="s">
        <v>4886</v>
      </c>
      <c r="AV277">
        <v>25261</v>
      </c>
      <c r="AW277" t="s">
        <v>8109</v>
      </c>
      <c r="AX277" s="5">
        <v>0.60416666666666663</v>
      </c>
      <c r="AZ277" t="str">
        <f t="shared" si="94"/>
        <v>(14:10-14:30)</v>
      </c>
      <c r="BA277" s="5" t="str">
        <f t="shared" si="95"/>
        <v>(14:10-14:30)</v>
      </c>
    </row>
    <row r="278" spans="1:53" ht="13.5">
      <c r="A278" s="135" t="str">
        <f t="shared" si="79"/>
        <v/>
      </c>
      <c r="B278" s="19" t="str">
        <f t="shared" si="80"/>
        <v/>
      </c>
      <c r="C278" s="19" t="str">
        <f t="shared" si="81"/>
        <v/>
      </c>
      <c r="D278" s="19" t="str">
        <f t="shared" si="82"/>
        <v/>
      </c>
      <c r="E278" s="5" t="str">
        <f t="shared" si="84"/>
        <v/>
      </c>
      <c r="F278" s="12" t="str">
        <f t="shared" si="85"/>
        <v/>
      </c>
      <c r="K278" s="9" t="str">
        <f t="shared" si="86"/>
        <v/>
      </c>
      <c r="L278" s="6">
        <f t="shared" si="87"/>
        <v>0</v>
      </c>
      <c r="M278" s="6">
        <f t="shared" si="88"/>
        <v>0</v>
      </c>
      <c r="N278" s="94" t="str">
        <f t="shared" si="89"/>
        <v/>
      </c>
      <c r="O278" s="202"/>
      <c r="P278" s="200"/>
      <c r="Q278" s="203"/>
      <c r="R278" s="198"/>
      <c r="S278" s="204"/>
      <c r="T278" s="136" t="str">
        <f t="shared" si="90"/>
        <v/>
      </c>
      <c r="U278" s="137" t="str">
        <f t="shared" si="91"/>
        <v/>
      </c>
      <c r="V278" s="1"/>
      <c r="Y278" s="90" t="str">
        <f t="shared" si="92"/>
        <v/>
      </c>
      <c r="AC278" s="6" t="s">
        <v>2787</v>
      </c>
      <c r="AD278" s="6" t="s">
        <v>6862</v>
      </c>
      <c r="AE278" s="158" t="s">
        <v>4114</v>
      </c>
      <c r="AF278" s="159" t="s">
        <v>8299</v>
      </c>
      <c r="AG278" s="160">
        <v>345242</v>
      </c>
      <c r="AH278" s="194" t="s">
        <v>679</v>
      </c>
      <c r="AI278" s="6" t="s">
        <v>3436</v>
      </c>
      <c r="AJ278" s="3" t="s">
        <v>8203</v>
      </c>
      <c r="AK278" t="s">
        <v>8203</v>
      </c>
      <c r="AL278" s="4">
        <f t="shared" si="93"/>
        <v>0</v>
      </c>
      <c r="AM278" s="6" t="s">
        <v>4471</v>
      </c>
      <c r="AN278" s="6" t="s">
        <v>6088</v>
      </c>
      <c r="AO278" t="str">
        <f t="shared" si="83"/>
        <v/>
      </c>
      <c r="AP278" t="s">
        <v>1201</v>
      </c>
      <c r="AQ278" t="s">
        <v>4518</v>
      </c>
      <c r="AR278" s="15" t="s">
        <v>4887</v>
      </c>
      <c r="AV278">
        <v>15253</v>
      </c>
      <c r="AW278" t="s">
        <v>8044</v>
      </c>
      <c r="AX278" s="5">
        <v>0.47916666666666669</v>
      </c>
      <c r="AZ278" t="str">
        <f t="shared" si="94"/>
        <v>(11:29-11:30)</v>
      </c>
      <c r="BA278" s="5" t="str">
        <f t="shared" si="95"/>
        <v>(11:29-11:30)</v>
      </c>
    </row>
    <row r="279" spans="1:53" ht="13.5">
      <c r="A279" s="135" t="str">
        <f t="shared" si="79"/>
        <v/>
      </c>
      <c r="B279" s="19" t="str">
        <f t="shared" si="80"/>
        <v/>
      </c>
      <c r="C279" s="19" t="str">
        <f t="shared" si="81"/>
        <v/>
      </c>
      <c r="D279" s="19" t="str">
        <f t="shared" si="82"/>
        <v/>
      </c>
      <c r="E279" s="5" t="str">
        <f t="shared" si="84"/>
        <v/>
      </c>
      <c r="F279" s="12" t="str">
        <f t="shared" si="85"/>
        <v/>
      </c>
      <c r="K279" s="9" t="str">
        <f t="shared" si="86"/>
        <v/>
      </c>
      <c r="L279" s="6">
        <f t="shared" si="87"/>
        <v>0</v>
      </c>
      <c r="M279" s="6">
        <f t="shared" si="88"/>
        <v>0</v>
      </c>
      <c r="N279" s="94" t="str">
        <f t="shared" si="89"/>
        <v/>
      </c>
      <c r="O279" s="202"/>
      <c r="P279" s="200"/>
      <c r="Q279" s="203"/>
      <c r="R279" s="198"/>
      <c r="S279" s="204"/>
      <c r="T279" s="136" t="str">
        <f t="shared" si="90"/>
        <v/>
      </c>
      <c r="U279" s="137" t="str">
        <f t="shared" si="91"/>
        <v/>
      </c>
      <c r="V279" s="1"/>
      <c r="Y279" s="90" t="str">
        <f t="shared" si="92"/>
        <v/>
      </c>
      <c r="AC279" s="6">
        <v>445745</v>
      </c>
      <c r="AD279" s="6" t="s">
        <v>6910</v>
      </c>
      <c r="AE279" s="158" t="s">
        <v>4115</v>
      </c>
      <c r="AF279" s="159" t="s">
        <v>8299</v>
      </c>
      <c r="AG279" s="160">
        <v>345304</v>
      </c>
      <c r="AH279" s="194" t="s">
        <v>679</v>
      </c>
      <c r="AI279" s="6" t="s">
        <v>3367</v>
      </c>
      <c r="AJ279" s="3" t="s">
        <v>8247</v>
      </c>
      <c r="AK279" t="s">
        <v>8247</v>
      </c>
      <c r="AL279" s="4">
        <f t="shared" si="93"/>
        <v>0</v>
      </c>
      <c r="AM279" s="6" t="s">
        <v>2830</v>
      </c>
      <c r="AN279" s="6" t="s">
        <v>6089</v>
      </c>
      <c r="AO279" t="str">
        <f t="shared" si="83"/>
        <v/>
      </c>
      <c r="AP279" t="s">
        <v>1200</v>
      </c>
      <c r="AQ279" t="s">
        <v>4518</v>
      </c>
      <c r="AR279" s="15" t="s">
        <v>4888</v>
      </c>
      <c r="AV279">
        <v>15252</v>
      </c>
      <c r="AW279" t="s">
        <v>8119</v>
      </c>
      <c r="AX279" s="5">
        <v>0.60486111111111118</v>
      </c>
      <c r="AZ279" t="str">
        <f t="shared" si="94"/>
        <v>(14:25-14:31)</v>
      </c>
      <c r="BA279" s="5" t="str">
        <f t="shared" si="95"/>
        <v>(12:14-12:17)(14:22-14:23)(14:25-14:31)</v>
      </c>
    </row>
    <row r="280" spans="1:53" ht="13.5">
      <c r="A280" s="135" t="str">
        <f t="shared" si="79"/>
        <v/>
      </c>
      <c r="B280" s="19" t="str">
        <f t="shared" si="80"/>
        <v/>
      </c>
      <c r="C280" s="19" t="str">
        <f t="shared" si="81"/>
        <v/>
      </c>
      <c r="D280" s="19" t="str">
        <f t="shared" si="82"/>
        <v/>
      </c>
      <c r="E280" s="5" t="str">
        <f t="shared" si="84"/>
        <v/>
      </c>
      <c r="F280" s="12" t="str">
        <f t="shared" si="85"/>
        <v/>
      </c>
      <c r="K280" s="9" t="str">
        <f t="shared" si="86"/>
        <v/>
      </c>
      <c r="L280" s="6">
        <f t="shared" si="87"/>
        <v>0</v>
      </c>
      <c r="M280" s="6">
        <f t="shared" si="88"/>
        <v>0</v>
      </c>
      <c r="N280" s="94" t="str">
        <f t="shared" si="89"/>
        <v/>
      </c>
      <c r="O280" s="202"/>
      <c r="P280" s="200"/>
      <c r="Q280" s="203"/>
      <c r="R280" s="198"/>
      <c r="S280" s="204"/>
      <c r="T280" s="136" t="str">
        <f t="shared" si="90"/>
        <v/>
      </c>
      <c r="U280" s="137" t="str">
        <f t="shared" si="91"/>
        <v/>
      </c>
      <c r="V280" s="1"/>
      <c r="Y280" s="90" t="str">
        <f t="shared" si="92"/>
        <v/>
      </c>
      <c r="AC280" s="6">
        <v>385657</v>
      </c>
      <c r="AD280" s="6" t="s">
        <v>6911</v>
      </c>
      <c r="AE280" s="158" t="s">
        <v>4116</v>
      </c>
      <c r="AF280" s="159" t="s">
        <v>8299</v>
      </c>
      <c r="AG280" s="160">
        <v>345305</v>
      </c>
      <c r="AH280" s="194" t="s">
        <v>679</v>
      </c>
      <c r="AI280" s="6" t="s">
        <v>3369</v>
      </c>
      <c r="AJ280" s="3" t="s">
        <v>8203</v>
      </c>
      <c r="AK280" t="s">
        <v>8203</v>
      </c>
      <c r="AL280" s="4">
        <f t="shared" si="93"/>
        <v>0</v>
      </c>
      <c r="AM280" s="6" t="s">
        <v>4433</v>
      </c>
      <c r="AN280" s="6" t="s">
        <v>6090</v>
      </c>
      <c r="AO280" t="str">
        <f t="shared" si="83"/>
        <v/>
      </c>
      <c r="AP280" t="s">
        <v>4469</v>
      </c>
      <c r="AQ280" t="s">
        <v>4841</v>
      </c>
      <c r="AR280" s="15" t="s">
        <v>4889</v>
      </c>
      <c r="AV280">
        <v>15252</v>
      </c>
      <c r="AW280" t="s">
        <v>8115</v>
      </c>
      <c r="AX280" s="5">
        <v>0.59930555555555554</v>
      </c>
      <c r="AZ280" t="str">
        <f t="shared" si="94"/>
        <v>(14:22-14:23)</v>
      </c>
      <c r="BA280" s="5" t="str">
        <f t="shared" si="95"/>
        <v>(12:14-12:17)(14:25-14:31)(14:22-14:23)</v>
      </c>
    </row>
    <row r="281" spans="1:53" ht="13.5">
      <c r="A281" s="135" t="str">
        <f t="shared" si="79"/>
        <v/>
      </c>
      <c r="B281" s="19" t="str">
        <f t="shared" si="80"/>
        <v/>
      </c>
      <c r="C281" s="19" t="str">
        <f t="shared" si="81"/>
        <v/>
      </c>
      <c r="D281" s="19" t="str">
        <f t="shared" si="82"/>
        <v/>
      </c>
      <c r="E281" s="5" t="str">
        <f t="shared" si="84"/>
        <v/>
      </c>
      <c r="F281" s="12" t="str">
        <f t="shared" si="85"/>
        <v/>
      </c>
      <c r="K281" s="9" t="str">
        <f t="shared" si="86"/>
        <v/>
      </c>
      <c r="L281" s="6">
        <f t="shared" si="87"/>
        <v>0</v>
      </c>
      <c r="M281" s="6">
        <f t="shared" si="88"/>
        <v>0</v>
      </c>
      <c r="N281" s="94" t="str">
        <f t="shared" si="89"/>
        <v/>
      </c>
      <c r="O281" s="202"/>
      <c r="P281" s="200"/>
      <c r="Q281" s="203"/>
      <c r="R281" s="198"/>
      <c r="S281" s="204"/>
      <c r="T281" s="136" t="str">
        <f t="shared" si="90"/>
        <v/>
      </c>
      <c r="U281" s="137" t="str">
        <f t="shared" si="91"/>
        <v/>
      </c>
      <c r="V281" s="1"/>
      <c r="Y281" s="90" t="str">
        <f t="shared" si="92"/>
        <v/>
      </c>
      <c r="AC281" s="6" t="s">
        <v>2623</v>
      </c>
      <c r="AD281" s="6" t="s">
        <v>6912</v>
      </c>
      <c r="AE281" s="158" t="s">
        <v>4117</v>
      </c>
      <c r="AF281" s="159" t="s">
        <v>8297</v>
      </c>
      <c r="AG281" s="160">
        <v>345306</v>
      </c>
      <c r="AH281" s="194" t="s">
        <v>679</v>
      </c>
      <c r="AI281" s="6" t="s">
        <v>2338</v>
      </c>
      <c r="AJ281" s="3" t="s">
        <v>8206</v>
      </c>
      <c r="AK281" t="s">
        <v>8206</v>
      </c>
      <c r="AL281" s="4">
        <f t="shared" si="93"/>
        <v>0</v>
      </c>
      <c r="AM281" s="6" t="s">
        <v>4409</v>
      </c>
      <c r="AN281" s="6" t="s">
        <v>6091</v>
      </c>
      <c r="AO281" t="str">
        <f t="shared" si="83"/>
        <v/>
      </c>
      <c r="AP281" t="s">
        <v>4498</v>
      </c>
      <c r="AQ281" t="s">
        <v>4512</v>
      </c>
      <c r="AR281" s="15">
        <v>2722</v>
      </c>
      <c r="AV281">
        <v>15252</v>
      </c>
      <c r="AW281" t="s">
        <v>8069</v>
      </c>
      <c r="AX281" s="5">
        <v>0.51180555555555551</v>
      </c>
      <c r="AZ281" t="str">
        <f t="shared" si="94"/>
        <v>(12:14-12:17)</v>
      </c>
      <c r="BA281" s="5" t="str">
        <f t="shared" si="95"/>
        <v>(14:22-14:23)(12:14-12:17)</v>
      </c>
    </row>
    <row r="282" spans="1:53" ht="13.5">
      <c r="A282" s="135" t="str">
        <f t="shared" si="79"/>
        <v/>
      </c>
      <c r="B282" s="19" t="str">
        <f t="shared" si="80"/>
        <v/>
      </c>
      <c r="C282" s="19" t="str">
        <f t="shared" si="81"/>
        <v/>
      </c>
      <c r="D282" s="19" t="str">
        <f t="shared" si="82"/>
        <v/>
      </c>
      <c r="E282" s="5" t="str">
        <f t="shared" si="84"/>
        <v/>
      </c>
      <c r="F282" s="12" t="str">
        <f t="shared" si="85"/>
        <v/>
      </c>
      <c r="K282" s="9" t="str">
        <f t="shared" si="86"/>
        <v/>
      </c>
      <c r="L282" s="6">
        <f t="shared" si="87"/>
        <v>0</v>
      </c>
      <c r="M282" s="6">
        <f t="shared" si="88"/>
        <v>0</v>
      </c>
      <c r="N282" s="94" t="str">
        <f t="shared" si="89"/>
        <v/>
      </c>
      <c r="O282" s="202"/>
      <c r="P282" s="200"/>
      <c r="Q282" s="203"/>
      <c r="R282" s="198"/>
      <c r="S282" s="204"/>
      <c r="T282" s="136" t="str">
        <f t="shared" si="90"/>
        <v/>
      </c>
      <c r="U282" s="137" t="str">
        <f t="shared" si="91"/>
        <v/>
      </c>
      <c r="V282" s="1"/>
      <c r="Y282" s="90" t="str">
        <f t="shared" si="92"/>
        <v/>
      </c>
      <c r="AC282" s="6" t="s">
        <v>2788</v>
      </c>
      <c r="AD282" s="6" t="s">
        <v>6913</v>
      </c>
      <c r="AE282" s="158" t="s">
        <v>3635</v>
      </c>
      <c r="AF282" s="159" t="s">
        <v>8299</v>
      </c>
      <c r="AG282" s="160">
        <v>355307</v>
      </c>
      <c r="AH282" s="194" t="s">
        <v>679</v>
      </c>
      <c r="AI282" s="6" t="s">
        <v>3433</v>
      </c>
      <c r="AJ282" s="3" t="s">
        <v>8204</v>
      </c>
      <c r="AK282" t="s">
        <v>8204</v>
      </c>
      <c r="AL282" s="4">
        <f t="shared" si="93"/>
        <v>0</v>
      </c>
      <c r="AM282" s="6" t="s">
        <v>4411</v>
      </c>
      <c r="AN282" s="6" t="s">
        <v>6092</v>
      </c>
      <c r="AO282" t="str">
        <f t="shared" si="83"/>
        <v/>
      </c>
      <c r="AP282" t="s">
        <v>1198</v>
      </c>
      <c r="AQ282" t="s">
        <v>4518</v>
      </c>
      <c r="AR282" s="15" t="s">
        <v>4522</v>
      </c>
      <c r="AV282"/>
      <c r="AZ282" t="str">
        <f t="shared" si="94"/>
        <v/>
      </c>
      <c r="BA282" s="5" t="str">
        <f t="shared" si="95"/>
        <v/>
      </c>
    </row>
    <row r="283" spans="1:53" ht="13.5">
      <c r="A283" s="135" t="str">
        <f t="shared" si="79"/>
        <v/>
      </c>
      <c r="B283" s="19" t="str">
        <f t="shared" si="80"/>
        <v/>
      </c>
      <c r="C283" s="19" t="str">
        <f t="shared" si="81"/>
        <v/>
      </c>
      <c r="D283" s="19" t="str">
        <f t="shared" si="82"/>
        <v/>
      </c>
      <c r="E283" s="5" t="str">
        <f t="shared" si="84"/>
        <v/>
      </c>
      <c r="F283" s="12" t="str">
        <f t="shared" si="85"/>
        <v/>
      </c>
      <c r="K283" s="9" t="str">
        <f t="shared" si="86"/>
        <v/>
      </c>
      <c r="L283" s="6">
        <f t="shared" si="87"/>
        <v>0</v>
      </c>
      <c r="M283" s="6">
        <f t="shared" si="88"/>
        <v>0</v>
      </c>
      <c r="N283" s="94" t="str">
        <f t="shared" si="89"/>
        <v/>
      </c>
      <c r="O283" s="202"/>
      <c r="P283" s="200"/>
      <c r="Q283" s="203"/>
      <c r="R283" s="198"/>
      <c r="S283" s="204"/>
      <c r="T283" s="136" t="str">
        <f t="shared" si="90"/>
        <v/>
      </c>
      <c r="U283" s="137" t="str">
        <f t="shared" si="91"/>
        <v/>
      </c>
      <c r="V283" s="1"/>
      <c r="Y283" s="90" t="str">
        <f t="shared" si="92"/>
        <v/>
      </c>
      <c r="AC283" s="6" t="s">
        <v>2585</v>
      </c>
      <c r="AD283" s="6" t="s">
        <v>6914</v>
      </c>
      <c r="AE283" s="158" t="s">
        <v>3636</v>
      </c>
      <c r="AF283" s="159" t="s">
        <v>8299</v>
      </c>
      <c r="AG283" s="160">
        <v>355308</v>
      </c>
      <c r="AH283" s="194" t="s">
        <v>679</v>
      </c>
      <c r="AI283" s="6" t="s">
        <v>3386</v>
      </c>
      <c r="AJ283" s="3" t="s">
        <v>8203</v>
      </c>
      <c r="AK283" t="s">
        <v>8203</v>
      </c>
      <c r="AL283" s="4">
        <f t="shared" si="93"/>
        <v>0</v>
      </c>
      <c r="AM283" s="6" t="s">
        <v>4472</v>
      </c>
      <c r="AN283" s="6" t="s">
        <v>6093</v>
      </c>
      <c r="AO283" t="str">
        <f t="shared" si="83"/>
        <v/>
      </c>
      <c r="AP283" t="s">
        <v>4470</v>
      </c>
      <c r="AQ283" t="s">
        <v>4841</v>
      </c>
      <c r="AR283" s="15" t="s">
        <v>4890</v>
      </c>
      <c r="AV283"/>
      <c r="AX283"/>
      <c r="AZ283" t="str">
        <f t="shared" si="94"/>
        <v/>
      </c>
      <c r="BA283" s="5" t="str">
        <f t="shared" si="95"/>
        <v/>
      </c>
    </row>
    <row r="284" spans="1:53" ht="13.5">
      <c r="A284" s="135" t="str">
        <f t="shared" si="79"/>
        <v/>
      </c>
      <c r="B284" s="19" t="str">
        <f t="shared" si="80"/>
        <v/>
      </c>
      <c r="C284" s="19" t="str">
        <f t="shared" si="81"/>
        <v/>
      </c>
      <c r="D284" s="19" t="str">
        <f t="shared" si="82"/>
        <v/>
      </c>
      <c r="E284" s="5" t="str">
        <f t="shared" si="84"/>
        <v/>
      </c>
      <c r="F284" s="12" t="str">
        <f t="shared" si="85"/>
        <v/>
      </c>
      <c r="K284" s="9" t="str">
        <f t="shared" si="86"/>
        <v/>
      </c>
      <c r="L284" s="6">
        <f t="shared" si="87"/>
        <v>0</v>
      </c>
      <c r="M284" s="6">
        <f t="shared" si="88"/>
        <v>0</v>
      </c>
      <c r="N284" s="94" t="str">
        <f t="shared" si="89"/>
        <v/>
      </c>
      <c r="O284" s="202"/>
      <c r="P284" s="200"/>
      <c r="Q284" s="203"/>
      <c r="R284" s="198"/>
      <c r="S284" s="204"/>
      <c r="T284" s="136" t="str">
        <f t="shared" si="90"/>
        <v/>
      </c>
      <c r="U284" s="137" t="str">
        <f t="shared" si="91"/>
        <v/>
      </c>
      <c r="V284" s="1"/>
      <c r="Y284" s="90" t="str">
        <f t="shared" si="92"/>
        <v/>
      </c>
      <c r="AC284" s="6" t="s">
        <v>2529</v>
      </c>
      <c r="AD284" s="6" t="s">
        <v>6915</v>
      </c>
      <c r="AE284" s="158" t="s">
        <v>3637</v>
      </c>
      <c r="AF284" s="159" t="s">
        <v>8299</v>
      </c>
      <c r="AG284" s="160">
        <v>355309</v>
      </c>
      <c r="AH284" s="194" t="s">
        <v>679</v>
      </c>
      <c r="AI284" s="6" t="s">
        <v>3387</v>
      </c>
      <c r="AJ284" s="3" t="s">
        <v>8203</v>
      </c>
      <c r="AK284" t="s">
        <v>8203</v>
      </c>
      <c r="AL284" s="4">
        <f t="shared" si="93"/>
        <v>0</v>
      </c>
      <c r="AM284" s="6" t="s">
        <v>4439</v>
      </c>
      <c r="AN284" s="6" t="s">
        <v>6094</v>
      </c>
      <c r="AO284" t="str">
        <f t="shared" si="83"/>
        <v/>
      </c>
      <c r="AP284" t="s">
        <v>4471</v>
      </c>
      <c r="AQ284" t="s">
        <v>4518</v>
      </c>
      <c r="AR284" s="15" t="s">
        <v>4891</v>
      </c>
      <c r="AV284"/>
      <c r="AX284"/>
      <c r="AZ284" t="str">
        <f t="shared" si="94"/>
        <v/>
      </c>
      <c r="BA284" s="5" t="str">
        <f t="shared" si="95"/>
        <v/>
      </c>
    </row>
    <row r="285" spans="1:53" ht="13.5">
      <c r="A285" s="135" t="str">
        <f t="shared" si="79"/>
        <v/>
      </c>
      <c r="B285" s="19" t="str">
        <f t="shared" si="80"/>
        <v/>
      </c>
      <c r="C285" s="19" t="str">
        <f t="shared" si="81"/>
        <v/>
      </c>
      <c r="D285" s="19" t="str">
        <f t="shared" si="82"/>
        <v/>
      </c>
      <c r="E285" s="5" t="str">
        <f t="shared" si="84"/>
        <v/>
      </c>
      <c r="F285" s="12" t="str">
        <f t="shared" si="85"/>
        <v/>
      </c>
      <c r="K285" s="9" t="str">
        <f t="shared" si="86"/>
        <v/>
      </c>
      <c r="L285" s="6">
        <f t="shared" si="87"/>
        <v>0</v>
      </c>
      <c r="M285" s="6">
        <f t="shared" si="88"/>
        <v>0</v>
      </c>
      <c r="N285" s="94" t="str">
        <f t="shared" si="89"/>
        <v/>
      </c>
      <c r="O285" s="202"/>
      <c r="P285" s="200"/>
      <c r="Q285" s="203"/>
      <c r="R285" s="198"/>
      <c r="S285" s="204"/>
      <c r="T285" s="136" t="str">
        <f t="shared" si="90"/>
        <v/>
      </c>
      <c r="U285" s="137" t="str">
        <f t="shared" si="91"/>
        <v/>
      </c>
      <c r="V285" s="1"/>
      <c r="Y285" s="90" t="str">
        <f t="shared" si="92"/>
        <v/>
      </c>
      <c r="AC285" s="6" t="s">
        <v>2750</v>
      </c>
      <c r="AD285" s="6" t="s">
        <v>6916</v>
      </c>
      <c r="AE285" s="158" t="s">
        <v>3638</v>
      </c>
      <c r="AF285" s="159" t="s">
        <v>8299</v>
      </c>
      <c r="AG285" s="160">
        <v>355310</v>
      </c>
      <c r="AH285" s="194" t="s">
        <v>678</v>
      </c>
      <c r="AI285" s="6" t="s">
        <v>3388</v>
      </c>
      <c r="AJ285" s="3" t="s">
        <v>8203</v>
      </c>
      <c r="AK285" t="s">
        <v>8203</v>
      </c>
      <c r="AL285" s="4">
        <f t="shared" si="93"/>
        <v>0</v>
      </c>
      <c r="AM285" s="6" t="s">
        <v>4443</v>
      </c>
      <c r="AN285" s="6" t="s">
        <v>6095</v>
      </c>
      <c r="AO285" t="str">
        <f t="shared" si="83"/>
        <v/>
      </c>
      <c r="AP285" t="s">
        <v>2830</v>
      </c>
      <c r="AQ285" t="s">
        <v>4512</v>
      </c>
      <c r="AR285" s="15">
        <v>1237</v>
      </c>
      <c r="AV285"/>
      <c r="AX285"/>
      <c r="AZ285" t="str">
        <f t="shared" si="94"/>
        <v/>
      </c>
      <c r="BA285" s="5" t="str">
        <f t="shared" si="95"/>
        <v/>
      </c>
    </row>
    <row r="286" spans="1:53" ht="13.5">
      <c r="A286" s="135" t="str">
        <f t="shared" si="79"/>
        <v/>
      </c>
      <c r="B286" s="19" t="str">
        <f t="shared" si="80"/>
        <v/>
      </c>
      <c r="C286" s="19" t="str">
        <f t="shared" si="81"/>
        <v/>
      </c>
      <c r="D286" s="19" t="str">
        <f t="shared" si="82"/>
        <v/>
      </c>
      <c r="E286" s="5" t="str">
        <f t="shared" si="84"/>
        <v/>
      </c>
      <c r="F286" s="12" t="str">
        <f t="shared" si="85"/>
        <v/>
      </c>
      <c r="K286" s="9" t="str">
        <f t="shared" si="86"/>
        <v/>
      </c>
      <c r="L286" s="6">
        <f t="shared" si="87"/>
        <v>0</v>
      </c>
      <c r="M286" s="6">
        <f t="shared" si="88"/>
        <v>0</v>
      </c>
      <c r="N286" s="94" t="str">
        <f t="shared" si="89"/>
        <v/>
      </c>
      <c r="O286" s="202"/>
      <c r="P286" s="200"/>
      <c r="Q286" s="203"/>
      <c r="R286" s="198"/>
      <c r="S286" s="204"/>
      <c r="T286" s="136" t="str">
        <f t="shared" si="90"/>
        <v/>
      </c>
      <c r="U286" s="137" t="str">
        <f t="shared" si="91"/>
        <v/>
      </c>
      <c r="V286" s="1"/>
      <c r="Y286" s="90" t="str">
        <f t="shared" si="92"/>
        <v/>
      </c>
      <c r="AC286" s="6" t="s">
        <v>2749</v>
      </c>
      <c r="AD286" s="6" t="s">
        <v>6916</v>
      </c>
      <c r="AE286" s="158" t="s">
        <v>3639</v>
      </c>
      <c r="AF286" s="159" t="s">
        <v>8299</v>
      </c>
      <c r="AG286" s="160">
        <v>355311</v>
      </c>
      <c r="AH286" s="194" t="s">
        <v>678</v>
      </c>
      <c r="AI286" s="6" t="s">
        <v>3445</v>
      </c>
      <c r="AJ286" s="3" t="s">
        <v>8203</v>
      </c>
      <c r="AK286" t="s">
        <v>8203</v>
      </c>
      <c r="AL286" s="4">
        <f t="shared" si="93"/>
        <v>0</v>
      </c>
      <c r="AM286" s="6" t="s">
        <v>4442</v>
      </c>
      <c r="AN286" s="6" t="s">
        <v>6096</v>
      </c>
      <c r="AO286" t="str">
        <f t="shared" si="83"/>
        <v/>
      </c>
      <c r="AP286" t="s">
        <v>4433</v>
      </c>
      <c r="AQ286" t="s">
        <v>4518</v>
      </c>
      <c r="AR286" s="15" t="s">
        <v>4892</v>
      </c>
      <c r="AV286"/>
      <c r="AX286"/>
      <c r="AZ286" t="str">
        <f t="shared" si="94"/>
        <v/>
      </c>
      <c r="BA286" s="5" t="str">
        <f t="shared" si="95"/>
        <v/>
      </c>
    </row>
    <row r="287" spans="1:53" ht="13.5">
      <c r="A287" s="135" t="str">
        <f t="shared" si="79"/>
        <v/>
      </c>
      <c r="B287" s="19" t="str">
        <f t="shared" si="80"/>
        <v/>
      </c>
      <c r="C287" s="19" t="str">
        <f t="shared" si="81"/>
        <v/>
      </c>
      <c r="D287" s="19" t="str">
        <f t="shared" si="82"/>
        <v/>
      </c>
      <c r="E287" s="5" t="str">
        <f t="shared" si="84"/>
        <v/>
      </c>
      <c r="F287" s="12" t="str">
        <f t="shared" si="85"/>
        <v/>
      </c>
      <c r="K287" s="9" t="str">
        <f t="shared" si="86"/>
        <v/>
      </c>
      <c r="L287" s="6">
        <f t="shared" si="87"/>
        <v>0</v>
      </c>
      <c r="M287" s="6">
        <f t="shared" si="88"/>
        <v>0</v>
      </c>
      <c r="N287" s="94" t="str">
        <f t="shared" si="89"/>
        <v/>
      </c>
      <c r="O287" s="202"/>
      <c r="P287" s="200"/>
      <c r="Q287" s="203"/>
      <c r="R287" s="198"/>
      <c r="S287" s="204"/>
      <c r="T287" s="136" t="str">
        <f t="shared" si="90"/>
        <v/>
      </c>
      <c r="U287" s="137" t="str">
        <f t="shared" si="91"/>
        <v/>
      </c>
      <c r="V287" s="1"/>
      <c r="Y287" s="90" t="str">
        <f t="shared" si="92"/>
        <v/>
      </c>
      <c r="AC287" s="6" t="s">
        <v>2510</v>
      </c>
      <c r="AD287" s="6" t="s">
        <v>6898</v>
      </c>
      <c r="AE287" s="158" t="s">
        <v>3640</v>
      </c>
      <c r="AF287" s="159" t="s">
        <v>8299</v>
      </c>
      <c r="AG287" s="160">
        <v>365324</v>
      </c>
      <c r="AH287" s="194" t="s">
        <v>679</v>
      </c>
      <c r="AI287" s="6" t="s">
        <v>3435</v>
      </c>
      <c r="AJ287" s="3" t="s">
        <v>8203</v>
      </c>
      <c r="AK287" t="s">
        <v>8203</v>
      </c>
      <c r="AL287" s="4">
        <f t="shared" si="93"/>
        <v>0</v>
      </c>
      <c r="AM287" s="6" t="s">
        <v>4440</v>
      </c>
      <c r="AN287" s="6" t="s">
        <v>6097</v>
      </c>
      <c r="AO287" t="str">
        <f t="shared" si="83"/>
        <v/>
      </c>
      <c r="AP287" t="s">
        <v>4409</v>
      </c>
      <c r="AQ287" t="s">
        <v>4518</v>
      </c>
      <c r="AR287" s="15" t="s">
        <v>4527</v>
      </c>
      <c r="AV287"/>
      <c r="AX287"/>
      <c r="AZ287" t="str">
        <f t="shared" si="94"/>
        <v/>
      </c>
      <c r="BA287" s="5" t="str">
        <f t="shared" si="95"/>
        <v/>
      </c>
    </row>
    <row r="288" spans="1:53" ht="13.5">
      <c r="A288" s="135" t="str">
        <f t="shared" si="79"/>
        <v/>
      </c>
      <c r="B288" s="19" t="str">
        <f t="shared" si="80"/>
        <v/>
      </c>
      <c r="C288" s="19" t="str">
        <f t="shared" si="81"/>
        <v/>
      </c>
      <c r="D288" s="19" t="str">
        <f t="shared" si="82"/>
        <v/>
      </c>
      <c r="E288" s="5" t="str">
        <f t="shared" si="84"/>
        <v/>
      </c>
      <c r="F288" s="12" t="str">
        <f t="shared" si="85"/>
        <v/>
      </c>
      <c r="K288" s="9" t="str">
        <f t="shared" si="86"/>
        <v/>
      </c>
      <c r="L288" s="6">
        <f t="shared" si="87"/>
        <v>0</v>
      </c>
      <c r="M288" s="6">
        <f t="shared" si="88"/>
        <v>0</v>
      </c>
      <c r="N288" s="94" t="str">
        <f t="shared" si="89"/>
        <v/>
      </c>
      <c r="O288" s="202"/>
      <c r="P288" s="200"/>
      <c r="Q288" s="203"/>
      <c r="R288" s="198"/>
      <c r="S288" s="204"/>
      <c r="T288" s="136" t="str">
        <f t="shared" si="90"/>
        <v/>
      </c>
      <c r="U288" s="137" t="str">
        <f t="shared" si="91"/>
        <v/>
      </c>
      <c r="V288" s="1"/>
      <c r="Y288" s="90" t="str">
        <f t="shared" si="92"/>
        <v/>
      </c>
      <c r="AC288" s="6">
        <v>445746</v>
      </c>
      <c r="AD288" s="6" t="s">
        <v>6917</v>
      </c>
      <c r="AE288" s="158" t="s">
        <v>61</v>
      </c>
      <c r="AF288" s="159" t="s">
        <v>8299</v>
      </c>
      <c r="AG288" s="160">
        <v>365583</v>
      </c>
      <c r="AH288" s="194" t="s">
        <v>1314</v>
      </c>
      <c r="AI288" s="6" t="s">
        <v>3434</v>
      </c>
      <c r="AJ288" s="3" t="s">
        <v>8220</v>
      </c>
      <c r="AK288" t="s">
        <v>8220</v>
      </c>
      <c r="AL288" s="4">
        <f t="shared" si="93"/>
        <v>0</v>
      </c>
      <c r="AM288" s="6" t="s">
        <v>4490</v>
      </c>
      <c r="AN288" s="6" t="s">
        <v>6098</v>
      </c>
      <c r="AO288" t="str">
        <f t="shared" si="83"/>
        <v/>
      </c>
      <c r="AP288" t="s">
        <v>4411</v>
      </c>
      <c r="AQ288" t="s">
        <v>4841</v>
      </c>
      <c r="AR288" s="15" t="s">
        <v>4696</v>
      </c>
      <c r="AV288"/>
      <c r="AX288"/>
      <c r="AZ288" t="str">
        <f t="shared" si="94"/>
        <v/>
      </c>
      <c r="BA288" s="5" t="str">
        <f t="shared" si="95"/>
        <v/>
      </c>
    </row>
    <row r="289" spans="1:53" ht="13.5">
      <c r="A289" s="135" t="str">
        <f t="shared" si="79"/>
        <v/>
      </c>
      <c r="B289" s="19" t="str">
        <f t="shared" si="80"/>
        <v/>
      </c>
      <c r="C289" s="19" t="str">
        <f t="shared" si="81"/>
        <v/>
      </c>
      <c r="D289" s="19" t="str">
        <f t="shared" si="82"/>
        <v/>
      </c>
      <c r="E289" s="5" t="str">
        <f t="shared" si="84"/>
        <v/>
      </c>
      <c r="F289" s="12" t="str">
        <f t="shared" si="85"/>
        <v/>
      </c>
      <c r="K289" s="9" t="str">
        <f t="shared" si="86"/>
        <v/>
      </c>
      <c r="L289" s="6">
        <f t="shared" si="87"/>
        <v>0</v>
      </c>
      <c r="M289" s="6">
        <f t="shared" si="88"/>
        <v>0</v>
      </c>
      <c r="N289" s="94" t="str">
        <f t="shared" si="89"/>
        <v/>
      </c>
      <c r="O289" s="202"/>
      <c r="P289" s="200"/>
      <c r="Q289" s="203"/>
      <c r="R289" s="198"/>
      <c r="S289" s="204"/>
      <c r="T289" s="136" t="str">
        <f t="shared" si="90"/>
        <v/>
      </c>
      <c r="U289" s="137" t="str">
        <f t="shared" si="91"/>
        <v/>
      </c>
      <c r="V289" s="1"/>
      <c r="Y289" s="90" t="str">
        <f t="shared" si="92"/>
        <v/>
      </c>
      <c r="AC289" s="6">
        <v>436425</v>
      </c>
      <c r="AD289" s="6" t="s">
        <v>6918</v>
      </c>
      <c r="AE289" s="158" t="s">
        <v>48</v>
      </c>
      <c r="AF289" s="159" t="s">
        <v>8299</v>
      </c>
      <c r="AG289" s="160">
        <v>365585</v>
      </c>
      <c r="AH289" s="194" t="s">
        <v>679</v>
      </c>
      <c r="AI289" s="6" t="s">
        <v>3428</v>
      </c>
      <c r="AJ289" s="3" t="s">
        <v>8220</v>
      </c>
      <c r="AK289" t="s">
        <v>8220</v>
      </c>
      <c r="AL289" s="4">
        <f t="shared" si="93"/>
        <v>0</v>
      </c>
      <c r="AM289" s="6" t="s">
        <v>4444</v>
      </c>
      <c r="AN289" s="6" t="s">
        <v>6099</v>
      </c>
      <c r="AO289" t="str">
        <f t="shared" si="83"/>
        <v/>
      </c>
      <c r="AP289" t="s">
        <v>4472</v>
      </c>
      <c r="AQ289" t="s">
        <v>4841</v>
      </c>
      <c r="AR289" s="15" t="s">
        <v>4523</v>
      </c>
      <c r="AV289"/>
      <c r="AX289"/>
      <c r="AZ289" t="str">
        <f t="shared" si="94"/>
        <v/>
      </c>
      <c r="BA289" s="5" t="str">
        <f t="shared" si="95"/>
        <v/>
      </c>
    </row>
    <row r="290" spans="1:53" ht="13.5">
      <c r="A290" s="135" t="str">
        <f t="shared" si="79"/>
        <v/>
      </c>
      <c r="B290" s="19" t="str">
        <f t="shared" si="80"/>
        <v/>
      </c>
      <c r="C290" s="19" t="str">
        <f t="shared" si="81"/>
        <v/>
      </c>
      <c r="D290" s="19" t="str">
        <f t="shared" si="82"/>
        <v/>
      </c>
      <c r="E290" s="5" t="str">
        <f t="shared" si="84"/>
        <v/>
      </c>
      <c r="F290" s="12" t="str">
        <f t="shared" si="85"/>
        <v/>
      </c>
      <c r="K290" s="9" t="str">
        <f t="shared" si="86"/>
        <v/>
      </c>
      <c r="L290" s="6">
        <f t="shared" si="87"/>
        <v>0</v>
      </c>
      <c r="M290" s="6">
        <f t="shared" si="88"/>
        <v>0</v>
      </c>
      <c r="N290" s="94" t="str">
        <f t="shared" si="89"/>
        <v/>
      </c>
      <c r="O290" s="202"/>
      <c r="P290" s="200"/>
      <c r="Q290" s="203"/>
      <c r="R290" s="198"/>
      <c r="S290" s="204"/>
      <c r="T290" s="136" t="str">
        <f t="shared" si="90"/>
        <v/>
      </c>
      <c r="U290" s="137" t="str">
        <f t="shared" si="91"/>
        <v/>
      </c>
      <c r="V290" s="1"/>
      <c r="Y290" s="90" t="str">
        <f t="shared" si="92"/>
        <v/>
      </c>
      <c r="AC290" s="6" t="s">
        <v>2370</v>
      </c>
      <c r="AD290" s="6" t="s">
        <v>6901</v>
      </c>
      <c r="AE290" s="158" t="s">
        <v>1126</v>
      </c>
      <c r="AF290" s="159" t="s">
        <v>8299</v>
      </c>
      <c r="AG290" s="160">
        <v>365586</v>
      </c>
      <c r="AH290" s="194" t="s">
        <v>679</v>
      </c>
      <c r="AI290" s="6" t="s">
        <v>3438</v>
      </c>
      <c r="AJ290" s="3" t="s">
        <v>8203</v>
      </c>
      <c r="AK290" t="s">
        <v>8203</v>
      </c>
      <c r="AL290" s="4">
        <f t="shared" si="93"/>
        <v>0</v>
      </c>
      <c r="AM290" s="6" t="s">
        <v>4441</v>
      </c>
      <c r="AN290" s="6" t="s">
        <v>6100</v>
      </c>
      <c r="AO290" t="str">
        <f t="shared" si="83"/>
        <v/>
      </c>
      <c r="AP290" t="s">
        <v>4473</v>
      </c>
      <c r="AQ290" t="s">
        <v>4519</v>
      </c>
      <c r="AR290" s="15" t="s">
        <v>4689</v>
      </c>
      <c r="AV290"/>
      <c r="AX290"/>
      <c r="AZ290" t="str">
        <f t="shared" si="94"/>
        <v/>
      </c>
      <c r="BA290" s="5" t="str">
        <f t="shared" si="95"/>
        <v/>
      </c>
    </row>
    <row r="291" spans="1:53" ht="13.5">
      <c r="A291" s="135" t="str">
        <f t="shared" si="79"/>
        <v/>
      </c>
      <c r="B291" s="19" t="str">
        <f t="shared" si="80"/>
        <v/>
      </c>
      <c r="C291" s="19" t="str">
        <f t="shared" si="81"/>
        <v/>
      </c>
      <c r="D291" s="19" t="str">
        <f t="shared" si="82"/>
        <v/>
      </c>
      <c r="E291" s="5" t="str">
        <f t="shared" si="84"/>
        <v/>
      </c>
      <c r="F291" s="12" t="str">
        <f t="shared" si="85"/>
        <v/>
      </c>
      <c r="K291" s="9" t="str">
        <f t="shared" si="86"/>
        <v/>
      </c>
      <c r="L291" s="6">
        <f t="shared" si="87"/>
        <v>0</v>
      </c>
      <c r="M291" s="6">
        <f t="shared" si="88"/>
        <v>0</v>
      </c>
      <c r="N291" s="94" t="str">
        <f t="shared" si="89"/>
        <v/>
      </c>
      <c r="O291" s="202"/>
      <c r="P291" s="200"/>
      <c r="Q291" s="203"/>
      <c r="R291" s="198"/>
      <c r="S291" s="204"/>
      <c r="T291" s="136" t="str">
        <f t="shared" si="90"/>
        <v/>
      </c>
      <c r="U291" s="137" t="str">
        <f t="shared" si="91"/>
        <v/>
      </c>
      <c r="V291" s="1"/>
      <c r="Y291" s="90" t="str">
        <f t="shared" si="92"/>
        <v/>
      </c>
      <c r="AC291" s="6" t="s">
        <v>2575</v>
      </c>
      <c r="AD291" s="6" t="s">
        <v>6898</v>
      </c>
      <c r="AE291" s="158" t="s">
        <v>77</v>
      </c>
      <c r="AF291" s="159" t="s">
        <v>8299</v>
      </c>
      <c r="AG291" s="160">
        <v>365587</v>
      </c>
      <c r="AH291" s="194" t="s">
        <v>1314</v>
      </c>
      <c r="AI291" s="6" t="s">
        <v>5288</v>
      </c>
      <c r="AJ291" s="3" t="s">
        <v>8193</v>
      </c>
      <c r="AK291" t="s">
        <v>8205</v>
      </c>
      <c r="AL291" s="4">
        <f t="shared" si="93"/>
        <v>0</v>
      </c>
      <c r="AM291" s="6" t="s">
        <v>4438</v>
      </c>
      <c r="AN291" s="6" t="s">
        <v>6101</v>
      </c>
      <c r="AO291" t="str">
        <f t="shared" si="83"/>
        <v/>
      </c>
      <c r="AP291" t="s">
        <v>4439</v>
      </c>
      <c r="AQ291" t="s">
        <v>4518</v>
      </c>
      <c r="AR291" s="15" t="s">
        <v>4893</v>
      </c>
      <c r="AV291"/>
      <c r="AX291"/>
      <c r="AZ291" t="str">
        <f t="shared" si="94"/>
        <v/>
      </c>
      <c r="BA291" s="5" t="str">
        <f t="shared" si="95"/>
        <v/>
      </c>
    </row>
    <row r="292" spans="1:53" ht="13.5">
      <c r="A292" s="135" t="str">
        <f t="shared" si="79"/>
        <v/>
      </c>
      <c r="B292" s="19" t="str">
        <f t="shared" si="80"/>
        <v/>
      </c>
      <c r="C292" s="19" t="str">
        <f t="shared" si="81"/>
        <v/>
      </c>
      <c r="D292" s="19" t="str">
        <f t="shared" si="82"/>
        <v/>
      </c>
      <c r="E292" s="5" t="str">
        <f t="shared" si="84"/>
        <v/>
      </c>
      <c r="F292" s="12" t="str">
        <f t="shared" si="85"/>
        <v/>
      </c>
      <c r="K292" s="9" t="str">
        <f t="shared" si="86"/>
        <v/>
      </c>
      <c r="L292" s="6">
        <f t="shared" si="87"/>
        <v>0</v>
      </c>
      <c r="M292" s="6">
        <f t="shared" si="88"/>
        <v>0</v>
      </c>
      <c r="N292" s="94" t="str">
        <f t="shared" si="89"/>
        <v/>
      </c>
      <c r="O292" s="202"/>
      <c r="P292" s="200"/>
      <c r="Q292" s="203"/>
      <c r="R292" s="198"/>
      <c r="S292" s="204"/>
      <c r="T292" s="136" t="str">
        <f t="shared" si="90"/>
        <v/>
      </c>
      <c r="U292" s="137" t="str">
        <f t="shared" si="91"/>
        <v/>
      </c>
      <c r="V292" s="1"/>
      <c r="Y292" s="90" t="str">
        <f t="shared" si="92"/>
        <v/>
      </c>
      <c r="AC292" s="6" t="s">
        <v>2519</v>
      </c>
      <c r="AD292" s="6" t="s">
        <v>6919</v>
      </c>
      <c r="AE292" s="158" t="s">
        <v>3641</v>
      </c>
      <c r="AF292" s="159" t="s">
        <v>8299</v>
      </c>
      <c r="AG292" s="160">
        <v>375604</v>
      </c>
      <c r="AH292" s="194" t="s">
        <v>1314</v>
      </c>
      <c r="AI292" s="6" t="s">
        <v>3395</v>
      </c>
      <c r="AJ292" s="3" t="s">
        <v>8211</v>
      </c>
      <c r="AK292" t="s">
        <v>8242</v>
      </c>
      <c r="AL292" s="4">
        <f t="shared" si="93"/>
        <v>0</v>
      </c>
      <c r="AM292" s="6" t="s">
        <v>1234</v>
      </c>
      <c r="AN292" s="6" t="s">
        <v>6102</v>
      </c>
      <c r="AO292" t="str">
        <f t="shared" si="83"/>
        <v/>
      </c>
      <c r="AP292" t="s">
        <v>4443</v>
      </c>
      <c r="AQ292" t="s">
        <v>4512</v>
      </c>
      <c r="AR292" s="15">
        <v>3472</v>
      </c>
      <c r="AV292"/>
      <c r="AX292"/>
      <c r="AZ292" t="str">
        <f t="shared" si="94"/>
        <v/>
      </c>
      <c r="BA292" s="5" t="str">
        <f t="shared" si="95"/>
        <v/>
      </c>
    </row>
    <row r="293" spans="1:53" ht="13.5">
      <c r="A293" s="135" t="str">
        <f t="shared" si="79"/>
        <v/>
      </c>
      <c r="B293" s="19" t="str">
        <f t="shared" si="80"/>
        <v/>
      </c>
      <c r="C293" s="19" t="str">
        <f t="shared" si="81"/>
        <v/>
      </c>
      <c r="D293" s="19" t="str">
        <f t="shared" si="82"/>
        <v/>
      </c>
      <c r="E293" s="5" t="str">
        <f t="shared" si="84"/>
        <v/>
      </c>
      <c r="F293" s="12" t="str">
        <f t="shared" si="85"/>
        <v/>
      </c>
      <c r="K293" s="9" t="str">
        <f t="shared" si="86"/>
        <v/>
      </c>
      <c r="L293" s="6">
        <f t="shared" si="87"/>
        <v>0</v>
      </c>
      <c r="M293" s="6">
        <f t="shared" si="88"/>
        <v>0</v>
      </c>
      <c r="N293" s="94" t="str">
        <f t="shared" si="89"/>
        <v/>
      </c>
      <c r="O293" s="202"/>
      <c r="P293" s="200"/>
      <c r="Q293" s="203"/>
      <c r="R293" s="198"/>
      <c r="S293" s="204"/>
      <c r="T293" s="136" t="str">
        <f t="shared" si="90"/>
        <v/>
      </c>
      <c r="U293" s="137" t="str">
        <f t="shared" si="91"/>
        <v/>
      </c>
      <c r="V293" s="1"/>
      <c r="Y293" s="90" t="str">
        <f t="shared" si="92"/>
        <v/>
      </c>
      <c r="AC293" s="6" t="s">
        <v>2536</v>
      </c>
      <c r="AD293" s="6" t="s">
        <v>6920</v>
      </c>
      <c r="AE293" s="158" t="s">
        <v>78</v>
      </c>
      <c r="AF293" s="159" t="s">
        <v>8299</v>
      </c>
      <c r="AG293" s="160">
        <v>375606</v>
      </c>
      <c r="AH293" s="194" t="s">
        <v>679</v>
      </c>
      <c r="AI293" s="6" t="s">
        <v>3425</v>
      </c>
      <c r="AJ293" s="3" t="s">
        <v>8220</v>
      </c>
      <c r="AK293" t="s">
        <v>8220</v>
      </c>
      <c r="AL293" s="4">
        <f t="shared" si="93"/>
        <v>0</v>
      </c>
      <c r="AM293" s="6" t="s">
        <v>4495</v>
      </c>
      <c r="AN293" s="6" t="s">
        <v>6103</v>
      </c>
      <c r="AO293" t="str">
        <f t="shared" si="83"/>
        <v/>
      </c>
      <c r="AP293" t="s">
        <v>4442</v>
      </c>
      <c r="AQ293" t="s">
        <v>4518</v>
      </c>
      <c r="AR293" s="15" t="s">
        <v>4894</v>
      </c>
      <c r="AV293"/>
      <c r="AX293"/>
      <c r="AZ293" t="str">
        <f t="shared" si="94"/>
        <v/>
      </c>
      <c r="BA293" s="5" t="str">
        <f t="shared" si="95"/>
        <v/>
      </c>
    </row>
    <row r="294" spans="1:53" ht="13.5">
      <c r="A294" s="135" t="str">
        <f t="shared" si="79"/>
        <v/>
      </c>
      <c r="B294" s="19" t="str">
        <f t="shared" si="80"/>
        <v/>
      </c>
      <c r="C294" s="19" t="str">
        <f t="shared" si="81"/>
        <v/>
      </c>
      <c r="D294" s="19" t="str">
        <f t="shared" si="82"/>
        <v/>
      </c>
      <c r="E294" s="5" t="str">
        <f t="shared" si="84"/>
        <v/>
      </c>
      <c r="F294" s="12" t="str">
        <f t="shared" si="85"/>
        <v/>
      </c>
      <c r="K294" s="9" t="str">
        <f t="shared" si="86"/>
        <v/>
      </c>
      <c r="L294" s="6">
        <f t="shared" si="87"/>
        <v>0</v>
      </c>
      <c r="M294" s="6">
        <f t="shared" si="88"/>
        <v>0</v>
      </c>
      <c r="N294" s="94" t="str">
        <f t="shared" si="89"/>
        <v/>
      </c>
      <c r="O294" s="202"/>
      <c r="P294" s="200"/>
      <c r="Q294" s="203"/>
      <c r="R294" s="198"/>
      <c r="S294" s="204"/>
      <c r="T294" s="136" t="str">
        <f t="shared" si="90"/>
        <v/>
      </c>
      <c r="U294" s="137" t="str">
        <f t="shared" si="91"/>
        <v/>
      </c>
      <c r="V294" s="1"/>
      <c r="Y294" s="90" t="str">
        <f t="shared" si="92"/>
        <v/>
      </c>
      <c r="AC294" s="6" t="s">
        <v>2372</v>
      </c>
      <c r="AD294" s="6" t="s">
        <v>6901</v>
      </c>
      <c r="AE294" s="158" t="s">
        <v>1005</v>
      </c>
      <c r="AF294" s="159" t="s">
        <v>8299</v>
      </c>
      <c r="AG294" s="160">
        <v>375635</v>
      </c>
      <c r="AH294" s="194" t="s">
        <v>1314</v>
      </c>
      <c r="AI294" s="6" t="s">
        <v>3400</v>
      </c>
      <c r="AJ294" s="3" t="s">
        <v>8247</v>
      </c>
      <c r="AK294" t="s">
        <v>8247</v>
      </c>
      <c r="AL294" s="4">
        <f t="shared" si="93"/>
        <v>0</v>
      </c>
      <c r="AM294" s="6" t="s">
        <v>4496</v>
      </c>
      <c r="AN294" s="6" t="s">
        <v>6104</v>
      </c>
      <c r="AO294" t="str">
        <f t="shared" si="83"/>
        <v/>
      </c>
      <c r="AP294" t="s">
        <v>4440</v>
      </c>
      <c r="AQ294" t="s">
        <v>4518</v>
      </c>
      <c r="AR294" s="15" t="s">
        <v>4528</v>
      </c>
      <c r="AV294"/>
      <c r="AX294"/>
      <c r="AZ294" t="str">
        <f t="shared" si="94"/>
        <v/>
      </c>
      <c r="BA294" s="5" t="str">
        <f t="shared" si="95"/>
        <v/>
      </c>
    </row>
    <row r="295" spans="1:53" ht="13.5">
      <c r="A295" s="135" t="str">
        <f t="shared" si="79"/>
        <v/>
      </c>
      <c r="B295" s="19" t="str">
        <f t="shared" si="80"/>
        <v/>
      </c>
      <c r="C295" s="19" t="str">
        <f t="shared" si="81"/>
        <v/>
      </c>
      <c r="D295" s="19" t="str">
        <f t="shared" si="82"/>
        <v/>
      </c>
      <c r="E295" s="5" t="str">
        <f t="shared" si="84"/>
        <v/>
      </c>
      <c r="F295" s="12" t="str">
        <f t="shared" si="85"/>
        <v/>
      </c>
      <c r="K295" s="9" t="str">
        <f t="shared" si="86"/>
        <v/>
      </c>
      <c r="L295" s="6">
        <f t="shared" si="87"/>
        <v>0</v>
      </c>
      <c r="M295" s="6">
        <f t="shared" si="88"/>
        <v>0</v>
      </c>
      <c r="N295" s="94" t="str">
        <f t="shared" si="89"/>
        <v/>
      </c>
      <c r="O295" s="202"/>
      <c r="P295" s="200"/>
      <c r="Q295" s="203"/>
      <c r="R295" s="198"/>
      <c r="S295" s="204"/>
      <c r="T295" s="136" t="str">
        <f t="shared" si="90"/>
        <v/>
      </c>
      <c r="U295" s="137" t="str">
        <f t="shared" si="91"/>
        <v/>
      </c>
      <c r="V295" s="1"/>
      <c r="Y295" s="90" t="str">
        <f t="shared" si="92"/>
        <v/>
      </c>
      <c r="AC295" s="6">
        <v>876394</v>
      </c>
      <c r="AD295" s="6" t="s">
        <v>6921</v>
      </c>
      <c r="AE295" s="158" t="s">
        <v>76</v>
      </c>
      <c r="AF295" s="159" t="s">
        <v>8309</v>
      </c>
      <c r="AG295" s="160">
        <v>375639</v>
      </c>
      <c r="AH295" s="194" t="s">
        <v>1314</v>
      </c>
      <c r="AI295" s="6" t="s">
        <v>3401</v>
      </c>
      <c r="AJ295" s="3" t="s">
        <v>8203</v>
      </c>
      <c r="AK295" t="s">
        <v>8203</v>
      </c>
      <c r="AL295" s="4">
        <f t="shared" si="93"/>
        <v>0</v>
      </c>
      <c r="AM295" s="6" t="s">
        <v>4437</v>
      </c>
      <c r="AN295" s="6" t="s">
        <v>6105</v>
      </c>
      <c r="AO295" t="str">
        <f t="shared" si="83"/>
        <v/>
      </c>
      <c r="AP295" t="s">
        <v>4490</v>
      </c>
      <c r="AQ295" t="s">
        <v>4518</v>
      </c>
      <c r="AR295" s="15" t="s">
        <v>4895</v>
      </c>
      <c r="AV295"/>
      <c r="AX295"/>
      <c r="AZ295" t="str">
        <f t="shared" si="94"/>
        <v/>
      </c>
      <c r="BA295" s="5" t="str">
        <f t="shared" si="95"/>
        <v/>
      </c>
    </row>
    <row r="296" spans="1:53" ht="13.5">
      <c r="A296" s="135" t="str">
        <f t="shared" ref="A296:A359" si="96">IF(ISNA(VLOOKUP(I296,AC:AD,2,FALSE)),"",VLOOKUP(I296,AC:AD,2,FALSE))</f>
        <v/>
      </c>
      <c r="B296" s="19" t="str">
        <f t="shared" ref="B296:B359" si="97">IF(ISNA(VLOOKUP(I296,AE:AF,2,FALSE)),"",VLOOKUP(I296,AE:AF,2,FALSE))</f>
        <v/>
      </c>
      <c r="C296" s="19" t="str">
        <f t="shared" ref="C296:C359" si="98">IF(ISNA(VLOOKUP(I296,AM:AN,2,FALSE)),"",VLOOKUP(I296,AM:AN,2,FALSE))</f>
        <v/>
      </c>
      <c r="D296" s="19" t="str">
        <f t="shared" ref="D296:D359" si="99">IF(ISNA(VLOOKUP(I296,AG:AH,2,FALSE)),"",VLOOKUP(I296,AG:AH,2,FALSE))</f>
        <v/>
      </c>
      <c r="E296" s="5" t="str">
        <f t="shared" si="84"/>
        <v/>
      </c>
      <c r="F296" s="12" t="str">
        <f t="shared" si="85"/>
        <v/>
      </c>
      <c r="K296" s="9" t="str">
        <f t="shared" si="86"/>
        <v/>
      </c>
      <c r="L296" s="6">
        <f t="shared" si="87"/>
        <v>0</v>
      </c>
      <c r="M296" s="6">
        <f t="shared" si="88"/>
        <v>0</v>
      </c>
      <c r="N296" s="94" t="str">
        <f t="shared" si="89"/>
        <v/>
      </c>
      <c r="O296" s="202"/>
      <c r="P296" s="200"/>
      <c r="Q296" s="203"/>
      <c r="R296" s="198"/>
      <c r="S296" s="204"/>
      <c r="T296" s="136" t="str">
        <f t="shared" si="90"/>
        <v/>
      </c>
      <c r="U296" s="137" t="str">
        <f t="shared" si="91"/>
        <v/>
      </c>
      <c r="V296" s="1"/>
      <c r="Y296" s="90" t="str">
        <f t="shared" si="92"/>
        <v/>
      </c>
      <c r="AC296" s="6" t="s">
        <v>2608</v>
      </c>
      <c r="AD296" s="6" t="s">
        <v>6898</v>
      </c>
      <c r="AE296" s="158" t="s">
        <v>50</v>
      </c>
      <c r="AF296" s="159" t="s">
        <v>8299</v>
      </c>
      <c r="AG296" s="160">
        <v>375640</v>
      </c>
      <c r="AH296" s="194" t="s">
        <v>1314</v>
      </c>
      <c r="AI296" s="6" t="s">
        <v>3449</v>
      </c>
      <c r="AJ296" s="3" t="s">
        <v>8193</v>
      </c>
      <c r="AK296" t="s">
        <v>8205</v>
      </c>
      <c r="AL296" s="4">
        <f t="shared" si="93"/>
        <v>0</v>
      </c>
      <c r="AM296" s="6" t="s">
        <v>1643</v>
      </c>
      <c r="AN296" s="6" t="s">
        <v>6106</v>
      </c>
      <c r="AO296" t="str">
        <f t="shared" si="83"/>
        <v/>
      </c>
      <c r="AP296" t="s">
        <v>4444</v>
      </c>
      <c r="AQ296" t="s">
        <v>4512</v>
      </c>
      <c r="AR296" s="15">
        <v>7712</v>
      </c>
      <c r="AV296"/>
      <c r="AX296"/>
      <c r="AZ296" t="str">
        <f t="shared" si="94"/>
        <v/>
      </c>
      <c r="BA296" s="5" t="str">
        <f t="shared" si="95"/>
        <v/>
      </c>
    </row>
    <row r="297" spans="1:53" ht="13.5">
      <c r="A297" s="135" t="str">
        <f t="shared" si="96"/>
        <v/>
      </c>
      <c r="B297" s="19" t="str">
        <f t="shared" si="97"/>
        <v/>
      </c>
      <c r="C297" s="19" t="str">
        <f t="shared" si="98"/>
        <v/>
      </c>
      <c r="D297" s="19" t="str">
        <f t="shared" si="99"/>
        <v/>
      </c>
      <c r="E297" s="5" t="str">
        <f t="shared" si="84"/>
        <v/>
      </c>
      <c r="F297" s="12" t="str">
        <f t="shared" si="85"/>
        <v/>
      </c>
      <c r="K297" s="9" t="str">
        <f t="shared" si="86"/>
        <v/>
      </c>
      <c r="L297" s="6">
        <f t="shared" si="87"/>
        <v>0</v>
      </c>
      <c r="M297" s="6">
        <f t="shared" si="88"/>
        <v>0</v>
      </c>
      <c r="N297" s="94" t="str">
        <f t="shared" si="89"/>
        <v/>
      </c>
      <c r="O297" s="202"/>
      <c r="P297" s="200"/>
      <c r="Q297" s="203"/>
      <c r="R297" s="198"/>
      <c r="S297" s="204"/>
      <c r="T297" s="136" t="str">
        <f t="shared" si="90"/>
        <v/>
      </c>
      <c r="U297" s="137" t="str">
        <f t="shared" si="91"/>
        <v/>
      </c>
      <c r="V297" s="1"/>
      <c r="Y297" s="90" t="str">
        <f t="shared" si="92"/>
        <v/>
      </c>
      <c r="AC297" s="6" t="s">
        <v>2645</v>
      </c>
      <c r="AD297" s="6" t="s">
        <v>6900</v>
      </c>
      <c r="AE297" s="158" t="s">
        <v>36</v>
      </c>
      <c r="AF297" s="159" t="s">
        <v>8309</v>
      </c>
      <c r="AG297" s="160">
        <v>375641</v>
      </c>
      <c r="AH297" s="194" t="s">
        <v>1314</v>
      </c>
      <c r="AI297" s="6" t="s">
        <v>3403</v>
      </c>
      <c r="AJ297" s="3" t="s">
        <v>8205</v>
      </c>
      <c r="AK297" t="s">
        <v>8211</v>
      </c>
      <c r="AL297" s="4">
        <f t="shared" si="93"/>
        <v>0</v>
      </c>
      <c r="AM297" s="6" t="s">
        <v>4447</v>
      </c>
      <c r="AN297" s="6" t="s">
        <v>6107</v>
      </c>
      <c r="AO297" t="str">
        <f t="shared" si="83"/>
        <v/>
      </c>
      <c r="AP297" t="s">
        <v>4445</v>
      </c>
      <c r="AQ297" t="s">
        <v>4841</v>
      </c>
      <c r="AR297" s="15" t="s">
        <v>4896</v>
      </c>
      <c r="AV297"/>
      <c r="AX297"/>
      <c r="AZ297" t="str">
        <f t="shared" si="94"/>
        <v/>
      </c>
      <c r="BA297" s="5" t="str">
        <f t="shared" si="95"/>
        <v/>
      </c>
    </row>
    <row r="298" spans="1:53" ht="13.5">
      <c r="A298" s="135" t="str">
        <f t="shared" si="96"/>
        <v/>
      </c>
      <c r="B298" s="19" t="str">
        <f t="shared" si="97"/>
        <v/>
      </c>
      <c r="C298" s="19" t="str">
        <f t="shared" si="98"/>
        <v/>
      </c>
      <c r="D298" s="19" t="str">
        <f t="shared" si="99"/>
        <v/>
      </c>
      <c r="E298" s="5" t="str">
        <f t="shared" si="84"/>
        <v/>
      </c>
      <c r="F298" s="12" t="str">
        <f t="shared" si="85"/>
        <v/>
      </c>
      <c r="K298" s="9" t="str">
        <f t="shared" si="86"/>
        <v/>
      </c>
      <c r="L298" s="6">
        <f t="shared" si="87"/>
        <v>0</v>
      </c>
      <c r="M298" s="6">
        <f t="shared" si="88"/>
        <v>0</v>
      </c>
      <c r="N298" s="94" t="str">
        <f t="shared" si="89"/>
        <v/>
      </c>
      <c r="O298" s="202"/>
      <c r="P298" s="200"/>
      <c r="Q298" s="203"/>
      <c r="R298" s="198"/>
      <c r="S298" s="204"/>
      <c r="T298" s="136" t="str">
        <f t="shared" si="90"/>
        <v/>
      </c>
      <c r="U298" s="137" t="str">
        <f t="shared" si="91"/>
        <v/>
      </c>
      <c r="V298" s="1"/>
      <c r="Y298" s="90" t="str">
        <f t="shared" si="92"/>
        <v/>
      </c>
      <c r="AC298" s="6" t="s">
        <v>2635</v>
      </c>
      <c r="AD298" s="6" t="s">
        <v>6889</v>
      </c>
      <c r="AE298" s="158" t="s">
        <v>51</v>
      </c>
      <c r="AF298" s="159" t="s">
        <v>8299</v>
      </c>
      <c r="AG298" s="160">
        <v>376356</v>
      </c>
      <c r="AH298" s="194" t="s">
        <v>1314</v>
      </c>
      <c r="AI298" s="6" t="s">
        <v>3437</v>
      </c>
      <c r="AJ298" s="3" t="s">
        <v>8203</v>
      </c>
      <c r="AK298" t="s">
        <v>8203</v>
      </c>
      <c r="AL298" s="4">
        <f t="shared" si="93"/>
        <v>0</v>
      </c>
      <c r="AM298" s="6" t="s">
        <v>4448</v>
      </c>
      <c r="AN298" s="6" t="s">
        <v>6108</v>
      </c>
      <c r="AO298" t="str">
        <f t="shared" si="83"/>
        <v/>
      </c>
      <c r="AP298" t="s">
        <v>4441</v>
      </c>
      <c r="AQ298" t="s">
        <v>4518</v>
      </c>
      <c r="AR298" s="15" t="s">
        <v>4529</v>
      </c>
      <c r="AV298"/>
      <c r="AX298"/>
      <c r="AZ298" t="str">
        <f t="shared" si="94"/>
        <v/>
      </c>
      <c r="BA298" s="5" t="str">
        <f t="shared" si="95"/>
        <v/>
      </c>
    </row>
    <row r="299" spans="1:53" ht="13.5">
      <c r="A299" s="135" t="str">
        <f t="shared" si="96"/>
        <v/>
      </c>
      <c r="B299" s="19" t="str">
        <f t="shared" si="97"/>
        <v/>
      </c>
      <c r="C299" s="19" t="str">
        <f t="shared" si="98"/>
        <v/>
      </c>
      <c r="D299" s="19" t="str">
        <f t="shared" si="99"/>
        <v/>
      </c>
      <c r="E299" s="5" t="str">
        <f t="shared" si="84"/>
        <v/>
      </c>
      <c r="F299" s="12" t="str">
        <f t="shared" si="85"/>
        <v/>
      </c>
      <c r="K299" s="9" t="str">
        <f t="shared" si="86"/>
        <v/>
      </c>
      <c r="L299" s="6">
        <f t="shared" si="87"/>
        <v>0</v>
      </c>
      <c r="M299" s="6">
        <f t="shared" si="88"/>
        <v>0</v>
      </c>
      <c r="N299" s="94" t="str">
        <f t="shared" si="89"/>
        <v/>
      </c>
      <c r="O299" s="202"/>
      <c r="P299" s="200"/>
      <c r="Q299" s="203"/>
      <c r="R299" s="198"/>
      <c r="S299" s="204"/>
      <c r="T299" s="136" t="str">
        <f t="shared" si="90"/>
        <v/>
      </c>
      <c r="U299" s="137" t="str">
        <f t="shared" si="91"/>
        <v/>
      </c>
      <c r="V299" s="1"/>
      <c r="Y299" s="90" t="str">
        <f t="shared" si="92"/>
        <v/>
      </c>
      <c r="AC299" s="6" t="s">
        <v>2512</v>
      </c>
      <c r="AD299" s="6" t="s">
        <v>6898</v>
      </c>
      <c r="AE299" s="158" t="s">
        <v>3685</v>
      </c>
      <c r="AF299" s="159" t="s">
        <v>8299</v>
      </c>
      <c r="AG299" s="160">
        <v>385654</v>
      </c>
      <c r="AH299" s="194" t="s">
        <v>679</v>
      </c>
      <c r="AI299" s="6" t="s">
        <v>5391</v>
      </c>
      <c r="AJ299" s="3" t="s">
        <v>8247</v>
      </c>
      <c r="AK299" t="s">
        <v>8247</v>
      </c>
      <c r="AL299" s="4">
        <f t="shared" si="93"/>
        <v>0</v>
      </c>
      <c r="AM299" s="6" t="s">
        <v>4493</v>
      </c>
      <c r="AN299" s="6" t="s">
        <v>6109</v>
      </c>
      <c r="AO299" t="str">
        <f t="shared" si="83"/>
        <v/>
      </c>
      <c r="AP299" t="s">
        <v>4438</v>
      </c>
      <c r="AQ299" t="s">
        <v>4519</v>
      </c>
      <c r="AR299" s="15" t="s">
        <v>4690</v>
      </c>
      <c r="AV299"/>
      <c r="AX299"/>
      <c r="AZ299" t="str">
        <f t="shared" si="94"/>
        <v/>
      </c>
      <c r="BA299" s="5" t="str">
        <f t="shared" si="95"/>
        <v/>
      </c>
    </row>
    <row r="300" spans="1:53" ht="13.5">
      <c r="A300" s="135" t="str">
        <f t="shared" si="96"/>
        <v/>
      </c>
      <c r="B300" s="19" t="str">
        <f t="shared" si="97"/>
        <v/>
      </c>
      <c r="C300" s="19" t="str">
        <f t="shared" si="98"/>
        <v/>
      </c>
      <c r="D300" s="19" t="str">
        <f t="shared" si="99"/>
        <v/>
      </c>
      <c r="E300" s="5" t="str">
        <f t="shared" si="84"/>
        <v/>
      </c>
      <c r="F300" s="12" t="str">
        <f t="shared" si="85"/>
        <v/>
      </c>
      <c r="K300" s="9" t="str">
        <f t="shared" si="86"/>
        <v/>
      </c>
      <c r="L300" s="6">
        <f t="shared" si="87"/>
        <v>0</v>
      </c>
      <c r="M300" s="6">
        <f t="shared" si="88"/>
        <v>0</v>
      </c>
      <c r="N300" s="94" t="str">
        <f t="shared" si="89"/>
        <v/>
      </c>
      <c r="O300" s="202"/>
      <c r="P300" s="200"/>
      <c r="Q300" s="203"/>
      <c r="R300" s="198"/>
      <c r="S300" s="204"/>
      <c r="T300" s="136" t="str">
        <f t="shared" si="90"/>
        <v/>
      </c>
      <c r="U300" s="137" t="str">
        <f t="shared" si="91"/>
        <v/>
      </c>
      <c r="V300" s="1"/>
      <c r="Y300" s="90" t="str">
        <f t="shared" si="92"/>
        <v/>
      </c>
      <c r="AC300" s="6" t="s">
        <v>2487</v>
      </c>
      <c r="AD300" s="6" t="s">
        <v>6922</v>
      </c>
      <c r="AE300" s="158" t="s">
        <v>3686</v>
      </c>
      <c r="AF300" s="159" t="s">
        <v>8299</v>
      </c>
      <c r="AG300" s="160">
        <v>385655</v>
      </c>
      <c r="AH300" s="194" t="s">
        <v>1314</v>
      </c>
      <c r="AI300" s="6" t="s">
        <v>5290</v>
      </c>
      <c r="AJ300" s="3" t="s">
        <v>8220</v>
      </c>
      <c r="AK300" t="s">
        <v>8220</v>
      </c>
      <c r="AL300" s="4">
        <f t="shared" si="93"/>
        <v>0</v>
      </c>
      <c r="AM300" s="6" t="s">
        <v>4474</v>
      </c>
      <c r="AN300" s="6" t="s">
        <v>6110</v>
      </c>
      <c r="AO300" t="str">
        <f t="shared" si="83"/>
        <v/>
      </c>
      <c r="AP300" t="s">
        <v>1234</v>
      </c>
      <c r="AQ300" t="s">
        <v>4841</v>
      </c>
      <c r="AR300" s="15" t="s">
        <v>4570</v>
      </c>
      <c r="AV300"/>
      <c r="AX300"/>
      <c r="AZ300" t="str">
        <f t="shared" si="94"/>
        <v/>
      </c>
      <c r="BA300" s="5" t="str">
        <f t="shared" si="95"/>
        <v/>
      </c>
    </row>
    <row r="301" spans="1:53" ht="13.5">
      <c r="A301" s="135" t="str">
        <f t="shared" si="96"/>
        <v/>
      </c>
      <c r="B301" s="19" t="str">
        <f t="shared" si="97"/>
        <v/>
      </c>
      <c r="C301" s="19" t="str">
        <f t="shared" si="98"/>
        <v/>
      </c>
      <c r="D301" s="19" t="str">
        <f t="shared" si="99"/>
        <v/>
      </c>
      <c r="E301" s="5" t="str">
        <f t="shared" si="84"/>
        <v/>
      </c>
      <c r="F301" s="12" t="str">
        <f t="shared" si="85"/>
        <v/>
      </c>
      <c r="K301" s="9" t="str">
        <f t="shared" si="86"/>
        <v/>
      </c>
      <c r="L301" s="6">
        <f t="shared" si="87"/>
        <v>0</v>
      </c>
      <c r="M301" s="6">
        <f t="shared" si="88"/>
        <v>0</v>
      </c>
      <c r="N301" s="94" t="str">
        <f t="shared" si="89"/>
        <v/>
      </c>
      <c r="O301" s="202"/>
      <c r="P301" s="200"/>
      <c r="Q301" s="203"/>
      <c r="R301" s="198"/>
      <c r="S301" s="204"/>
      <c r="T301" s="136" t="str">
        <f t="shared" si="90"/>
        <v/>
      </c>
      <c r="U301" s="137" t="str">
        <f t="shared" si="91"/>
        <v/>
      </c>
      <c r="V301" s="1"/>
      <c r="Y301" s="90" t="str">
        <f t="shared" si="92"/>
        <v/>
      </c>
      <c r="AC301" s="6" t="s">
        <v>2808</v>
      </c>
      <c r="AD301" s="6" t="s">
        <v>6923</v>
      </c>
      <c r="AE301" s="158" t="s">
        <v>3687</v>
      </c>
      <c r="AF301" s="159" t="s">
        <v>8300</v>
      </c>
      <c r="AG301" s="160">
        <v>385656</v>
      </c>
      <c r="AH301" s="194" t="s">
        <v>1314</v>
      </c>
      <c r="AI301" s="6" t="s">
        <v>5392</v>
      </c>
      <c r="AJ301" s="3" t="s">
        <v>8203</v>
      </c>
      <c r="AK301" t="s">
        <v>8203</v>
      </c>
      <c r="AL301" s="4">
        <f t="shared" si="93"/>
        <v>0</v>
      </c>
      <c r="AM301" s="6" t="s">
        <v>4436</v>
      </c>
      <c r="AN301" s="6" t="s">
        <v>6111</v>
      </c>
      <c r="AO301" t="str">
        <f t="shared" si="83"/>
        <v/>
      </c>
      <c r="AP301" t="s">
        <v>4495</v>
      </c>
      <c r="AQ301" t="s">
        <v>4844</v>
      </c>
      <c r="AR301" s="15" t="s">
        <v>4844</v>
      </c>
      <c r="AV301"/>
      <c r="AX301"/>
      <c r="AZ301" t="str">
        <f t="shared" si="94"/>
        <v/>
      </c>
      <c r="BA301" s="5" t="str">
        <f t="shared" si="95"/>
        <v/>
      </c>
    </row>
    <row r="302" spans="1:53" ht="13.5">
      <c r="A302" s="135" t="str">
        <f t="shared" si="96"/>
        <v/>
      </c>
      <c r="B302" s="19" t="str">
        <f t="shared" si="97"/>
        <v/>
      </c>
      <c r="C302" s="19" t="str">
        <f t="shared" si="98"/>
        <v/>
      </c>
      <c r="D302" s="19" t="str">
        <f t="shared" si="99"/>
        <v/>
      </c>
      <c r="E302" s="5" t="str">
        <f t="shared" si="84"/>
        <v/>
      </c>
      <c r="F302" s="12" t="str">
        <f t="shared" si="85"/>
        <v/>
      </c>
      <c r="K302" s="9" t="str">
        <f t="shared" si="86"/>
        <v/>
      </c>
      <c r="L302" s="6">
        <f t="shared" si="87"/>
        <v>0</v>
      </c>
      <c r="M302" s="6">
        <f t="shared" si="88"/>
        <v>0</v>
      </c>
      <c r="N302" s="94" t="str">
        <f t="shared" si="89"/>
        <v/>
      </c>
      <c r="O302" s="202"/>
      <c r="P302" s="200"/>
      <c r="Q302" s="203"/>
      <c r="R302" s="198"/>
      <c r="S302" s="204"/>
      <c r="T302" s="136" t="str">
        <f t="shared" si="90"/>
        <v/>
      </c>
      <c r="U302" s="137" t="str">
        <f t="shared" si="91"/>
        <v/>
      </c>
      <c r="V302" s="1"/>
      <c r="Y302" s="90" t="str">
        <f t="shared" si="92"/>
        <v/>
      </c>
      <c r="AC302" s="6" t="s">
        <v>2634</v>
      </c>
      <c r="AD302" s="6" t="s">
        <v>6889</v>
      </c>
      <c r="AE302" s="158" t="s">
        <v>4458</v>
      </c>
      <c r="AF302" s="159" t="s">
        <v>8299</v>
      </c>
      <c r="AG302" s="160">
        <v>385657</v>
      </c>
      <c r="AH302" s="194" t="s">
        <v>1314</v>
      </c>
      <c r="AI302" s="6" t="s">
        <v>5393</v>
      </c>
      <c r="AJ302" s="3" t="s">
        <v>8203</v>
      </c>
      <c r="AK302" t="s">
        <v>8203</v>
      </c>
      <c r="AL302" s="4">
        <f t="shared" si="93"/>
        <v>0</v>
      </c>
      <c r="AM302" s="6" t="s">
        <v>4435</v>
      </c>
      <c r="AN302" s="6" t="s">
        <v>6112</v>
      </c>
      <c r="AO302" t="str">
        <f t="shared" si="83"/>
        <v/>
      </c>
      <c r="AP302" t="s">
        <v>4496</v>
      </c>
      <c r="AQ302" t="s">
        <v>4512</v>
      </c>
      <c r="AR302" s="15">
        <v>2211</v>
      </c>
      <c r="AV302"/>
      <c r="AX302"/>
      <c r="AZ302" t="str">
        <f t="shared" si="94"/>
        <v/>
      </c>
      <c r="BA302" s="5" t="str">
        <f t="shared" si="95"/>
        <v/>
      </c>
    </row>
    <row r="303" spans="1:53" ht="13.5">
      <c r="A303" s="135" t="str">
        <f t="shared" si="96"/>
        <v/>
      </c>
      <c r="B303" s="19" t="str">
        <f t="shared" si="97"/>
        <v/>
      </c>
      <c r="C303" s="19" t="str">
        <f t="shared" si="98"/>
        <v/>
      </c>
      <c r="D303" s="19" t="str">
        <f t="shared" si="99"/>
        <v/>
      </c>
      <c r="E303" s="5" t="str">
        <f t="shared" si="84"/>
        <v/>
      </c>
      <c r="F303" s="12" t="str">
        <f t="shared" si="85"/>
        <v/>
      </c>
      <c r="K303" s="9" t="str">
        <f t="shared" si="86"/>
        <v/>
      </c>
      <c r="L303" s="6">
        <f t="shared" si="87"/>
        <v>0</v>
      </c>
      <c r="M303" s="6">
        <f t="shared" si="88"/>
        <v>0</v>
      </c>
      <c r="N303" s="94" t="str">
        <f t="shared" si="89"/>
        <v/>
      </c>
      <c r="O303" s="202"/>
      <c r="P303" s="200"/>
      <c r="Q303" s="203"/>
      <c r="R303" s="198"/>
      <c r="S303" s="204"/>
      <c r="T303" s="136" t="str">
        <f t="shared" si="90"/>
        <v/>
      </c>
      <c r="U303" s="137" t="str">
        <f t="shared" si="91"/>
        <v/>
      </c>
      <c r="V303" s="1"/>
      <c r="Y303" s="90" t="str">
        <f t="shared" si="92"/>
        <v/>
      </c>
      <c r="AC303" s="6" t="s">
        <v>2780</v>
      </c>
      <c r="AD303" s="6" t="s">
        <v>6924</v>
      </c>
      <c r="AE303" s="158">
        <v>271932</v>
      </c>
      <c r="AF303" s="159" t="s">
        <v>8299</v>
      </c>
      <c r="AG303" s="160">
        <v>385658</v>
      </c>
      <c r="AH303" s="194" t="s">
        <v>1314</v>
      </c>
      <c r="AI303" s="6" t="s">
        <v>5395</v>
      </c>
      <c r="AJ303" s="3" t="s">
        <v>8220</v>
      </c>
      <c r="AK303" t="s">
        <v>8220</v>
      </c>
      <c r="AL303" s="4">
        <f t="shared" si="93"/>
        <v>0</v>
      </c>
      <c r="AM303" s="6" t="s">
        <v>4497</v>
      </c>
      <c r="AN303" s="6" t="s">
        <v>6113</v>
      </c>
      <c r="AO303" t="str">
        <f t="shared" si="83"/>
        <v/>
      </c>
      <c r="AP303" t="s">
        <v>4437</v>
      </c>
      <c r="AQ303" t="s">
        <v>4518</v>
      </c>
      <c r="AR303" s="15" t="s">
        <v>4897</v>
      </c>
      <c r="AV303"/>
      <c r="AX303"/>
      <c r="AZ303" t="str">
        <f t="shared" si="94"/>
        <v/>
      </c>
      <c r="BA303" s="5" t="str">
        <f t="shared" si="95"/>
        <v/>
      </c>
    </row>
    <row r="304" spans="1:53" ht="13.5">
      <c r="A304" s="135" t="str">
        <f t="shared" si="96"/>
        <v/>
      </c>
      <c r="B304" s="19" t="str">
        <f t="shared" si="97"/>
        <v/>
      </c>
      <c r="C304" s="19" t="str">
        <f t="shared" si="98"/>
        <v/>
      </c>
      <c r="D304" s="19" t="str">
        <f t="shared" si="99"/>
        <v/>
      </c>
      <c r="E304" s="5" t="str">
        <f t="shared" si="84"/>
        <v/>
      </c>
      <c r="F304" s="12" t="str">
        <f t="shared" si="85"/>
        <v/>
      </c>
      <c r="K304" s="9" t="str">
        <f t="shared" si="86"/>
        <v/>
      </c>
      <c r="L304" s="6">
        <f t="shared" si="87"/>
        <v>0</v>
      </c>
      <c r="M304" s="6">
        <f t="shared" si="88"/>
        <v>0</v>
      </c>
      <c r="N304" s="94" t="str">
        <f t="shared" si="89"/>
        <v/>
      </c>
      <c r="O304" s="202"/>
      <c r="P304" s="200"/>
      <c r="Q304" s="203"/>
      <c r="R304" s="198"/>
      <c r="S304" s="204"/>
      <c r="T304" s="136" t="str">
        <f t="shared" si="90"/>
        <v/>
      </c>
      <c r="U304" s="137" t="str">
        <f t="shared" si="91"/>
        <v/>
      </c>
      <c r="V304" s="1"/>
      <c r="Y304" s="90" t="str">
        <f t="shared" si="92"/>
        <v/>
      </c>
      <c r="AC304" s="6" t="s">
        <v>2492</v>
      </c>
      <c r="AD304" s="6" t="s">
        <v>6925</v>
      </c>
      <c r="AE304" s="158" t="s">
        <v>4794</v>
      </c>
      <c r="AF304" s="159" t="s">
        <v>8299</v>
      </c>
      <c r="AG304" s="160">
        <v>385659</v>
      </c>
      <c r="AH304" s="194" t="s">
        <v>1314</v>
      </c>
      <c r="AI304" s="6" t="s">
        <v>5396</v>
      </c>
      <c r="AJ304" s="3" t="s">
        <v>8220</v>
      </c>
      <c r="AK304" t="s">
        <v>8220</v>
      </c>
      <c r="AL304" s="4">
        <f t="shared" si="93"/>
        <v>0</v>
      </c>
      <c r="AM304" s="6" t="s">
        <v>4434</v>
      </c>
      <c r="AN304" s="6" t="s">
        <v>6114</v>
      </c>
      <c r="AO304" t="str">
        <f t="shared" si="83"/>
        <v/>
      </c>
      <c r="AP304" t="s">
        <v>1643</v>
      </c>
      <c r="AQ304" t="s">
        <v>4841</v>
      </c>
      <c r="AR304" s="15" t="s">
        <v>4898</v>
      </c>
      <c r="AV304"/>
      <c r="AX304"/>
      <c r="AZ304" t="str">
        <f t="shared" si="94"/>
        <v/>
      </c>
      <c r="BA304" s="5" t="str">
        <f t="shared" si="95"/>
        <v/>
      </c>
    </row>
    <row r="305" spans="1:53" ht="13.5">
      <c r="A305" s="135" t="str">
        <f t="shared" si="96"/>
        <v/>
      </c>
      <c r="B305" s="19" t="str">
        <f t="shared" si="97"/>
        <v/>
      </c>
      <c r="C305" s="19" t="str">
        <f t="shared" si="98"/>
        <v/>
      </c>
      <c r="D305" s="19" t="str">
        <f t="shared" si="99"/>
        <v/>
      </c>
      <c r="E305" s="5" t="str">
        <f t="shared" si="84"/>
        <v/>
      </c>
      <c r="F305" s="12" t="str">
        <f t="shared" si="85"/>
        <v/>
      </c>
      <c r="K305" s="9" t="str">
        <f t="shared" si="86"/>
        <v/>
      </c>
      <c r="L305" s="6">
        <f t="shared" si="87"/>
        <v>0</v>
      </c>
      <c r="M305" s="6">
        <f t="shared" si="88"/>
        <v>0</v>
      </c>
      <c r="N305" s="94" t="str">
        <f t="shared" si="89"/>
        <v/>
      </c>
      <c r="O305" s="202"/>
      <c r="P305" s="200"/>
      <c r="Q305" s="203"/>
      <c r="R305" s="198"/>
      <c r="S305" s="204"/>
      <c r="T305" s="136" t="str">
        <f t="shared" si="90"/>
        <v/>
      </c>
      <c r="U305" s="137" t="str">
        <f t="shared" si="91"/>
        <v/>
      </c>
      <c r="V305" s="1"/>
      <c r="Y305" s="90" t="str">
        <f t="shared" si="92"/>
        <v/>
      </c>
      <c r="AC305" s="6" t="s">
        <v>2638</v>
      </c>
      <c r="AD305" s="6" t="s">
        <v>6926</v>
      </c>
      <c r="AE305" s="158" t="s">
        <v>4459</v>
      </c>
      <c r="AF305" s="159" t="s">
        <v>8299</v>
      </c>
      <c r="AG305" s="160">
        <v>385660</v>
      </c>
      <c r="AH305" s="194" t="s">
        <v>1314</v>
      </c>
      <c r="AI305" s="6" t="s">
        <v>5398</v>
      </c>
      <c r="AJ305" s="3" t="s">
        <v>8211</v>
      </c>
      <c r="AK305" t="s">
        <v>8242</v>
      </c>
      <c r="AL305" s="4">
        <f t="shared" si="93"/>
        <v>0</v>
      </c>
      <c r="AM305" s="6" t="s">
        <v>4476</v>
      </c>
      <c r="AN305" s="6" t="s">
        <v>6115</v>
      </c>
      <c r="AO305" t="str">
        <f t="shared" si="83"/>
        <v/>
      </c>
      <c r="AP305" t="s">
        <v>4447</v>
      </c>
      <c r="AQ305" t="s">
        <v>4841</v>
      </c>
      <c r="AR305" s="15" t="s">
        <v>4551</v>
      </c>
      <c r="AV305"/>
      <c r="AX305"/>
      <c r="AZ305" t="str">
        <f t="shared" si="94"/>
        <v/>
      </c>
      <c r="BA305" s="5" t="str">
        <f t="shared" si="95"/>
        <v/>
      </c>
    </row>
    <row r="306" spans="1:53" ht="13.5">
      <c r="A306" s="135" t="str">
        <f t="shared" si="96"/>
        <v/>
      </c>
      <c r="B306" s="19" t="str">
        <f t="shared" si="97"/>
        <v/>
      </c>
      <c r="C306" s="19" t="str">
        <f t="shared" si="98"/>
        <v/>
      </c>
      <c r="D306" s="19" t="str">
        <f t="shared" si="99"/>
        <v/>
      </c>
      <c r="E306" s="5" t="str">
        <f t="shared" si="84"/>
        <v/>
      </c>
      <c r="F306" s="12" t="str">
        <f t="shared" si="85"/>
        <v/>
      </c>
      <c r="K306" s="9" t="str">
        <f t="shared" si="86"/>
        <v/>
      </c>
      <c r="L306" s="6">
        <f t="shared" si="87"/>
        <v>0</v>
      </c>
      <c r="M306" s="6">
        <f t="shared" si="88"/>
        <v>0</v>
      </c>
      <c r="N306" s="94" t="str">
        <f t="shared" si="89"/>
        <v/>
      </c>
      <c r="O306" s="202"/>
      <c r="P306" s="200"/>
      <c r="Q306" s="203"/>
      <c r="R306" s="198"/>
      <c r="S306" s="204"/>
      <c r="T306" s="136" t="str">
        <f t="shared" si="90"/>
        <v/>
      </c>
      <c r="U306" s="137" t="str">
        <f t="shared" si="91"/>
        <v/>
      </c>
      <c r="V306" s="1"/>
      <c r="Y306" s="90" t="str">
        <f t="shared" si="92"/>
        <v/>
      </c>
      <c r="AC306" s="6" t="s">
        <v>2712</v>
      </c>
      <c r="AD306" s="6" t="s">
        <v>6927</v>
      </c>
      <c r="AE306" s="158" t="s">
        <v>3642</v>
      </c>
      <c r="AF306" s="159" t="s">
        <v>8299</v>
      </c>
      <c r="AG306" s="160">
        <v>385661</v>
      </c>
      <c r="AH306" s="194" t="s">
        <v>1314</v>
      </c>
      <c r="AI306" s="6" t="s">
        <v>3899</v>
      </c>
      <c r="AJ306" s="3" t="s">
        <v>8206</v>
      </c>
      <c r="AK306" t="s">
        <v>8206</v>
      </c>
      <c r="AL306" s="4">
        <f t="shared" si="93"/>
        <v>0</v>
      </c>
      <c r="AM306" s="6" t="s">
        <v>4500</v>
      </c>
      <c r="AN306" s="6" t="s">
        <v>6116</v>
      </c>
      <c r="AO306" t="str">
        <f t="shared" si="83"/>
        <v/>
      </c>
      <c r="AP306" t="s">
        <v>4446</v>
      </c>
      <c r="AQ306" t="s">
        <v>4518</v>
      </c>
      <c r="AR306" s="15" t="s">
        <v>4899</v>
      </c>
      <c r="AV306"/>
      <c r="AX306"/>
      <c r="AZ306" t="str">
        <f t="shared" si="94"/>
        <v/>
      </c>
      <c r="BA306" s="5" t="str">
        <f t="shared" si="95"/>
        <v/>
      </c>
    </row>
    <row r="307" spans="1:53" ht="13.5">
      <c r="A307" s="135" t="str">
        <f t="shared" si="96"/>
        <v/>
      </c>
      <c r="B307" s="19" t="str">
        <f t="shared" si="97"/>
        <v/>
      </c>
      <c r="C307" s="19" t="str">
        <f t="shared" si="98"/>
        <v/>
      </c>
      <c r="D307" s="19" t="str">
        <f t="shared" si="99"/>
        <v/>
      </c>
      <c r="E307" s="5" t="str">
        <f t="shared" si="84"/>
        <v/>
      </c>
      <c r="F307" s="12" t="str">
        <f t="shared" si="85"/>
        <v/>
      </c>
      <c r="K307" s="9" t="str">
        <f t="shared" si="86"/>
        <v/>
      </c>
      <c r="L307" s="6">
        <f t="shared" si="87"/>
        <v>0</v>
      </c>
      <c r="M307" s="6">
        <f t="shared" si="88"/>
        <v>0</v>
      </c>
      <c r="N307" s="94" t="str">
        <f t="shared" si="89"/>
        <v/>
      </c>
      <c r="O307" s="202"/>
      <c r="P307" s="200"/>
      <c r="Q307" s="203"/>
      <c r="R307" s="198"/>
      <c r="S307" s="204"/>
      <c r="T307" s="136" t="str">
        <f t="shared" si="90"/>
        <v/>
      </c>
      <c r="U307" s="137" t="str">
        <f t="shared" si="91"/>
        <v/>
      </c>
      <c r="V307" s="1"/>
      <c r="Y307" s="90" t="str">
        <f t="shared" si="92"/>
        <v/>
      </c>
      <c r="AC307" s="6" t="s">
        <v>2511</v>
      </c>
      <c r="AD307" s="6" t="s">
        <v>6898</v>
      </c>
      <c r="AE307" s="158" t="s">
        <v>4094</v>
      </c>
      <c r="AF307" s="159" t="s">
        <v>8299</v>
      </c>
      <c r="AG307" s="160">
        <v>385662</v>
      </c>
      <c r="AH307" s="194" t="s">
        <v>679</v>
      </c>
      <c r="AI307" s="6" t="s">
        <v>3900</v>
      </c>
      <c r="AJ307" s="3" t="s">
        <v>8206</v>
      </c>
      <c r="AK307" t="s">
        <v>8206</v>
      </c>
      <c r="AL307" s="4">
        <f t="shared" si="93"/>
        <v>0</v>
      </c>
      <c r="AM307" s="6" t="s">
        <v>4501</v>
      </c>
      <c r="AN307" s="6" t="s">
        <v>6117</v>
      </c>
      <c r="AO307" t="str">
        <f t="shared" si="83"/>
        <v/>
      </c>
      <c r="AP307" t="s">
        <v>4448</v>
      </c>
      <c r="AQ307" t="s">
        <v>4512</v>
      </c>
      <c r="AR307" s="15">
        <v>3959</v>
      </c>
      <c r="AV307"/>
      <c r="AX307"/>
      <c r="AZ307" t="str">
        <f t="shared" si="94"/>
        <v/>
      </c>
      <c r="BA307" s="5" t="str">
        <f t="shared" si="95"/>
        <v/>
      </c>
    </row>
    <row r="308" spans="1:53" ht="13.5">
      <c r="A308" s="135" t="str">
        <f t="shared" si="96"/>
        <v/>
      </c>
      <c r="B308" s="19" t="str">
        <f t="shared" si="97"/>
        <v/>
      </c>
      <c r="C308" s="19" t="str">
        <f t="shared" si="98"/>
        <v/>
      </c>
      <c r="D308" s="19" t="str">
        <f t="shared" si="99"/>
        <v/>
      </c>
      <c r="E308" s="5" t="str">
        <f t="shared" si="84"/>
        <v/>
      </c>
      <c r="F308" s="12" t="str">
        <f t="shared" si="85"/>
        <v/>
      </c>
      <c r="K308" s="9" t="str">
        <f t="shared" si="86"/>
        <v/>
      </c>
      <c r="L308" s="6">
        <f t="shared" si="87"/>
        <v>0</v>
      </c>
      <c r="M308" s="6">
        <f t="shared" si="88"/>
        <v>0</v>
      </c>
      <c r="N308" s="94" t="str">
        <f t="shared" si="89"/>
        <v/>
      </c>
      <c r="O308" s="202"/>
      <c r="P308" s="200"/>
      <c r="Q308" s="203"/>
      <c r="R308" s="198"/>
      <c r="S308" s="204"/>
      <c r="T308" s="136" t="str">
        <f t="shared" si="90"/>
        <v/>
      </c>
      <c r="U308" s="137" t="str">
        <f t="shared" si="91"/>
        <v/>
      </c>
      <c r="V308" s="1"/>
      <c r="Y308" s="90" t="str">
        <f t="shared" si="92"/>
        <v/>
      </c>
      <c r="AC308" s="6" t="s">
        <v>2491</v>
      </c>
      <c r="AD308" s="6" t="s">
        <v>6925</v>
      </c>
      <c r="AE308" s="158" t="s">
        <v>4002</v>
      </c>
      <c r="AF308" s="159" t="s">
        <v>8299</v>
      </c>
      <c r="AG308" s="160">
        <v>385663</v>
      </c>
      <c r="AH308" s="194" t="s">
        <v>679</v>
      </c>
      <c r="AI308" s="6" t="s">
        <v>2182</v>
      </c>
      <c r="AJ308" s="3" t="s">
        <v>8231</v>
      </c>
      <c r="AK308" t="s">
        <v>8238</v>
      </c>
      <c r="AL308" s="4">
        <f t="shared" si="93"/>
        <v>0</v>
      </c>
      <c r="AM308" s="6" t="s">
        <v>4477</v>
      </c>
      <c r="AN308" s="6" t="s">
        <v>6118</v>
      </c>
      <c r="AO308" t="str">
        <f t="shared" si="83"/>
        <v/>
      </c>
      <c r="AP308" t="s">
        <v>4493</v>
      </c>
      <c r="AQ308" t="s">
        <v>4512</v>
      </c>
      <c r="AR308" s="15">
        <v>2665</v>
      </c>
      <c r="AV308"/>
      <c r="AX308"/>
      <c r="AZ308" t="str">
        <f t="shared" si="94"/>
        <v/>
      </c>
      <c r="BA308" s="5" t="str">
        <f t="shared" si="95"/>
        <v/>
      </c>
    </row>
    <row r="309" spans="1:53" ht="13.5">
      <c r="A309" s="135" t="str">
        <f t="shared" si="96"/>
        <v/>
      </c>
      <c r="B309" s="19" t="str">
        <f t="shared" si="97"/>
        <v/>
      </c>
      <c r="C309" s="19" t="str">
        <f t="shared" si="98"/>
        <v/>
      </c>
      <c r="D309" s="19" t="str">
        <f t="shared" si="99"/>
        <v/>
      </c>
      <c r="E309" s="5" t="str">
        <f t="shared" si="84"/>
        <v/>
      </c>
      <c r="F309" s="12" t="str">
        <f t="shared" si="85"/>
        <v/>
      </c>
      <c r="K309" s="9" t="str">
        <f t="shared" si="86"/>
        <v/>
      </c>
      <c r="L309" s="6">
        <f t="shared" si="87"/>
        <v>0</v>
      </c>
      <c r="M309" s="6">
        <f t="shared" si="88"/>
        <v>0</v>
      </c>
      <c r="N309" s="94" t="str">
        <f t="shared" si="89"/>
        <v/>
      </c>
      <c r="O309" s="202"/>
      <c r="P309" s="200"/>
      <c r="Q309" s="203"/>
      <c r="R309" s="198"/>
      <c r="S309" s="204"/>
      <c r="T309" s="136" t="str">
        <f t="shared" si="90"/>
        <v/>
      </c>
      <c r="U309" s="137" t="str">
        <f t="shared" si="91"/>
        <v/>
      </c>
      <c r="V309" s="1"/>
      <c r="Y309" s="90" t="str">
        <f t="shared" si="92"/>
        <v/>
      </c>
      <c r="AC309" s="6" t="s">
        <v>2540</v>
      </c>
      <c r="AD309" s="6" t="s">
        <v>6898</v>
      </c>
      <c r="AE309" s="158" t="s">
        <v>4118</v>
      </c>
      <c r="AF309" s="159" t="s">
        <v>8309</v>
      </c>
      <c r="AG309" s="160">
        <v>385664</v>
      </c>
      <c r="AH309" s="194" t="s">
        <v>1314</v>
      </c>
      <c r="AI309" s="6" t="s">
        <v>2183</v>
      </c>
      <c r="AJ309" s="3" t="s">
        <v>8231</v>
      </c>
      <c r="AK309" t="s">
        <v>8238</v>
      </c>
      <c r="AL309" s="4">
        <f t="shared" si="93"/>
        <v>0</v>
      </c>
      <c r="AM309" s="6" t="s">
        <v>4451</v>
      </c>
      <c r="AN309" s="6" t="s">
        <v>6119</v>
      </c>
      <c r="AO309" t="str">
        <f t="shared" si="83"/>
        <v/>
      </c>
      <c r="AP309" t="s">
        <v>4474</v>
      </c>
      <c r="AQ309" t="s">
        <v>4519</v>
      </c>
      <c r="AR309" s="15" t="s">
        <v>4688</v>
      </c>
      <c r="AV309"/>
      <c r="AX309"/>
      <c r="AZ309" t="str">
        <f t="shared" si="94"/>
        <v/>
      </c>
      <c r="BA309" s="5" t="str">
        <f t="shared" si="95"/>
        <v/>
      </c>
    </row>
    <row r="310" spans="1:53" ht="13.5">
      <c r="A310" s="135" t="str">
        <f t="shared" si="96"/>
        <v/>
      </c>
      <c r="B310" s="19" t="str">
        <f t="shared" si="97"/>
        <v/>
      </c>
      <c r="C310" s="19" t="str">
        <f t="shared" si="98"/>
        <v/>
      </c>
      <c r="D310" s="19" t="str">
        <f t="shared" si="99"/>
        <v/>
      </c>
      <c r="E310" s="5" t="str">
        <f t="shared" si="84"/>
        <v/>
      </c>
      <c r="F310" s="12" t="str">
        <f t="shared" si="85"/>
        <v/>
      </c>
      <c r="K310" s="9" t="str">
        <f t="shared" si="86"/>
        <v/>
      </c>
      <c r="L310" s="6">
        <f t="shared" si="87"/>
        <v>0</v>
      </c>
      <c r="M310" s="6">
        <f t="shared" si="88"/>
        <v>0</v>
      </c>
      <c r="N310" s="94" t="str">
        <f t="shared" si="89"/>
        <v/>
      </c>
      <c r="O310" s="202"/>
      <c r="P310" s="200"/>
      <c r="Q310" s="203"/>
      <c r="R310" s="198"/>
      <c r="S310" s="204"/>
      <c r="T310" s="136" t="str">
        <f t="shared" si="90"/>
        <v/>
      </c>
      <c r="U310" s="137" t="str">
        <f t="shared" si="91"/>
        <v/>
      </c>
      <c r="V310" s="1"/>
      <c r="Y310" s="90" t="str">
        <f t="shared" si="92"/>
        <v/>
      </c>
      <c r="AC310" s="6">
        <v>876393</v>
      </c>
      <c r="AD310" s="6" t="s">
        <v>6928</v>
      </c>
      <c r="AE310" s="158" t="s">
        <v>3861</v>
      </c>
      <c r="AF310" s="159" t="s">
        <v>8344</v>
      </c>
      <c r="AG310" s="160">
        <v>385665</v>
      </c>
      <c r="AH310" s="194" t="s">
        <v>1314</v>
      </c>
      <c r="AI310" s="6" t="s">
        <v>2184</v>
      </c>
      <c r="AJ310" s="3" t="s">
        <v>8231</v>
      </c>
      <c r="AK310" t="s">
        <v>8238</v>
      </c>
      <c r="AL310" s="4">
        <f t="shared" si="93"/>
        <v>0</v>
      </c>
      <c r="AM310" s="6" t="s">
        <v>4454</v>
      </c>
      <c r="AN310" s="6" t="s">
        <v>6120</v>
      </c>
      <c r="AO310" t="str">
        <f t="shared" si="83"/>
        <v/>
      </c>
      <c r="AP310" t="s">
        <v>4436</v>
      </c>
      <c r="AQ310" t="s">
        <v>4512</v>
      </c>
      <c r="AR310" s="15">
        <v>7665</v>
      </c>
      <c r="AV310"/>
      <c r="AX310"/>
      <c r="AZ310" t="str">
        <f t="shared" si="94"/>
        <v/>
      </c>
      <c r="BA310" s="5" t="str">
        <f t="shared" si="95"/>
        <v/>
      </c>
    </row>
    <row r="311" spans="1:53" ht="13.5">
      <c r="A311" s="135" t="str">
        <f t="shared" si="96"/>
        <v/>
      </c>
      <c r="B311" s="19" t="str">
        <f t="shared" si="97"/>
        <v/>
      </c>
      <c r="C311" s="19" t="str">
        <f t="shared" si="98"/>
        <v/>
      </c>
      <c r="D311" s="19" t="str">
        <f t="shared" si="99"/>
        <v/>
      </c>
      <c r="E311" s="5" t="str">
        <f t="shared" si="84"/>
        <v/>
      </c>
      <c r="F311" s="12" t="str">
        <f t="shared" si="85"/>
        <v/>
      </c>
      <c r="K311" s="9" t="str">
        <f t="shared" si="86"/>
        <v/>
      </c>
      <c r="L311" s="6">
        <f t="shared" si="87"/>
        <v>0</v>
      </c>
      <c r="M311" s="6">
        <f t="shared" si="88"/>
        <v>0</v>
      </c>
      <c r="N311" s="94" t="str">
        <f t="shared" si="89"/>
        <v/>
      </c>
      <c r="O311" s="202"/>
      <c r="P311" s="200"/>
      <c r="Q311" s="203"/>
      <c r="R311" s="198"/>
      <c r="S311" s="204"/>
      <c r="T311" s="136" t="str">
        <f t="shared" si="90"/>
        <v/>
      </c>
      <c r="U311" s="137" t="str">
        <f t="shared" si="91"/>
        <v/>
      </c>
      <c r="V311" s="1"/>
      <c r="Y311" s="90" t="str">
        <f t="shared" si="92"/>
        <v/>
      </c>
      <c r="AC311" s="6" t="s">
        <v>5466</v>
      </c>
      <c r="AD311" s="6" t="s">
        <v>6929</v>
      </c>
      <c r="AE311" s="158" t="s">
        <v>3688</v>
      </c>
      <c r="AF311" s="159" t="s">
        <v>8299</v>
      </c>
      <c r="AG311" s="160">
        <v>386346</v>
      </c>
      <c r="AH311" s="194" t="s">
        <v>1314</v>
      </c>
      <c r="AI311" s="6" t="s">
        <v>192</v>
      </c>
      <c r="AJ311" s="3" t="s">
        <v>8212</v>
      </c>
      <c r="AK311" t="s">
        <v>8212</v>
      </c>
      <c r="AL311" s="4">
        <f t="shared" si="93"/>
        <v>0</v>
      </c>
      <c r="AM311" s="6" t="s">
        <v>4479</v>
      </c>
      <c r="AN311" s="6" t="s">
        <v>6121</v>
      </c>
      <c r="AO311" t="str">
        <f t="shared" si="83"/>
        <v/>
      </c>
      <c r="AP311" t="s">
        <v>4435</v>
      </c>
      <c r="AQ311" t="s">
        <v>4519</v>
      </c>
      <c r="AR311" s="15" t="s">
        <v>4694</v>
      </c>
      <c r="AV311"/>
      <c r="AX311"/>
      <c r="AZ311" t="str">
        <f t="shared" si="94"/>
        <v/>
      </c>
      <c r="BA311" s="5" t="str">
        <f t="shared" si="95"/>
        <v/>
      </c>
    </row>
    <row r="312" spans="1:53" ht="13.5">
      <c r="A312" s="135" t="str">
        <f t="shared" si="96"/>
        <v/>
      </c>
      <c r="B312" s="19" t="str">
        <f t="shared" si="97"/>
        <v/>
      </c>
      <c r="C312" s="19" t="str">
        <f t="shared" si="98"/>
        <v/>
      </c>
      <c r="D312" s="19" t="str">
        <f t="shared" si="99"/>
        <v/>
      </c>
      <c r="E312" s="5" t="str">
        <f t="shared" si="84"/>
        <v/>
      </c>
      <c r="F312" s="12" t="str">
        <f t="shared" si="85"/>
        <v/>
      </c>
      <c r="K312" s="9" t="str">
        <f t="shared" si="86"/>
        <v/>
      </c>
      <c r="L312" s="6">
        <f t="shared" si="87"/>
        <v>0</v>
      </c>
      <c r="M312" s="6">
        <f t="shared" si="88"/>
        <v>0</v>
      </c>
      <c r="N312" s="94" t="str">
        <f t="shared" si="89"/>
        <v/>
      </c>
      <c r="O312" s="202"/>
      <c r="P312" s="200"/>
      <c r="Q312" s="203"/>
      <c r="R312" s="198"/>
      <c r="S312" s="204"/>
      <c r="T312" s="136" t="str">
        <f t="shared" si="90"/>
        <v/>
      </c>
      <c r="U312" s="137" t="str">
        <f t="shared" si="91"/>
        <v/>
      </c>
      <c r="V312" s="1"/>
      <c r="Y312" s="90" t="str">
        <f t="shared" si="92"/>
        <v/>
      </c>
      <c r="AC312" s="6" t="s">
        <v>2710</v>
      </c>
      <c r="AD312" s="6" t="s">
        <v>6930</v>
      </c>
      <c r="AE312" s="158" t="s">
        <v>3689</v>
      </c>
      <c r="AF312" s="159" t="s">
        <v>8299</v>
      </c>
      <c r="AG312" s="160">
        <v>386347</v>
      </c>
      <c r="AH312" s="194" t="s">
        <v>679</v>
      </c>
      <c r="AI312" s="6" t="s">
        <v>198</v>
      </c>
      <c r="AJ312" s="3" t="s">
        <v>8212</v>
      </c>
      <c r="AK312" t="s">
        <v>8212</v>
      </c>
      <c r="AL312" s="4">
        <f t="shared" si="93"/>
        <v>0</v>
      </c>
      <c r="AM312" s="6" t="s">
        <v>4513</v>
      </c>
      <c r="AN312" s="6" t="s">
        <v>6122</v>
      </c>
      <c r="AO312" t="str">
        <f t="shared" si="83"/>
        <v/>
      </c>
      <c r="AP312" t="s">
        <v>4497</v>
      </c>
      <c r="AQ312" t="s">
        <v>4512</v>
      </c>
      <c r="AR312" s="15">
        <v>3290</v>
      </c>
      <c r="AV312"/>
      <c r="AX312"/>
      <c r="AZ312" t="str">
        <f t="shared" si="94"/>
        <v/>
      </c>
      <c r="BA312" s="5" t="str">
        <f t="shared" si="95"/>
        <v/>
      </c>
    </row>
    <row r="313" spans="1:53" ht="13.5">
      <c r="A313" s="135" t="str">
        <f t="shared" si="96"/>
        <v/>
      </c>
      <c r="B313" s="19" t="str">
        <f t="shared" si="97"/>
        <v/>
      </c>
      <c r="C313" s="19" t="str">
        <f t="shared" si="98"/>
        <v/>
      </c>
      <c r="D313" s="19" t="str">
        <f t="shared" si="99"/>
        <v/>
      </c>
      <c r="E313" s="5" t="str">
        <f t="shared" si="84"/>
        <v/>
      </c>
      <c r="F313" s="12" t="str">
        <f t="shared" si="85"/>
        <v/>
      </c>
      <c r="K313" s="9" t="str">
        <f t="shared" si="86"/>
        <v/>
      </c>
      <c r="L313" s="6">
        <f t="shared" si="87"/>
        <v>0</v>
      </c>
      <c r="M313" s="6">
        <f t="shared" si="88"/>
        <v>0</v>
      </c>
      <c r="N313" s="94" t="str">
        <f t="shared" si="89"/>
        <v/>
      </c>
      <c r="O313" s="202"/>
      <c r="P313" s="200"/>
      <c r="Q313" s="203"/>
      <c r="R313" s="198"/>
      <c r="S313" s="204"/>
      <c r="T313" s="136" t="str">
        <f t="shared" si="90"/>
        <v/>
      </c>
      <c r="U313" s="137" t="str">
        <f t="shared" si="91"/>
        <v/>
      </c>
      <c r="V313" s="1"/>
      <c r="Y313" s="90" t="str">
        <f t="shared" si="92"/>
        <v/>
      </c>
      <c r="AC313" s="6">
        <v>245210</v>
      </c>
      <c r="AD313" s="6" t="s">
        <v>6901</v>
      </c>
      <c r="AE313" s="158" t="s">
        <v>3643</v>
      </c>
      <c r="AF313" s="159" t="s">
        <v>8299</v>
      </c>
      <c r="AG313" s="160">
        <v>386400</v>
      </c>
      <c r="AH313" s="194" t="s">
        <v>1314</v>
      </c>
      <c r="AI313" s="6" t="s">
        <v>199</v>
      </c>
      <c r="AJ313" s="3" t="s">
        <v>8212</v>
      </c>
      <c r="AK313" t="s">
        <v>8212</v>
      </c>
      <c r="AL313" s="4">
        <f t="shared" si="93"/>
        <v>0</v>
      </c>
      <c r="AM313" s="6" t="s">
        <v>4478</v>
      </c>
      <c r="AN313" s="6" t="s">
        <v>6123</v>
      </c>
      <c r="AO313" t="str">
        <f t="shared" si="83"/>
        <v/>
      </c>
      <c r="AP313" t="s">
        <v>4434</v>
      </c>
      <c r="AQ313" t="s">
        <v>4518</v>
      </c>
      <c r="AR313" s="15" t="s">
        <v>4900</v>
      </c>
      <c r="AV313"/>
      <c r="AX313"/>
      <c r="AZ313" t="str">
        <f t="shared" si="94"/>
        <v/>
      </c>
      <c r="BA313" s="5" t="str">
        <f t="shared" si="95"/>
        <v/>
      </c>
    </row>
    <row r="314" spans="1:53" ht="13.5">
      <c r="A314" s="135" t="str">
        <f t="shared" si="96"/>
        <v/>
      </c>
      <c r="B314" s="19" t="str">
        <f t="shared" si="97"/>
        <v/>
      </c>
      <c r="C314" s="19" t="str">
        <f t="shared" si="98"/>
        <v/>
      </c>
      <c r="D314" s="19" t="str">
        <f t="shared" si="99"/>
        <v/>
      </c>
      <c r="E314" s="5" t="str">
        <f t="shared" si="84"/>
        <v/>
      </c>
      <c r="F314" s="12" t="str">
        <f t="shared" si="85"/>
        <v/>
      </c>
      <c r="K314" s="9" t="str">
        <f t="shared" si="86"/>
        <v/>
      </c>
      <c r="L314" s="6">
        <f t="shared" si="87"/>
        <v>0</v>
      </c>
      <c r="M314" s="6">
        <f t="shared" si="88"/>
        <v>0</v>
      </c>
      <c r="N314" s="94" t="str">
        <f t="shared" si="89"/>
        <v/>
      </c>
      <c r="O314" s="202"/>
      <c r="P314" s="200"/>
      <c r="Q314" s="203"/>
      <c r="R314" s="198"/>
      <c r="S314" s="204"/>
      <c r="T314" s="136" t="str">
        <f t="shared" si="90"/>
        <v/>
      </c>
      <c r="U314" s="137" t="str">
        <f t="shared" si="91"/>
        <v/>
      </c>
      <c r="V314" s="1"/>
      <c r="Y314" s="90" t="str">
        <f t="shared" si="92"/>
        <v/>
      </c>
      <c r="AC314" s="6" t="s">
        <v>2711</v>
      </c>
      <c r="AD314" s="6" t="s">
        <v>6898</v>
      </c>
      <c r="AE314" s="158" t="s">
        <v>3582</v>
      </c>
      <c r="AF314" s="159" t="s">
        <v>8299</v>
      </c>
      <c r="AG314" s="160">
        <v>395670</v>
      </c>
      <c r="AH314" s="194" t="s">
        <v>679</v>
      </c>
      <c r="AI314" s="6" t="s">
        <v>226</v>
      </c>
      <c r="AJ314" s="3" t="s">
        <v>8207</v>
      </c>
      <c r="AK314" t="s">
        <v>8207</v>
      </c>
      <c r="AL314" s="4">
        <f t="shared" si="93"/>
        <v>0</v>
      </c>
      <c r="AM314" s="6" t="s">
        <v>4449</v>
      </c>
      <c r="AN314" s="6" t="s">
        <v>6124</v>
      </c>
      <c r="AO314" t="str">
        <f t="shared" si="83"/>
        <v/>
      </c>
      <c r="AP314" t="s">
        <v>4476</v>
      </c>
      <c r="AQ314" t="s">
        <v>4518</v>
      </c>
      <c r="AR314" s="15" t="s">
        <v>4901</v>
      </c>
      <c r="AV314"/>
      <c r="AX314"/>
      <c r="AZ314" t="str">
        <f t="shared" si="94"/>
        <v/>
      </c>
      <c r="BA314" s="5" t="str">
        <f t="shared" si="95"/>
        <v/>
      </c>
    </row>
    <row r="315" spans="1:53" ht="13.5">
      <c r="A315" s="135" t="str">
        <f t="shared" si="96"/>
        <v/>
      </c>
      <c r="B315" s="19" t="str">
        <f t="shared" si="97"/>
        <v/>
      </c>
      <c r="C315" s="19" t="str">
        <f t="shared" si="98"/>
        <v/>
      </c>
      <c r="D315" s="19" t="str">
        <f t="shared" si="99"/>
        <v/>
      </c>
      <c r="E315" s="5" t="str">
        <f t="shared" si="84"/>
        <v/>
      </c>
      <c r="F315" s="12" t="str">
        <f t="shared" si="85"/>
        <v/>
      </c>
      <c r="K315" s="9" t="str">
        <f t="shared" si="86"/>
        <v/>
      </c>
      <c r="L315" s="6">
        <f t="shared" si="87"/>
        <v>0</v>
      </c>
      <c r="M315" s="6">
        <f t="shared" si="88"/>
        <v>0</v>
      </c>
      <c r="N315" s="94" t="str">
        <f t="shared" si="89"/>
        <v/>
      </c>
      <c r="O315" s="202"/>
      <c r="P315" s="200"/>
      <c r="Q315" s="203"/>
      <c r="R315" s="198"/>
      <c r="S315" s="204"/>
      <c r="T315" s="136" t="str">
        <f t="shared" si="90"/>
        <v/>
      </c>
      <c r="U315" s="137" t="str">
        <f t="shared" si="91"/>
        <v/>
      </c>
      <c r="V315" s="1"/>
      <c r="Y315" s="90" t="str">
        <f t="shared" si="92"/>
        <v/>
      </c>
      <c r="AC315" s="6">
        <v>385655</v>
      </c>
      <c r="AD315" s="6" t="s">
        <v>6931</v>
      </c>
      <c r="AE315" s="158" t="s">
        <v>3583</v>
      </c>
      <c r="AF315" s="159" t="s">
        <v>8299</v>
      </c>
      <c r="AG315" s="160">
        <v>395671</v>
      </c>
      <c r="AH315" s="194" t="s">
        <v>679</v>
      </c>
      <c r="AI315" s="6" t="s">
        <v>1343</v>
      </c>
      <c r="AJ315" s="3" t="s">
        <v>8201</v>
      </c>
      <c r="AK315" t="s">
        <v>8666</v>
      </c>
      <c r="AL315" s="4">
        <f t="shared" si="93"/>
        <v>0</v>
      </c>
      <c r="AM315" s="6" t="s">
        <v>4491</v>
      </c>
      <c r="AN315" s="6" t="s">
        <v>6125</v>
      </c>
      <c r="AO315" t="str">
        <f t="shared" si="83"/>
        <v/>
      </c>
      <c r="AP315" t="s">
        <v>4500</v>
      </c>
      <c r="AQ315" t="s">
        <v>4518</v>
      </c>
      <c r="AR315" s="15" t="s">
        <v>4902</v>
      </c>
      <c r="AV315"/>
      <c r="AX315"/>
      <c r="AZ315" t="str">
        <f t="shared" si="94"/>
        <v/>
      </c>
      <c r="BA315" s="5" t="str">
        <f t="shared" si="95"/>
        <v/>
      </c>
    </row>
    <row r="316" spans="1:53" ht="13.5">
      <c r="A316" s="135" t="str">
        <f t="shared" si="96"/>
        <v/>
      </c>
      <c r="B316" s="19" t="str">
        <f t="shared" si="97"/>
        <v/>
      </c>
      <c r="C316" s="19" t="str">
        <f t="shared" si="98"/>
        <v/>
      </c>
      <c r="D316" s="19" t="str">
        <f t="shared" si="99"/>
        <v/>
      </c>
      <c r="E316" s="5" t="str">
        <f t="shared" si="84"/>
        <v/>
      </c>
      <c r="F316" s="12" t="str">
        <f t="shared" si="85"/>
        <v/>
      </c>
      <c r="K316" s="9" t="str">
        <f t="shared" si="86"/>
        <v/>
      </c>
      <c r="L316" s="6">
        <f t="shared" si="87"/>
        <v>0</v>
      </c>
      <c r="M316" s="6">
        <f t="shared" si="88"/>
        <v>0</v>
      </c>
      <c r="N316" s="94" t="str">
        <f t="shared" si="89"/>
        <v/>
      </c>
      <c r="O316" s="202"/>
      <c r="P316" s="200"/>
      <c r="Q316" s="203"/>
      <c r="R316" s="198"/>
      <c r="S316" s="204"/>
      <c r="T316" s="136" t="str">
        <f t="shared" si="90"/>
        <v/>
      </c>
      <c r="U316" s="137" t="str">
        <f t="shared" si="91"/>
        <v/>
      </c>
      <c r="V316" s="1"/>
      <c r="Y316" s="90" t="str">
        <f t="shared" si="92"/>
        <v/>
      </c>
      <c r="AC316" s="6">
        <v>245284</v>
      </c>
      <c r="AD316" s="6" t="s">
        <v>6901</v>
      </c>
      <c r="AE316" s="158" t="s">
        <v>3722</v>
      </c>
      <c r="AF316" s="159" t="s">
        <v>8299</v>
      </c>
      <c r="AG316" s="160">
        <v>395672</v>
      </c>
      <c r="AH316" s="194" t="s">
        <v>679</v>
      </c>
      <c r="AI316" s="6" t="s">
        <v>228</v>
      </c>
      <c r="AJ316" s="3" t="s">
        <v>8196</v>
      </c>
      <c r="AK316" t="s">
        <v>8196</v>
      </c>
      <c r="AL316" s="4">
        <f t="shared" si="93"/>
        <v>0</v>
      </c>
      <c r="AM316" s="6" t="s">
        <v>4481</v>
      </c>
      <c r="AN316" s="6" t="s">
        <v>6126</v>
      </c>
      <c r="AO316" t="str">
        <f t="shared" si="83"/>
        <v/>
      </c>
      <c r="AP316" t="s">
        <v>4501</v>
      </c>
      <c r="AQ316" t="s">
        <v>4518</v>
      </c>
      <c r="AR316" s="15" t="s">
        <v>4903</v>
      </c>
      <c r="AV316"/>
      <c r="AX316"/>
      <c r="AZ316" t="str">
        <f t="shared" si="94"/>
        <v/>
      </c>
      <c r="BA316" s="5" t="str">
        <f t="shared" si="95"/>
        <v/>
      </c>
    </row>
    <row r="317" spans="1:53" ht="13.5">
      <c r="A317" s="135" t="str">
        <f t="shared" si="96"/>
        <v/>
      </c>
      <c r="B317" s="19" t="str">
        <f t="shared" si="97"/>
        <v/>
      </c>
      <c r="C317" s="19" t="str">
        <f t="shared" si="98"/>
        <v/>
      </c>
      <c r="D317" s="19" t="str">
        <f t="shared" si="99"/>
        <v/>
      </c>
      <c r="E317" s="5" t="str">
        <f t="shared" si="84"/>
        <v/>
      </c>
      <c r="F317" s="12" t="str">
        <f t="shared" si="85"/>
        <v/>
      </c>
      <c r="K317" s="9" t="str">
        <f t="shared" si="86"/>
        <v/>
      </c>
      <c r="L317" s="6">
        <f t="shared" si="87"/>
        <v>0</v>
      </c>
      <c r="M317" s="6">
        <f t="shared" si="88"/>
        <v>0</v>
      </c>
      <c r="N317" s="94" t="str">
        <f t="shared" si="89"/>
        <v/>
      </c>
      <c r="O317" s="202"/>
      <c r="P317" s="200"/>
      <c r="Q317" s="203"/>
      <c r="R317" s="198"/>
      <c r="S317" s="204"/>
      <c r="T317" s="136" t="str">
        <f t="shared" si="90"/>
        <v/>
      </c>
      <c r="U317" s="137" t="str">
        <f t="shared" si="91"/>
        <v/>
      </c>
      <c r="V317" s="1"/>
      <c r="Y317" s="90" t="str">
        <f t="shared" si="92"/>
        <v/>
      </c>
      <c r="AC317" s="6" t="s">
        <v>2784</v>
      </c>
      <c r="AD317" s="6" t="s">
        <v>6932</v>
      </c>
      <c r="AE317" s="158" t="s">
        <v>5349</v>
      </c>
      <c r="AF317" s="159" t="s">
        <v>8299</v>
      </c>
      <c r="AG317" s="160">
        <v>395673</v>
      </c>
      <c r="AH317" s="194" t="s">
        <v>679</v>
      </c>
      <c r="AI317" s="6" t="s">
        <v>1346</v>
      </c>
      <c r="AJ317" s="3" t="s">
        <v>8201</v>
      </c>
      <c r="AK317" t="s">
        <v>8666</v>
      </c>
      <c r="AL317" s="4">
        <f t="shared" si="93"/>
        <v>0</v>
      </c>
      <c r="AM317" s="6" t="s">
        <v>4480</v>
      </c>
      <c r="AN317" s="6" t="s">
        <v>6127</v>
      </c>
      <c r="AO317" t="str">
        <f t="shared" si="83"/>
        <v/>
      </c>
      <c r="AP317" t="s">
        <v>4477</v>
      </c>
      <c r="AQ317" t="s">
        <v>4512</v>
      </c>
      <c r="AR317" s="15">
        <v>6940</v>
      </c>
      <c r="AV317"/>
      <c r="AX317"/>
      <c r="AZ317" t="str">
        <f t="shared" si="94"/>
        <v/>
      </c>
      <c r="BA317" s="5" t="str">
        <f t="shared" si="95"/>
        <v/>
      </c>
    </row>
    <row r="318" spans="1:53" ht="13.5">
      <c r="A318" s="135" t="str">
        <f t="shared" si="96"/>
        <v/>
      </c>
      <c r="B318" s="19" t="str">
        <f t="shared" si="97"/>
        <v/>
      </c>
      <c r="C318" s="19" t="str">
        <f t="shared" si="98"/>
        <v/>
      </c>
      <c r="D318" s="19" t="str">
        <f t="shared" si="99"/>
        <v/>
      </c>
      <c r="E318" s="5" t="str">
        <f t="shared" si="84"/>
        <v/>
      </c>
      <c r="F318" s="12" t="str">
        <f t="shared" si="85"/>
        <v/>
      </c>
      <c r="K318" s="9" t="str">
        <f t="shared" si="86"/>
        <v/>
      </c>
      <c r="L318" s="6">
        <f t="shared" si="87"/>
        <v>0</v>
      </c>
      <c r="M318" s="6">
        <f t="shared" si="88"/>
        <v>0</v>
      </c>
      <c r="N318" s="94" t="str">
        <f t="shared" si="89"/>
        <v/>
      </c>
      <c r="O318" s="202"/>
      <c r="P318" s="200"/>
      <c r="Q318" s="203"/>
      <c r="R318" s="198"/>
      <c r="S318" s="204"/>
      <c r="T318" s="136" t="str">
        <f t="shared" si="90"/>
        <v/>
      </c>
      <c r="U318" s="137" t="str">
        <f t="shared" si="91"/>
        <v/>
      </c>
      <c r="V318" s="1"/>
      <c r="Y318" s="90" t="str">
        <f t="shared" si="92"/>
        <v/>
      </c>
      <c r="AC318" s="6">
        <v>245250</v>
      </c>
      <c r="AD318" s="6" t="s">
        <v>6901</v>
      </c>
      <c r="AE318" s="158" t="s">
        <v>3585</v>
      </c>
      <c r="AF318" s="159" t="s">
        <v>8299</v>
      </c>
      <c r="AG318" s="160">
        <v>395674</v>
      </c>
      <c r="AH318" s="194" t="s">
        <v>679</v>
      </c>
      <c r="AI318" s="6" t="s">
        <v>232</v>
      </c>
      <c r="AJ318" s="3" t="s">
        <v>8209</v>
      </c>
      <c r="AK318" t="s">
        <v>8209</v>
      </c>
      <c r="AL318" s="4">
        <f t="shared" si="93"/>
        <v>0</v>
      </c>
      <c r="AM318" s="6" t="s">
        <v>4455</v>
      </c>
      <c r="AN318" s="6" t="s">
        <v>6128</v>
      </c>
      <c r="AO318" t="str">
        <f t="shared" si="83"/>
        <v/>
      </c>
      <c r="AP318" t="s">
        <v>4451</v>
      </c>
      <c r="AQ318" t="s">
        <v>4512</v>
      </c>
      <c r="AR318" s="15">
        <v>7640</v>
      </c>
      <c r="AV318"/>
      <c r="AX318"/>
      <c r="AZ318" t="str">
        <f t="shared" si="94"/>
        <v/>
      </c>
      <c r="BA318" s="5" t="str">
        <f t="shared" si="95"/>
        <v/>
      </c>
    </row>
    <row r="319" spans="1:53" ht="13.5">
      <c r="A319" s="135" t="str">
        <f t="shared" si="96"/>
        <v/>
      </c>
      <c r="B319" s="19" t="str">
        <f t="shared" si="97"/>
        <v/>
      </c>
      <c r="C319" s="19" t="str">
        <f t="shared" si="98"/>
        <v/>
      </c>
      <c r="D319" s="19" t="str">
        <f t="shared" si="99"/>
        <v/>
      </c>
      <c r="E319" s="5" t="str">
        <f t="shared" si="84"/>
        <v/>
      </c>
      <c r="F319" s="12" t="str">
        <f t="shared" si="85"/>
        <v/>
      </c>
      <c r="K319" s="9" t="str">
        <f t="shared" si="86"/>
        <v/>
      </c>
      <c r="L319" s="6">
        <f t="shared" si="87"/>
        <v>0</v>
      </c>
      <c r="M319" s="6">
        <f t="shared" si="88"/>
        <v>0</v>
      </c>
      <c r="N319" s="94" t="str">
        <f t="shared" si="89"/>
        <v/>
      </c>
      <c r="O319" s="202"/>
      <c r="P319" s="200"/>
      <c r="Q319" s="203"/>
      <c r="R319" s="198"/>
      <c r="S319" s="204"/>
      <c r="T319" s="136" t="str">
        <f t="shared" si="90"/>
        <v/>
      </c>
      <c r="U319" s="137" t="str">
        <f t="shared" si="91"/>
        <v/>
      </c>
      <c r="V319" s="1"/>
      <c r="Y319" s="90" t="str">
        <f t="shared" si="92"/>
        <v/>
      </c>
      <c r="AC319" s="6">
        <v>245215</v>
      </c>
      <c r="AD319" s="6" t="s">
        <v>6901</v>
      </c>
      <c r="AE319" s="158" t="s">
        <v>4039</v>
      </c>
      <c r="AF319" s="159" t="s">
        <v>8299</v>
      </c>
      <c r="AG319" s="160">
        <v>396353</v>
      </c>
      <c r="AH319" s="194" t="s">
        <v>679</v>
      </c>
      <c r="AI319" s="6" t="s">
        <v>1350</v>
      </c>
      <c r="AJ319" s="3" t="s">
        <v>8196</v>
      </c>
      <c r="AK319" t="s">
        <v>8196</v>
      </c>
      <c r="AL319" s="4">
        <f t="shared" si="93"/>
        <v>0</v>
      </c>
      <c r="AM319" s="6" t="s">
        <v>4456</v>
      </c>
      <c r="AN319" s="6" t="s">
        <v>6129</v>
      </c>
      <c r="AO319" t="str">
        <f t="shared" si="83"/>
        <v/>
      </c>
      <c r="AP319" t="s">
        <v>4454</v>
      </c>
      <c r="AQ319" t="s">
        <v>4841</v>
      </c>
      <c r="AR319" s="15" t="s">
        <v>4904</v>
      </c>
      <c r="AV319"/>
      <c r="AX319"/>
      <c r="AZ319" t="str">
        <f t="shared" si="94"/>
        <v/>
      </c>
      <c r="BA319" s="5" t="str">
        <f t="shared" si="95"/>
        <v/>
      </c>
    </row>
    <row r="320" spans="1:53" ht="13.5">
      <c r="A320" s="135" t="str">
        <f t="shared" si="96"/>
        <v/>
      </c>
      <c r="B320" s="19" t="str">
        <f t="shared" si="97"/>
        <v/>
      </c>
      <c r="C320" s="19" t="str">
        <f t="shared" si="98"/>
        <v/>
      </c>
      <c r="D320" s="19" t="str">
        <f t="shared" si="99"/>
        <v/>
      </c>
      <c r="E320" s="5" t="str">
        <f t="shared" si="84"/>
        <v/>
      </c>
      <c r="F320" s="12" t="str">
        <f t="shared" si="85"/>
        <v/>
      </c>
      <c r="K320" s="9" t="str">
        <f t="shared" si="86"/>
        <v/>
      </c>
      <c r="L320" s="6">
        <f t="shared" si="87"/>
        <v>0</v>
      </c>
      <c r="M320" s="6">
        <f t="shared" si="88"/>
        <v>0</v>
      </c>
      <c r="N320" s="94" t="str">
        <f t="shared" si="89"/>
        <v/>
      </c>
      <c r="O320" s="202"/>
      <c r="P320" s="200"/>
      <c r="Q320" s="203"/>
      <c r="R320" s="198"/>
      <c r="S320" s="204"/>
      <c r="T320" s="136" t="str">
        <f t="shared" si="90"/>
        <v/>
      </c>
      <c r="U320" s="137" t="str">
        <f t="shared" si="91"/>
        <v/>
      </c>
      <c r="V320" s="1"/>
      <c r="Y320" s="90" t="str">
        <f t="shared" si="92"/>
        <v/>
      </c>
      <c r="AC320" s="6">
        <v>436426</v>
      </c>
      <c r="AD320" s="6" t="s">
        <v>6933</v>
      </c>
      <c r="AE320" s="158" t="s">
        <v>3690</v>
      </c>
      <c r="AF320" s="159" t="s">
        <v>8309</v>
      </c>
      <c r="AG320" s="160">
        <v>405677</v>
      </c>
      <c r="AH320" s="194" t="s">
        <v>1314</v>
      </c>
      <c r="AI320" s="6" t="s">
        <v>266</v>
      </c>
      <c r="AJ320" s="3" t="s">
        <v>8201</v>
      </c>
      <c r="AK320" t="s">
        <v>8666</v>
      </c>
      <c r="AL320" s="4">
        <f t="shared" si="93"/>
        <v>0</v>
      </c>
      <c r="AM320" s="6" t="s">
        <v>4457</v>
      </c>
      <c r="AN320" s="7" t="s">
        <v>6130</v>
      </c>
      <c r="AO320" t="str">
        <f t="shared" si="83"/>
        <v/>
      </c>
      <c r="AP320" s="102" t="s">
        <v>4479</v>
      </c>
      <c r="AQ320" s="7" t="s">
        <v>4519</v>
      </c>
      <c r="AR320" s="6" t="s">
        <v>4525</v>
      </c>
      <c r="AV320"/>
      <c r="AX320"/>
      <c r="AZ320" t="str">
        <f t="shared" si="94"/>
        <v/>
      </c>
      <c r="BA320" s="5" t="str">
        <f t="shared" si="95"/>
        <v/>
      </c>
    </row>
    <row r="321" spans="1:53" ht="13.5">
      <c r="A321" s="135" t="str">
        <f t="shared" si="96"/>
        <v/>
      </c>
      <c r="B321" s="19" t="str">
        <f t="shared" si="97"/>
        <v/>
      </c>
      <c r="C321" s="19" t="str">
        <f t="shared" si="98"/>
        <v/>
      </c>
      <c r="D321" s="19" t="str">
        <f t="shared" si="99"/>
        <v/>
      </c>
      <c r="E321" s="5" t="str">
        <f t="shared" si="84"/>
        <v/>
      </c>
      <c r="F321" s="12" t="str">
        <f t="shared" si="85"/>
        <v/>
      </c>
      <c r="K321" s="9" t="str">
        <f t="shared" si="86"/>
        <v/>
      </c>
      <c r="L321" s="6">
        <f t="shared" si="87"/>
        <v>0</v>
      </c>
      <c r="M321" s="6">
        <f t="shared" si="88"/>
        <v>0</v>
      </c>
      <c r="N321" s="94" t="str">
        <f t="shared" si="89"/>
        <v/>
      </c>
      <c r="O321" s="202"/>
      <c r="P321" s="200"/>
      <c r="Q321" s="203"/>
      <c r="R321" s="198"/>
      <c r="S321" s="204"/>
      <c r="T321" s="136" t="str">
        <f t="shared" si="90"/>
        <v/>
      </c>
      <c r="U321" s="137" t="str">
        <f t="shared" si="91"/>
        <v/>
      </c>
      <c r="V321" s="1"/>
      <c r="Y321" s="90" t="str">
        <f t="shared" si="92"/>
        <v/>
      </c>
      <c r="AC321" s="6" t="s">
        <v>2814</v>
      </c>
      <c r="AD321" s="6" t="s">
        <v>6934</v>
      </c>
      <c r="AE321" s="158" t="s">
        <v>84</v>
      </c>
      <c r="AF321" s="159" t="s">
        <v>8299</v>
      </c>
      <c r="AG321" s="160">
        <v>405678</v>
      </c>
      <c r="AH321" s="194" t="s">
        <v>1314</v>
      </c>
      <c r="AI321" s="6" t="s">
        <v>1358</v>
      </c>
      <c r="AJ321" s="3" t="s">
        <v>8196</v>
      </c>
      <c r="AK321" t="s">
        <v>8196</v>
      </c>
      <c r="AL321" s="4">
        <f t="shared" si="93"/>
        <v>0</v>
      </c>
      <c r="AM321" s="6" t="s">
        <v>4492</v>
      </c>
      <c r="AN321" s="7" t="s">
        <v>6131</v>
      </c>
      <c r="AO321" t="str">
        <f t="shared" si="83"/>
        <v/>
      </c>
      <c r="AP321" s="102" t="s">
        <v>4513</v>
      </c>
      <c r="AQ321" t="s">
        <v>4518</v>
      </c>
      <c r="AR321" s="6" t="s">
        <v>4905</v>
      </c>
      <c r="AV321"/>
      <c r="AX321"/>
      <c r="AZ321" t="str">
        <f t="shared" si="94"/>
        <v/>
      </c>
      <c r="BA321" s="5" t="str">
        <f t="shared" si="95"/>
        <v/>
      </c>
    </row>
    <row r="322" spans="1:53" ht="13.5">
      <c r="A322" s="135" t="str">
        <f t="shared" si="96"/>
        <v/>
      </c>
      <c r="B322" s="19" t="str">
        <f t="shared" si="97"/>
        <v/>
      </c>
      <c r="C322" s="19" t="str">
        <f t="shared" si="98"/>
        <v/>
      </c>
      <c r="D322" s="19" t="str">
        <f t="shared" si="99"/>
        <v/>
      </c>
      <c r="E322" s="5" t="str">
        <f t="shared" si="84"/>
        <v/>
      </c>
      <c r="F322" s="12" t="str">
        <f t="shared" si="85"/>
        <v/>
      </c>
      <c r="K322" s="9" t="str">
        <f t="shared" si="86"/>
        <v/>
      </c>
      <c r="L322" s="6">
        <f t="shared" si="87"/>
        <v>0</v>
      </c>
      <c r="M322" s="6">
        <f t="shared" si="88"/>
        <v>0</v>
      </c>
      <c r="N322" s="94" t="str">
        <f t="shared" si="89"/>
        <v/>
      </c>
      <c r="O322" s="202"/>
      <c r="P322" s="200"/>
      <c r="Q322" s="203"/>
      <c r="R322" s="198"/>
      <c r="S322" s="204"/>
      <c r="T322" s="136" t="str">
        <f t="shared" si="90"/>
        <v/>
      </c>
      <c r="U322" s="137" t="str">
        <f t="shared" si="91"/>
        <v/>
      </c>
      <c r="V322" s="1"/>
      <c r="Y322" s="90" t="str">
        <f t="shared" si="92"/>
        <v/>
      </c>
      <c r="AC322" s="6" t="s">
        <v>2810</v>
      </c>
      <c r="AD322" s="6" t="s">
        <v>6935</v>
      </c>
      <c r="AE322" s="158" t="s">
        <v>3691</v>
      </c>
      <c r="AF322" s="159" t="s">
        <v>8299</v>
      </c>
      <c r="AG322" s="160">
        <v>405679</v>
      </c>
      <c r="AH322" s="194" t="s">
        <v>1314</v>
      </c>
      <c r="AI322" s="6" t="s">
        <v>277</v>
      </c>
      <c r="AJ322" s="3" t="s">
        <v>8195</v>
      </c>
      <c r="AK322" t="s">
        <v>8195</v>
      </c>
      <c r="AL322" s="4">
        <f t="shared" si="93"/>
        <v>0</v>
      </c>
      <c r="AM322" s="6" t="s">
        <v>4450</v>
      </c>
      <c r="AN322" s="7" t="s">
        <v>6132</v>
      </c>
      <c r="AO322" t="str">
        <f t="shared" si="83"/>
        <v/>
      </c>
      <c r="AP322" s="102" t="s">
        <v>4478</v>
      </c>
      <c r="AQ322" t="s">
        <v>4518</v>
      </c>
      <c r="AR322" s="97" t="s">
        <v>4906</v>
      </c>
      <c r="AV322"/>
      <c r="AX322"/>
      <c r="AZ322" t="str">
        <f t="shared" si="94"/>
        <v/>
      </c>
      <c r="BA322" s="5" t="str">
        <f t="shared" si="95"/>
        <v/>
      </c>
    </row>
    <row r="323" spans="1:53" ht="13.5">
      <c r="A323" s="135" t="str">
        <f t="shared" si="96"/>
        <v/>
      </c>
      <c r="B323" s="19" t="str">
        <f t="shared" si="97"/>
        <v/>
      </c>
      <c r="C323" s="19" t="str">
        <f t="shared" si="98"/>
        <v/>
      </c>
      <c r="D323" s="19" t="str">
        <f t="shared" si="99"/>
        <v/>
      </c>
      <c r="E323" s="5" t="str">
        <f t="shared" si="84"/>
        <v/>
      </c>
      <c r="F323" s="12" t="str">
        <f t="shared" si="85"/>
        <v/>
      </c>
      <c r="K323" s="9" t="str">
        <f t="shared" si="86"/>
        <v/>
      </c>
      <c r="L323" s="6">
        <f t="shared" si="87"/>
        <v>0</v>
      </c>
      <c r="M323" s="6">
        <f t="shared" si="88"/>
        <v>0</v>
      </c>
      <c r="N323" s="94" t="str">
        <f t="shared" si="89"/>
        <v/>
      </c>
      <c r="O323" s="202"/>
      <c r="P323" s="200"/>
      <c r="Q323" s="203"/>
      <c r="R323" s="198"/>
      <c r="S323" s="204"/>
      <c r="T323" s="136" t="str">
        <f t="shared" si="90"/>
        <v/>
      </c>
      <c r="U323" s="137" t="str">
        <f t="shared" si="91"/>
        <v/>
      </c>
      <c r="V323" s="1"/>
      <c r="Y323" s="90" t="str">
        <f t="shared" si="92"/>
        <v/>
      </c>
      <c r="AC323" s="6">
        <v>245285</v>
      </c>
      <c r="AD323" s="6" t="s">
        <v>6901</v>
      </c>
      <c r="AE323" s="158" t="s">
        <v>3692</v>
      </c>
      <c r="AF323" s="159" t="s">
        <v>8309</v>
      </c>
      <c r="AG323" s="160">
        <v>405680</v>
      </c>
      <c r="AH323" s="194" t="s">
        <v>1314</v>
      </c>
      <c r="AI323" s="6" t="s">
        <v>287</v>
      </c>
      <c r="AJ323" s="3" t="s">
        <v>8200</v>
      </c>
      <c r="AK323" t="s">
        <v>8200</v>
      </c>
      <c r="AL323" s="4">
        <f t="shared" si="93"/>
        <v>0</v>
      </c>
      <c r="AM323" s="6" t="s">
        <v>4452</v>
      </c>
      <c r="AN323" s="7" t="s">
        <v>6133</v>
      </c>
      <c r="AO323" t="str">
        <f t="shared" si="83"/>
        <v/>
      </c>
      <c r="AP323" s="102" t="s">
        <v>4449</v>
      </c>
      <c r="AQ323" t="s">
        <v>4512</v>
      </c>
      <c r="AR323" s="97">
        <v>7650</v>
      </c>
      <c r="AV323"/>
      <c r="AX323"/>
      <c r="AZ323" t="str">
        <f t="shared" si="94"/>
        <v/>
      </c>
      <c r="BA323" s="5" t="str">
        <f t="shared" si="95"/>
        <v/>
      </c>
    </row>
    <row r="324" spans="1:53" ht="13.5">
      <c r="A324" s="135" t="str">
        <f t="shared" si="96"/>
        <v/>
      </c>
      <c r="B324" s="19" t="str">
        <f t="shared" si="97"/>
        <v/>
      </c>
      <c r="C324" s="19" t="str">
        <f t="shared" si="98"/>
        <v/>
      </c>
      <c r="D324" s="19" t="str">
        <f t="shared" si="99"/>
        <v/>
      </c>
      <c r="E324" s="5" t="str">
        <f t="shared" si="84"/>
        <v/>
      </c>
      <c r="F324" s="12" t="str">
        <f t="shared" si="85"/>
        <v/>
      </c>
      <c r="K324" s="9" t="str">
        <f t="shared" si="86"/>
        <v/>
      </c>
      <c r="L324" s="6">
        <f t="shared" si="87"/>
        <v>0</v>
      </c>
      <c r="M324" s="6">
        <f t="shared" si="88"/>
        <v>0</v>
      </c>
      <c r="N324" s="94" t="str">
        <f t="shared" si="89"/>
        <v/>
      </c>
      <c r="O324" s="202"/>
      <c r="P324" s="200"/>
      <c r="Q324" s="203"/>
      <c r="R324" s="198"/>
      <c r="S324" s="204"/>
      <c r="T324" s="136" t="str">
        <f t="shared" si="90"/>
        <v/>
      </c>
      <c r="U324" s="137" t="str">
        <f t="shared" si="91"/>
        <v/>
      </c>
      <c r="V324" s="1"/>
      <c r="Y324" s="90" t="str">
        <f t="shared" si="92"/>
        <v/>
      </c>
      <c r="AC324" s="6">
        <v>245249</v>
      </c>
      <c r="AD324" s="6" t="s">
        <v>6936</v>
      </c>
      <c r="AE324" s="158" t="s">
        <v>3907</v>
      </c>
      <c r="AF324" s="159" t="s">
        <v>8299</v>
      </c>
      <c r="AG324" s="160">
        <v>406390</v>
      </c>
      <c r="AH324" s="194" t="s">
        <v>679</v>
      </c>
      <c r="AI324" s="6" t="s">
        <v>1361</v>
      </c>
      <c r="AJ324" s="3" t="s">
        <v>8208</v>
      </c>
      <c r="AK324" t="s">
        <v>8667</v>
      </c>
      <c r="AL324" s="4">
        <f t="shared" si="93"/>
        <v>0</v>
      </c>
      <c r="AM324" s="6" t="s">
        <v>4502</v>
      </c>
      <c r="AN324" s="7" t="s">
        <v>6134</v>
      </c>
      <c r="AO324" t="str">
        <f t="shared" si="83"/>
        <v/>
      </c>
      <c r="AP324" s="102" t="s">
        <v>4491</v>
      </c>
      <c r="AQ324" t="s">
        <v>4518</v>
      </c>
      <c r="AR324" s="97" t="s">
        <v>4907</v>
      </c>
      <c r="AV324"/>
      <c r="AX324"/>
      <c r="AZ324" t="str">
        <f t="shared" si="94"/>
        <v/>
      </c>
      <c r="BA324" s="5" t="str">
        <f t="shared" si="95"/>
        <v/>
      </c>
    </row>
    <row r="325" spans="1:53" ht="13.5">
      <c r="A325" s="135" t="str">
        <f t="shared" si="96"/>
        <v/>
      </c>
      <c r="B325" s="19" t="str">
        <f t="shared" si="97"/>
        <v/>
      </c>
      <c r="C325" s="19" t="str">
        <f t="shared" si="98"/>
        <v/>
      </c>
      <c r="D325" s="19" t="str">
        <f t="shared" si="99"/>
        <v/>
      </c>
      <c r="E325" s="5" t="str">
        <f t="shared" si="84"/>
        <v/>
      </c>
      <c r="F325" s="12" t="str">
        <f t="shared" si="85"/>
        <v/>
      </c>
      <c r="K325" s="9" t="str">
        <f t="shared" si="86"/>
        <v/>
      </c>
      <c r="L325" s="6">
        <f t="shared" si="87"/>
        <v>0</v>
      </c>
      <c r="M325" s="6">
        <f t="shared" si="88"/>
        <v>0</v>
      </c>
      <c r="N325" s="94" t="str">
        <f t="shared" si="89"/>
        <v/>
      </c>
      <c r="O325" s="202"/>
      <c r="P325" s="200"/>
      <c r="Q325" s="203"/>
      <c r="R325" s="198"/>
      <c r="S325" s="204"/>
      <c r="T325" s="136" t="str">
        <f t="shared" si="90"/>
        <v/>
      </c>
      <c r="U325" s="137" t="str">
        <f t="shared" si="91"/>
        <v/>
      </c>
      <c r="V325" s="1"/>
      <c r="Y325" s="90" t="str">
        <f t="shared" si="92"/>
        <v/>
      </c>
      <c r="AC325" s="6" t="s">
        <v>3452</v>
      </c>
      <c r="AD325" s="6" t="s">
        <v>6901</v>
      </c>
      <c r="AE325" s="158" t="s">
        <v>81</v>
      </c>
      <c r="AF325" s="159" t="s">
        <v>8320</v>
      </c>
      <c r="AG325" s="160">
        <v>406391</v>
      </c>
      <c r="AH325" s="194" t="s">
        <v>679</v>
      </c>
      <c r="AI325" s="6" t="s">
        <v>312</v>
      </c>
      <c r="AJ325" s="3" t="s">
        <v>8228</v>
      </c>
      <c r="AK325" t="s">
        <v>8228</v>
      </c>
      <c r="AL325" s="4">
        <f t="shared" si="93"/>
        <v>0</v>
      </c>
      <c r="AM325" s="6" t="s">
        <v>4419</v>
      </c>
      <c r="AN325" t="s">
        <v>6135</v>
      </c>
      <c r="AO325" t="str">
        <f t="shared" ref="AO325:AO388" si="100">IFERROR(CONCATENATE(VLOOKUP(I325,$AP$5:$AR$500,3,0),"  (Host-",VLOOKUP(I325,$AP$5:$AR$500,2,0),")"),"")</f>
        <v/>
      </c>
      <c r="AP325" t="s">
        <v>4481</v>
      </c>
      <c r="AQ325" s="15" t="s">
        <v>4518</v>
      </c>
      <c r="AR325" s="6" t="s">
        <v>4908</v>
      </c>
      <c r="AV325"/>
      <c r="AX325"/>
      <c r="AZ325" t="str">
        <f t="shared" si="94"/>
        <v/>
      </c>
      <c r="BA325" s="5" t="str">
        <f t="shared" si="95"/>
        <v/>
      </c>
    </row>
    <row r="326" spans="1:53" ht="13.5">
      <c r="A326" s="135" t="str">
        <f t="shared" si="96"/>
        <v/>
      </c>
      <c r="B326" s="19" t="str">
        <f t="shared" si="97"/>
        <v/>
      </c>
      <c r="C326" s="19" t="str">
        <f t="shared" si="98"/>
        <v/>
      </c>
      <c r="D326" s="19" t="str">
        <f t="shared" si="99"/>
        <v/>
      </c>
      <c r="E326" s="5" t="str">
        <f t="shared" ref="E326:E389" si="101">IF(ISNA(VLOOKUP(I326,AI:AK,2,FALSE)),"",VLOOKUP(I326,AI:AK,2,FALSE))</f>
        <v/>
      </c>
      <c r="F326" s="12" t="str">
        <f t="shared" ref="F326:F389" si="102">IF(ISNA(VLOOKUP(I326,AI:AK,3,FALSE)),"",VLOOKUP(I326,AI:AK,3,FALSE))</f>
        <v/>
      </c>
      <c r="K326" s="9" t="str">
        <f t="shared" ref="K326:K389" si="103">IF(AND(LEFT(L326,3)&lt;&gt;"IB0",LEFT(L326,3)&lt;&gt;"ME0",LEFT(L326,3)&lt;&gt;"PS0",LEFT(L326,3)&lt;&gt;"RY0",LEFT(L326,3)&lt;&gt;"BU0",LEFT(L326,3)&lt;&gt;"IS0",LEFT(L326,3)&lt;&gt;"KA0",LEFT(L326,3)&lt;&gt;"FB0",LEFT(L326,3)&lt;&gt;"MB0",LEFT(L326,3)&lt;&gt;"LH0",LEFT(L326,3)&lt;&gt;"MU0",LEFT(L326,3)&lt;&gt;"AB0"),"",L326)</f>
        <v/>
      </c>
      <c r="L326" s="6">
        <f t="shared" ref="L326:L389" si="104">IF(ISNA(VLOOKUP(I326,$S$5:$S$900,1,FALSE)),I326,"")</f>
        <v>0</v>
      </c>
      <c r="M326" s="6">
        <f t="shared" ref="M326:M389" si="105">IF(OR(LEFT(L326,3)="IB0",LEFT(L326,3)="ME0",LEFT(L326,3)="PS0",LEFT(L326,3)="RY0",LEFT(L326,3)="BU0",LEFT(L326,3)="IS0",LEFT(L326,3)="KA0",LEFT(L326,3)="FB0",LEFT(L326,3)="MB0",LEFT(L326,3)="LH0",LEFT(L326,3)="MU0",LEFT(L326,3)="AB0",),"",L326)</f>
        <v>0</v>
      </c>
      <c r="N326" s="94" t="str">
        <f t="shared" ref="N326:N389" si="106">IF(I326="","",(IF(ISNA(VLOOKUP(M326,$AJ$4:$AK$4000,2,FALSE)),M326,VLOOKUP(M326,$AJ$4:$AK$4000,2,FALSE))))</f>
        <v/>
      </c>
      <c r="O326" s="202"/>
      <c r="P326" s="200"/>
      <c r="Q326" s="203"/>
      <c r="R326" s="198"/>
      <c r="S326" s="204"/>
      <c r="T326" s="136" t="str">
        <f t="shared" ref="T326:T389" si="107">IF(ISNA(VLOOKUP(S326,$I$5:$I$900,1,FALSE)),IF(ISBLANK(S326),"","up"),"")</f>
        <v/>
      </c>
      <c r="U326" s="137" t="str">
        <f t="shared" ref="U326:U389" si="108">IF(T326="up",(IF(ISNA(VLOOKUP(S326,$AV$1:$AX$1200,3,FALSE)),"",VLOOKUP(S326,$AV$1:$AX$1200,3,FALSE))),"")</f>
        <v/>
      </c>
      <c r="V326" s="1"/>
      <c r="Y326" s="90" t="str">
        <f t="shared" ref="Y326:Y389" si="109">IFERROR(VLOOKUP(S326,$AV$1:$BA$1200,6,0),"")</f>
        <v/>
      </c>
      <c r="AC326" s="6" t="s">
        <v>2609</v>
      </c>
      <c r="AD326" s="6" t="s">
        <v>6901</v>
      </c>
      <c r="AE326" s="158" t="s">
        <v>4040</v>
      </c>
      <c r="AF326" s="159" t="s">
        <v>8299</v>
      </c>
      <c r="AG326" s="160">
        <v>415681</v>
      </c>
      <c r="AH326" s="194" t="s">
        <v>1314</v>
      </c>
      <c r="AI326" s="6" t="s">
        <v>313</v>
      </c>
      <c r="AJ326" s="3" t="s">
        <v>8196</v>
      </c>
      <c r="AK326" t="s">
        <v>8196</v>
      </c>
      <c r="AL326" s="4">
        <f t="shared" ref="AL326:AL389" si="110">COUNTIF(G:G,G326)</f>
        <v>0</v>
      </c>
      <c r="AM326" s="6" t="s">
        <v>4410</v>
      </c>
      <c r="AN326" t="s">
        <v>6136</v>
      </c>
      <c r="AO326" t="str">
        <f t="shared" si="100"/>
        <v/>
      </c>
      <c r="AP326" t="s">
        <v>4480</v>
      </c>
      <c r="AQ326" s="15" t="s">
        <v>4518</v>
      </c>
      <c r="AR326" s="6" t="s">
        <v>4909</v>
      </c>
      <c r="AV326"/>
      <c r="AX326"/>
      <c r="AZ326" t="str">
        <f t="shared" ref="AZ326:AZ389" si="111">IF(ISBLANK(AW326),"",CONCATENATE("(",RIGHT(AW326,5),"-",TEXT(AX326,"h:mm;@"),")"))</f>
        <v/>
      </c>
      <c r="BA326" s="5" t="str">
        <f t="shared" ref="BA326:BA381" si="112">IF(AV342=AV326,"",CONCATENATE(IF(AV341=AV326,AZ341,""),IF(AV340=AV326,AZ340,""),IF(AV339=AV326,AZ339,""),IF(AV338=AV326,AZ338,""),IF(AV337=AV326,AZ337,""),IF(AV336=AV326,AZ336,""),IF(AV335=AV326,AZ335,""),IF(AV334=AV326,AZ334,""),IF(AV333=AV326,AZ333,""),IF(AV332=AV326,AZ332,""),IF(AV331=AV326,AZ331,""),IF(AV330=AV326,AZ330,""),IF(AV329=AV326,AZ329,""),IF(AV328=AV326,AZ328,""),IF(AV327=AV326,AZ327,""),IF(AV325=AV326,AZ325,""),AZ326))</f>
        <v/>
      </c>
    </row>
    <row r="327" spans="1:53" ht="13.5">
      <c r="A327" s="135" t="str">
        <f t="shared" si="96"/>
        <v/>
      </c>
      <c r="B327" s="19" t="str">
        <f t="shared" si="97"/>
        <v/>
      </c>
      <c r="C327" s="19" t="str">
        <f t="shared" si="98"/>
        <v/>
      </c>
      <c r="D327" s="19" t="str">
        <f t="shared" si="99"/>
        <v/>
      </c>
      <c r="E327" s="5" t="str">
        <f t="shared" si="101"/>
        <v/>
      </c>
      <c r="F327" s="12" t="str">
        <f t="shared" si="102"/>
        <v/>
      </c>
      <c r="K327" s="9" t="str">
        <f t="shared" si="103"/>
        <v/>
      </c>
      <c r="L327" s="6">
        <f t="shared" si="104"/>
        <v>0</v>
      </c>
      <c r="M327" s="6">
        <f t="shared" si="105"/>
        <v>0</v>
      </c>
      <c r="N327" s="94" t="str">
        <f t="shared" si="106"/>
        <v/>
      </c>
      <c r="O327" s="202"/>
      <c r="P327" s="200"/>
      <c r="Q327" s="203"/>
      <c r="R327" s="198"/>
      <c r="S327" s="204"/>
      <c r="T327" s="136" t="str">
        <f t="shared" si="107"/>
        <v/>
      </c>
      <c r="U327" s="137" t="str">
        <f t="shared" si="108"/>
        <v/>
      </c>
      <c r="V327" s="1"/>
      <c r="Y327" s="90" t="str">
        <f t="shared" si="109"/>
        <v/>
      </c>
      <c r="AC327" s="6" t="s">
        <v>2573</v>
      </c>
      <c r="AD327" s="6" t="s">
        <v>6901</v>
      </c>
      <c r="AE327" s="158" t="s">
        <v>70</v>
      </c>
      <c r="AF327" s="159" t="s">
        <v>8299</v>
      </c>
      <c r="AG327" s="160">
        <v>415682</v>
      </c>
      <c r="AH327" s="194" t="s">
        <v>679</v>
      </c>
      <c r="AI327" s="6" t="s">
        <v>319</v>
      </c>
      <c r="AJ327" s="3" t="s">
        <v>8195</v>
      </c>
      <c r="AK327" t="s">
        <v>8195</v>
      </c>
      <c r="AL327" s="4">
        <f t="shared" si="110"/>
        <v>0</v>
      </c>
      <c r="AM327" s="6" t="s">
        <v>4420</v>
      </c>
      <c r="AN327" t="s">
        <v>6137</v>
      </c>
      <c r="AO327" t="str">
        <f t="shared" si="100"/>
        <v/>
      </c>
      <c r="AP327" t="s">
        <v>4455</v>
      </c>
      <c r="AQ327" s="15" t="s">
        <v>4512</v>
      </c>
      <c r="AR327" s="6">
        <v>7896</v>
      </c>
      <c r="AV327"/>
      <c r="AX327"/>
      <c r="AZ327" t="str">
        <f t="shared" si="111"/>
        <v/>
      </c>
      <c r="BA327" s="5" t="str">
        <f t="shared" si="112"/>
        <v/>
      </c>
    </row>
    <row r="328" spans="1:53" ht="13.5">
      <c r="A328" s="135" t="str">
        <f t="shared" si="96"/>
        <v/>
      </c>
      <c r="B328" s="19" t="str">
        <f t="shared" si="97"/>
        <v/>
      </c>
      <c r="C328" s="19" t="str">
        <f t="shared" si="98"/>
        <v/>
      </c>
      <c r="D328" s="19" t="str">
        <f t="shared" si="99"/>
        <v/>
      </c>
      <c r="E328" s="5" t="str">
        <f t="shared" si="101"/>
        <v/>
      </c>
      <c r="F328" s="12" t="str">
        <f t="shared" si="102"/>
        <v/>
      </c>
      <c r="K328" s="9" t="str">
        <f t="shared" si="103"/>
        <v/>
      </c>
      <c r="L328" s="6">
        <f t="shared" si="104"/>
        <v>0</v>
      </c>
      <c r="M328" s="6">
        <f t="shared" si="105"/>
        <v>0</v>
      </c>
      <c r="N328" s="94" t="str">
        <f t="shared" si="106"/>
        <v/>
      </c>
      <c r="O328" s="202"/>
      <c r="P328" s="200"/>
      <c r="Q328" s="203"/>
      <c r="R328" s="198"/>
      <c r="S328" s="204"/>
      <c r="T328" s="136" t="str">
        <f t="shared" si="107"/>
        <v/>
      </c>
      <c r="U328" s="137" t="str">
        <f t="shared" si="108"/>
        <v/>
      </c>
      <c r="V328" s="1"/>
      <c r="Y328" s="90" t="str">
        <f t="shared" si="109"/>
        <v/>
      </c>
      <c r="AC328" s="6" t="s">
        <v>3981</v>
      </c>
      <c r="AD328" s="6" t="s">
        <v>6937</v>
      </c>
      <c r="AE328" s="158" t="s">
        <v>3644</v>
      </c>
      <c r="AF328" s="159" t="s">
        <v>8299</v>
      </c>
      <c r="AG328" s="160">
        <v>415683</v>
      </c>
      <c r="AH328" s="194" t="s">
        <v>679</v>
      </c>
      <c r="AI328" s="6" t="s">
        <v>322</v>
      </c>
      <c r="AJ328" s="3" t="s">
        <v>8196</v>
      </c>
      <c r="AK328" t="s">
        <v>8196</v>
      </c>
      <c r="AL328" s="4">
        <f t="shared" si="110"/>
        <v>0</v>
      </c>
      <c r="AM328" s="6" t="s">
        <v>4482</v>
      </c>
      <c r="AN328" t="s">
        <v>6138</v>
      </c>
      <c r="AO328" t="str">
        <f t="shared" si="100"/>
        <v/>
      </c>
      <c r="AP328" t="s">
        <v>4456</v>
      </c>
      <c r="AQ328" s="15" t="s">
        <v>4841</v>
      </c>
      <c r="AR328" s="6" t="s">
        <v>4697</v>
      </c>
      <c r="AV328"/>
      <c r="AX328"/>
      <c r="AZ328" t="str">
        <f t="shared" si="111"/>
        <v/>
      </c>
      <c r="BA328" s="5" t="str">
        <f t="shared" si="112"/>
        <v/>
      </c>
    </row>
    <row r="329" spans="1:53" ht="13.5">
      <c r="A329" s="135" t="str">
        <f t="shared" si="96"/>
        <v/>
      </c>
      <c r="B329" s="19" t="str">
        <f t="shared" si="97"/>
        <v/>
      </c>
      <c r="C329" s="19" t="str">
        <f t="shared" si="98"/>
        <v/>
      </c>
      <c r="D329" s="19" t="str">
        <f t="shared" si="99"/>
        <v/>
      </c>
      <c r="E329" s="5" t="str">
        <f t="shared" si="101"/>
        <v/>
      </c>
      <c r="F329" s="12" t="str">
        <f t="shared" si="102"/>
        <v/>
      </c>
      <c r="K329" s="9" t="str">
        <f t="shared" si="103"/>
        <v/>
      </c>
      <c r="L329" s="6">
        <f t="shared" si="104"/>
        <v>0</v>
      </c>
      <c r="M329" s="6">
        <f t="shared" si="105"/>
        <v>0</v>
      </c>
      <c r="N329" s="94" t="str">
        <f t="shared" si="106"/>
        <v/>
      </c>
      <c r="O329" s="202"/>
      <c r="P329" s="200"/>
      <c r="Q329" s="203"/>
      <c r="R329" s="198"/>
      <c r="S329" s="204"/>
      <c r="T329" s="136" t="str">
        <f t="shared" si="107"/>
        <v/>
      </c>
      <c r="U329" s="137" t="str">
        <f t="shared" si="108"/>
        <v/>
      </c>
      <c r="V329" s="1"/>
      <c r="Y329" s="90" t="str">
        <f t="shared" si="109"/>
        <v/>
      </c>
      <c r="AC329" s="6" t="s">
        <v>3980</v>
      </c>
      <c r="AD329" s="6" t="s">
        <v>6937</v>
      </c>
      <c r="AE329" s="158" t="s">
        <v>5201</v>
      </c>
      <c r="AF329" s="159" t="s">
        <v>8299</v>
      </c>
      <c r="AG329" s="160">
        <v>425705</v>
      </c>
      <c r="AH329" s="194" t="s">
        <v>679</v>
      </c>
      <c r="AI329" s="6" t="s">
        <v>12</v>
      </c>
      <c r="AJ329" s="3" t="s">
        <v>8196</v>
      </c>
      <c r="AK329" t="s">
        <v>8196</v>
      </c>
      <c r="AL329" s="4">
        <f t="shared" si="110"/>
        <v>0</v>
      </c>
      <c r="AM329" s="6" t="s">
        <v>4753</v>
      </c>
      <c r="AN329" t="s">
        <v>6139</v>
      </c>
      <c r="AO329" t="str">
        <f t="shared" si="100"/>
        <v/>
      </c>
      <c r="AP329" t="s">
        <v>4457</v>
      </c>
      <c r="AQ329" s="15" t="s">
        <v>4518</v>
      </c>
      <c r="AR329" s="6" t="s">
        <v>4910</v>
      </c>
      <c r="AV329"/>
      <c r="AX329"/>
      <c r="AZ329" t="str">
        <f t="shared" si="111"/>
        <v/>
      </c>
      <c r="BA329" s="5" t="str">
        <f t="shared" si="112"/>
        <v/>
      </c>
    </row>
    <row r="330" spans="1:53" ht="13.5">
      <c r="A330" s="135" t="str">
        <f t="shared" si="96"/>
        <v/>
      </c>
      <c r="B330" s="19" t="str">
        <f t="shared" si="97"/>
        <v/>
      </c>
      <c r="C330" s="19" t="str">
        <f t="shared" si="98"/>
        <v/>
      </c>
      <c r="D330" s="19" t="str">
        <f t="shared" si="99"/>
        <v/>
      </c>
      <c r="E330" s="5" t="str">
        <f t="shared" si="101"/>
        <v/>
      </c>
      <c r="F330" s="12" t="str">
        <f t="shared" si="102"/>
        <v/>
      </c>
      <c r="K330" s="9" t="str">
        <f t="shared" si="103"/>
        <v/>
      </c>
      <c r="L330" s="6">
        <f t="shared" si="104"/>
        <v>0</v>
      </c>
      <c r="M330" s="6">
        <f t="shared" si="105"/>
        <v>0</v>
      </c>
      <c r="N330" s="94" t="str">
        <f t="shared" si="106"/>
        <v/>
      </c>
      <c r="O330" s="202"/>
      <c r="P330" s="200"/>
      <c r="Q330" s="203"/>
      <c r="R330" s="198"/>
      <c r="S330" s="204"/>
      <c r="T330" s="136" t="str">
        <f t="shared" si="107"/>
        <v/>
      </c>
      <c r="U330" s="137" t="str">
        <f t="shared" si="108"/>
        <v/>
      </c>
      <c r="V330" s="1"/>
      <c r="Y330" s="90" t="str">
        <f t="shared" si="109"/>
        <v/>
      </c>
      <c r="AC330" s="6" t="s">
        <v>2782</v>
      </c>
      <c r="AD330" s="6" t="s">
        <v>6938</v>
      </c>
      <c r="AE330" s="158" t="s">
        <v>3723</v>
      </c>
      <c r="AF330" s="159" t="s">
        <v>8309</v>
      </c>
      <c r="AG330" s="160">
        <v>425706</v>
      </c>
      <c r="AH330" s="194" t="s">
        <v>1314</v>
      </c>
      <c r="AI330" s="6" t="s">
        <v>343</v>
      </c>
      <c r="AJ330" s="3" t="s">
        <v>8209</v>
      </c>
      <c r="AK330" t="s">
        <v>8209</v>
      </c>
      <c r="AL330" s="4">
        <f t="shared" si="110"/>
        <v>0</v>
      </c>
      <c r="AM330" s="6" t="s">
        <v>2038</v>
      </c>
      <c r="AN330" t="s">
        <v>6140</v>
      </c>
      <c r="AO330" t="str">
        <f t="shared" si="100"/>
        <v/>
      </c>
      <c r="AP330" t="s">
        <v>4492</v>
      </c>
      <c r="AQ330" s="15" t="s">
        <v>4518</v>
      </c>
      <c r="AR330" s="6" t="s">
        <v>4911</v>
      </c>
      <c r="AV330"/>
      <c r="AX330"/>
      <c r="AZ330" t="str">
        <f t="shared" si="111"/>
        <v/>
      </c>
      <c r="BA330" s="5" t="str">
        <f t="shared" si="112"/>
        <v/>
      </c>
    </row>
    <row r="331" spans="1:53" ht="13.5">
      <c r="A331" s="135" t="str">
        <f t="shared" si="96"/>
        <v/>
      </c>
      <c r="B331" s="19" t="str">
        <f t="shared" si="97"/>
        <v/>
      </c>
      <c r="C331" s="19" t="str">
        <f t="shared" si="98"/>
        <v/>
      </c>
      <c r="D331" s="19" t="str">
        <f t="shared" si="99"/>
        <v/>
      </c>
      <c r="E331" s="5" t="str">
        <f t="shared" si="101"/>
        <v/>
      </c>
      <c r="F331" s="12" t="str">
        <f t="shared" si="102"/>
        <v/>
      </c>
      <c r="K331" s="9" t="str">
        <f t="shared" si="103"/>
        <v/>
      </c>
      <c r="L331" s="6">
        <f t="shared" si="104"/>
        <v>0</v>
      </c>
      <c r="M331" s="6">
        <f t="shared" si="105"/>
        <v>0</v>
      </c>
      <c r="N331" s="94" t="str">
        <f t="shared" si="106"/>
        <v/>
      </c>
      <c r="O331" s="202"/>
      <c r="P331" s="200"/>
      <c r="Q331" s="203"/>
      <c r="R331" s="198"/>
      <c r="S331" s="204"/>
      <c r="T331" s="136" t="str">
        <f t="shared" si="107"/>
        <v/>
      </c>
      <c r="U331" s="137" t="str">
        <f t="shared" si="108"/>
        <v/>
      </c>
      <c r="V331" s="1"/>
      <c r="Y331" s="90" t="str">
        <f t="shared" si="109"/>
        <v/>
      </c>
      <c r="AC331" s="6" t="s">
        <v>2371</v>
      </c>
      <c r="AD331" s="6" t="s">
        <v>6901</v>
      </c>
      <c r="AE331" s="158" t="s">
        <v>4119</v>
      </c>
      <c r="AF331" s="159" t="s">
        <v>8300</v>
      </c>
      <c r="AG331" s="160">
        <v>425707</v>
      </c>
      <c r="AH331" s="194" t="s">
        <v>1314</v>
      </c>
      <c r="AI331" s="6" t="s">
        <v>346</v>
      </c>
      <c r="AJ331" s="3" t="s">
        <v>8209</v>
      </c>
      <c r="AK331" t="s">
        <v>8209</v>
      </c>
      <c r="AL331" s="4">
        <f t="shared" si="110"/>
        <v>0</v>
      </c>
      <c r="AM331" s="6" t="s">
        <v>3896</v>
      </c>
      <c r="AN331" t="s">
        <v>6141</v>
      </c>
      <c r="AO331" t="str">
        <f t="shared" si="100"/>
        <v/>
      </c>
      <c r="AP331" t="s">
        <v>4450</v>
      </c>
      <c r="AQ331" s="15" t="s">
        <v>4841</v>
      </c>
      <c r="AR331" s="6" t="s">
        <v>4546</v>
      </c>
      <c r="AV331"/>
      <c r="AX331"/>
      <c r="AZ331" t="str">
        <f t="shared" si="111"/>
        <v/>
      </c>
      <c r="BA331" s="5" t="str">
        <f t="shared" si="112"/>
        <v/>
      </c>
    </row>
    <row r="332" spans="1:53" ht="13.5">
      <c r="A332" s="135" t="str">
        <f t="shared" si="96"/>
        <v/>
      </c>
      <c r="B332" s="19" t="str">
        <f t="shared" si="97"/>
        <v/>
      </c>
      <c r="C332" s="19" t="str">
        <f t="shared" si="98"/>
        <v/>
      </c>
      <c r="D332" s="19" t="str">
        <f t="shared" si="99"/>
        <v/>
      </c>
      <c r="E332" s="5" t="str">
        <f t="shared" si="101"/>
        <v/>
      </c>
      <c r="F332" s="12" t="str">
        <f t="shared" si="102"/>
        <v/>
      </c>
      <c r="K332" s="9" t="str">
        <f t="shared" si="103"/>
        <v/>
      </c>
      <c r="L332" s="6">
        <f t="shared" si="104"/>
        <v>0</v>
      </c>
      <c r="M332" s="6">
        <f t="shared" si="105"/>
        <v>0</v>
      </c>
      <c r="N332" s="94" t="str">
        <f t="shared" si="106"/>
        <v/>
      </c>
      <c r="O332" s="202"/>
      <c r="P332" s="200"/>
      <c r="Q332" s="203"/>
      <c r="R332" s="198"/>
      <c r="S332" s="204"/>
      <c r="T332" s="136" t="str">
        <f t="shared" si="107"/>
        <v/>
      </c>
      <c r="U332" s="137" t="str">
        <f t="shared" si="108"/>
        <v/>
      </c>
      <c r="V332" s="1"/>
      <c r="Y332" s="90" t="str">
        <f t="shared" si="109"/>
        <v/>
      </c>
      <c r="AC332" s="6">
        <v>385654</v>
      </c>
      <c r="AD332" s="6" t="s">
        <v>6939</v>
      </c>
      <c r="AE332" s="158" t="s">
        <v>4245</v>
      </c>
      <c r="AF332" s="159" t="s">
        <v>8296</v>
      </c>
      <c r="AG332" s="160">
        <v>425708</v>
      </c>
      <c r="AH332" s="194" t="s">
        <v>1314</v>
      </c>
      <c r="AI332" s="6" t="s">
        <v>1369</v>
      </c>
      <c r="AJ332" s="3" t="s">
        <v>8195</v>
      </c>
      <c r="AK332" t="s">
        <v>8195</v>
      </c>
      <c r="AL332" s="4">
        <f t="shared" si="110"/>
        <v>0</v>
      </c>
      <c r="AM332" s="6" t="s">
        <v>4484</v>
      </c>
      <c r="AN332" t="s">
        <v>6142</v>
      </c>
      <c r="AO332" t="str">
        <f t="shared" si="100"/>
        <v/>
      </c>
      <c r="AP332" t="s">
        <v>4452</v>
      </c>
      <c r="AQ332" s="15" t="s">
        <v>4841</v>
      </c>
      <c r="AR332" s="6" t="s">
        <v>4550</v>
      </c>
      <c r="AV332"/>
      <c r="AX332"/>
      <c r="AZ332" t="str">
        <f t="shared" si="111"/>
        <v/>
      </c>
      <c r="BA332" s="5" t="str">
        <f t="shared" si="112"/>
        <v/>
      </c>
    </row>
    <row r="333" spans="1:53" ht="13.5">
      <c r="A333" s="135" t="str">
        <f t="shared" si="96"/>
        <v/>
      </c>
      <c r="B333" s="19" t="str">
        <f t="shared" si="97"/>
        <v/>
      </c>
      <c r="C333" s="19" t="str">
        <f t="shared" si="98"/>
        <v/>
      </c>
      <c r="D333" s="19" t="str">
        <f t="shared" si="99"/>
        <v/>
      </c>
      <c r="E333" s="5" t="str">
        <f t="shared" si="101"/>
        <v/>
      </c>
      <c r="F333" s="12" t="str">
        <f t="shared" si="102"/>
        <v/>
      </c>
      <c r="K333" s="9" t="str">
        <f t="shared" si="103"/>
        <v/>
      </c>
      <c r="L333" s="6">
        <f t="shared" si="104"/>
        <v>0</v>
      </c>
      <c r="M333" s="6">
        <f t="shared" si="105"/>
        <v>0</v>
      </c>
      <c r="N333" s="94" t="str">
        <f t="shared" si="106"/>
        <v/>
      </c>
      <c r="O333" s="202"/>
      <c r="P333" s="200"/>
      <c r="Q333" s="203"/>
      <c r="R333" s="198"/>
      <c r="S333" s="204"/>
      <c r="T333" s="136" t="str">
        <f t="shared" si="107"/>
        <v/>
      </c>
      <c r="U333" s="137" t="str">
        <f t="shared" si="108"/>
        <v/>
      </c>
      <c r="V333" s="1"/>
      <c r="Y333" s="90" t="str">
        <f t="shared" si="109"/>
        <v/>
      </c>
      <c r="AC333" s="6" t="s">
        <v>2574</v>
      </c>
      <c r="AD333" s="6" t="s">
        <v>6901</v>
      </c>
      <c r="AE333" s="158" t="s">
        <v>4249</v>
      </c>
      <c r="AF333" s="159" t="s">
        <v>8311</v>
      </c>
      <c r="AG333" s="160">
        <v>425709</v>
      </c>
      <c r="AH333" s="194" t="s">
        <v>679</v>
      </c>
      <c r="AI333" s="6" t="s">
        <v>1373</v>
      </c>
      <c r="AJ333" s="3" t="s">
        <v>8195</v>
      </c>
      <c r="AK333" t="s">
        <v>8195</v>
      </c>
      <c r="AL333" s="4">
        <f t="shared" si="110"/>
        <v>0</v>
      </c>
      <c r="AM333" s="6" t="s">
        <v>4423</v>
      </c>
      <c r="AN333" t="s">
        <v>6143</v>
      </c>
      <c r="AO333" t="str">
        <f t="shared" si="100"/>
        <v/>
      </c>
      <c r="AP333" t="s">
        <v>4502</v>
      </c>
      <c r="AQ333" s="15" t="s">
        <v>4518</v>
      </c>
      <c r="AR333" s="6" t="s">
        <v>4912</v>
      </c>
      <c r="AV333"/>
      <c r="AX333"/>
      <c r="AZ333" t="str">
        <f t="shared" si="111"/>
        <v/>
      </c>
      <c r="BA333" s="5" t="str">
        <f t="shared" si="112"/>
        <v/>
      </c>
    </row>
    <row r="334" spans="1:53" ht="13.5">
      <c r="A334" s="135" t="str">
        <f t="shared" si="96"/>
        <v/>
      </c>
      <c r="B334" s="19" t="str">
        <f t="shared" si="97"/>
        <v/>
      </c>
      <c r="C334" s="19" t="str">
        <f t="shared" si="98"/>
        <v/>
      </c>
      <c r="D334" s="19" t="str">
        <f t="shared" si="99"/>
        <v/>
      </c>
      <c r="E334" s="5" t="str">
        <f t="shared" si="101"/>
        <v/>
      </c>
      <c r="F334" s="12" t="str">
        <f t="shared" si="102"/>
        <v/>
      </c>
      <c r="K334" s="9" t="str">
        <f t="shared" si="103"/>
        <v/>
      </c>
      <c r="L334" s="6">
        <f t="shared" si="104"/>
        <v>0</v>
      </c>
      <c r="M334" s="6">
        <f t="shared" si="105"/>
        <v>0</v>
      </c>
      <c r="N334" s="94" t="str">
        <f t="shared" si="106"/>
        <v/>
      </c>
      <c r="O334" s="202"/>
      <c r="P334" s="200"/>
      <c r="Q334" s="203"/>
      <c r="R334" s="198"/>
      <c r="S334" s="204"/>
      <c r="T334" s="136" t="str">
        <f t="shared" si="107"/>
        <v/>
      </c>
      <c r="U334" s="137" t="str">
        <f t="shared" si="108"/>
        <v/>
      </c>
      <c r="V334" s="1"/>
      <c r="Y334" s="90" t="str">
        <f t="shared" si="109"/>
        <v/>
      </c>
      <c r="AC334" s="6" t="s">
        <v>2572</v>
      </c>
      <c r="AD334" s="6" t="s">
        <v>6901</v>
      </c>
      <c r="AE334" s="158" t="s">
        <v>4250</v>
      </c>
      <c r="AF334" s="159" t="s">
        <v>8320</v>
      </c>
      <c r="AG334" s="160">
        <v>426478</v>
      </c>
      <c r="AH334" s="194" t="s">
        <v>1314</v>
      </c>
      <c r="AI334" s="6" t="s">
        <v>377</v>
      </c>
      <c r="AJ334" s="3" t="s">
        <v>8201</v>
      </c>
      <c r="AK334" t="s">
        <v>8666</v>
      </c>
      <c r="AL334" s="4">
        <f t="shared" si="110"/>
        <v>0</v>
      </c>
      <c r="AM334" s="6" t="s">
        <v>4422</v>
      </c>
      <c r="AN334" t="s">
        <v>6144</v>
      </c>
      <c r="AO334" t="str">
        <f t="shared" si="100"/>
        <v/>
      </c>
      <c r="AP334" t="s">
        <v>4419</v>
      </c>
      <c r="AQ334" s="15" t="s">
        <v>4518</v>
      </c>
      <c r="AR334" s="6" t="s">
        <v>4913</v>
      </c>
      <c r="AV334"/>
      <c r="AX334"/>
      <c r="AZ334" t="str">
        <f t="shared" si="111"/>
        <v/>
      </c>
      <c r="BA334" s="5" t="str">
        <f t="shared" si="112"/>
        <v/>
      </c>
    </row>
    <row r="335" spans="1:53" ht="13.5">
      <c r="A335" s="135" t="str">
        <f t="shared" si="96"/>
        <v/>
      </c>
      <c r="B335" s="19" t="str">
        <f t="shared" si="97"/>
        <v/>
      </c>
      <c r="C335" s="19" t="str">
        <f t="shared" si="98"/>
        <v/>
      </c>
      <c r="D335" s="19" t="str">
        <f t="shared" si="99"/>
        <v/>
      </c>
      <c r="E335" s="5" t="str">
        <f t="shared" si="101"/>
        <v/>
      </c>
      <c r="F335" s="12" t="str">
        <f t="shared" si="102"/>
        <v/>
      </c>
      <c r="K335" s="9" t="str">
        <f t="shared" si="103"/>
        <v/>
      </c>
      <c r="L335" s="6">
        <f t="shared" si="104"/>
        <v>0</v>
      </c>
      <c r="M335" s="6">
        <f t="shared" si="105"/>
        <v>0</v>
      </c>
      <c r="N335" s="94" t="str">
        <f t="shared" si="106"/>
        <v/>
      </c>
      <c r="O335" s="202"/>
      <c r="P335" s="200"/>
      <c r="Q335" s="203"/>
      <c r="R335" s="198"/>
      <c r="S335" s="204"/>
      <c r="T335" s="136" t="str">
        <f t="shared" si="107"/>
        <v/>
      </c>
      <c r="U335" s="137" t="str">
        <f t="shared" si="108"/>
        <v/>
      </c>
      <c r="V335" s="1"/>
      <c r="Y335" s="90" t="str">
        <f t="shared" si="109"/>
        <v/>
      </c>
      <c r="AC335" s="6" t="s">
        <v>2571</v>
      </c>
      <c r="AD335" s="6" t="s">
        <v>6901</v>
      </c>
      <c r="AE335" s="158" t="s">
        <v>4251</v>
      </c>
      <c r="AF335" s="159" t="s">
        <v>8320</v>
      </c>
      <c r="AG335" s="160">
        <v>435738</v>
      </c>
      <c r="AH335" s="194" t="s">
        <v>679</v>
      </c>
      <c r="AI335" s="6" t="s">
        <v>1375</v>
      </c>
      <c r="AJ335" s="3" t="s">
        <v>8195</v>
      </c>
      <c r="AK335" t="s">
        <v>8195</v>
      </c>
      <c r="AL335" s="4">
        <f t="shared" si="110"/>
        <v>0</v>
      </c>
      <c r="AM335" s="6" t="s">
        <v>4424</v>
      </c>
      <c r="AN335" t="s">
        <v>6145</v>
      </c>
      <c r="AO335" t="str">
        <f t="shared" si="100"/>
        <v/>
      </c>
      <c r="AP335" t="s">
        <v>4410</v>
      </c>
      <c r="AQ335" s="15" t="s">
        <v>4519</v>
      </c>
      <c r="AR335" s="6" t="s">
        <v>4914</v>
      </c>
      <c r="AV335"/>
      <c r="AX335"/>
      <c r="AZ335" t="str">
        <f t="shared" si="111"/>
        <v/>
      </c>
      <c r="BA335" s="5" t="str">
        <f t="shared" si="112"/>
        <v/>
      </c>
    </row>
    <row r="336" spans="1:53" ht="13.5">
      <c r="A336" s="135" t="str">
        <f t="shared" si="96"/>
        <v/>
      </c>
      <c r="B336" s="19" t="str">
        <f t="shared" si="97"/>
        <v/>
      </c>
      <c r="C336" s="19" t="str">
        <f t="shared" si="98"/>
        <v/>
      </c>
      <c r="D336" s="19" t="str">
        <f t="shared" si="99"/>
        <v/>
      </c>
      <c r="E336" s="5" t="str">
        <f t="shared" si="101"/>
        <v/>
      </c>
      <c r="F336" s="12" t="str">
        <f t="shared" si="102"/>
        <v/>
      </c>
      <c r="K336" s="9" t="str">
        <f t="shared" si="103"/>
        <v/>
      </c>
      <c r="L336" s="6">
        <f t="shared" si="104"/>
        <v>0</v>
      </c>
      <c r="M336" s="6">
        <f t="shared" si="105"/>
        <v>0</v>
      </c>
      <c r="N336" s="94" t="str">
        <f t="shared" si="106"/>
        <v/>
      </c>
      <c r="O336" s="202"/>
      <c r="P336" s="200"/>
      <c r="Q336" s="203"/>
      <c r="R336" s="198"/>
      <c r="S336" s="204"/>
      <c r="T336" s="136" t="str">
        <f t="shared" si="107"/>
        <v/>
      </c>
      <c r="U336" s="137" t="str">
        <f t="shared" si="108"/>
        <v/>
      </c>
      <c r="V336" s="1"/>
      <c r="Y336" s="90" t="str">
        <f t="shared" si="109"/>
        <v/>
      </c>
      <c r="AC336" s="6" t="s">
        <v>2488</v>
      </c>
      <c r="AD336" s="6" t="s">
        <v>6935</v>
      </c>
      <c r="AE336" s="158" t="s">
        <v>4252</v>
      </c>
      <c r="AF336" s="159" t="s">
        <v>8299</v>
      </c>
      <c r="AG336" s="160">
        <v>435739</v>
      </c>
      <c r="AH336" s="194" t="s">
        <v>1314</v>
      </c>
      <c r="AI336" s="6" t="s">
        <v>393</v>
      </c>
      <c r="AJ336" s="3" t="s">
        <v>8216</v>
      </c>
      <c r="AK336" t="s">
        <v>8216</v>
      </c>
      <c r="AL336" s="4">
        <f t="shared" si="110"/>
        <v>0</v>
      </c>
      <c r="AM336" s="6" t="s">
        <v>4425</v>
      </c>
      <c r="AN336" t="s">
        <v>6146</v>
      </c>
      <c r="AO336" t="str">
        <f t="shared" si="100"/>
        <v/>
      </c>
      <c r="AP336" t="s">
        <v>4420</v>
      </c>
      <c r="AQ336" s="15" t="s">
        <v>4518</v>
      </c>
      <c r="AR336" s="6" t="s">
        <v>4915</v>
      </c>
      <c r="AV336"/>
      <c r="AX336"/>
      <c r="AZ336" t="str">
        <f t="shared" si="111"/>
        <v/>
      </c>
      <c r="BA336" s="5" t="str">
        <f t="shared" si="112"/>
        <v/>
      </c>
    </row>
    <row r="337" spans="1:53" ht="13.5">
      <c r="A337" s="135" t="str">
        <f t="shared" si="96"/>
        <v/>
      </c>
      <c r="B337" s="19" t="str">
        <f t="shared" si="97"/>
        <v/>
      </c>
      <c r="C337" s="19" t="str">
        <f t="shared" si="98"/>
        <v/>
      </c>
      <c r="D337" s="19" t="str">
        <f t="shared" si="99"/>
        <v/>
      </c>
      <c r="E337" s="5" t="str">
        <f t="shared" si="101"/>
        <v/>
      </c>
      <c r="F337" s="12" t="str">
        <f t="shared" si="102"/>
        <v/>
      </c>
      <c r="K337" s="9" t="str">
        <f t="shared" si="103"/>
        <v/>
      </c>
      <c r="L337" s="6">
        <f t="shared" si="104"/>
        <v>0</v>
      </c>
      <c r="M337" s="6">
        <f t="shared" si="105"/>
        <v>0</v>
      </c>
      <c r="N337" s="94" t="str">
        <f t="shared" si="106"/>
        <v/>
      </c>
      <c r="O337" s="202"/>
      <c r="P337" s="200"/>
      <c r="Q337" s="203"/>
      <c r="R337" s="198"/>
      <c r="S337" s="204"/>
      <c r="T337" s="136" t="str">
        <f t="shared" si="107"/>
        <v/>
      </c>
      <c r="U337" s="137" t="str">
        <f t="shared" si="108"/>
        <v/>
      </c>
      <c r="V337" s="1"/>
      <c r="Y337" s="90" t="str">
        <f t="shared" si="109"/>
        <v/>
      </c>
      <c r="AC337" s="6">
        <v>245212</v>
      </c>
      <c r="AD337" s="6" t="s">
        <v>6901</v>
      </c>
      <c r="AE337" s="158" t="s">
        <v>4253</v>
      </c>
      <c r="AF337" s="159" t="s">
        <v>8309</v>
      </c>
      <c r="AG337" s="160">
        <v>435740</v>
      </c>
      <c r="AH337" s="194" t="s">
        <v>1314</v>
      </c>
      <c r="AI337" s="6" t="s">
        <v>398</v>
      </c>
      <c r="AJ337" s="3" t="s">
        <v>8209</v>
      </c>
      <c r="AK337" t="s">
        <v>8209</v>
      </c>
      <c r="AL337" s="4">
        <f t="shared" si="110"/>
        <v>0</v>
      </c>
      <c r="AM337" s="6" t="s">
        <v>4723</v>
      </c>
      <c r="AN337" t="s">
        <v>6147</v>
      </c>
      <c r="AO337" t="str">
        <f t="shared" si="100"/>
        <v/>
      </c>
      <c r="AP337" t="s">
        <v>4482</v>
      </c>
      <c r="AQ337" s="15" t="s">
        <v>4841</v>
      </c>
      <c r="AR337" s="6" t="s">
        <v>4916</v>
      </c>
      <c r="AV337"/>
      <c r="AX337"/>
      <c r="AZ337" t="str">
        <f t="shared" si="111"/>
        <v/>
      </c>
      <c r="BA337" s="5" t="str">
        <f t="shared" si="112"/>
        <v/>
      </c>
    </row>
    <row r="338" spans="1:53" ht="13.5">
      <c r="A338" s="135" t="str">
        <f t="shared" si="96"/>
        <v/>
      </c>
      <c r="B338" s="19" t="str">
        <f t="shared" si="97"/>
        <v/>
      </c>
      <c r="C338" s="19" t="str">
        <f t="shared" si="98"/>
        <v/>
      </c>
      <c r="D338" s="19" t="str">
        <f t="shared" si="99"/>
        <v/>
      </c>
      <c r="E338" s="5" t="str">
        <f t="shared" si="101"/>
        <v/>
      </c>
      <c r="F338" s="12" t="str">
        <f t="shared" si="102"/>
        <v/>
      </c>
      <c r="K338" s="9" t="str">
        <f t="shared" si="103"/>
        <v/>
      </c>
      <c r="L338" s="6">
        <f t="shared" si="104"/>
        <v>0</v>
      </c>
      <c r="M338" s="6">
        <f t="shared" si="105"/>
        <v>0</v>
      </c>
      <c r="N338" s="94" t="str">
        <f t="shared" si="106"/>
        <v/>
      </c>
      <c r="O338" s="202"/>
      <c r="P338" s="200"/>
      <c r="Q338" s="203"/>
      <c r="R338" s="198"/>
      <c r="S338" s="204"/>
      <c r="T338" s="136" t="str">
        <f t="shared" si="107"/>
        <v/>
      </c>
      <c r="U338" s="137" t="str">
        <f t="shared" si="108"/>
        <v/>
      </c>
      <c r="V338" s="1"/>
      <c r="Y338" s="90" t="str">
        <f t="shared" si="109"/>
        <v/>
      </c>
      <c r="AC338" s="6">
        <v>435743</v>
      </c>
      <c r="AD338" s="6" t="s">
        <v>6898</v>
      </c>
      <c r="AE338" s="158" t="s">
        <v>4042</v>
      </c>
      <c r="AF338" s="159" t="s">
        <v>8299</v>
      </c>
      <c r="AG338" s="160">
        <v>435741</v>
      </c>
      <c r="AH338" s="194" t="s">
        <v>1314</v>
      </c>
      <c r="AI338" s="6" t="s">
        <v>404</v>
      </c>
      <c r="AJ338" s="3" t="s">
        <v>8207</v>
      </c>
      <c r="AK338" t="s">
        <v>8207</v>
      </c>
      <c r="AL338" s="4">
        <f t="shared" si="110"/>
        <v>0</v>
      </c>
      <c r="AM338" s="6" t="s">
        <v>4426</v>
      </c>
      <c r="AN338" t="s">
        <v>6148</v>
      </c>
      <c r="AO338" t="str">
        <f t="shared" si="100"/>
        <v/>
      </c>
      <c r="AP338" t="s">
        <v>4753</v>
      </c>
      <c r="AQ338" s="15" t="s">
        <v>4841</v>
      </c>
      <c r="AR338" s="6" t="s">
        <v>4917</v>
      </c>
      <c r="AV338"/>
      <c r="AX338"/>
      <c r="AZ338" t="str">
        <f t="shared" si="111"/>
        <v/>
      </c>
      <c r="BA338" s="5" t="str">
        <f t="shared" si="112"/>
        <v/>
      </c>
    </row>
    <row r="339" spans="1:53" ht="13.5">
      <c r="A339" s="135" t="str">
        <f t="shared" si="96"/>
        <v/>
      </c>
      <c r="B339" s="19" t="str">
        <f t="shared" si="97"/>
        <v/>
      </c>
      <c r="C339" s="19" t="str">
        <f t="shared" si="98"/>
        <v/>
      </c>
      <c r="D339" s="19" t="str">
        <f t="shared" si="99"/>
        <v/>
      </c>
      <c r="E339" s="5" t="str">
        <f t="shared" si="101"/>
        <v/>
      </c>
      <c r="F339" s="12" t="str">
        <f t="shared" si="102"/>
        <v/>
      </c>
      <c r="K339" s="9" t="str">
        <f t="shared" si="103"/>
        <v/>
      </c>
      <c r="L339" s="6">
        <f t="shared" si="104"/>
        <v>0</v>
      </c>
      <c r="M339" s="6">
        <f t="shared" si="105"/>
        <v>0</v>
      </c>
      <c r="N339" s="94" t="str">
        <f t="shared" si="106"/>
        <v/>
      </c>
      <c r="O339" s="202"/>
      <c r="P339" s="200"/>
      <c r="Q339" s="203"/>
      <c r="R339" s="198"/>
      <c r="S339" s="204"/>
      <c r="T339" s="136" t="str">
        <f t="shared" si="107"/>
        <v/>
      </c>
      <c r="U339" s="137" t="str">
        <f t="shared" si="108"/>
        <v/>
      </c>
      <c r="V339" s="1"/>
      <c r="Y339" s="90" t="str">
        <f t="shared" si="109"/>
        <v/>
      </c>
      <c r="AC339" s="6" t="s">
        <v>2647</v>
      </c>
      <c r="AD339" s="6" t="s">
        <v>6935</v>
      </c>
      <c r="AE339" s="158" t="s">
        <v>82</v>
      </c>
      <c r="AF339" s="159" t="s">
        <v>8299</v>
      </c>
      <c r="AG339" s="160">
        <v>435742</v>
      </c>
      <c r="AH339" s="194" t="s">
        <v>1314</v>
      </c>
      <c r="AI339" s="6" t="s">
        <v>405</v>
      </c>
      <c r="AJ339" s="3" t="s">
        <v>8201</v>
      </c>
      <c r="AK339" t="s">
        <v>8666</v>
      </c>
      <c r="AL339" s="4">
        <f t="shared" si="110"/>
        <v>0</v>
      </c>
      <c r="AM339" s="6" t="s">
        <v>131</v>
      </c>
      <c r="AN339" t="s">
        <v>6149</v>
      </c>
      <c r="AO339" t="str">
        <f t="shared" si="100"/>
        <v/>
      </c>
      <c r="AP339" t="s">
        <v>2038</v>
      </c>
      <c r="AQ339" s="15" t="s">
        <v>4512</v>
      </c>
      <c r="AR339" s="6">
        <v>8981</v>
      </c>
      <c r="AV339"/>
      <c r="AX339"/>
      <c r="AZ339" t="str">
        <f t="shared" si="111"/>
        <v/>
      </c>
      <c r="BA339" s="5" t="str">
        <f t="shared" si="112"/>
        <v/>
      </c>
    </row>
    <row r="340" spans="1:53" ht="13.5">
      <c r="A340" s="135" t="str">
        <f t="shared" si="96"/>
        <v/>
      </c>
      <c r="B340" s="19" t="str">
        <f t="shared" si="97"/>
        <v/>
      </c>
      <c r="C340" s="19" t="str">
        <f t="shared" si="98"/>
        <v/>
      </c>
      <c r="D340" s="19" t="str">
        <f t="shared" si="99"/>
        <v/>
      </c>
      <c r="E340" s="5" t="str">
        <f t="shared" si="101"/>
        <v/>
      </c>
      <c r="F340" s="12" t="str">
        <f t="shared" si="102"/>
        <v/>
      </c>
      <c r="K340" s="9" t="str">
        <f t="shared" si="103"/>
        <v/>
      </c>
      <c r="L340" s="6">
        <f t="shared" si="104"/>
        <v>0</v>
      </c>
      <c r="M340" s="6">
        <f t="shared" si="105"/>
        <v>0</v>
      </c>
      <c r="N340" s="94" t="str">
        <f t="shared" si="106"/>
        <v/>
      </c>
      <c r="O340" s="17"/>
      <c r="P340" s="7"/>
      <c r="Q340" s="5"/>
      <c r="R340"/>
      <c r="S340" s="1"/>
      <c r="T340" s="136" t="str">
        <f t="shared" si="107"/>
        <v/>
      </c>
      <c r="U340" s="137" t="str">
        <f t="shared" si="108"/>
        <v/>
      </c>
      <c r="V340" s="1"/>
      <c r="Y340" s="90" t="str">
        <f t="shared" si="109"/>
        <v/>
      </c>
      <c r="AC340" s="6">
        <v>175826</v>
      </c>
      <c r="AD340" s="6" t="s">
        <v>6940</v>
      </c>
      <c r="AE340" s="158" t="s">
        <v>1002</v>
      </c>
      <c r="AF340" s="159" t="s">
        <v>8299</v>
      </c>
      <c r="AG340" s="160">
        <v>435743</v>
      </c>
      <c r="AH340" s="194" t="s">
        <v>679</v>
      </c>
      <c r="AI340" s="6" t="s">
        <v>4724</v>
      </c>
      <c r="AJ340" s="3" t="s">
        <v>8201</v>
      </c>
      <c r="AK340" t="s">
        <v>8666</v>
      </c>
      <c r="AL340" s="4">
        <f t="shared" si="110"/>
        <v>0</v>
      </c>
      <c r="AM340" s="6" t="s">
        <v>4514</v>
      </c>
      <c r="AN340" t="s">
        <v>6150</v>
      </c>
      <c r="AO340" t="str">
        <f t="shared" si="100"/>
        <v/>
      </c>
      <c r="AP340" t="s">
        <v>3896</v>
      </c>
      <c r="AQ340" s="15" t="s">
        <v>4512</v>
      </c>
      <c r="AR340" s="6">
        <v>9176</v>
      </c>
      <c r="AV340"/>
      <c r="AX340"/>
      <c r="AZ340" t="str">
        <f t="shared" si="111"/>
        <v/>
      </c>
      <c r="BA340" s="5" t="str">
        <f t="shared" si="112"/>
        <v/>
      </c>
    </row>
    <row r="341" spans="1:53" ht="13.5">
      <c r="A341" s="135" t="str">
        <f t="shared" si="96"/>
        <v/>
      </c>
      <c r="B341" s="19" t="str">
        <f t="shared" si="97"/>
        <v/>
      </c>
      <c r="C341" s="19" t="str">
        <f t="shared" si="98"/>
        <v/>
      </c>
      <c r="D341" s="19" t="str">
        <f t="shared" si="99"/>
        <v/>
      </c>
      <c r="E341" s="5" t="str">
        <f t="shared" si="101"/>
        <v/>
      </c>
      <c r="F341" s="12" t="str">
        <f t="shared" si="102"/>
        <v/>
      </c>
      <c r="K341" s="9" t="str">
        <f t="shared" si="103"/>
        <v/>
      </c>
      <c r="L341" s="6">
        <f t="shared" si="104"/>
        <v>0</v>
      </c>
      <c r="M341" s="6">
        <f t="shared" si="105"/>
        <v>0</v>
      </c>
      <c r="N341" s="94" t="str">
        <f t="shared" si="106"/>
        <v/>
      </c>
      <c r="O341" s="17"/>
      <c r="P341" s="7"/>
      <c r="Q341" s="5"/>
      <c r="R341"/>
      <c r="S341" s="1"/>
      <c r="T341" s="136" t="str">
        <f t="shared" si="107"/>
        <v/>
      </c>
      <c r="U341" s="137" t="str">
        <f t="shared" si="108"/>
        <v/>
      </c>
      <c r="V341" s="1"/>
      <c r="Y341" s="90" t="str">
        <f t="shared" si="109"/>
        <v/>
      </c>
      <c r="AC341" s="6" t="s">
        <v>2737</v>
      </c>
      <c r="AD341" s="6" t="s">
        <v>6941</v>
      </c>
      <c r="AE341" s="158" t="s">
        <v>1003</v>
      </c>
      <c r="AF341" s="159" t="s">
        <v>8311</v>
      </c>
      <c r="AG341" s="160">
        <v>436425</v>
      </c>
      <c r="AH341" s="194" t="s">
        <v>1314</v>
      </c>
      <c r="AI341" s="6" t="s">
        <v>411</v>
      </c>
      <c r="AJ341" s="3" t="s">
        <v>8196</v>
      </c>
      <c r="AK341" t="s">
        <v>8196</v>
      </c>
      <c r="AL341" s="4">
        <f t="shared" si="110"/>
        <v>0</v>
      </c>
      <c r="AM341" s="6" t="s">
        <v>4429</v>
      </c>
      <c r="AN341" t="s">
        <v>6151</v>
      </c>
      <c r="AO341" t="str">
        <f t="shared" si="100"/>
        <v/>
      </c>
      <c r="AP341" t="s">
        <v>4484</v>
      </c>
      <c r="AQ341" s="15" t="s">
        <v>4512</v>
      </c>
      <c r="AR341" s="6">
        <v>4003</v>
      </c>
      <c r="AV341"/>
      <c r="AX341"/>
      <c r="AZ341" t="str">
        <f t="shared" si="111"/>
        <v/>
      </c>
      <c r="BA341" s="5" t="str">
        <f t="shared" si="112"/>
        <v/>
      </c>
    </row>
    <row r="342" spans="1:53" ht="13.5">
      <c r="A342" s="135" t="str">
        <f t="shared" si="96"/>
        <v/>
      </c>
      <c r="B342" s="19" t="str">
        <f t="shared" si="97"/>
        <v/>
      </c>
      <c r="C342" s="19" t="str">
        <f t="shared" si="98"/>
        <v/>
      </c>
      <c r="D342" s="19" t="str">
        <f t="shared" si="99"/>
        <v/>
      </c>
      <c r="E342" s="5" t="str">
        <f t="shared" si="101"/>
        <v/>
      </c>
      <c r="F342" s="12" t="str">
        <f t="shared" si="102"/>
        <v/>
      </c>
      <c r="K342" s="9" t="str">
        <f t="shared" si="103"/>
        <v/>
      </c>
      <c r="L342" s="6">
        <f t="shared" si="104"/>
        <v>0</v>
      </c>
      <c r="M342" s="6">
        <f t="shared" si="105"/>
        <v>0</v>
      </c>
      <c r="N342" s="94" t="str">
        <f t="shared" si="106"/>
        <v/>
      </c>
      <c r="O342" s="17"/>
      <c r="P342" s="7"/>
      <c r="Q342" s="5"/>
      <c r="R342"/>
      <c r="S342" s="1"/>
      <c r="T342" s="136" t="str">
        <f t="shared" si="107"/>
        <v/>
      </c>
      <c r="U342" s="137" t="str">
        <f t="shared" si="108"/>
        <v/>
      </c>
      <c r="V342" s="1"/>
      <c r="Y342" s="90" t="str">
        <f t="shared" si="109"/>
        <v/>
      </c>
      <c r="AC342" s="6" t="s">
        <v>2738</v>
      </c>
      <c r="AD342" s="6" t="s">
        <v>6941</v>
      </c>
      <c r="AE342" s="158" t="s">
        <v>4043</v>
      </c>
      <c r="AF342" s="159" t="s">
        <v>8309</v>
      </c>
      <c r="AG342" s="160">
        <v>436426</v>
      </c>
      <c r="AH342" s="194" t="s">
        <v>1314</v>
      </c>
      <c r="AI342" s="6" t="s">
        <v>413</v>
      </c>
      <c r="AJ342" s="3" t="s">
        <v>8196</v>
      </c>
      <c r="AK342" t="s">
        <v>8196</v>
      </c>
      <c r="AL342" s="4">
        <f t="shared" si="110"/>
        <v>0</v>
      </c>
      <c r="AM342" s="6" t="s">
        <v>3853</v>
      </c>
      <c r="AN342" t="s">
        <v>6152</v>
      </c>
      <c r="AO342" t="str">
        <f t="shared" si="100"/>
        <v/>
      </c>
      <c r="AP342" t="s">
        <v>4423</v>
      </c>
      <c r="AQ342" s="15" t="s">
        <v>4518</v>
      </c>
      <c r="AR342" s="6" t="s">
        <v>4918</v>
      </c>
      <c r="AV342"/>
      <c r="AX342"/>
      <c r="AZ342" t="str">
        <f t="shared" si="111"/>
        <v/>
      </c>
      <c r="BA342" s="5" t="str">
        <f t="shared" si="112"/>
        <v/>
      </c>
    </row>
    <row r="343" spans="1:53" ht="13.5">
      <c r="A343" s="135" t="str">
        <f t="shared" si="96"/>
        <v/>
      </c>
      <c r="B343" s="19" t="str">
        <f t="shared" si="97"/>
        <v/>
      </c>
      <c r="C343" s="19" t="str">
        <f t="shared" si="98"/>
        <v/>
      </c>
      <c r="D343" s="19" t="str">
        <f t="shared" si="99"/>
        <v/>
      </c>
      <c r="E343" s="5" t="str">
        <f t="shared" si="101"/>
        <v/>
      </c>
      <c r="F343" s="12" t="str">
        <f t="shared" si="102"/>
        <v/>
      </c>
      <c r="K343" s="9" t="str">
        <f t="shared" si="103"/>
        <v/>
      </c>
      <c r="L343" s="6">
        <f t="shared" si="104"/>
        <v>0</v>
      </c>
      <c r="M343" s="6">
        <f t="shared" si="105"/>
        <v>0</v>
      </c>
      <c r="N343" s="94" t="str">
        <f t="shared" si="106"/>
        <v/>
      </c>
      <c r="O343" s="17"/>
      <c r="P343" s="7"/>
      <c r="Q343" s="5"/>
      <c r="R343"/>
      <c r="S343" s="1"/>
      <c r="T343" s="136" t="str">
        <f t="shared" si="107"/>
        <v/>
      </c>
      <c r="U343" s="137" t="str">
        <f t="shared" si="108"/>
        <v/>
      </c>
      <c r="V343" s="1"/>
      <c r="Y343" s="90" t="str">
        <f t="shared" si="109"/>
        <v/>
      </c>
      <c r="AC343" s="6" t="s">
        <v>2783</v>
      </c>
      <c r="AD343" s="6" t="s">
        <v>6942</v>
      </c>
      <c r="AE343" s="158" t="s">
        <v>4044</v>
      </c>
      <c r="AF343" s="159" t="s">
        <v>8332</v>
      </c>
      <c r="AG343" s="160">
        <v>445744</v>
      </c>
      <c r="AH343" s="194" t="s">
        <v>1314</v>
      </c>
      <c r="AI343" s="6" t="s">
        <v>1384</v>
      </c>
      <c r="AJ343" s="3" t="s">
        <v>8196</v>
      </c>
      <c r="AK343" t="s">
        <v>8196</v>
      </c>
      <c r="AL343" s="4">
        <f t="shared" si="110"/>
        <v>0</v>
      </c>
      <c r="AM343" s="6" t="s">
        <v>4430</v>
      </c>
      <c r="AN343" t="s">
        <v>6153</v>
      </c>
      <c r="AO343" t="str">
        <f t="shared" si="100"/>
        <v/>
      </c>
      <c r="AP343" t="s">
        <v>4422</v>
      </c>
      <c r="AQ343" s="15" t="s">
        <v>4518</v>
      </c>
      <c r="AR343" s="6" t="s">
        <v>4699</v>
      </c>
      <c r="AV343"/>
      <c r="AX343"/>
      <c r="AZ343" t="str">
        <f t="shared" si="111"/>
        <v/>
      </c>
      <c r="BA343" s="5" t="str">
        <f t="shared" si="112"/>
        <v/>
      </c>
    </row>
    <row r="344" spans="1:53" ht="13.5">
      <c r="A344" s="135" t="str">
        <f t="shared" si="96"/>
        <v/>
      </c>
      <c r="B344" s="19" t="str">
        <f t="shared" si="97"/>
        <v/>
      </c>
      <c r="C344" s="19" t="str">
        <f t="shared" si="98"/>
        <v/>
      </c>
      <c r="D344" s="19" t="str">
        <f t="shared" si="99"/>
        <v/>
      </c>
      <c r="E344" s="5" t="str">
        <f t="shared" si="101"/>
        <v/>
      </c>
      <c r="F344" s="12" t="str">
        <f t="shared" si="102"/>
        <v/>
      </c>
      <c r="K344" s="9" t="str">
        <f t="shared" si="103"/>
        <v/>
      </c>
      <c r="L344" s="6">
        <f t="shared" si="104"/>
        <v>0</v>
      </c>
      <c r="M344" s="6">
        <f t="shared" si="105"/>
        <v>0</v>
      </c>
      <c r="N344" s="94" t="str">
        <f t="shared" si="106"/>
        <v/>
      </c>
      <c r="O344" s="17"/>
      <c r="P344" s="7"/>
      <c r="Q344" s="5"/>
      <c r="R344"/>
      <c r="S344" s="1"/>
      <c r="T344" s="136" t="str">
        <f t="shared" si="107"/>
        <v/>
      </c>
      <c r="U344" s="137" t="str">
        <f t="shared" si="108"/>
        <v/>
      </c>
      <c r="V344" s="1"/>
      <c r="Y344" s="90" t="str">
        <f t="shared" si="109"/>
        <v/>
      </c>
      <c r="AC344" s="6">
        <v>886404</v>
      </c>
      <c r="AD344" s="6" t="s">
        <v>6929</v>
      </c>
      <c r="AE344" s="158" t="s">
        <v>1245</v>
      </c>
      <c r="AF344" s="159" t="s">
        <v>8299</v>
      </c>
      <c r="AG344" s="160">
        <v>445745</v>
      </c>
      <c r="AH344" s="194" t="s">
        <v>1314</v>
      </c>
      <c r="AI344" s="6" t="s">
        <v>421</v>
      </c>
      <c r="AJ344" s="3" t="s">
        <v>8196</v>
      </c>
      <c r="AK344" t="s">
        <v>8196</v>
      </c>
      <c r="AL344" s="4">
        <f t="shared" si="110"/>
        <v>0</v>
      </c>
      <c r="AM344" s="6" t="s">
        <v>3856</v>
      </c>
      <c r="AN344" t="s">
        <v>6154</v>
      </c>
      <c r="AO344" t="str">
        <f t="shared" si="100"/>
        <v/>
      </c>
      <c r="AP344" t="s">
        <v>4424</v>
      </c>
      <c r="AQ344" s="15" t="s">
        <v>4512</v>
      </c>
      <c r="AR344" s="6">
        <v>1135</v>
      </c>
      <c r="AV344"/>
      <c r="AX344"/>
      <c r="AZ344" t="str">
        <f t="shared" si="111"/>
        <v/>
      </c>
      <c r="BA344" s="5" t="str">
        <f t="shared" si="112"/>
        <v/>
      </c>
    </row>
    <row r="345" spans="1:53" ht="13.5">
      <c r="A345" s="135" t="str">
        <f t="shared" si="96"/>
        <v/>
      </c>
      <c r="B345" s="19" t="str">
        <f t="shared" si="97"/>
        <v/>
      </c>
      <c r="C345" s="19" t="str">
        <f t="shared" si="98"/>
        <v/>
      </c>
      <c r="D345" s="19" t="str">
        <f t="shared" si="99"/>
        <v/>
      </c>
      <c r="E345" s="5" t="str">
        <f t="shared" si="101"/>
        <v/>
      </c>
      <c r="F345" s="12" t="str">
        <f t="shared" si="102"/>
        <v/>
      </c>
      <c r="K345" s="9" t="str">
        <f t="shared" si="103"/>
        <v/>
      </c>
      <c r="L345" s="6">
        <f t="shared" si="104"/>
        <v>0</v>
      </c>
      <c r="M345" s="6">
        <f t="shared" si="105"/>
        <v>0</v>
      </c>
      <c r="N345" s="94" t="str">
        <f t="shared" si="106"/>
        <v/>
      </c>
      <c r="O345" s="17"/>
      <c r="P345" s="7"/>
      <c r="Q345" s="5"/>
      <c r="R345"/>
      <c r="S345" s="1"/>
      <c r="T345" s="136" t="str">
        <f t="shared" si="107"/>
        <v/>
      </c>
      <c r="U345" s="137" t="str">
        <f t="shared" si="108"/>
        <v/>
      </c>
      <c r="V345" s="1"/>
      <c r="Y345" s="90" t="str">
        <f t="shared" si="109"/>
        <v/>
      </c>
      <c r="AC345" s="6" t="s">
        <v>2765</v>
      </c>
      <c r="AD345" s="6" t="s">
        <v>6943</v>
      </c>
      <c r="AE345" s="158" t="s">
        <v>1246</v>
      </c>
      <c r="AF345" s="159" t="s">
        <v>8299</v>
      </c>
      <c r="AG345" s="160">
        <v>445746</v>
      </c>
      <c r="AH345" s="194" t="s">
        <v>1314</v>
      </c>
      <c r="AI345" s="6" t="s">
        <v>424</v>
      </c>
      <c r="AJ345" s="3" t="s">
        <v>8201</v>
      </c>
      <c r="AK345" t="s">
        <v>8666</v>
      </c>
      <c r="AL345" s="4">
        <f t="shared" si="110"/>
        <v>0</v>
      </c>
      <c r="AM345" s="6" t="s">
        <v>4503</v>
      </c>
      <c r="AN345" t="s">
        <v>6155</v>
      </c>
      <c r="AO345" t="str">
        <f t="shared" si="100"/>
        <v/>
      </c>
      <c r="AP345" t="s">
        <v>4425</v>
      </c>
      <c r="AQ345" s="15" t="s">
        <v>4518</v>
      </c>
      <c r="AR345" s="6" t="s">
        <v>4919</v>
      </c>
      <c r="AV345"/>
      <c r="AX345"/>
      <c r="AZ345" t="str">
        <f t="shared" si="111"/>
        <v/>
      </c>
      <c r="BA345" s="5" t="str">
        <f t="shared" si="112"/>
        <v/>
      </c>
    </row>
    <row r="346" spans="1:53" ht="13.5">
      <c r="A346" s="135" t="str">
        <f t="shared" si="96"/>
        <v/>
      </c>
      <c r="B346" s="19" t="str">
        <f t="shared" si="97"/>
        <v/>
      </c>
      <c r="C346" s="19" t="str">
        <f t="shared" si="98"/>
        <v/>
      </c>
      <c r="D346" s="19" t="str">
        <f t="shared" si="99"/>
        <v/>
      </c>
      <c r="E346" s="5" t="str">
        <f t="shared" si="101"/>
        <v/>
      </c>
      <c r="F346" s="12" t="str">
        <f t="shared" si="102"/>
        <v/>
      </c>
      <c r="K346" s="9" t="str">
        <f t="shared" si="103"/>
        <v/>
      </c>
      <c r="L346" s="6">
        <f t="shared" si="104"/>
        <v>0</v>
      </c>
      <c r="M346" s="6">
        <f t="shared" si="105"/>
        <v>0</v>
      </c>
      <c r="N346" s="94" t="str">
        <f t="shared" si="106"/>
        <v/>
      </c>
      <c r="O346" s="17"/>
      <c r="P346" s="7"/>
      <c r="Q346" s="5"/>
      <c r="R346"/>
      <c r="S346" s="1"/>
      <c r="T346" s="136" t="str">
        <f t="shared" si="107"/>
        <v/>
      </c>
      <c r="U346" s="137" t="str">
        <f t="shared" si="108"/>
        <v/>
      </c>
      <c r="V346" s="1"/>
      <c r="Y346" s="90" t="str">
        <f t="shared" si="109"/>
        <v/>
      </c>
      <c r="AC346" s="6" t="s">
        <v>3594</v>
      </c>
      <c r="AD346" s="6" t="s">
        <v>6944</v>
      </c>
      <c r="AE346" s="158" t="s">
        <v>991</v>
      </c>
      <c r="AF346" s="159" t="s">
        <v>8299</v>
      </c>
      <c r="AG346" s="160">
        <v>455747</v>
      </c>
      <c r="AH346" s="194" t="s">
        <v>1314</v>
      </c>
      <c r="AI346" s="6" t="s">
        <v>1386</v>
      </c>
      <c r="AJ346" s="3" t="s">
        <v>8201</v>
      </c>
      <c r="AK346" t="s">
        <v>8666</v>
      </c>
      <c r="AL346" s="4">
        <f t="shared" si="110"/>
        <v>0</v>
      </c>
      <c r="AM346" s="6" t="s">
        <v>4486</v>
      </c>
      <c r="AN346" t="s">
        <v>6156</v>
      </c>
      <c r="AO346" t="str">
        <f t="shared" si="100"/>
        <v/>
      </c>
      <c r="AP346" t="s">
        <v>4723</v>
      </c>
      <c r="AQ346" s="15" t="s">
        <v>4518</v>
      </c>
      <c r="AR346" s="6" t="s">
        <v>4920</v>
      </c>
      <c r="AV346"/>
      <c r="AX346"/>
      <c r="AZ346" t="str">
        <f t="shared" si="111"/>
        <v/>
      </c>
      <c r="BA346" s="5" t="str">
        <f t="shared" si="112"/>
        <v/>
      </c>
    </row>
    <row r="347" spans="1:53" ht="13.5">
      <c r="A347" s="135" t="str">
        <f t="shared" si="96"/>
        <v/>
      </c>
      <c r="B347" s="19" t="str">
        <f t="shared" si="97"/>
        <v/>
      </c>
      <c r="C347" s="19" t="str">
        <f t="shared" si="98"/>
        <v/>
      </c>
      <c r="D347" s="19" t="str">
        <f t="shared" si="99"/>
        <v/>
      </c>
      <c r="E347" s="5" t="str">
        <f t="shared" si="101"/>
        <v/>
      </c>
      <c r="F347" s="12" t="str">
        <f t="shared" si="102"/>
        <v/>
      </c>
      <c r="K347" s="9" t="str">
        <f t="shared" si="103"/>
        <v/>
      </c>
      <c r="L347" s="6">
        <f t="shared" si="104"/>
        <v>0</v>
      </c>
      <c r="M347" s="6">
        <f t="shared" si="105"/>
        <v>0</v>
      </c>
      <c r="N347" s="94" t="str">
        <f t="shared" si="106"/>
        <v/>
      </c>
      <c r="O347" s="17"/>
      <c r="P347" s="7"/>
      <c r="Q347" s="5"/>
      <c r="R347"/>
      <c r="S347" s="1"/>
      <c r="T347" s="136" t="str">
        <f t="shared" si="107"/>
        <v/>
      </c>
      <c r="U347" s="137" t="str">
        <f t="shared" si="108"/>
        <v/>
      </c>
      <c r="V347" s="1"/>
      <c r="Y347" s="90" t="str">
        <f t="shared" si="109"/>
        <v/>
      </c>
      <c r="AC347" s="6">
        <v>245213</v>
      </c>
      <c r="AD347" s="6" t="s">
        <v>6901</v>
      </c>
      <c r="AE347" s="158" t="s">
        <v>3908</v>
      </c>
      <c r="AF347" s="159" t="s">
        <v>8299</v>
      </c>
      <c r="AG347" s="160">
        <v>456475</v>
      </c>
      <c r="AH347" s="194" t="s">
        <v>679</v>
      </c>
      <c r="AI347" s="6" t="s">
        <v>425</v>
      </c>
      <c r="AJ347" s="3" t="s">
        <v>8201</v>
      </c>
      <c r="AK347" t="s">
        <v>8666</v>
      </c>
      <c r="AL347" s="4">
        <f t="shared" si="110"/>
        <v>0</v>
      </c>
      <c r="AM347" s="6" t="s">
        <v>4487</v>
      </c>
      <c r="AN347" t="s">
        <v>6157</v>
      </c>
      <c r="AO347" t="str">
        <f t="shared" si="100"/>
        <v/>
      </c>
      <c r="AP347" t="s">
        <v>4426</v>
      </c>
      <c r="AQ347" s="15" t="s">
        <v>4512</v>
      </c>
      <c r="AR347" s="6">
        <v>9358</v>
      </c>
      <c r="AV347"/>
      <c r="AX347"/>
      <c r="AZ347" t="str">
        <f t="shared" si="111"/>
        <v/>
      </c>
      <c r="BA347" s="5" t="str">
        <f t="shared" si="112"/>
        <v/>
      </c>
    </row>
    <row r="348" spans="1:53" ht="13.5">
      <c r="A348" s="135" t="str">
        <f t="shared" si="96"/>
        <v/>
      </c>
      <c r="B348" s="19" t="str">
        <f t="shared" si="97"/>
        <v/>
      </c>
      <c r="C348" s="19" t="str">
        <f t="shared" si="98"/>
        <v/>
      </c>
      <c r="D348" s="19" t="str">
        <f t="shared" si="99"/>
        <v/>
      </c>
      <c r="E348" s="5" t="str">
        <f t="shared" si="101"/>
        <v/>
      </c>
      <c r="F348" s="12" t="str">
        <f t="shared" si="102"/>
        <v/>
      </c>
      <c r="K348" s="9" t="str">
        <f t="shared" si="103"/>
        <v/>
      </c>
      <c r="L348" s="6">
        <f t="shared" si="104"/>
        <v>0</v>
      </c>
      <c r="M348" s="6">
        <f t="shared" si="105"/>
        <v>0</v>
      </c>
      <c r="N348" s="94" t="str">
        <f t="shared" si="106"/>
        <v/>
      </c>
      <c r="O348" s="17"/>
      <c r="P348" s="7"/>
      <c r="Q348" s="5"/>
      <c r="R348"/>
      <c r="S348" s="1"/>
      <c r="T348" s="136" t="str">
        <f t="shared" si="107"/>
        <v/>
      </c>
      <c r="U348" s="137" t="str">
        <f t="shared" si="108"/>
        <v/>
      </c>
      <c r="V348" s="1"/>
      <c r="Y348" s="90" t="str">
        <f t="shared" si="109"/>
        <v/>
      </c>
      <c r="AC348" s="6" t="s">
        <v>1682</v>
      </c>
      <c r="AD348" s="6" t="s">
        <v>6945</v>
      </c>
      <c r="AE348" s="158" t="s">
        <v>1250</v>
      </c>
      <c r="AF348" s="159" t="s">
        <v>8299</v>
      </c>
      <c r="AG348" s="160">
        <v>456476</v>
      </c>
      <c r="AH348" s="194" t="s">
        <v>1314</v>
      </c>
      <c r="AI348" s="6" t="s">
        <v>426</v>
      </c>
      <c r="AJ348" s="3" t="s">
        <v>8195</v>
      </c>
      <c r="AK348" t="s">
        <v>8195</v>
      </c>
      <c r="AL348" s="4">
        <f t="shared" si="110"/>
        <v>0</v>
      </c>
      <c r="AM348" s="6" t="s">
        <v>3978</v>
      </c>
      <c r="AN348" t="s">
        <v>6158</v>
      </c>
      <c r="AO348" t="str">
        <f t="shared" si="100"/>
        <v/>
      </c>
      <c r="AP348" t="s">
        <v>131</v>
      </c>
      <c r="AQ348" s="15" t="s">
        <v>4841</v>
      </c>
      <c r="AR348" s="6" t="s">
        <v>4921</v>
      </c>
      <c r="AV348"/>
      <c r="AX348"/>
      <c r="AZ348" t="str">
        <f t="shared" si="111"/>
        <v/>
      </c>
      <c r="BA348" s="5" t="str">
        <f t="shared" si="112"/>
        <v/>
      </c>
    </row>
    <row r="349" spans="1:53" ht="13.5">
      <c r="A349" s="135" t="str">
        <f t="shared" si="96"/>
        <v/>
      </c>
      <c r="B349" s="19" t="str">
        <f t="shared" si="97"/>
        <v/>
      </c>
      <c r="C349" s="19" t="str">
        <f t="shared" si="98"/>
        <v/>
      </c>
      <c r="D349" s="19" t="str">
        <f t="shared" si="99"/>
        <v/>
      </c>
      <c r="E349" s="5" t="str">
        <f t="shared" si="101"/>
        <v/>
      </c>
      <c r="F349" s="12" t="str">
        <f t="shared" si="102"/>
        <v/>
      </c>
      <c r="K349" s="9" t="str">
        <f t="shared" si="103"/>
        <v/>
      </c>
      <c r="L349" s="6">
        <f t="shared" si="104"/>
        <v>0</v>
      </c>
      <c r="M349" s="6">
        <f t="shared" si="105"/>
        <v>0</v>
      </c>
      <c r="N349" s="94" t="str">
        <f t="shared" si="106"/>
        <v/>
      </c>
      <c r="O349" s="17"/>
      <c r="P349" s="7"/>
      <c r="Q349" s="5"/>
      <c r="R349"/>
      <c r="S349" s="1"/>
      <c r="T349" s="136" t="str">
        <f t="shared" si="107"/>
        <v/>
      </c>
      <c r="U349" s="137" t="str">
        <f t="shared" si="108"/>
        <v/>
      </c>
      <c r="V349" s="1"/>
      <c r="Y349" s="90" t="str">
        <f t="shared" si="109"/>
        <v/>
      </c>
      <c r="AC349" s="6" t="s">
        <v>2651</v>
      </c>
      <c r="AD349" s="6" t="s">
        <v>6946</v>
      </c>
      <c r="AE349" s="158" t="s">
        <v>1004</v>
      </c>
      <c r="AF349" s="159" t="s">
        <v>8299</v>
      </c>
      <c r="AG349" s="160">
        <v>465731</v>
      </c>
      <c r="AH349" s="194" t="s">
        <v>679</v>
      </c>
      <c r="AI349" s="6" t="s">
        <v>428</v>
      </c>
      <c r="AJ349" s="3" t="s">
        <v>8195</v>
      </c>
      <c r="AK349" t="s">
        <v>8195</v>
      </c>
      <c r="AL349" s="4">
        <f t="shared" si="110"/>
        <v>0</v>
      </c>
      <c r="AM349" s="6" t="s">
        <v>4489</v>
      </c>
      <c r="AN349" t="s">
        <v>6159</v>
      </c>
      <c r="AO349" t="str">
        <f t="shared" si="100"/>
        <v/>
      </c>
      <c r="AP349" t="s">
        <v>4517</v>
      </c>
      <c r="AQ349" s="15" t="s">
        <v>4520</v>
      </c>
      <c r="AR349" s="6" t="s">
        <v>4695</v>
      </c>
      <c r="AV349"/>
      <c r="AX349"/>
      <c r="AZ349" t="str">
        <f t="shared" si="111"/>
        <v/>
      </c>
      <c r="BA349" s="5" t="str">
        <f t="shared" si="112"/>
        <v/>
      </c>
    </row>
    <row r="350" spans="1:53" ht="13.5">
      <c r="A350" s="135" t="str">
        <f t="shared" si="96"/>
        <v/>
      </c>
      <c r="B350" s="19" t="str">
        <f t="shared" si="97"/>
        <v/>
      </c>
      <c r="C350" s="19" t="str">
        <f t="shared" si="98"/>
        <v/>
      </c>
      <c r="D350" s="19" t="str">
        <f t="shared" si="99"/>
        <v/>
      </c>
      <c r="E350" s="5" t="str">
        <f t="shared" si="101"/>
        <v/>
      </c>
      <c r="F350" s="12" t="str">
        <f t="shared" si="102"/>
        <v/>
      </c>
      <c r="K350" s="9" t="str">
        <f t="shared" si="103"/>
        <v/>
      </c>
      <c r="L350" s="6">
        <f t="shared" si="104"/>
        <v>0</v>
      </c>
      <c r="M350" s="6">
        <f t="shared" si="105"/>
        <v>0</v>
      </c>
      <c r="N350" s="94" t="str">
        <f t="shared" si="106"/>
        <v/>
      </c>
      <c r="O350" s="17"/>
      <c r="P350" s="7"/>
      <c r="Q350" s="5"/>
      <c r="R350"/>
      <c r="S350" s="1"/>
      <c r="T350" s="136" t="str">
        <f t="shared" si="107"/>
        <v/>
      </c>
      <c r="U350" s="137" t="str">
        <f t="shared" si="108"/>
        <v/>
      </c>
      <c r="V350" s="1"/>
      <c r="Y350" s="90" t="str">
        <f t="shared" si="109"/>
        <v/>
      </c>
      <c r="AC350" s="6" t="s">
        <v>2652</v>
      </c>
      <c r="AD350" s="6" t="s">
        <v>6946</v>
      </c>
      <c r="AE350" s="158" t="s">
        <v>5118</v>
      </c>
      <c r="AF350" s="159" t="s">
        <v>8300</v>
      </c>
      <c r="AG350" s="160">
        <v>475349</v>
      </c>
      <c r="AH350" s="194" t="s">
        <v>679</v>
      </c>
      <c r="AI350" s="6" t="s">
        <v>1387</v>
      </c>
      <c r="AJ350" s="3" t="s">
        <v>8195</v>
      </c>
      <c r="AK350" t="s">
        <v>8195</v>
      </c>
      <c r="AL350" s="4">
        <f t="shared" si="110"/>
        <v>0</v>
      </c>
      <c r="AM350" s="6" t="s">
        <v>3857</v>
      </c>
      <c r="AN350" t="s">
        <v>6160</v>
      </c>
      <c r="AO350" t="str">
        <f t="shared" si="100"/>
        <v/>
      </c>
      <c r="AP350" t="s">
        <v>4514</v>
      </c>
      <c r="AQ350" s="15" t="s">
        <v>4841</v>
      </c>
      <c r="AR350" s="6" t="s">
        <v>4922</v>
      </c>
      <c r="AV350"/>
      <c r="AX350"/>
      <c r="AZ350" t="str">
        <f t="shared" si="111"/>
        <v/>
      </c>
      <c r="BA350" s="5" t="str">
        <f t="shared" si="112"/>
        <v/>
      </c>
    </row>
    <row r="351" spans="1:53" ht="13.5">
      <c r="A351" s="135" t="str">
        <f t="shared" si="96"/>
        <v/>
      </c>
      <c r="B351" s="19" t="str">
        <f t="shared" si="97"/>
        <v/>
      </c>
      <c r="C351" s="19" t="str">
        <f t="shared" si="98"/>
        <v/>
      </c>
      <c r="D351" s="19" t="str">
        <f t="shared" si="99"/>
        <v/>
      </c>
      <c r="E351" s="5" t="str">
        <f t="shared" si="101"/>
        <v/>
      </c>
      <c r="F351" s="12" t="str">
        <f t="shared" si="102"/>
        <v/>
      </c>
      <c r="K351" s="9" t="str">
        <f t="shared" si="103"/>
        <v/>
      </c>
      <c r="L351" s="6">
        <f t="shared" si="104"/>
        <v>0</v>
      </c>
      <c r="M351" s="6">
        <f t="shared" si="105"/>
        <v>0</v>
      </c>
      <c r="N351" s="94" t="str">
        <f t="shared" si="106"/>
        <v/>
      </c>
      <c r="O351" s="17"/>
      <c r="P351" s="7"/>
      <c r="Q351" s="5"/>
      <c r="R351"/>
      <c r="S351" s="1"/>
      <c r="T351" s="136" t="str">
        <f t="shared" si="107"/>
        <v/>
      </c>
      <c r="U351" s="137" t="str">
        <f t="shared" si="108"/>
        <v/>
      </c>
      <c r="V351" s="1"/>
      <c r="Y351" s="90" t="str">
        <f t="shared" si="109"/>
        <v/>
      </c>
      <c r="AC351" s="6" t="s">
        <v>3564</v>
      </c>
      <c r="AD351" s="6" t="s">
        <v>6947</v>
      </c>
      <c r="AE351" s="158" t="s">
        <v>3678</v>
      </c>
      <c r="AF351" s="159" t="s">
        <v>8299</v>
      </c>
      <c r="AG351" s="160">
        <v>475350</v>
      </c>
      <c r="AH351" s="194" t="s">
        <v>679</v>
      </c>
      <c r="AI351" s="6" t="s">
        <v>1391</v>
      </c>
      <c r="AJ351" s="3" t="s">
        <v>8195</v>
      </c>
      <c r="AK351" t="s">
        <v>8195</v>
      </c>
      <c r="AL351" s="4">
        <f t="shared" si="110"/>
        <v>0</v>
      </c>
      <c r="AM351" s="6" t="s">
        <v>1261</v>
      </c>
      <c r="AN351" t="s">
        <v>6161</v>
      </c>
      <c r="AO351" t="str">
        <f t="shared" si="100"/>
        <v/>
      </c>
      <c r="AP351" t="s">
        <v>4429</v>
      </c>
      <c r="AQ351" s="15" t="s">
        <v>4512</v>
      </c>
      <c r="AR351" s="6">
        <v>9794</v>
      </c>
      <c r="AV351"/>
      <c r="AX351"/>
      <c r="AZ351" t="str">
        <f t="shared" si="111"/>
        <v/>
      </c>
      <c r="BA351" s="5" t="str">
        <f t="shared" si="112"/>
        <v/>
      </c>
    </row>
    <row r="352" spans="1:53" ht="13.5">
      <c r="A352" s="135" t="str">
        <f t="shared" si="96"/>
        <v/>
      </c>
      <c r="B352" s="19" t="str">
        <f t="shared" si="97"/>
        <v/>
      </c>
      <c r="C352" s="19" t="str">
        <f t="shared" si="98"/>
        <v/>
      </c>
      <c r="D352" s="19" t="str">
        <f t="shared" si="99"/>
        <v/>
      </c>
      <c r="E352" s="5" t="str">
        <f t="shared" si="101"/>
        <v/>
      </c>
      <c r="F352" s="12" t="str">
        <f t="shared" si="102"/>
        <v/>
      </c>
      <c r="K352" s="9" t="str">
        <f t="shared" si="103"/>
        <v/>
      </c>
      <c r="L352" s="6">
        <f t="shared" si="104"/>
        <v>0</v>
      </c>
      <c r="M352" s="6">
        <f t="shared" si="105"/>
        <v>0</v>
      </c>
      <c r="N352" s="94" t="str">
        <f t="shared" si="106"/>
        <v/>
      </c>
      <c r="O352" s="17"/>
      <c r="P352" s="7"/>
      <c r="Q352" s="5"/>
      <c r="R352"/>
      <c r="S352" s="1"/>
      <c r="T352" s="136" t="str">
        <f t="shared" si="107"/>
        <v/>
      </c>
      <c r="U352" s="137" t="str">
        <f t="shared" si="108"/>
        <v/>
      </c>
      <c r="V352" s="1"/>
      <c r="Y352" s="90" t="str">
        <f t="shared" si="109"/>
        <v/>
      </c>
      <c r="AC352" s="6" t="s">
        <v>2771</v>
      </c>
      <c r="AD352" s="6" t="s">
        <v>6948</v>
      </c>
      <c r="AE352" s="158" t="s">
        <v>3679</v>
      </c>
      <c r="AF352" s="159" t="s">
        <v>8299</v>
      </c>
      <c r="AG352" s="160">
        <v>483560</v>
      </c>
      <c r="AH352" s="194" t="s">
        <v>679</v>
      </c>
      <c r="AI352" s="6" t="s">
        <v>429</v>
      </c>
      <c r="AJ352" s="3" t="s">
        <v>8195</v>
      </c>
      <c r="AK352" t="s">
        <v>8195</v>
      </c>
      <c r="AL352" s="4">
        <f t="shared" si="110"/>
        <v>0</v>
      </c>
      <c r="AM352" s="6" t="s">
        <v>4787</v>
      </c>
      <c r="AN352" t="s">
        <v>6162</v>
      </c>
      <c r="AO352" t="str">
        <f t="shared" si="100"/>
        <v/>
      </c>
      <c r="AP352" t="s">
        <v>3853</v>
      </c>
      <c r="AQ352" s="15" t="s">
        <v>4512</v>
      </c>
      <c r="AR352" s="6">
        <v>4630</v>
      </c>
      <c r="AV352"/>
      <c r="AX352"/>
      <c r="AZ352" t="str">
        <f t="shared" si="111"/>
        <v/>
      </c>
      <c r="BA352" s="5" t="str">
        <f t="shared" si="112"/>
        <v/>
      </c>
    </row>
    <row r="353" spans="1:53" ht="13.5">
      <c r="A353" s="135" t="str">
        <f t="shared" si="96"/>
        <v/>
      </c>
      <c r="B353" s="19" t="str">
        <f t="shared" si="97"/>
        <v/>
      </c>
      <c r="C353" s="19" t="str">
        <f t="shared" si="98"/>
        <v/>
      </c>
      <c r="D353" s="19" t="str">
        <f t="shared" si="99"/>
        <v/>
      </c>
      <c r="E353" s="5" t="str">
        <f t="shared" si="101"/>
        <v/>
      </c>
      <c r="F353" s="12" t="str">
        <f t="shared" si="102"/>
        <v/>
      </c>
      <c r="K353" s="9" t="str">
        <f t="shared" si="103"/>
        <v/>
      </c>
      <c r="L353" s="6">
        <f t="shared" si="104"/>
        <v>0</v>
      </c>
      <c r="M353" s="6">
        <f t="shared" si="105"/>
        <v>0</v>
      </c>
      <c r="N353" s="94" t="str">
        <f t="shared" si="106"/>
        <v/>
      </c>
      <c r="O353" s="17"/>
      <c r="P353" s="7"/>
      <c r="Q353" s="5"/>
      <c r="R353"/>
      <c r="S353" s="1"/>
      <c r="T353" s="136" t="str">
        <f t="shared" si="107"/>
        <v/>
      </c>
      <c r="U353" s="137" t="str">
        <f t="shared" si="108"/>
        <v/>
      </c>
      <c r="V353" s="1"/>
      <c r="Y353" s="90" t="str">
        <f t="shared" si="109"/>
        <v/>
      </c>
      <c r="AC353" s="6" t="s">
        <v>2650</v>
      </c>
      <c r="AD353" s="6" t="s">
        <v>6949</v>
      </c>
      <c r="AE353" s="158" t="s">
        <v>1151</v>
      </c>
      <c r="AF353" s="159" t="s">
        <v>8299</v>
      </c>
      <c r="AG353" s="160">
        <v>485351</v>
      </c>
      <c r="AH353" s="194" t="s">
        <v>679</v>
      </c>
      <c r="AI353" s="6" t="s">
        <v>1035</v>
      </c>
      <c r="AJ353" s="3" t="s">
        <v>8195</v>
      </c>
      <c r="AK353" t="s">
        <v>8195</v>
      </c>
      <c r="AL353" s="4">
        <f t="shared" si="110"/>
        <v>0</v>
      </c>
      <c r="AM353" s="6" t="s">
        <v>4786</v>
      </c>
      <c r="AN353" t="s">
        <v>6163</v>
      </c>
      <c r="AO353" t="str">
        <f t="shared" si="100"/>
        <v/>
      </c>
      <c r="AP353" t="s">
        <v>4430</v>
      </c>
      <c r="AQ353" s="15" t="s">
        <v>4512</v>
      </c>
      <c r="AR353" s="6">
        <v>9665</v>
      </c>
      <c r="AV353"/>
      <c r="AX353"/>
      <c r="AZ353" t="str">
        <f t="shared" si="111"/>
        <v/>
      </c>
      <c r="BA353" s="5" t="str">
        <f t="shared" si="112"/>
        <v/>
      </c>
    </row>
    <row r="354" spans="1:53" ht="13.5">
      <c r="A354" s="135" t="str">
        <f t="shared" si="96"/>
        <v/>
      </c>
      <c r="B354" s="19" t="str">
        <f t="shared" si="97"/>
        <v/>
      </c>
      <c r="C354" s="19" t="str">
        <f t="shared" si="98"/>
        <v/>
      </c>
      <c r="D354" s="19" t="str">
        <f t="shared" si="99"/>
        <v/>
      </c>
      <c r="E354" s="5" t="str">
        <f t="shared" si="101"/>
        <v/>
      </c>
      <c r="F354" s="12" t="str">
        <f t="shared" si="102"/>
        <v/>
      </c>
      <c r="K354" s="9" t="str">
        <f t="shared" si="103"/>
        <v/>
      </c>
      <c r="L354" s="6">
        <f t="shared" si="104"/>
        <v>0</v>
      </c>
      <c r="M354" s="6">
        <f t="shared" si="105"/>
        <v>0</v>
      </c>
      <c r="N354" s="94" t="str">
        <f t="shared" si="106"/>
        <v/>
      </c>
      <c r="O354" s="17"/>
      <c r="P354" s="7"/>
      <c r="Q354" s="5"/>
      <c r="R354"/>
      <c r="S354" s="1"/>
      <c r="T354" s="136" t="str">
        <f t="shared" si="107"/>
        <v/>
      </c>
      <c r="U354" s="137" t="str">
        <f t="shared" si="108"/>
        <v/>
      </c>
      <c r="V354" s="1"/>
      <c r="Y354" s="90" t="str">
        <f t="shared" si="109"/>
        <v/>
      </c>
      <c r="AC354" s="6">
        <v>175834</v>
      </c>
      <c r="AD354" s="6" t="s">
        <v>6950</v>
      </c>
      <c r="AE354" s="158" t="s">
        <v>130</v>
      </c>
      <c r="AF354" s="159" t="s">
        <v>8309</v>
      </c>
      <c r="AG354" s="160">
        <v>485352</v>
      </c>
      <c r="AH354" s="194" t="s">
        <v>679</v>
      </c>
      <c r="AI354" s="6" t="s">
        <v>431</v>
      </c>
      <c r="AJ354" s="3" t="s">
        <v>8195</v>
      </c>
      <c r="AK354" t="s">
        <v>8195</v>
      </c>
      <c r="AL354" s="4">
        <f t="shared" si="110"/>
        <v>0</v>
      </c>
      <c r="AM354" s="6" t="s">
        <v>4760</v>
      </c>
      <c r="AN354" t="s">
        <v>6164</v>
      </c>
      <c r="AO354" t="str">
        <f t="shared" si="100"/>
        <v/>
      </c>
      <c r="AP354" t="s">
        <v>3856</v>
      </c>
      <c r="AQ354" s="15" t="s">
        <v>4842</v>
      </c>
      <c r="AR354" s="6" t="s">
        <v>4923</v>
      </c>
      <c r="AV354"/>
      <c r="AX354"/>
      <c r="AZ354" t="str">
        <f t="shared" si="111"/>
        <v/>
      </c>
      <c r="BA354" s="5" t="str">
        <f t="shared" si="112"/>
        <v/>
      </c>
    </row>
    <row r="355" spans="1:53" ht="13.5">
      <c r="A355" s="135" t="str">
        <f t="shared" si="96"/>
        <v/>
      </c>
      <c r="B355" s="19" t="str">
        <f t="shared" si="97"/>
        <v/>
      </c>
      <c r="C355" s="19" t="str">
        <f t="shared" si="98"/>
        <v/>
      </c>
      <c r="D355" s="19" t="str">
        <f t="shared" si="99"/>
        <v/>
      </c>
      <c r="E355" s="5" t="str">
        <f t="shared" si="101"/>
        <v/>
      </c>
      <c r="F355" s="12" t="str">
        <f t="shared" si="102"/>
        <v/>
      </c>
      <c r="K355" s="9" t="str">
        <f t="shared" si="103"/>
        <v/>
      </c>
      <c r="L355" s="6">
        <f t="shared" si="104"/>
        <v>0</v>
      </c>
      <c r="M355" s="6">
        <f t="shared" si="105"/>
        <v>0</v>
      </c>
      <c r="N355" s="94" t="str">
        <f t="shared" si="106"/>
        <v/>
      </c>
      <c r="O355" s="17"/>
      <c r="P355" s="7"/>
      <c r="Q355" s="5"/>
      <c r="R355"/>
      <c r="S355" s="1"/>
      <c r="T355" s="136" t="str">
        <f t="shared" si="107"/>
        <v/>
      </c>
      <c r="U355" s="137" t="str">
        <f t="shared" si="108"/>
        <v/>
      </c>
      <c r="V355" s="1"/>
      <c r="Y355" s="90" t="str">
        <f t="shared" si="109"/>
        <v/>
      </c>
      <c r="AC355" s="6" t="s">
        <v>3648</v>
      </c>
      <c r="AD355" s="6" t="s">
        <v>6951</v>
      </c>
      <c r="AE355" s="158" t="s">
        <v>4257</v>
      </c>
      <c r="AF355" s="159" t="s">
        <v>8296</v>
      </c>
      <c r="AG355" s="160">
        <v>485353</v>
      </c>
      <c r="AH355" s="194" t="s">
        <v>679</v>
      </c>
      <c r="AI355" s="6" t="s">
        <v>1038</v>
      </c>
      <c r="AJ355" s="3" t="s">
        <v>8201</v>
      </c>
      <c r="AK355" t="s">
        <v>8666</v>
      </c>
      <c r="AL355" s="4">
        <f t="shared" si="110"/>
        <v>0</v>
      </c>
      <c r="AM355" s="6" t="s">
        <v>4721</v>
      </c>
      <c r="AN355" t="s">
        <v>6165</v>
      </c>
      <c r="AO355" t="str">
        <f t="shared" si="100"/>
        <v/>
      </c>
      <c r="AP355" t="s">
        <v>4503</v>
      </c>
      <c r="AQ355" s="15" t="s">
        <v>4518</v>
      </c>
      <c r="AR355" s="6" t="s">
        <v>4924</v>
      </c>
      <c r="AV355"/>
      <c r="AX355"/>
      <c r="AZ355" t="str">
        <f t="shared" si="111"/>
        <v/>
      </c>
      <c r="BA355" s="5" t="str">
        <f t="shared" si="112"/>
        <v/>
      </c>
    </row>
    <row r="356" spans="1:53" ht="13.5">
      <c r="A356" s="135" t="str">
        <f t="shared" si="96"/>
        <v/>
      </c>
      <c r="B356" s="19" t="str">
        <f t="shared" si="97"/>
        <v/>
      </c>
      <c r="C356" s="19" t="str">
        <f t="shared" si="98"/>
        <v/>
      </c>
      <c r="D356" s="19" t="str">
        <f t="shared" si="99"/>
        <v/>
      </c>
      <c r="E356" s="5" t="str">
        <f t="shared" si="101"/>
        <v/>
      </c>
      <c r="F356" s="12" t="str">
        <f t="shared" si="102"/>
        <v/>
      </c>
      <c r="K356" s="9" t="str">
        <f t="shared" si="103"/>
        <v/>
      </c>
      <c r="L356" s="6">
        <f t="shared" si="104"/>
        <v>0</v>
      </c>
      <c r="M356" s="6">
        <f t="shared" si="105"/>
        <v>0</v>
      </c>
      <c r="N356" s="94" t="str">
        <f t="shared" si="106"/>
        <v/>
      </c>
      <c r="O356" s="17"/>
      <c r="P356" s="7"/>
      <c r="Q356" s="5"/>
      <c r="R356"/>
      <c r="S356" s="1"/>
      <c r="T356" s="136" t="str">
        <f t="shared" si="107"/>
        <v/>
      </c>
      <c r="U356" s="137" t="str">
        <f t="shared" si="108"/>
        <v/>
      </c>
      <c r="V356" s="1"/>
      <c r="Y356" s="90" t="str">
        <f t="shared" si="109"/>
        <v/>
      </c>
      <c r="AC356" s="6">
        <v>886406</v>
      </c>
      <c r="AD356" s="6" t="s">
        <v>6952</v>
      </c>
      <c r="AE356" s="158" t="s">
        <v>4258</v>
      </c>
      <c r="AF356" s="159" t="s">
        <v>8309</v>
      </c>
      <c r="AG356" s="160">
        <v>485354</v>
      </c>
      <c r="AH356" s="194" t="s">
        <v>679</v>
      </c>
      <c r="AI356" s="6" t="s">
        <v>1397</v>
      </c>
      <c r="AJ356" s="3" t="s">
        <v>8196</v>
      </c>
      <c r="AK356" t="s">
        <v>8196</v>
      </c>
      <c r="AL356" s="4">
        <f t="shared" si="110"/>
        <v>0</v>
      </c>
      <c r="AM356" s="6" t="s">
        <v>4713</v>
      </c>
      <c r="AN356" t="s">
        <v>6166</v>
      </c>
      <c r="AO356" t="str">
        <f t="shared" si="100"/>
        <v/>
      </c>
      <c r="AP356" t="s">
        <v>4486</v>
      </c>
      <c r="AQ356" s="15" t="s">
        <v>4519</v>
      </c>
      <c r="AR356" s="6" t="s">
        <v>4526</v>
      </c>
      <c r="AV356"/>
      <c r="AX356"/>
      <c r="AZ356" t="str">
        <f t="shared" si="111"/>
        <v/>
      </c>
      <c r="BA356" s="5" t="str">
        <f t="shared" si="112"/>
        <v/>
      </c>
    </row>
    <row r="357" spans="1:53" ht="13.5">
      <c r="A357" s="135" t="str">
        <f t="shared" si="96"/>
        <v/>
      </c>
      <c r="B357" s="19" t="str">
        <f t="shared" si="97"/>
        <v/>
      </c>
      <c r="C357" s="19" t="str">
        <f t="shared" si="98"/>
        <v/>
      </c>
      <c r="D357" s="19" t="str">
        <f t="shared" si="99"/>
        <v/>
      </c>
      <c r="E357" s="5" t="str">
        <f t="shared" si="101"/>
        <v/>
      </c>
      <c r="F357" s="12" t="str">
        <f t="shared" si="102"/>
        <v/>
      </c>
      <c r="K357" s="9" t="str">
        <f t="shared" si="103"/>
        <v/>
      </c>
      <c r="L357" s="6">
        <f t="shared" si="104"/>
        <v>0</v>
      </c>
      <c r="M357" s="6">
        <f t="shared" si="105"/>
        <v>0</v>
      </c>
      <c r="N357" s="94" t="str">
        <f t="shared" si="106"/>
        <v/>
      </c>
      <c r="O357" s="17"/>
      <c r="P357" s="7"/>
      <c r="Q357" s="5"/>
      <c r="R357"/>
      <c r="S357" s="1"/>
      <c r="T357" s="136" t="str">
        <f t="shared" si="107"/>
        <v/>
      </c>
      <c r="U357" s="137" t="str">
        <f t="shared" si="108"/>
        <v/>
      </c>
      <c r="V357" s="1"/>
      <c r="Y357" s="90" t="str">
        <f t="shared" si="109"/>
        <v/>
      </c>
      <c r="AC357" s="6" t="s">
        <v>2707</v>
      </c>
      <c r="AD357" s="6" t="s">
        <v>6952</v>
      </c>
      <c r="AE357" s="158" t="s">
        <v>4259</v>
      </c>
      <c r="AF357" s="159" t="s">
        <v>8299</v>
      </c>
      <c r="AG357" s="160">
        <v>485355</v>
      </c>
      <c r="AH357" s="194" t="s">
        <v>679</v>
      </c>
      <c r="AI357" s="6" t="s">
        <v>1398</v>
      </c>
      <c r="AJ357" s="3" t="s">
        <v>8195</v>
      </c>
      <c r="AK357" t="s">
        <v>8195</v>
      </c>
      <c r="AL357" s="4">
        <f t="shared" si="110"/>
        <v>0</v>
      </c>
      <c r="AM357" s="6" t="s">
        <v>4788</v>
      </c>
      <c r="AN357" t="s">
        <v>6167</v>
      </c>
      <c r="AO357" t="str">
        <f t="shared" si="100"/>
        <v/>
      </c>
      <c r="AP357" t="s">
        <v>4487</v>
      </c>
      <c r="AQ357" s="15" t="s">
        <v>4519</v>
      </c>
      <c r="AR357" s="6" t="s">
        <v>4925</v>
      </c>
      <c r="AV357"/>
      <c r="AX357"/>
      <c r="AZ357" t="str">
        <f t="shared" si="111"/>
        <v/>
      </c>
      <c r="BA357" s="5" t="str">
        <f t="shared" si="112"/>
        <v/>
      </c>
    </row>
    <row r="358" spans="1:53" ht="13.5">
      <c r="A358" s="135" t="str">
        <f t="shared" si="96"/>
        <v/>
      </c>
      <c r="B358" s="19" t="str">
        <f t="shared" si="97"/>
        <v/>
      </c>
      <c r="C358" s="19" t="str">
        <f t="shared" si="98"/>
        <v/>
      </c>
      <c r="D358" s="19" t="str">
        <f t="shared" si="99"/>
        <v/>
      </c>
      <c r="E358" s="5" t="str">
        <f t="shared" si="101"/>
        <v/>
      </c>
      <c r="F358" s="12" t="str">
        <f t="shared" si="102"/>
        <v/>
      </c>
      <c r="K358" s="9" t="str">
        <f t="shared" si="103"/>
        <v/>
      </c>
      <c r="L358" s="6">
        <f t="shared" si="104"/>
        <v>0</v>
      </c>
      <c r="M358" s="6">
        <f t="shared" si="105"/>
        <v>0</v>
      </c>
      <c r="N358" s="94" t="str">
        <f t="shared" si="106"/>
        <v/>
      </c>
      <c r="O358" s="17"/>
      <c r="P358" s="7"/>
      <c r="Q358" s="5"/>
      <c r="R358"/>
      <c r="S358" s="1"/>
      <c r="T358" s="136" t="str">
        <f t="shared" si="107"/>
        <v/>
      </c>
      <c r="U358" s="137" t="str">
        <f t="shared" si="108"/>
        <v/>
      </c>
      <c r="V358" s="1"/>
      <c r="Y358" s="90" t="str">
        <f t="shared" si="109"/>
        <v/>
      </c>
      <c r="AC358" s="6" t="s">
        <v>2549</v>
      </c>
      <c r="AD358" s="6" t="s">
        <v>6953</v>
      </c>
      <c r="AE358" s="158" t="s">
        <v>4260</v>
      </c>
      <c r="AF358" s="159" t="s">
        <v>8299</v>
      </c>
      <c r="AG358" s="160">
        <v>493631</v>
      </c>
      <c r="AH358" s="194" t="s">
        <v>678</v>
      </c>
      <c r="AI358" s="6" t="s">
        <v>439</v>
      </c>
      <c r="AJ358" s="3" t="s">
        <v>8195</v>
      </c>
      <c r="AK358" t="s">
        <v>8195</v>
      </c>
      <c r="AL358" s="4">
        <f t="shared" si="110"/>
        <v>0</v>
      </c>
      <c r="AM358" s="6" t="s">
        <v>4826</v>
      </c>
      <c r="AN358" t="s">
        <v>6168</v>
      </c>
      <c r="AO358" t="str">
        <f t="shared" si="100"/>
        <v/>
      </c>
      <c r="AP358" t="s">
        <v>3978</v>
      </c>
      <c r="AQ358" s="15" t="s">
        <v>4845</v>
      </c>
      <c r="AR358" s="6" t="s">
        <v>4926</v>
      </c>
      <c r="AV358"/>
      <c r="AX358"/>
      <c r="AZ358" t="str">
        <f t="shared" si="111"/>
        <v/>
      </c>
      <c r="BA358" s="5" t="str">
        <f t="shared" si="112"/>
        <v/>
      </c>
    </row>
    <row r="359" spans="1:53" ht="13.5">
      <c r="A359" s="135" t="str">
        <f t="shared" si="96"/>
        <v/>
      </c>
      <c r="B359" s="19" t="str">
        <f t="shared" si="97"/>
        <v/>
      </c>
      <c r="C359" s="19" t="str">
        <f t="shared" si="98"/>
        <v/>
      </c>
      <c r="D359" s="19" t="str">
        <f t="shared" si="99"/>
        <v/>
      </c>
      <c r="E359" s="5" t="str">
        <f t="shared" si="101"/>
        <v/>
      </c>
      <c r="F359" s="12" t="str">
        <f t="shared" si="102"/>
        <v/>
      </c>
      <c r="K359" s="9" t="str">
        <f t="shared" si="103"/>
        <v/>
      </c>
      <c r="L359" s="6">
        <f t="shared" si="104"/>
        <v>0</v>
      </c>
      <c r="M359" s="6">
        <f t="shared" si="105"/>
        <v>0</v>
      </c>
      <c r="N359" s="94" t="str">
        <f t="shared" si="106"/>
        <v/>
      </c>
      <c r="O359" s="17"/>
      <c r="P359" s="7"/>
      <c r="Q359" s="5"/>
      <c r="R359"/>
      <c r="S359" s="1"/>
      <c r="T359" s="136" t="str">
        <f t="shared" si="107"/>
        <v/>
      </c>
      <c r="U359" s="137" t="str">
        <f t="shared" si="108"/>
        <v/>
      </c>
      <c r="V359" s="1"/>
      <c r="Y359" s="90" t="str">
        <f t="shared" si="109"/>
        <v/>
      </c>
      <c r="AC359" s="6" t="s">
        <v>2708</v>
      </c>
      <c r="AD359" s="6" t="s">
        <v>6952</v>
      </c>
      <c r="AE359" s="158" t="s">
        <v>4261</v>
      </c>
      <c r="AF359" s="159" t="s">
        <v>8299</v>
      </c>
      <c r="AG359" s="160">
        <v>495356</v>
      </c>
      <c r="AH359" s="194" t="s">
        <v>678</v>
      </c>
      <c r="AI359" s="6" t="s">
        <v>458</v>
      </c>
      <c r="AJ359" s="3" t="s">
        <v>8200</v>
      </c>
      <c r="AK359" t="s">
        <v>8200</v>
      </c>
      <c r="AL359" s="4">
        <f t="shared" si="110"/>
        <v>0</v>
      </c>
      <c r="AM359" s="6" t="s">
        <v>4726</v>
      </c>
      <c r="AN359" t="s">
        <v>6169</v>
      </c>
      <c r="AO359" t="str">
        <f t="shared" si="100"/>
        <v/>
      </c>
      <c r="AP359" t="s">
        <v>4489</v>
      </c>
      <c r="AQ359" s="15" t="s">
        <v>4841</v>
      </c>
      <c r="AR359" s="6" t="s">
        <v>4927</v>
      </c>
      <c r="AV359"/>
      <c r="AX359"/>
      <c r="AZ359" t="str">
        <f t="shared" si="111"/>
        <v/>
      </c>
      <c r="BA359" s="5" t="str">
        <f t="shared" si="112"/>
        <v/>
      </c>
    </row>
    <row r="360" spans="1:53" ht="13.5">
      <c r="A360" s="135" t="str">
        <f t="shared" ref="A360:A423" si="113">IF(ISNA(VLOOKUP(I360,AC:AD,2,FALSE)),"",VLOOKUP(I360,AC:AD,2,FALSE))</f>
        <v/>
      </c>
      <c r="B360" s="19" t="str">
        <f t="shared" ref="B360:B423" si="114">IF(ISNA(VLOOKUP(I360,AE:AF,2,FALSE)),"",VLOOKUP(I360,AE:AF,2,FALSE))</f>
        <v/>
      </c>
      <c r="C360" s="19" t="str">
        <f t="shared" ref="C360:C423" si="115">IF(ISNA(VLOOKUP(I360,AM:AN,2,FALSE)),"",VLOOKUP(I360,AM:AN,2,FALSE))</f>
        <v/>
      </c>
      <c r="D360" s="19" t="str">
        <f t="shared" ref="D360:D423" si="116">IF(ISNA(VLOOKUP(I360,AG:AH,2,FALSE)),"",VLOOKUP(I360,AG:AH,2,FALSE))</f>
        <v/>
      </c>
      <c r="E360" s="5" t="str">
        <f t="shared" si="101"/>
        <v/>
      </c>
      <c r="F360" s="12" t="str">
        <f t="shared" si="102"/>
        <v/>
      </c>
      <c r="K360" s="9" t="str">
        <f t="shared" si="103"/>
        <v/>
      </c>
      <c r="L360" s="6">
        <f t="shared" si="104"/>
        <v>0</v>
      </c>
      <c r="M360" s="6">
        <f t="shared" si="105"/>
        <v>0</v>
      </c>
      <c r="N360" s="94" t="str">
        <f t="shared" si="106"/>
        <v/>
      </c>
      <c r="O360" s="17"/>
      <c r="P360" s="7"/>
      <c r="Q360" s="5"/>
      <c r="R360"/>
      <c r="S360" s="1"/>
      <c r="T360" s="136" t="str">
        <f t="shared" si="107"/>
        <v/>
      </c>
      <c r="U360" s="137" t="str">
        <f t="shared" si="108"/>
        <v/>
      </c>
      <c r="V360" s="1"/>
      <c r="Y360" s="90" t="str">
        <f t="shared" si="109"/>
        <v/>
      </c>
      <c r="AC360" s="6" t="s">
        <v>2770</v>
      </c>
      <c r="AD360" s="6" t="s">
        <v>6954</v>
      </c>
      <c r="AE360" s="158" t="s">
        <v>4262</v>
      </c>
      <c r="AF360" s="159" t="s">
        <v>8309</v>
      </c>
      <c r="AG360" s="160">
        <v>495357</v>
      </c>
      <c r="AH360" s="194" t="s">
        <v>679</v>
      </c>
      <c r="AI360" s="6" t="s">
        <v>1403</v>
      </c>
      <c r="AJ360" s="3" t="s">
        <v>8208</v>
      </c>
      <c r="AK360" t="s">
        <v>8667</v>
      </c>
      <c r="AL360" s="4">
        <f t="shared" si="110"/>
        <v>0</v>
      </c>
      <c r="AM360" s="6" t="s">
        <v>4790</v>
      </c>
      <c r="AN360" t="s">
        <v>6170</v>
      </c>
      <c r="AO360" t="str">
        <f t="shared" si="100"/>
        <v/>
      </c>
      <c r="AP360" t="s">
        <v>3857</v>
      </c>
      <c r="AQ360" s="15" t="s">
        <v>4842</v>
      </c>
      <c r="AR360" s="6" t="s">
        <v>4928</v>
      </c>
      <c r="AV360"/>
      <c r="AX360"/>
      <c r="AZ360" t="str">
        <f t="shared" si="111"/>
        <v/>
      </c>
      <c r="BA360" s="5" t="str">
        <f t="shared" si="112"/>
        <v/>
      </c>
    </row>
    <row r="361" spans="1:53" ht="13.5">
      <c r="A361" s="135" t="str">
        <f t="shared" si="113"/>
        <v/>
      </c>
      <c r="B361" s="19" t="str">
        <f t="shared" si="114"/>
        <v/>
      </c>
      <c r="C361" s="19" t="str">
        <f t="shared" si="115"/>
        <v/>
      </c>
      <c r="D361" s="19" t="str">
        <f t="shared" si="116"/>
        <v/>
      </c>
      <c r="E361" s="5" t="str">
        <f t="shared" si="101"/>
        <v/>
      </c>
      <c r="F361" s="12" t="str">
        <f t="shared" si="102"/>
        <v/>
      </c>
      <c r="K361" s="9" t="str">
        <f t="shared" si="103"/>
        <v/>
      </c>
      <c r="L361" s="6">
        <f t="shared" si="104"/>
        <v>0</v>
      </c>
      <c r="M361" s="6">
        <f t="shared" si="105"/>
        <v>0</v>
      </c>
      <c r="N361" s="94" t="str">
        <f t="shared" si="106"/>
        <v/>
      </c>
      <c r="O361" s="17"/>
      <c r="P361" s="7"/>
      <c r="Q361" s="5"/>
      <c r="R361"/>
      <c r="S361" s="1"/>
      <c r="T361" s="136" t="str">
        <f t="shared" si="107"/>
        <v/>
      </c>
      <c r="U361" s="137" t="str">
        <f t="shared" si="108"/>
        <v/>
      </c>
      <c r="V361" s="1"/>
      <c r="Y361" s="90" t="str">
        <f t="shared" si="109"/>
        <v/>
      </c>
      <c r="AC361" s="6" t="s">
        <v>2781</v>
      </c>
      <c r="AD361" s="6" t="s">
        <v>6929</v>
      </c>
      <c r="AE361" s="158" t="s">
        <v>4263</v>
      </c>
      <c r="AF361" s="159" t="s">
        <v>8320</v>
      </c>
      <c r="AG361" s="160">
        <v>495358</v>
      </c>
      <c r="AH361" s="194" t="s">
        <v>679</v>
      </c>
      <c r="AI361" s="6" t="s">
        <v>1408</v>
      </c>
      <c r="AJ361" s="3" t="s">
        <v>8196</v>
      </c>
      <c r="AK361" t="s">
        <v>8196</v>
      </c>
      <c r="AL361" s="4">
        <f t="shared" si="110"/>
        <v>0</v>
      </c>
      <c r="AM361" s="6" t="s">
        <v>3144</v>
      </c>
      <c r="AN361" t="s">
        <v>6171</v>
      </c>
      <c r="AO361" t="str">
        <f t="shared" si="100"/>
        <v/>
      </c>
      <c r="AP361" t="s">
        <v>1261</v>
      </c>
      <c r="AQ361" s="15" t="s">
        <v>4842</v>
      </c>
      <c r="AR361" s="6" t="s">
        <v>4929</v>
      </c>
      <c r="AV361"/>
      <c r="AX361"/>
      <c r="AZ361" t="str">
        <f t="shared" si="111"/>
        <v/>
      </c>
      <c r="BA361" s="5" t="str">
        <f t="shared" si="112"/>
        <v/>
      </c>
    </row>
    <row r="362" spans="1:53" ht="13.5">
      <c r="A362" s="135" t="str">
        <f t="shared" si="113"/>
        <v/>
      </c>
      <c r="B362" s="19" t="str">
        <f t="shared" si="114"/>
        <v/>
      </c>
      <c r="C362" s="19" t="str">
        <f t="shared" si="115"/>
        <v/>
      </c>
      <c r="D362" s="19" t="str">
        <f t="shared" si="116"/>
        <v/>
      </c>
      <c r="E362" s="5" t="str">
        <f t="shared" si="101"/>
        <v/>
      </c>
      <c r="F362" s="12" t="str">
        <f t="shared" si="102"/>
        <v/>
      </c>
      <c r="K362" s="9" t="str">
        <f t="shared" si="103"/>
        <v/>
      </c>
      <c r="L362" s="6">
        <f t="shared" si="104"/>
        <v>0</v>
      </c>
      <c r="M362" s="6">
        <f t="shared" si="105"/>
        <v>0</v>
      </c>
      <c r="N362" s="94" t="str">
        <f t="shared" si="106"/>
        <v/>
      </c>
      <c r="O362" s="17"/>
      <c r="P362" s="7"/>
      <c r="Q362" s="5"/>
      <c r="R362"/>
      <c r="S362" s="1"/>
      <c r="T362" s="136" t="str">
        <f t="shared" si="107"/>
        <v/>
      </c>
      <c r="U362" s="137" t="str">
        <f t="shared" si="108"/>
        <v/>
      </c>
      <c r="V362" s="1"/>
      <c r="Y362" s="90" t="str">
        <f t="shared" si="109"/>
        <v/>
      </c>
      <c r="AC362" s="6">
        <v>886407</v>
      </c>
      <c r="AD362" s="6" t="s">
        <v>6952</v>
      </c>
      <c r="AE362" s="158" t="s">
        <v>4264</v>
      </c>
      <c r="AF362" s="159" t="s">
        <v>8300</v>
      </c>
      <c r="AG362" s="160">
        <v>505359</v>
      </c>
      <c r="AH362" s="194" t="s">
        <v>678</v>
      </c>
      <c r="AI362" s="6" t="s">
        <v>478</v>
      </c>
      <c r="AJ362" s="3" t="s">
        <v>8200</v>
      </c>
      <c r="AK362" t="s">
        <v>8200</v>
      </c>
      <c r="AL362" s="4">
        <f t="shared" si="110"/>
        <v>0</v>
      </c>
      <c r="AM362" s="6" t="s">
        <v>4777</v>
      </c>
      <c r="AN362" t="s">
        <v>6172</v>
      </c>
      <c r="AO362" t="str">
        <f t="shared" si="100"/>
        <v/>
      </c>
      <c r="AP362" t="s">
        <v>4787</v>
      </c>
      <c r="AQ362" s="15" t="s">
        <v>4518</v>
      </c>
      <c r="AR362" s="6" t="s">
        <v>4930</v>
      </c>
      <c r="AV362"/>
      <c r="AX362"/>
      <c r="AZ362" t="str">
        <f t="shared" si="111"/>
        <v/>
      </c>
      <c r="BA362" s="5" t="str">
        <f t="shared" si="112"/>
        <v/>
      </c>
    </row>
    <row r="363" spans="1:53" ht="13.5">
      <c r="A363" s="135" t="str">
        <f t="shared" si="113"/>
        <v/>
      </c>
      <c r="B363" s="19" t="str">
        <f t="shared" si="114"/>
        <v/>
      </c>
      <c r="C363" s="19" t="str">
        <f t="shared" si="115"/>
        <v/>
      </c>
      <c r="D363" s="19" t="str">
        <f t="shared" si="116"/>
        <v/>
      </c>
      <c r="E363" s="5" t="str">
        <f t="shared" si="101"/>
        <v/>
      </c>
      <c r="F363" s="12" t="str">
        <f t="shared" si="102"/>
        <v/>
      </c>
      <c r="K363" s="9" t="str">
        <f t="shared" si="103"/>
        <v/>
      </c>
      <c r="L363" s="6">
        <f t="shared" si="104"/>
        <v>0</v>
      </c>
      <c r="M363" s="6">
        <f t="shared" si="105"/>
        <v>0</v>
      </c>
      <c r="N363" s="94" t="str">
        <f t="shared" si="106"/>
        <v/>
      </c>
      <c r="O363" s="17"/>
      <c r="P363" s="7"/>
      <c r="Q363" s="5"/>
      <c r="R363"/>
      <c r="S363" s="1"/>
      <c r="T363" s="136" t="str">
        <f t="shared" si="107"/>
        <v/>
      </c>
      <c r="U363" s="137" t="str">
        <f t="shared" si="108"/>
        <v/>
      </c>
      <c r="V363" s="1"/>
      <c r="Y363" s="90" t="str">
        <f t="shared" si="109"/>
        <v/>
      </c>
      <c r="AC363" s="6" t="s">
        <v>2753</v>
      </c>
      <c r="AD363" s="6" t="s">
        <v>6955</v>
      </c>
      <c r="AE363" s="158" t="s">
        <v>4265</v>
      </c>
      <c r="AF363" s="159" t="s">
        <v>8299</v>
      </c>
      <c r="AG363" s="160">
        <v>505360</v>
      </c>
      <c r="AH363" s="194" t="s">
        <v>678</v>
      </c>
      <c r="AI363" s="6" t="s">
        <v>483</v>
      </c>
      <c r="AJ363" s="3" t="s">
        <v>8228</v>
      </c>
      <c r="AK363" t="s">
        <v>8228</v>
      </c>
      <c r="AL363" s="4">
        <f t="shared" si="110"/>
        <v>0</v>
      </c>
      <c r="AM363" s="6" t="s">
        <v>4782</v>
      </c>
      <c r="AN363" t="s">
        <v>6173</v>
      </c>
      <c r="AO363" t="str">
        <f t="shared" si="100"/>
        <v/>
      </c>
      <c r="AP363" t="s">
        <v>4786</v>
      </c>
      <c r="AQ363" s="15" t="s">
        <v>4518</v>
      </c>
      <c r="AR363" s="6" t="s">
        <v>4931</v>
      </c>
      <c r="AV363"/>
      <c r="AX363"/>
      <c r="AZ363" t="str">
        <f t="shared" si="111"/>
        <v/>
      </c>
      <c r="BA363" s="5" t="str">
        <f t="shared" si="112"/>
        <v/>
      </c>
    </row>
    <row r="364" spans="1:53" ht="13.5">
      <c r="A364" s="135" t="str">
        <f t="shared" si="113"/>
        <v/>
      </c>
      <c r="B364" s="19" t="str">
        <f t="shared" si="114"/>
        <v/>
      </c>
      <c r="C364" s="19" t="str">
        <f t="shared" si="115"/>
        <v/>
      </c>
      <c r="D364" s="19" t="str">
        <f t="shared" si="116"/>
        <v/>
      </c>
      <c r="E364" s="5" t="str">
        <f t="shared" si="101"/>
        <v/>
      </c>
      <c r="F364" s="12" t="str">
        <f t="shared" si="102"/>
        <v/>
      </c>
      <c r="K364" s="9" t="str">
        <f t="shared" si="103"/>
        <v/>
      </c>
      <c r="L364" s="6">
        <f t="shared" si="104"/>
        <v>0</v>
      </c>
      <c r="M364" s="6">
        <f t="shared" si="105"/>
        <v>0</v>
      </c>
      <c r="N364" s="94" t="str">
        <f t="shared" si="106"/>
        <v/>
      </c>
      <c r="O364" s="17"/>
      <c r="P364" s="7"/>
      <c r="Q364" s="5"/>
      <c r="R364"/>
      <c r="S364" s="1"/>
      <c r="T364" s="136" t="str">
        <f t="shared" si="107"/>
        <v/>
      </c>
      <c r="U364" s="137" t="str">
        <f t="shared" si="108"/>
        <v/>
      </c>
      <c r="V364" s="1"/>
      <c r="Y364" s="90" t="str">
        <f t="shared" si="109"/>
        <v/>
      </c>
      <c r="AC364" s="6" t="s">
        <v>3860</v>
      </c>
      <c r="AD364" s="6" t="s">
        <v>6956</v>
      </c>
      <c r="AE364" s="158" t="s">
        <v>4266</v>
      </c>
      <c r="AF364" s="159" t="s">
        <v>8309</v>
      </c>
      <c r="AG364" s="160">
        <v>515361</v>
      </c>
      <c r="AH364" s="194" t="s">
        <v>679</v>
      </c>
      <c r="AI364" s="6" t="s">
        <v>491</v>
      </c>
      <c r="AJ364" s="3" t="s">
        <v>8200</v>
      </c>
      <c r="AK364" t="s">
        <v>8200</v>
      </c>
      <c r="AL364" s="4">
        <f t="shared" si="110"/>
        <v>0</v>
      </c>
      <c r="AM364" s="6" t="s">
        <v>2829</v>
      </c>
      <c r="AN364" t="s">
        <v>6174</v>
      </c>
      <c r="AO364" t="str">
        <f t="shared" si="100"/>
        <v/>
      </c>
      <c r="AP364" t="s">
        <v>4760</v>
      </c>
      <c r="AQ364" s="15" t="s">
        <v>4841</v>
      </c>
      <c r="AR364" s="6" t="s">
        <v>4932</v>
      </c>
      <c r="AV364"/>
      <c r="AX364"/>
      <c r="AZ364" t="str">
        <f t="shared" si="111"/>
        <v/>
      </c>
      <c r="BA364" s="5" t="str">
        <f t="shared" si="112"/>
        <v/>
      </c>
    </row>
    <row r="365" spans="1:53" ht="13.5">
      <c r="A365" s="135" t="str">
        <f t="shared" si="113"/>
        <v/>
      </c>
      <c r="B365" s="19" t="str">
        <f t="shared" si="114"/>
        <v/>
      </c>
      <c r="C365" s="19" t="str">
        <f t="shared" si="115"/>
        <v/>
      </c>
      <c r="D365" s="19" t="str">
        <f t="shared" si="116"/>
        <v/>
      </c>
      <c r="E365" s="5" t="str">
        <f t="shared" si="101"/>
        <v/>
      </c>
      <c r="F365" s="12" t="str">
        <f t="shared" si="102"/>
        <v/>
      </c>
      <c r="K365" s="9" t="str">
        <f t="shared" si="103"/>
        <v/>
      </c>
      <c r="L365" s="6">
        <f t="shared" si="104"/>
        <v>0</v>
      </c>
      <c r="M365" s="6">
        <f t="shared" si="105"/>
        <v>0</v>
      </c>
      <c r="N365" s="94" t="str">
        <f t="shared" si="106"/>
        <v/>
      </c>
      <c r="O365" s="17"/>
      <c r="P365" s="7"/>
      <c r="Q365" s="5"/>
      <c r="R365"/>
      <c r="S365" s="1"/>
      <c r="T365" s="136" t="str">
        <f t="shared" si="107"/>
        <v/>
      </c>
      <c r="U365" s="137" t="str">
        <f t="shared" si="108"/>
        <v/>
      </c>
      <c r="V365" s="1"/>
      <c r="Y365" s="90" t="str">
        <f t="shared" si="109"/>
        <v/>
      </c>
      <c r="AC365" s="6" t="s">
        <v>2769</v>
      </c>
      <c r="AD365" s="6" t="s">
        <v>6957</v>
      </c>
      <c r="AE365" s="158" t="s">
        <v>3549</v>
      </c>
      <c r="AF365" s="159" t="s">
        <v>8299</v>
      </c>
      <c r="AG365" s="160">
        <v>515362</v>
      </c>
      <c r="AH365" s="194" t="s">
        <v>679</v>
      </c>
      <c r="AI365" s="6" t="s">
        <v>492</v>
      </c>
      <c r="AJ365" s="3" t="s">
        <v>8200</v>
      </c>
      <c r="AK365" t="s">
        <v>8200</v>
      </c>
      <c r="AL365" s="4">
        <f t="shared" si="110"/>
        <v>0</v>
      </c>
      <c r="AM365" s="6" t="s">
        <v>4779</v>
      </c>
      <c r="AN365" t="s">
        <v>6175</v>
      </c>
      <c r="AO365" t="str">
        <f t="shared" si="100"/>
        <v/>
      </c>
      <c r="AP365" t="s">
        <v>4721</v>
      </c>
      <c r="AQ365" s="15" t="s">
        <v>4519</v>
      </c>
      <c r="AR365" s="6" t="s">
        <v>4933</v>
      </c>
      <c r="AV365"/>
      <c r="AX365"/>
      <c r="AZ365" t="str">
        <f t="shared" si="111"/>
        <v/>
      </c>
      <c r="BA365" s="5" t="str">
        <f t="shared" si="112"/>
        <v/>
      </c>
    </row>
    <row r="366" spans="1:53" ht="13.5">
      <c r="A366" s="135" t="str">
        <f t="shared" si="113"/>
        <v/>
      </c>
      <c r="B366" s="19" t="str">
        <f t="shared" si="114"/>
        <v/>
      </c>
      <c r="C366" s="19" t="str">
        <f t="shared" si="115"/>
        <v/>
      </c>
      <c r="D366" s="19" t="str">
        <f t="shared" si="116"/>
        <v/>
      </c>
      <c r="E366" s="5" t="str">
        <f t="shared" si="101"/>
        <v/>
      </c>
      <c r="F366" s="12" t="str">
        <f t="shared" si="102"/>
        <v/>
      </c>
      <c r="K366" s="9" t="str">
        <f t="shared" si="103"/>
        <v/>
      </c>
      <c r="L366" s="6">
        <f t="shared" si="104"/>
        <v>0</v>
      </c>
      <c r="M366" s="6">
        <f t="shared" si="105"/>
        <v>0</v>
      </c>
      <c r="N366" s="94" t="str">
        <f t="shared" si="106"/>
        <v/>
      </c>
      <c r="O366" s="17"/>
      <c r="P366" s="7"/>
      <c r="Q366" s="5"/>
      <c r="R366"/>
      <c r="S366" s="1"/>
      <c r="T366" s="136" t="str">
        <f t="shared" si="107"/>
        <v/>
      </c>
      <c r="U366" s="137" t="str">
        <f t="shared" si="108"/>
        <v/>
      </c>
      <c r="V366" s="1"/>
      <c r="Y366" s="90" t="str">
        <f t="shared" si="109"/>
        <v/>
      </c>
      <c r="AC366" s="6" t="s">
        <v>2752</v>
      </c>
      <c r="AD366" s="6" t="s">
        <v>6958</v>
      </c>
      <c r="AE366" s="158" t="s">
        <v>3548</v>
      </c>
      <c r="AF366" s="159" t="s">
        <v>8299</v>
      </c>
      <c r="AG366" s="160">
        <v>515363</v>
      </c>
      <c r="AH366" s="194" t="s">
        <v>679</v>
      </c>
      <c r="AI366" s="6" t="s">
        <v>495</v>
      </c>
      <c r="AJ366" s="3" t="s">
        <v>8209</v>
      </c>
      <c r="AK366" t="s">
        <v>8209</v>
      </c>
      <c r="AL366" s="4">
        <f t="shared" si="110"/>
        <v>0</v>
      </c>
      <c r="AM366" s="6" t="s">
        <v>4781</v>
      </c>
      <c r="AN366" t="s">
        <v>6176</v>
      </c>
      <c r="AO366" t="str">
        <f t="shared" si="100"/>
        <v/>
      </c>
      <c r="AP366" t="s">
        <v>4713</v>
      </c>
      <c r="AQ366" s="15" t="s">
        <v>4521</v>
      </c>
      <c r="AR366" s="6" t="s">
        <v>4934</v>
      </c>
      <c r="AV366"/>
      <c r="AX366"/>
      <c r="AZ366" t="str">
        <f t="shared" si="111"/>
        <v/>
      </c>
      <c r="BA366" s="5" t="str">
        <f t="shared" si="112"/>
        <v/>
      </c>
    </row>
    <row r="367" spans="1:53" ht="13.5">
      <c r="A367" s="135" t="str">
        <f t="shared" si="113"/>
        <v/>
      </c>
      <c r="B367" s="19" t="str">
        <f t="shared" si="114"/>
        <v/>
      </c>
      <c r="C367" s="19" t="str">
        <f t="shared" si="115"/>
        <v/>
      </c>
      <c r="D367" s="19" t="str">
        <f t="shared" si="116"/>
        <v/>
      </c>
      <c r="E367" s="5" t="str">
        <f t="shared" si="101"/>
        <v/>
      </c>
      <c r="F367" s="12" t="str">
        <f t="shared" si="102"/>
        <v/>
      </c>
      <c r="K367" s="9" t="str">
        <f t="shared" si="103"/>
        <v/>
      </c>
      <c r="L367" s="6">
        <f t="shared" si="104"/>
        <v>0</v>
      </c>
      <c r="M367" s="6">
        <f t="shared" si="105"/>
        <v>0</v>
      </c>
      <c r="N367" s="94" t="str">
        <f t="shared" si="106"/>
        <v/>
      </c>
      <c r="O367" s="17"/>
      <c r="P367" s="7"/>
      <c r="Q367" s="5"/>
      <c r="R367"/>
      <c r="S367" s="1"/>
      <c r="T367" s="136" t="str">
        <f t="shared" si="107"/>
        <v/>
      </c>
      <c r="U367" s="137" t="str">
        <f t="shared" si="108"/>
        <v/>
      </c>
      <c r="V367" s="1"/>
      <c r="Y367" s="90" t="str">
        <f t="shared" si="109"/>
        <v/>
      </c>
      <c r="AC367" s="6">
        <v>886408</v>
      </c>
      <c r="AD367" s="6" t="s">
        <v>6952</v>
      </c>
      <c r="AE367" s="158" t="s">
        <v>4267</v>
      </c>
      <c r="AF367" s="159" t="s">
        <v>8300</v>
      </c>
      <c r="AG367" s="160">
        <v>525364</v>
      </c>
      <c r="AH367" s="194" t="s">
        <v>679</v>
      </c>
      <c r="AI367" s="6" t="s">
        <v>505</v>
      </c>
      <c r="AJ367" s="3" t="s">
        <v>8208</v>
      </c>
      <c r="AK367" t="s">
        <v>8667</v>
      </c>
      <c r="AL367" s="4">
        <f t="shared" si="110"/>
        <v>0</v>
      </c>
      <c r="AM367" s="6" t="s">
        <v>4094</v>
      </c>
      <c r="AN367" t="s">
        <v>6177</v>
      </c>
      <c r="AO367" t="str">
        <f t="shared" si="100"/>
        <v/>
      </c>
      <c r="AP367" t="s">
        <v>4788</v>
      </c>
      <c r="AQ367" s="15" t="s">
        <v>4518</v>
      </c>
      <c r="AR367" s="6" t="s">
        <v>4935</v>
      </c>
      <c r="AV367"/>
      <c r="AX367"/>
      <c r="AZ367" t="str">
        <f t="shared" si="111"/>
        <v/>
      </c>
      <c r="BA367" s="5" t="str">
        <f t="shared" si="112"/>
        <v/>
      </c>
    </row>
    <row r="368" spans="1:53" ht="13.5">
      <c r="A368" s="135" t="str">
        <f t="shared" si="113"/>
        <v/>
      </c>
      <c r="B368" s="19" t="str">
        <f t="shared" si="114"/>
        <v/>
      </c>
      <c r="C368" s="19" t="str">
        <f t="shared" si="115"/>
        <v/>
      </c>
      <c r="D368" s="19" t="str">
        <f t="shared" si="116"/>
        <v/>
      </c>
      <c r="E368" s="5" t="str">
        <f t="shared" si="101"/>
        <v/>
      </c>
      <c r="F368" s="12" t="str">
        <f t="shared" si="102"/>
        <v/>
      </c>
      <c r="K368" s="9" t="str">
        <f t="shared" si="103"/>
        <v/>
      </c>
      <c r="L368" s="6">
        <f t="shared" si="104"/>
        <v>0</v>
      </c>
      <c r="M368" s="6">
        <f t="shared" si="105"/>
        <v>0</v>
      </c>
      <c r="N368" s="94" t="str">
        <f t="shared" si="106"/>
        <v/>
      </c>
      <c r="O368" s="17"/>
      <c r="P368" s="7"/>
      <c r="Q368" s="5"/>
      <c r="R368"/>
      <c r="S368" s="1"/>
      <c r="T368" s="136" t="str">
        <f t="shared" si="107"/>
        <v/>
      </c>
      <c r="U368" s="137" t="str">
        <f t="shared" si="108"/>
        <v/>
      </c>
      <c r="V368" s="1"/>
      <c r="Y368" s="90" t="str">
        <f t="shared" si="109"/>
        <v/>
      </c>
      <c r="AC368" s="6">
        <v>175836</v>
      </c>
      <c r="AD368" s="6" t="s">
        <v>6959</v>
      </c>
      <c r="AE368" s="158" t="s">
        <v>4268</v>
      </c>
      <c r="AF368" s="159" t="s">
        <v>8300</v>
      </c>
      <c r="AG368" s="160">
        <v>525365</v>
      </c>
      <c r="AH368" s="194" t="s">
        <v>678</v>
      </c>
      <c r="AI368" s="6" t="s">
        <v>1411</v>
      </c>
      <c r="AJ368" s="3" t="s">
        <v>8196</v>
      </c>
      <c r="AK368" t="s">
        <v>8196</v>
      </c>
      <c r="AL368" s="4">
        <f t="shared" si="110"/>
        <v>0</v>
      </c>
      <c r="AM368" s="6" t="s">
        <v>3831</v>
      </c>
      <c r="AN368" t="s">
        <v>6178</v>
      </c>
      <c r="AO368" t="str">
        <f t="shared" si="100"/>
        <v/>
      </c>
      <c r="AP368" t="s">
        <v>4826</v>
      </c>
      <c r="AQ368" s="15" t="s">
        <v>4518</v>
      </c>
      <c r="AR368" s="6" t="s">
        <v>4936</v>
      </c>
      <c r="AV368"/>
      <c r="AX368"/>
      <c r="AZ368" t="str">
        <f t="shared" si="111"/>
        <v/>
      </c>
      <c r="BA368" s="5" t="str">
        <f t="shared" si="112"/>
        <v/>
      </c>
    </row>
    <row r="369" spans="1:53" ht="13.5">
      <c r="A369" s="135" t="str">
        <f t="shared" si="113"/>
        <v/>
      </c>
      <c r="B369" s="19" t="str">
        <f t="shared" si="114"/>
        <v/>
      </c>
      <c r="C369" s="19" t="str">
        <f t="shared" si="115"/>
        <v/>
      </c>
      <c r="D369" s="19" t="str">
        <f t="shared" si="116"/>
        <v/>
      </c>
      <c r="E369" s="5" t="str">
        <f t="shared" si="101"/>
        <v/>
      </c>
      <c r="F369" s="12" t="str">
        <f t="shared" si="102"/>
        <v/>
      </c>
      <c r="K369" s="9" t="str">
        <f t="shared" si="103"/>
        <v/>
      </c>
      <c r="L369" s="6">
        <f t="shared" si="104"/>
        <v>0</v>
      </c>
      <c r="M369" s="6">
        <f t="shared" si="105"/>
        <v>0</v>
      </c>
      <c r="N369" s="94" t="str">
        <f t="shared" si="106"/>
        <v/>
      </c>
      <c r="O369" s="17"/>
      <c r="P369" s="7"/>
      <c r="Q369" s="5"/>
      <c r="R369"/>
      <c r="S369" s="1"/>
      <c r="T369" s="136" t="str">
        <f t="shared" si="107"/>
        <v/>
      </c>
      <c r="U369" s="137" t="str">
        <f t="shared" si="108"/>
        <v/>
      </c>
      <c r="V369" s="1"/>
      <c r="Y369" s="90" t="str">
        <f t="shared" si="109"/>
        <v/>
      </c>
      <c r="AC369" s="6" t="s">
        <v>2685</v>
      </c>
      <c r="AD369" s="6" t="s">
        <v>6960</v>
      </c>
      <c r="AE369" s="158" t="s">
        <v>4269</v>
      </c>
      <c r="AF369" s="159" t="s">
        <v>8299</v>
      </c>
      <c r="AG369" s="160">
        <v>525366</v>
      </c>
      <c r="AH369" s="194" t="s">
        <v>679</v>
      </c>
      <c r="AI369" s="6" t="s">
        <v>1412</v>
      </c>
      <c r="AJ369" s="3" t="s">
        <v>8201</v>
      </c>
      <c r="AK369" t="s">
        <v>8666</v>
      </c>
      <c r="AL369" s="4">
        <f t="shared" si="110"/>
        <v>0</v>
      </c>
      <c r="AM369" s="6" t="s">
        <v>4770</v>
      </c>
      <c r="AN369" t="s">
        <v>6179</v>
      </c>
      <c r="AO369" t="str">
        <f t="shared" si="100"/>
        <v/>
      </c>
      <c r="AP369" t="s">
        <v>4726</v>
      </c>
      <c r="AQ369" s="15" t="s">
        <v>4841</v>
      </c>
      <c r="AR369" s="6" t="s">
        <v>4937</v>
      </c>
      <c r="AV369"/>
      <c r="AX369"/>
      <c r="AZ369" t="str">
        <f t="shared" si="111"/>
        <v/>
      </c>
      <c r="BA369" s="5" t="str">
        <f t="shared" si="112"/>
        <v/>
      </c>
    </row>
    <row r="370" spans="1:53" ht="13.5">
      <c r="A370" s="135" t="str">
        <f t="shared" si="113"/>
        <v/>
      </c>
      <c r="B370" s="19" t="str">
        <f t="shared" si="114"/>
        <v/>
      </c>
      <c r="C370" s="19" t="str">
        <f t="shared" si="115"/>
        <v/>
      </c>
      <c r="D370" s="19" t="str">
        <f t="shared" si="116"/>
        <v/>
      </c>
      <c r="E370" s="5" t="str">
        <f t="shared" si="101"/>
        <v/>
      </c>
      <c r="F370" s="12" t="str">
        <f t="shared" si="102"/>
        <v/>
      </c>
      <c r="K370" s="9" t="str">
        <f t="shared" si="103"/>
        <v/>
      </c>
      <c r="L370" s="6">
        <f t="shared" si="104"/>
        <v>0</v>
      </c>
      <c r="M370" s="6">
        <f t="shared" si="105"/>
        <v>0</v>
      </c>
      <c r="N370" s="94" t="str">
        <f t="shared" si="106"/>
        <v/>
      </c>
      <c r="O370" s="17"/>
      <c r="P370" s="7"/>
      <c r="Q370" s="5"/>
      <c r="R370"/>
      <c r="S370" s="1"/>
      <c r="T370" s="136" t="str">
        <f t="shared" si="107"/>
        <v/>
      </c>
      <c r="U370" s="137" t="str">
        <f t="shared" si="108"/>
        <v/>
      </c>
      <c r="V370" s="1"/>
      <c r="Y370" s="90" t="str">
        <f t="shared" si="109"/>
        <v/>
      </c>
      <c r="AC370" s="6" t="s">
        <v>2768</v>
      </c>
      <c r="AD370" s="6" t="s">
        <v>6961</v>
      </c>
      <c r="AE370" s="158" t="s">
        <v>4270</v>
      </c>
      <c r="AF370" s="159" t="s">
        <v>8309</v>
      </c>
      <c r="AG370" s="160">
        <v>535371</v>
      </c>
      <c r="AH370" s="194" t="s">
        <v>4700</v>
      </c>
      <c r="AI370" s="6" t="s">
        <v>1414</v>
      </c>
      <c r="AJ370" s="3" t="s">
        <v>8201</v>
      </c>
      <c r="AK370" t="s">
        <v>8666</v>
      </c>
      <c r="AL370" s="4">
        <f t="shared" si="110"/>
        <v>0</v>
      </c>
      <c r="AM370" s="6" t="s">
        <v>957</v>
      </c>
      <c r="AN370" t="s">
        <v>6180</v>
      </c>
      <c r="AO370" t="str">
        <f t="shared" si="100"/>
        <v/>
      </c>
      <c r="AP370" t="s">
        <v>4790</v>
      </c>
      <c r="AQ370" s="15" t="s">
        <v>4518</v>
      </c>
      <c r="AR370" s="6" t="s">
        <v>4938</v>
      </c>
      <c r="AV370"/>
      <c r="AX370"/>
      <c r="AZ370" t="str">
        <f t="shared" si="111"/>
        <v/>
      </c>
      <c r="BA370" s="5" t="str">
        <f t="shared" si="112"/>
        <v/>
      </c>
    </row>
    <row r="371" spans="1:53" ht="13.5">
      <c r="A371" s="135" t="str">
        <f t="shared" si="113"/>
        <v/>
      </c>
      <c r="B371" s="19" t="str">
        <f t="shared" si="114"/>
        <v/>
      </c>
      <c r="C371" s="19" t="str">
        <f t="shared" si="115"/>
        <v/>
      </c>
      <c r="D371" s="19" t="str">
        <f t="shared" si="116"/>
        <v/>
      </c>
      <c r="E371" s="5" t="str">
        <f t="shared" si="101"/>
        <v/>
      </c>
      <c r="F371" s="12" t="str">
        <f t="shared" si="102"/>
        <v/>
      </c>
      <c r="K371" s="9" t="str">
        <f t="shared" si="103"/>
        <v/>
      </c>
      <c r="L371" s="6">
        <f t="shared" si="104"/>
        <v>0</v>
      </c>
      <c r="M371" s="6">
        <f t="shared" si="105"/>
        <v>0</v>
      </c>
      <c r="N371" s="94" t="str">
        <f t="shared" si="106"/>
        <v/>
      </c>
      <c r="O371" s="17"/>
      <c r="P371" s="7"/>
      <c r="Q371" s="5"/>
      <c r="R371"/>
      <c r="S371" s="1"/>
      <c r="T371" s="136" t="str">
        <f t="shared" si="107"/>
        <v/>
      </c>
      <c r="U371" s="137" t="str">
        <f t="shared" si="108"/>
        <v/>
      </c>
      <c r="V371" s="1"/>
      <c r="Y371" s="90" t="str">
        <f t="shared" si="109"/>
        <v/>
      </c>
      <c r="AC371" s="6" t="s">
        <v>4000</v>
      </c>
      <c r="AD371" s="6" t="s">
        <v>6962</v>
      </c>
      <c r="AE371" s="158" t="s">
        <v>4271</v>
      </c>
      <c r="AF371" s="159" t="s">
        <v>8320</v>
      </c>
      <c r="AG371" s="160">
        <v>535372</v>
      </c>
      <c r="AH371" s="194" t="s">
        <v>679</v>
      </c>
      <c r="AI371" s="6" t="s">
        <v>520</v>
      </c>
      <c r="AJ371" s="3" t="s">
        <v>8209</v>
      </c>
      <c r="AK371" t="s">
        <v>8209</v>
      </c>
      <c r="AL371" s="4">
        <f t="shared" si="110"/>
        <v>0</v>
      </c>
      <c r="AM371" s="6" t="s">
        <v>4773</v>
      </c>
      <c r="AN371" t="s">
        <v>6181</v>
      </c>
      <c r="AO371" t="str">
        <f t="shared" si="100"/>
        <v/>
      </c>
      <c r="AP371" t="s">
        <v>3144</v>
      </c>
      <c r="AQ371" s="15" t="s">
        <v>4518</v>
      </c>
      <c r="AR371" s="6" t="s">
        <v>4939</v>
      </c>
      <c r="AV371"/>
      <c r="AX371"/>
      <c r="AZ371" t="str">
        <f t="shared" si="111"/>
        <v/>
      </c>
      <c r="BA371" s="5" t="str">
        <f t="shared" si="112"/>
        <v/>
      </c>
    </row>
    <row r="372" spans="1:53" ht="13.5">
      <c r="A372" s="135" t="str">
        <f t="shared" si="113"/>
        <v/>
      </c>
      <c r="B372" s="19" t="str">
        <f t="shared" si="114"/>
        <v/>
      </c>
      <c r="C372" s="19" t="str">
        <f t="shared" si="115"/>
        <v/>
      </c>
      <c r="D372" s="19" t="str">
        <f t="shared" si="116"/>
        <v/>
      </c>
      <c r="E372" s="5" t="str">
        <f t="shared" si="101"/>
        <v/>
      </c>
      <c r="F372" s="12" t="str">
        <f t="shared" si="102"/>
        <v/>
      </c>
      <c r="K372" s="9" t="str">
        <f t="shared" si="103"/>
        <v/>
      </c>
      <c r="L372" s="6">
        <f t="shared" si="104"/>
        <v>0</v>
      </c>
      <c r="M372" s="6">
        <f t="shared" si="105"/>
        <v>0</v>
      </c>
      <c r="N372" s="94" t="str">
        <f t="shared" si="106"/>
        <v/>
      </c>
      <c r="O372" s="17"/>
      <c r="P372" s="7"/>
      <c r="Q372" s="5"/>
      <c r="R372"/>
      <c r="S372" s="1"/>
      <c r="T372" s="136" t="str">
        <f t="shared" si="107"/>
        <v/>
      </c>
      <c r="U372" s="137" t="str">
        <f t="shared" si="108"/>
        <v/>
      </c>
      <c r="V372" s="1"/>
      <c r="Y372" s="90" t="str">
        <f t="shared" si="109"/>
        <v/>
      </c>
      <c r="AC372" s="6" t="s">
        <v>2616</v>
      </c>
      <c r="AD372" s="6" t="s">
        <v>6963</v>
      </c>
      <c r="AE372" s="158" t="s">
        <v>4272</v>
      </c>
      <c r="AF372" s="159" t="s">
        <v>8299</v>
      </c>
      <c r="AG372" s="160">
        <v>535373</v>
      </c>
      <c r="AH372" s="194" t="s">
        <v>679</v>
      </c>
      <c r="AI372" s="6" t="s">
        <v>1046</v>
      </c>
      <c r="AJ372" s="3" t="s">
        <v>8209</v>
      </c>
      <c r="AK372" t="s">
        <v>8209</v>
      </c>
      <c r="AL372" s="4">
        <f t="shared" si="110"/>
        <v>0</v>
      </c>
      <c r="AM372" s="6" t="s">
        <v>3973</v>
      </c>
      <c r="AN372" t="s">
        <v>6182</v>
      </c>
      <c r="AO372" t="str">
        <f t="shared" si="100"/>
        <v/>
      </c>
      <c r="AP372" t="s">
        <v>4777</v>
      </c>
      <c r="AQ372" s="15" t="s">
        <v>4518</v>
      </c>
      <c r="AR372" s="6" t="s">
        <v>4940</v>
      </c>
      <c r="AV372"/>
      <c r="AX372"/>
      <c r="AZ372" t="str">
        <f t="shared" si="111"/>
        <v/>
      </c>
      <c r="BA372" s="5" t="str">
        <f t="shared" si="112"/>
        <v/>
      </c>
    </row>
    <row r="373" spans="1:53" ht="13.5">
      <c r="A373" s="135" t="str">
        <f t="shared" si="113"/>
        <v/>
      </c>
      <c r="B373" s="19" t="str">
        <f t="shared" si="114"/>
        <v/>
      </c>
      <c r="C373" s="19" t="str">
        <f t="shared" si="115"/>
        <v/>
      </c>
      <c r="D373" s="19" t="str">
        <f t="shared" si="116"/>
        <v/>
      </c>
      <c r="E373" s="5" t="str">
        <f t="shared" si="101"/>
        <v/>
      </c>
      <c r="F373" s="12" t="str">
        <f t="shared" si="102"/>
        <v/>
      </c>
      <c r="K373" s="9" t="str">
        <f t="shared" si="103"/>
        <v/>
      </c>
      <c r="L373" s="6">
        <f t="shared" si="104"/>
        <v>0</v>
      </c>
      <c r="M373" s="6">
        <f t="shared" si="105"/>
        <v>0</v>
      </c>
      <c r="N373" s="94" t="str">
        <f t="shared" si="106"/>
        <v/>
      </c>
      <c r="O373" s="17"/>
      <c r="P373" s="7"/>
      <c r="Q373" s="5"/>
      <c r="R373"/>
      <c r="S373" s="1"/>
      <c r="T373" s="136" t="str">
        <f t="shared" si="107"/>
        <v/>
      </c>
      <c r="U373" s="137" t="str">
        <f t="shared" si="108"/>
        <v/>
      </c>
      <c r="V373" s="1"/>
      <c r="Y373" s="90" t="str">
        <f t="shared" si="109"/>
        <v/>
      </c>
      <c r="AC373" s="6" t="s">
        <v>5311</v>
      </c>
      <c r="AD373" s="6" t="s">
        <v>6964</v>
      </c>
      <c r="AE373" s="158" t="s">
        <v>4273</v>
      </c>
      <c r="AF373" s="159" t="s">
        <v>8299</v>
      </c>
      <c r="AG373" s="160">
        <v>535374</v>
      </c>
      <c r="AH373" s="194" t="s">
        <v>679</v>
      </c>
      <c r="AI373" s="6" t="s">
        <v>1435</v>
      </c>
      <c r="AJ373" s="3" t="s">
        <v>8196</v>
      </c>
      <c r="AK373" t="s">
        <v>8196</v>
      </c>
      <c r="AL373" s="4">
        <f t="shared" si="110"/>
        <v>0</v>
      </c>
      <c r="AM373" s="6" t="s">
        <v>3972</v>
      </c>
      <c r="AN373" t="s">
        <v>6183</v>
      </c>
      <c r="AO373" t="str">
        <f t="shared" si="100"/>
        <v/>
      </c>
      <c r="AP373" t="s">
        <v>4778</v>
      </c>
      <c r="AQ373" s="15" t="s">
        <v>4518</v>
      </c>
      <c r="AR373" s="6" t="s">
        <v>4941</v>
      </c>
      <c r="AV373"/>
      <c r="AX373"/>
      <c r="AZ373" t="str">
        <f t="shared" si="111"/>
        <v/>
      </c>
      <c r="BA373" s="5" t="str">
        <f t="shared" si="112"/>
        <v/>
      </c>
    </row>
    <row r="374" spans="1:53" ht="13.5">
      <c r="A374" s="135" t="str">
        <f t="shared" si="113"/>
        <v/>
      </c>
      <c r="B374" s="19" t="str">
        <f t="shared" si="114"/>
        <v/>
      </c>
      <c r="C374" s="19" t="str">
        <f t="shared" si="115"/>
        <v/>
      </c>
      <c r="D374" s="19" t="str">
        <f t="shared" si="116"/>
        <v/>
      </c>
      <c r="E374" s="5" t="str">
        <f t="shared" si="101"/>
        <v/>
      </c>
      <c r="F374" s="12" t="str">
        <f t="shared" si="102"/>
        <v/>
      </c>
      <c r="K374" s="9" t="str">
        <f t="shared" si="103"/>
        <v/>
      </c>
      <c r="L374" s="6">
        <f t="shared" si="104"/>
        <v>0</v>
      </c>
      <c r="M374" s="6">
        <f t="shared" si="105"/>
        <v>0</v>
      </c>
      <c r="N374" s="94" t="str">
        <f t="shared" si="106"/>
        <v/>
      </c>
      <c r="O374" s="17"/>
      <c r="P374" s="7"/>
      <c r="Q374" s="5"/>
      <c r="R374"/>
      <c r="S374" s="1"/>
      <c r="T374" s="136" t="str">
        <f t="shared" si="107"/>
        <v/>
      </c>
      <c r="U374" s="137" t="str">
        <f t="shared" si="108"/>
        <v/>
      </c>
      <c r="V374" s="1"/>
      <c r="Y374" s="90" t="str">
        <f t="shared" si="109"/>
        <v/>
      </c>
      <c r="AC374" s="6" t="s">
        <v>2767</v>
      </c>
      <c r="AD374" s="6" t="s">
        <v>6965</v>
      </c>
      <c r="AE374" s="158" t="s">
        <v>4274</v>
      </c>
      <c r="AF374" s="159" t="s">
        <v>8299</v>
      </c>
      <c r="AG374" s="160">
        <v>535375</v>
      </c>
      <c r="AH374" s="194" t="s">
        <v>679</v>
      </c>
      <c r="AI374" s="6" t="s">
        <v>1057</v>
      </c>
      <c r="AJ374" s="3" t="s">
        <v>8208</v>
      </c>
      <c r="AK374" t="s">
        <v>8667</v>
      </c>
      <c r="AL374" s="4">
        <f t="shared" si="110"/>
        <v>0</v>
      </c>
      <c r="AM374" s="6" t="s">
        <v>3977</v>
      </c>
      <c r="AN374" t="s">
        <v>6184</v>
      </c>
      <c r="AO374" t="str">
        <f t="shared" si="100"/>
        <v/>
      </c>
      <c r="AP374" t="s">
        <v>4782</v>
      </c>
      <c r="AQ374" s="15" t="s">
        <v>4518</v>
      </c>
      <c r="AR374" s="6" t="s">
        <v>4942</v>
      </c>
      <c r="AV374"/>
      <c r="AX374"/>
      <c r="AZ374" t="str">
        <f t="shared" si="111"/>
        <v/>
      </c>
      <c r="BA374" s="5" t="str">
        <f t="shared" si="112"/>
        <v/>
      </c>
    </row>
    <row r="375" spans="1:53" ht="13.5">
      <c r="A375" s="135" t="str">
        <f t="shared" si="113"/>
        <v/>
      </c>
      <c r="B375" s="19" t="str">
        <f t="shared" si="114"/>
        <v/>
      </c>
      <c r="C375" s="19" t="str">
        <f t="shared" si="115"/>
        <v/>
      </c>
      <c r="D375" s="19" t="str">
        <f t="shared" si="116"/>
        <v/>
      </c>
      <c r="E375" s="5" t="str">
        <f t="shared" si="101"/>
        <v/>
      </c>
      <c r="F375" s="12" t="str">
        <f t="shared" si="102"/>
        <v/>
      </c>
      <c r="K375" s="9" t="str">
        <f t="shared" si="103"/>
        <v/>
      </c>
      <c r="L375" s="6">
        <f t="shared" si="104"/>
        <v>0</v>
      </c>
      <c r="M375" s="6">
        <f t="shared" si="105"/>
        <v>0</v>
      </c>
      <c r="N375" s="94" t="str">
        <f t="shared" si="106"/>
        <v/>
      </c>
      <c r="O375" s="17"/>
      <c r="P375" s="7"/>
      <c r="Q375" s="5"/>
      <c r="R375"/>
      <c r="S375" s="15"/>
      <c r="T375" s="136" t="str">
        <f t="shared" si="107"/>
        <v/>
      </c>
      <c r="U375" s="137" t="str">
        <f t="shared" si="108"/>
        <v/>
      </c>
      <c r="V375" s="1"/>
      <c r="Y375" s="90" t="str">
        <f t="shared" si="109"/>
        <v/>
      </c>
      <c r="AC375" s="6">
        <v>886409</v>
      </c>
      <c r="AD375" s="6" t="s">
        <v>6966</v>
      </c>
      <c r="AE375" s="158" t="s">
        <v>4278</v>
      </c>
      <c r="AF375" s="159" t="s">
        <v>8299</v>
      </c>
      <c r="AG375" s="160">
        <v>541618</v>
      </c>
      <c r="AH375" s="194" t="s">
        <v>1314</v>
      </c>
      <c r="AI375" s="6" t="s">
        <v>986</v>
      </c>
      <c r="AJ375" s="3" t="s">
        <v>8209</v>
      </c>
      <c r="AK375" t="s">
        <v>8209</v>
      </c>
      <c r="AL375" s="4">
        <f t="shared" si="110"/>
        <v>0</v>
      </c>
      <c r="AM375" s="6" t="s">
        <v>1274</v>
      </c>
      <c r="AN375" t="s">
        <v>6185</v>
      </c>
      <c r="AO375" t="str">
        <f t="shared" si="100"/>
        <v/>
      </c>
      <c r="AP375" t="s">
        <v>4791</v>
      </c>
      <c r="AQ375" s="15" t="s">
        <v>4518</v>
      </c>
      <c r="AR375" s="6" t="s">
        <v>4943</v>
      </c>
      <c r="AV375"/>
      <c r="AX375"/>
      <c r="AZ375" t="str">
        <f t="shared" si="111"/>
        <v/>
      </c>
      <c r="BA375" s="5" t="str">
        <f t="shared" si="112"/>
        <v/>
      </c>
    </row>
    <row r="376" spans="1:53" ht="13.5">
      <c r="A376" s="135" t="str">
        <f t="shared" si="113"/>
        <v/>
      </c>
      <c r="B376" s="19" t="str">
        <f t="shared" si="114"/>
        <v/>
      </c>
      <c r="C376" s="19" t="str">
        <f t="shared" si="115"/>
        <v/>
      </c>
      <c r="D376" s="19" t="str">
        <f t="shared" si="116"/>
        <v/>
      </c>
      <c r="E376" s="5" t="str">
        <f t="shared" si="101"/>
        <v/>
      </c>
      <c r="F376" s="12" t="str">
        <f t="shared" si="102"/>
        <v/>
      </c>
      <c r="K376" s="9" t="str">
        <f t="shared" si="103"/>
        <v/>
      </c>
      <c r="L376" s="6">
        <f t="shared" si="104"/>
        <v>0</v>
      </c>
      <c r="M376" s="6">
        <f t="shared" si="105"/>
        <v>0</v>
      </c>
      <c r="N376" s="94" t="str">
        <f t="shared" si="106"/>
        <v/>
      </c>
      <c r="O376" s="17"/>
      <c r="P376" s="7"/>
      <c r="Q376" s="5"/>
      <c r="R376"/>
      <c r="S376" s="15"/>
      <c r="T376" s="136" t="str">
        <f t="shared" si="107"/>
        <v/>
      </c>
      <c r="U376" s="137" t="str">
        <f t="shared" si="108"/>
        <v/>
      </c>
      <c r="V376" s="1"/>
      <c r="Y376" s="90" t="str">
        <f t="shared" si="109"/>
        <v/>
      </c>
      <c r="AC376" s="6" t="s">
        <v>5323</v>
      </c>
      <c r="AD376" s="6" t="s">
        <v>6964</v>
      </c>
      <c r="AE376" s="158" t="s">
        <v>4279</v>
      </c>
      <c r="AF376" s="159" t="s">
        <v>8299</v>
      </c>
      <c r="AG376" s="160">
        <v>541619</v>
      </c>
      <c r="AH376" s="194" t="s">
        <v>1314</v>
      </c>
      <c r="AI376" s="6" t="s">
        <v>560</v>
      </c>
      <c r="AJ376" s="3" t="s">
        <v>8196</v>
      </c>
      <c r="AK376" t="s">
        <v>8196</v>
      </c>
      <c r="AL376" s="4">
        <f t="shared" si="110"/>
        <v>0</v>
      </c>
      <c r="AM376" s="6" t="s">
        <v>4827</v>
      </c>
      <c r="AN376" t="s">
        <v>6186</v>
      </c>
      <c r="AO376" t="str">
        <f t="shared" si="100"/>
        <v/>
      </c>
      <c r="AP376" t="s">
        <v>2829</v>
      </c>
      <c r="AQ376" s="15" t="s">
        <v>4518</v>
      </c>
      <c r="AR376" s="6" t="s">
        <v>4944</v>
      </c>
      <c r="AV376"/>
      <c r="AX376"/>
      <c r="AZ376" t="str">
        <f t="shared" si="111"/>
        <v/>
      </c>
      <c r="BA376" s="5" t="str">
        <f t="shared" si="112"/>
        <v/>
      </c>
    </row>
    <row r="377" spans="1:53" ht="13.5">
      <c r="A377" s="135" t="str">
        <f t="shared" si="113"/>
        <v/>
      </c>
      <c r="B377" s="19" t="str">
        <f t="shared" si="114"/>
        <v/>
      </c>
      <c r="C377" s="19" t="str">
        <f t="shared" si="115"/>
        <v/>
      </c>
      <c r="D377" s="19" t="str">
        <f t="shared" si="116"/>
        <v/>
      </c>
      <c r="E377" s="5" t="str">
        <f t="shared" si="101"/>
        <v/>
      </c>
      <c r="F377" s="12" t="str">
        <f t="shared" si="102"/>
        <v/>
      </c>
      <c r="K377" s="9" t="str">
        <f t="shared" si="103"/>
        <v/>
      </c>
      <c r="L377" s="6">
        <f t="shared" si="104"/>
        <v>0</v>
      </c>
      <c r="M377" s="6">
        <f t="shared" si="105"/>
        <v>0</v>
      </c>
      <c r="N377" s="94" t="str">
        <f t="shared" si="106"/>
        <v/>
      </c>
      <c r="O377" s="17"/>
      <c r="P377" s="7"/>
      <c r="Q377" s="5"/>
      <c r="R377"/>
      <c r="S377" s="15"/>
      <c r="T377" s="136" t="str">
        <f t="shared" si="107"/>
        <v/>
      </c>
      <c r="U377" s="137" t="str">
        <f t="shared" si="108"/>
        <v/>
      </c>
      <c r="V377" s="1"/>
      <c r="Y377" s="90" t="str">
        <f t="shared" si="109"/>
        <v/>
      </c>
      <c r="AC377" s="6" t="s">
        <v>5157</v>
      </c>
      <c r="AD377" s="6" t="s">
        <v>6929</v>
      </c>
      <c r="AE377" s="158" t="s">
        <v>4280</v>
      </c>
      <c r="AF377" s="159" t="s">
        <v>8299</v>
      </c>
      <c r="AG377" s="160">
        <v>541620</v>
      </c>
      <c r="AH377" s="194" t="s">
        <v>1314</v>
      </c>
      <c r="AI377" s="6" t="s">
        <v>1061</v>
      </c>
      <c r="AJ377" s="3" t="s">
        <v>8196</v>
      </c>
      <c r="AK377" t="s">
        <v>8196</v>
      </c>
      <c r="AL377" s="4">
        <f t="shared" si="110"/>
        <v>0</v>
      </c>
      <c r="AM377" s="6" t="s">
        <v>4789</v>
      </c>
      <c r="AN377" t="s">
        <v>6187</v>
      </c>
      <c r="AO377" t="str">
        <f t="shared" si="100"/>
        <v/>
      </c>
      <c r="AP377" t="s">
        <v>4779</v>
      </c>
      <c r="AQ377" s="15" t="s">
        <v>4518</v>
      </c>
      <c r="AR377" s="6" t="s">
        <v>4945</v>
      </c>
      <c r="AV377"/>
      <c r="AX377"/>
      <c r="AZ377" t="str">
        <f t="shared" si="111"/>
        <v/>
      </c>
      <c r="BA377" s="5" t="str">
        <f t="shared" si="112"/>
        <v/>
      </c>
    </row>
    <row r="378" spans="1:53" ht="13.5">
      <c r="A378" s="135" t="str">
        <f t="shared" si="113"/>
        <v/>
      </c>
      <c r="B378" s="19" t="str">
        <f t="shared" si="114"/>
        <v/>
      </c>
      <c r="C378" s="19" t="str">
        <f t="shared" si="115"/>
        <v/>
      </c>
      <c r="D378" s="19" t="str">
        <f t="shared" si="116"/>
        <v/>
      </c>
      <c r="E378" s="5" t="str">
        <f t="shared" si="101"/>
        <v/>
      </c>
      <c r="F378" s="12" t="str">
        <f t="shared" si="102"/>
        <v/>
      </c>
      <c r="K378" s="9" t="str">
        <f t="shared" si="103"/>
        <v/>
      </c>
      <c r="L378" s="6">
        <f t="shared" si="104"/>
        <v>0</v>
      </c>
      <c r="M378" s="6">
        <f t="shared" si="105"/>
        <v>0</v>
      </c>
      <c r="N378" s="94" t="str">
        <f t="shared" si="106"/>
        <v/>
      </c>
      <c r="O378" s="17"/>
      <c r="P378" s="7"/>
      <c r="Q378" s="5"/>
      <c r="R378"/>
      <c r="S378" s="15"/>
      <c r="T378" s="136" t="str">
        <f t="shared" si="107"/>
        <v/>
      </c>
      <c r="U378" s="137" t="str">
        <f t="shared" si="108"/>
        <v/>
      </c>
      <c r="V378" s="1"/>
      <c r="Y378" s="90" t="str">
        <f t="shared" si="109"/>
        <v/>
      </c>
      <c r="AC378" s="6" t="s">
        <v>3554</v>
      </c>
      <c r="AD378" s="6" t="s">
        <v>6967</v>
      </c>
      <c r="AE378" s="158" t="s">
        <v>4281</v>
      </c>
      <c r="AF378" s="159" t="s">
        <v>8320</v>
      </c>
      <c r="AG378" s="160">
        <v>541621</v>
      </c>
      <c r="AH378" s="194" t="s">
        <v>679</v>
      </c>
      <c r="AI378" s="6" t="s">
        <v>568</v>
      </c>
      <c r="AJ378" s="3" t="s">
        <v>8196</v>
      </c>
      <c r="AK378" t="s">
        <v>8196</v>
      </c>
      <c r="AL378" s="4">
        <f t="shared" si="110"/>
        <v>0</v>
      </c>
      <c r="AM378" s="6" t="s">
        <v>4739</v>
      </c>
      <c r="AN378" t="s">
        <v>6188</v>
      </c>
      <c r="AO378" t="str">
        <f t="shared" si="100"/>
        <v/>
      </c>
      <c r="AP378" t="s">
        <v>4781</v>
      </c>
      <c r="AQ378" s="15" t="s">
        <v>4512</v>
      </c>
      <c r="AR378" s="6">
        <v>4307</v>
      </c>
      <c r="AV378"/>
      <c r="AX378"/>
      <c r="AZ378" t="str">
        <f t="shared" si="111"/>
        <v/>
      </c>
      <c r="BA378" s="5" t="str">
        <f t="shared" si="112"/>
        <v/>
      </c>
    </row>
    <row r="379" spans="1:53" ht="13.5">
      <c r="A379" s="135" t="str">
        <f t="shared" si="113"/>
        <v/>
      </c>
      <c r="B379" s="19" t="str">
        <f t="shared" si="114"/>
        <v/>
      </c>
      <c r="C379" s="19" t="str">
        <f t="shared" si="115"/>
        <v/>
      </c>
      <c r="D379" s="19" t="str">
        <f t="shared" si="116"/>
        <v/>
      </c>
      <c r="E379" s="5" t="str">
        <f t="shared" si="101"/>
        <v/>
      </c>
      <c r="F379" s="12" t="str">
        <f t="shared" si="102"/>
        <v/>
      </c>
      <c r="K379" s="9" t="str">
        <f t="shared" si="103"/>
        <v/>
      </c>
      <c r="L379" s="6">
        <f t="shared" si="104"/>
        <v>0</v>
      </c>
      <c r="M379" s="6">
        <f t="shared" si="105"/>
        <v>0</v>
      </c>
      <c r="N379" s="94" t="str">
        <f t="shared" si="106"/>
        <v/>
      </c>
      <c r="O379" s="17"/>
      <c r="P379" s="7"/>
      <c r="Q379" s="5"/>
      <c r="R379"/>
      <c r="S379" s="15"/>
      <c r="T379" s="136" t="str">
        <f t="shared" si="107"/>
        <v/>
      </c>
      <c r="U379" s="137" t="str">
        <f t="shared" si="108"/>
        <v/>
      </c>
      <c r="V379" s="1"/>
      <c r="Y379" s="90" t="str">
        <f t="shared" si="109"/>
        <v/>
      </c>
      <c r="AC379" s="6" t="s">
        <v>3555</v>
      </c>
      <c r="AD379" s="6" t="s">
        <v>6967</v>
      </c>
      <c r="AE379" s="158" t="s">
        <v>4282</v>
      </c>
      <c r="AF379" s="159" t="s">
        <v>8297</v>
      </c>
      <c r="AG379" s="160">
        <v>541622</v>
      </c>
      <c r="AH379" s="194" t="s">
        <v>679</v>
      </c>
      <c r="AI379" s="6" t="s">
        <v>1444</v>
      </c>
      <c r="AJ379" s="3" t="s">
        <v>8201</v>
      </c>
      <c r="AK379" t="s">
        <v>8666</v>
      </c>
      <c r="AL379" s="4">
        <f t="shared" si="110"/>
        <v>0</v>
      </c>
      <c r="AM379" s="6" t="s">
        <v>4741</v>
      </c>
      <c r="AN379" t="s">
        <v>6189</v>
      </c>
      <c r="AO379" t="str">
        <f t="shared" si="100"/>
        <v/>
      </c>
      <c r="AP379" t="s">
        <v>4094</v>
      </c>
      <c r="AQ379" s="15" t="s">
        <v>4518</v>
      </c>
      <c r="AR379" s="6" t="s">
        <v>4946</v>
      </c>
      <c r="AV379"/>
      <c r="AX379"/>
      <c r="AZ379" t="str">
        <f t="shared" si="111"/>
        <v/>
      </c>
      <c r="BA379" s="5" t="str">
        <f t="shared" si="112"/>
        <v/>
      </c>
    </row>
    <row r="380" spans="1:53" ht="13.5">
      <c r="A380" s="135" t="str">
        <f t="shared" si="113"/>
        <v/>
      </c>
      <c r="B380" s="19" t="str">
        <f t="shared" si="114"/>
        <v/>
      </c>
      <c r="C380" s="19" t="str">
        <f t="shared" si="115"/>
        <v/>
      </c>
      <c r="D380" s="19" t="str">
        <f t="shared" si="116"/>
        <v/>
      </c>
      <c r="E380" s="5" t="str">
        <f t="shared" si="101"/>
        <v/>
      </c>
      <c r="F380" s="12" t="str">
        <f t="shared" si="102"/>
        <v/>
      </c>
      <c r="K380" s="9" t="str">
        <f t="shared" si="103"/>
        <v/>
      </c>
      <c r="L380" s="6">
        <f t="shared" si="104"/>
        <v>0</v>
      </c>
      <c r="M380" s="6">
        <f t="shared" si="105"/>
        <v>0</v>
      </c>
      <c r="N380" s="94" t="str">
        <f t="shared" si="106"/>
        <v/>
      </c>
      <c r="O380" s="17"/>
      <c r="P380" s="7"/>
      <c r="Q380" s="5"/>
      <c r="R380"/>
      <c r="S380" s="15"/>
      <c r="T380" s="136" t="str">
        <f t="shared" si="107"/>
        <v/>
      </c>
      <c r="U380" s="137" t="str">
        <f t="shared" si="108"/>
        <v/>
      </c>
      <c r="V380" s="1"/>
      <c r="Y380" s="90" t="str">
        <f t="shared" si="109"/>
        <v/>
      </c>
      <c r="AC380" s="6" t="s">
        <v>3983</v>
      </c>
      <c r="AD380" s="6" t="s">
        <v>6937</v>
      </c>
      <c r="AE380" s="158" t="s">
        <v>4348</v>
      </c>
      <c r="AF380" s="159" t="s">
        <v>8299</v>
      </c>
      <c r="AG380" s="160">
        <v>543134</v>
      </c>
      <c r="AH380" s="194" t="s">
        <v>1314</v>
      </c>
      <c r="AI380" s="6" t="s">
        <v>1446</v>
      </c>
      <c r="AJ380" s="3" t="s">
        <v>8196</v>
      </c>
      <c r="AK380" t="s">
        <v>8196</v>
      </c>
      <c r="AL380" s="4">
        <f t="shared" si="110"/>
        <v>0</v>
      </c>
      <c r="AM380" s="6" t="s">
        <v>4744</v>
      </c>
      <c r="AN380" t="s">
        <v>6190</v>
      </c>
      <c r="AO380" t="str">
        <f t="shared" si="100"/>
        <v/>
      </c>
      <c r="AP380" t="s">
        <v>3831</v>
      </c>
      <c r="AQ380" s="15" t="s">
        <v>4512</v>
      </c>
      <c r="AR380" s="6">
        <v>3339</v>
      </c>
      <c r="AV380"/>
      <c r="AX380"/>
      <c r="AZ380" t="str">
        <f t="shared" si="111"/>
        <v/>
      </c>
      <c r="BA380" s="5" t="str">
        <f t="shared" si="112"/>
        <v/>
      </c>
    </row>
    <row r="381" spans="1:53" ht="13.5">
      <c r="A381" s="135" t="str">
        <f t="shared" si="113"/>
        <v/>
      </c>
      <c r="B381" s="19" t="str">
        <f t="shared" si="114"/>
        <v/>
      </c>
      <c r="C381" s="19" t="str">
        <f t="shared" si="115"/>
        <v/>
      </c>
      <c r="D381" s="19" t="str">
        <f t="shared" si="116"/>
        <v/>
      </c>
      <c r="E381" s="5" t="str">
        <f t="shared" si="101"/>
        <v/>
      </c>
      <c r="F381" s="12" t="str">
        <f t="shared" si="102"/>
        <v/>
      </c>
      <c r="K381" s="9" t="str">
        <f t="shared" si="103"/>
        <v/>
      </c>
      <c r="L381" s="6">
        <f t="shared" si="104"/>
        <v>0</v>
      </c>
      <c r="M381" s="6">
        <f t="shared" si="105"/>
        <v>0</v>
      </c>
      <c r="N381" s="94" t="str">
        <f t="shared" si="106"/>
        <v/>
      </c>
      <c r="O381" s="17"/>
      <c r="P381" s="7"/>
      <c r="Q381" s="5"/>
      <c r="R381"/>
      <c r="S381" s="15"/>
      <c r="T381" s="136" t="str">
        <f t="shared" si="107"/>
        <v/>
      </c>
      <c r="U381" s="137" t="str">
        <f t="shared" si="108"/>
        <v/>
      </c>
      <c r="V381" s="1"/>
      <c r="Y381" s="90" t="str">
        <f t="shared" si="109"/>
        <v/>
      </c>
      <c r="AC381" s="6">
        <v>886410</v>
      </c>
      <c r="AD381" s="6" t="s">
        <v>6968</v>
      </c>
      <c r="AE381" s="158" t="s">
        <v>4349</v>
      </c>
      <c r="AF381" s="159" t="s">
        <v>8299</v>
      </c>
      <c r="AG381" s="160">
        <v>543135</v>
      </c>
      <c r="AH381" s="194" t="s">
        <v>679</v>
      </c>
      <c r="AI381" s="6" t="s">
        <v>1066</v>
      </c>
      <c r="AJ381" s="3" t="s">
        <v>8201</v>
      </c>
      <c r="AK381" t="s">
        <v>8666</v>
      </c>
      <c r="AL381" s="4">
        <f t="shared" si="110"/>
        <v>0</v>
      </c>
      <c r="AM381" s="6" t="s">
        <v>4756</v>
      </c>
      <c r="AN381" t="s">
        <v>6191</v>
      </c>
      <c r="AO381" t="str">
        <f t="shared" si="100"/>
        <v/>
      </c>
      <c r="AP381" t="s">
        <v>4770</v>
      </c>
      <c r="AQ381" s="15" t="s">
        <v>4841</v>
      </c>
      <c r="AR381" s="6" t="s">
        <v>4947</v>
      </c>
      <c r="AV381"/>
      <c r="AX381"/>
      <c r="AZ381" t="str">
        <f t="shared" si="111"/>
        <v/>
      </c>
      <c r="BA381" s="5" t="str">
        <f t="shared" si="112"/>
        <v/>
      </c>
    </row>
    <row r="382" spans="1:53" ht="13.5">
      <c r="A382" s="135" t="str">
        <f t="shared" si="113"/>
        <v/>
      </c>
      <c r="B382" s="19" t="str">
        <f t="shared" si="114"/>
        <v/>
      </c>
      <c r="C382" s="19" t="str">
        <f t="shared" si="115"/>
        <v/>
      </c>
      <c r="D382" s="19" t="str">
        <f t="shared" si="116"/>
        <v/>
      </c>
      <c r="E382" s="5" t="str">
        <f t="shared" si="101"/>
        <v/>
      </c>
      <c r="F382" s="12" t="str">
        <f t="shared" si="102"/>
        <v/>
      </c>
      <c r="K382" s="9" t="str">
        <f t="shared" si="103"/>
        <v/>
      </c>
      <c r="L382" s="6">
        <f t="shared" si="104"/>
        <v>0</v>
      </c>
      <c r="M382" s="6">
        <f t="shared" si="105"/>
        <v>0</v>
      </c>
      <c r="N382" s="94" t="str">
        <f t="shared" si="106"/>
        <v/>
      </c>
      <c r="O382" s="17"/>
      <c r="P382" s="7"/>
      <c r="Q382" s="5"/>
      <c r="R382"/>
      <c r="S382" s="15"/>
      <c r="T382" s="136" t="str">
        <f t="shared" si="107"/>
        <v/>
      </c>
      <c r="U382" s="137" t="str">
        <f t="shared" si="108"/>
        <v/>
      </c>
      <c r="V382" s="1"/>
      <c r="Y382" s="90" t="str">
        <f t="shared" si="109"/>
        <v/>
      </c>
      <c r="AC382" s="6" t="s">
        <v>3982</v>
      </c>
      <c r="AD382" s="6" t="s">
        <v>6937</v>
      </c>
      <c r="AE382" s="158" t="s">
        <v>4350</v>
      </c>
      <c r="AF382" s="159" t="s">
        <v>8320</v>
      </c>
      <c r="AG382" s="160">
        <v>543136</v>
      </c>
      <c r="AH382" s="194" t="s">
        <v>679</v>
      </c>
      <c r="AI382" s="6" t="s">
        <v>1448</v>
      </c>
      <c r="AJ382" s="3" t="s">
        <v>8195</v>
      </c>
      <c r="AK382" t="s">
        <v>8195</v>
      </c>
      <c r="AL382" s="4">
        <f t="shared" si="110"/>
        <v>0</v>
      </c>
      <c r="AM382" s="6" t="s">
        <v>4750</v>
      </c>
      <c r="AN382" t="s">
        <v>6192</v>
      </c>
      <c r="AO382" t="str">
        <f t="shared" si="100"/>
        <v/>
      </c>
      <c r="AP382" t="s">
        <v>957</v>
      </c>
      <c r="AQ382" s="15" t="s">
        <v>4512</v>
      </c>
      <c r="AR382" s="6">
        <v>3067</v>
      </c>
      <c r="AV382"/>
      <c r="AX382"/>
      <c r="AZ382" t="str">
        <f t="shared" si="111"/>
        <v/>
      </c>
      <c r="BA382" t="str">
        <f t="shared" ref="BA382:BA389" si="117">IF(AV398=AV382,"",CONCATENATE(IF(AV397=AV382,BA397,""),IF(AV396=AV382,BA396,""),IF(AV395=AV382,BA395,""),IF(AV394=AV382,BA394,""),IF(AV393=AV382,BA393,""),IF(AV392=AV382,BA392,""),IF(AV391=AV382,BA391,""),IF(AV390=AV382,BA390,""),IF(AV389=AV382,BA389,""),IF(AV388=AV382,BA388,""),IF(AV387=AV382,BA387,""),IF(AV386=AV382,BA386,""),IF(AV385=AV382,BA385,""),IF(AV384=AV382,BA384,""),IF(AV383=AV382,BA383,""),IF(AV381=AV382,BA381,""),BA382))</f>
        <v/>
      </c>
    </row>
    <row r="383" spans="1:53" ht="13.5">
      <c r="A383" s="135" t="str">
        <f t="shared" si="113"/>
        <v/>
      </c>
      <c r="B383" s="19" t="str">
        <f t="shared" si="114"/>
        <v/>
      </c>
      <c r="C383" s="19" t="str">
        <f t="shared" si="115"/>
        <v/>
      </c>
      <c r="D383" s="19" t="str">
        <f t="shared" si="116"/>
        <v/>
      </c>
      <c r="E383" s="5" t="str">
        <f t="shared" si="101"/>
        <v/>
      </c>
      <c r="F383" s="12" t="str">
        <f t="shared" si="102"/>
        <v/>
      </c>
      <c r="K383" s="9" t="str">
        <f t="shared" si="103"/>
        <v/>
      </c>
      <c r="L383" s="6">
        <f t="shared" si="104"/>
        <v>0</v>
      </c>
      <c r="M383" s="6">
        <f t="shared" si="105"/>
        <v>0</v>
      </c>
      <c r="N383" s="94" t="str">
        <f t="shared" si="106"/>
        <v/>
      </c>
      <c r="O383" s="17"/>
      <c r="P383" s="7"/>
      <c r="Q383" s="5"/>
      <c r="R383"/>
      <c r="S383" s="15"/>
      <c r="T383" s="136" t="str">
        <f t="shared" si="107"/>
        <v/>
      </c>
      <c r="U383" s="137" t="str">
        <f t="shared" si="108"/>
        <v/>
      </c>
      <c r="V383" s="1"/>
      <c r="Y383" s="90" t="str">
        <f t="shared" si="109"/>
        <v/>
      </c>
      <c r="AC383" s="6" t="s">
        <v>2766</v>
      </c>
      <c r="AD383" s="6" t="s">
        <v>6969</v>
      </c>
      <c r="AE383" s="158" t="s">
        <v>4815</v>
      </c>
      <c r="AF383" s="159" t="s">
        <v>8332</v>
      </c>
      <c r="AG383" s="160">
        <v>543137</v>
      </c>
      <c r="AH383" s="194" t="s">
        <v>679</v>
      </c>
      <c r="AI383" s="6" t="s">
        <v>576</v>
      </c>
      <c r="AJ383" s="3" t="s">
        <v>8196</v>
      </c>
      <c r="AK383" t="s">
        <v>8196</v>
      </c>
      <c r="AL383" s="4">
        <f t="shared" si="110"/>
        <v>0</v>
      </c>
      <c r="AM383" s="6" t="s">
        <v>4731</v>
      </c>
      <c r="AN383" t="s">
        <v>6193</v>
      </c>
      <c r="AO383" t="str">
        <f t="shared" si="100"/>
        <v/>
      </c>
      <c r="AP383" t="s">
        <v>4773</v>
      </c>
      <c r="AQ383" s="15" t="s">
        <v>4518</v>
      </c>
      <c r="AR383" s="6" t="s">
        <v>4948</v>
      </c>
      <c r="AV383"/>
      <c r="AX383"/>
      <c r="AZ383" t="str">
        <f t="shared" si="111"/>
        <v/>
      </c>
      <c r="BA383" t="str">
        <f t="shared" si="117"/>
        <v/>
      </c>
    </row>
    <row r="384" spans="1:53" ht="13.5">
      <c r="A384" s="135" t="str">
        <f t="shared" si="113"/>
        <v/>
      </c>
      <c r="B384" s="19" t="str">
        <f t="shared" si="114"/>
        <v/>
      </c>
      <c r="C384" s="19" t="str">
        <f t="shared" si="115"/>
        <v/>
      </c>
      <c r="D384" s="19" t="str">
        <f t="shared" si="116"/>
        <v/>
      </c>
      <c r="E384" s="5" t="str">
        <f t="shared" si="101"/>
        <v/>
      </c>
      <c r="F384" s="12" t="str">
        <f t="shared" si="102"/>
        <v/>
      </c>
      <c r="K384" s="9" t="str">
        <f t="shared" si="103"/>
        <v/>
      </c>
      <c r="L384" s="6">
        <f t="shared" si="104"/>
        <v>0</v>
      </c>
      <c r="M384" s="6">
        <f t="shared" si="105"/>
        <v>0</v>
      </c>
      <c r="N384" s="94" t="str">
        <f t="shared" si="106"/>
        <v/>
      </c>
      <c r="O384" s="17"/>
      <c r="P384" s="7"/>
      <c r="Q384" s="5"/>
      <c r="R384"/>
      <c r="S384" s="15"/>
      <c r="T384" s="136" t="str">
        <f t="shared" si="107"/>
        <v/>
      </c>
      <c r="U384" s="137" t="str">
        <f t="shared" si="108"/>
        <v/>
      </c>
      <c r="V384" s="1"/>
      <c r="Y384" s="90" t="str">
        <f t="shared" si="109"/>
        <v/>
      </c>
      <c r="AC384" s="6" t="s">
        <v>5107</v>
      </c>
      <c r="AD384" s="6" t="s">
        <v>6970</v>
      </c>
      <c r="AE384" s="158" t="s">
        <v>1129</v>
      </c>
      <c r="AF384" s="159" t="s">
        <v>8299</v>
      </c>
      <c r="AG384" s="160">
        <v>543138</v>
      </c>
      <c r="AH384" s="194" t="s">
        <v>679</v>
      </c>
      <c r="AI384" s="6" t="s">
        <v>1454</v>
      </c>
      <c r="AJ384" s="3" t="s">
        <v>8195</v>
      </c>
      <c r="AK384" t="s">
        <v>8195</v>
      </c>
      <c r="AL384" s="4">
        <f t="shared" si="110"/>
        <v>0</v>
      </c>
      <c r="AM384" s="6" t="s">
        <v>4006</v>
      </c>
      <c r="AN384" t="s">
        <v>6194</v>
      </c>
      <c r="AO384" t="str">
        <f t="shared" si="100"/>
        <v/>
      </c>
      <c r="AP384" t="s">
        <v>3973</v>
      </c>
      <c r="AQ384" s="15" t="s">
        <v>4518</v>
      </c>
      <c r="AR384" s="6" t="s">
        <v>4949</v>
      </c>
      <c r="AV384"/>
      <c r="AX384"/>
      <c r="AZ384" t="str">
        <f t="shared" si="111"/>
        <v/>
      </c>
      <c r="BA384" t="str">
        <f t="shared" si="117"/>
        <v/>
      </c>
    </row>
    <row r="385" spans="1:53" ht="13.5">
      <c r="A385" s="135" t="str">
        <f t="shared" si="113"/>
        <v/>
      </c>
      <c r="B385" s="19" t="str">
        <f t="shared" si="114"/>
        <v/>
      </c>
      <c r="C385" s="19" t="str">
        <f t="shared" si="115"/>
        <v/>
      </c>
      <c r="D385" s="19" t="str">
        <f t="shared" si="116"/>
        <v/>
      </c>
      <c r="E385" s="5" t="str">
        <f t="shared" si="101"/>
        <v/>
      </c>
      <c r="F385" s="12" t="str">
        <f t="shared" si="102"/>
        <v/>
      </c>
      <c r="K385" s="9" t="str">
        <f t="shared" si="103"/>
        <v/>
      </c>
      <c r="L385" s="6">
        <f t="shared" si="104"/>
        <v>0</v>
      </c>
      <c r="M385" s="6">
        <f t="shared" si="105"/>
        <v>0</v>
      </c>
      <c r="N385" s="94" t="str">
        <f t="shared" si="106"/>
        <v/>
      </c>
      <c r="O385" s="17"/>
      <c r="P385" s="7"/>
      <c r="Q385" s="5"/>
      <c r="R385"/>
      <c r="S385" s="15"/>
      <c r="T385" s="136" t="str">
        <f t="shared" si="107"/>
        <v/>
      </c>
      <c r="U385" s="137" t="str">
        <f t="shared" si="108"/>
        <v/>
      </c>
      <c r="V385" s="1"/>
      <c r="Y385" s="90" t="str">
        <f t="shared" si="109"/>
        <v/>
      </c>
      <c r="AC385" s="6" t="s">
        <v>5486</v>
      </c>
      <c r="AD385" s="6" t="s">
        <v>6971</v>
      </c>
      <c r="AE385" s="158" t="s">
        <v>1130</v>
      </c>
      <c r="AF385" s="159" t="s">
        <v>8297</v>
      </c>
      <c r="AG385" s="160">
        <v>543139</v>
      </c>
      <c r="AH385" s="194" t="s">
        <v>679</v>
      </c>
      <c r="AI385" s="6" t="s">
        <v>584</v>
      </c>
      <c r="AJ385" s="3" t="s">
        <v>8195</v>
      </c>
      <c r="AK385" t="s">
        <v>8195</v>
      </c>
      <c r="AL385" s="4">
        <f t="shared" si="110"/>
        <v>0</v>
      </c>
      <c r="AM385" s="6" t="s">
        <v>2228</v>
      </c>
      <c r="AN385" t="s">
        <v>6195</v>
      </c>
      <c r="AO385" t="str">
        <f t="shared" si="100"/>
        <v/>
      </c>
      <c r="AP385" t="s">
        <v>3972</v>
      </c>
      <c r="AQ385" s="15" t="s">
        <v>4841</v>
      </c>
      <c r="AR385" s="6" t="s">
        <v>4950</v>
      </c>
      <c r="AV385"/>
      <c r="AX385"/>
      <c r="AZ385" t="str">
        <f t="shared" si="111"/>
        <v/>
      </c>
      <c r="BA385" t="str">
        <f t="shared" si="117"/>
        <v/>
      </c>
    </row>
    <row r="386" spans="1:53" ht="13.5">
      <c r="A386" s="135" t="str">
        <f t="shared" si="113"/>
        <v/>
      </c>
      <c r="B386" s="19" t="str">
        <f t="shared" si="114"/>
        <v/>
      </c>
      <c r="C386" s="19" t="str">
        <f t="shared" si="115"/>
        <v/>
      </c>
      <c r="D386" s="19" t="str">
        <f t="shared" si="116"/>
        <v/>
      </c>
      <c r="E386" s="5" t="str">
        <f t="shared" si="101"/>
        <v/>
      </c>
      <c r="F386" s="12" t="str">
        <f t="shared" si="102"/>
        <v/>
      </c>
      <c r="K386" s="9" t="str">
        <f t="shared" si="103"/>
        <v/>
      </c>
      <c r="L386" s="6">
        <f t="shared" si="104"/>
        <v>0</v>
      </c>
      <c r="M386" s="6">
        <f t="shared" si="105"/>
        <v>0</v>
      </c>
      <c r="N386" s="94" t="str">
        <f t="shared" si="106"/>
        <v/>
      </c>
      <c r="O386" s="17"/>
      <c r="P386" s="7"/>
      <c r="Q386" s="5"/>
      <c r="R386"/>
      <c r="S386" s="15"/>
      <c r="T386" s="136" t="str">
        <f t="shared" si="107"/>
        <v/>
      </c>
      <c r="U386" s="137" t="str">
        <f t="shared" si="108"/>
        <v/>
      </c>
      <c r="V386" s="1"/>
      <c r="Y386" s="90" t="str">
        <f t="shared" si="109"/>
        <v/>
      </c>
      <c r="AC386" s="6" t="s">
        <v>2637</v>
      </c>
      <c r="AD386" s="6" t="s">
        <v>6972</v>
      </c>
      <c r="AE386" s="158" t="s">
        <v>1131</v>
      </c>
      <c r="AF386" s="159" t="s">
        <v>8299</v>
      </c>
      <c r="AG386" s="160">
        <v>544319</v>
      </c>
      <c r="AH386" s="194" t="s">
        <v>679</v>
      </c>
      <c r="AI386" s="6" t="s">
        <v>588</v>
      </c>
      <c r="AJ386" s="3" t="s">
        <v>8208</v>
      </c>
      <c r="AK386" t="s">
        <v>8667</v>
      </c>
      <c r="AL386" s="4">
        <f t="shared" si="110"/>
        <v>0</v>
      </c>
      <c r="AM386" s="6" t="s">
        <v>4766</v>
      </c>
      <c r="AN386" t="s">
        <v>6196</v>
      </c>
      <c r="AO386" t="str">
        <f t="shared" si="100"/>
        <v/>
      </c>
      <c r="AP386" t="s">
        <v>3977</v>
      </c>
      <c r="AQ386" s="15" t="s">
        <v>4518</v>
      </c>
      <c r="AR386" s="6" t="s">
        <v>4951</v>
      </c>
      <c r="AV386"/>
      <c r="AX386"/>
      <c r="AZ386" t="str">
        <f t="shared" si="111"/>
        <v/>
      </c>
      <c r="BA386" t="str">
        <f t="shared" si="117"/>
        <v/>
      </c>
    </row>
    <row r="387" spans="1:53" ht="13.5">
      <c r="A387" s="135" t="str">
        <f t="shared" si="113"/>
        <v/>
      </c>
      <c r="B387" s="19" t="str">
        <f t="shared" si="114"/>
        <v/>
      </c>
      <c r="C387" s="19" t="str">
        <f t="shared" si="115"/>
        <v/>
      </c>
      <c r="D387" s="19" t="str">
        <f t="shared" si="116"/>
        <v/>
      </c>
      <c r="E387" s="5" t="str">
        <f t="shared" si="101"/>
        <v/>
      </c>
      <c r="F387" s="12" t="str">
        <f t="shared" si="102"/>
        <v/>
      </c>
      <c r="K387" s="9" t="str">
        <f t="shared" si="103"/>
        <v/>
      </c>
      <c r="L387" s="6">
        <f t="shared" si="104"/>
        <v>0</v>
      </c>
      <c r="M387" s="6">
        <f t="shared" si="105"/>
        <v>0</v>
      </c>
      <c r="N387" s="94" t="str">
        <f t="shared" si="106"/>
        <v/>
      </c>
      <c r="O387" s="17"/>
      <c r="P387" s="7"/>
      <c r="Q387" s="5"/>
      <c r="R387"/>
      <c r="S387" s="15"/>
      <c r="T387" s="136" t="str">
        <f t="shared" si="107"/>
        <v/>
      </c>
      <c r="U387" s="137" t="str">
        <f t="shared" si="108"/>
        <v/>
      </c>
      <c r="V387" s="1"/>
      <c r="Y387" s="90" t="str">
        <f t="shared" si="109"/>
        <v/>
      </c>
      <c r="AC387" s="6" t="s">
        <v>2641</v>
      </c>
      <c r="AD387" s="6" t="s">
        <v>6973</v>
      </c>
      <c r="AE387" s="158" t="s">
        <v>4294</v>
      </c>
      <c r="AF387" s="159" t="s">
        <v>8299</v>
      </c>
      <c r="AG387" s="160">
        <v>545378</v>
      </c>
      <c r="AH387" s="194" t="s">
        <v>679</v>
      </c>
      <c r="AI387" s="6" t="s">
        <v>962</v>
      </c>
      <c r="AJ387" s="3" t="s">
        <v>8209</v>
      </c>
      <c r="AK387" t="s">
        <v>8209</v>
      </c>
      <c r="AL387" s="4">
        <f t="shared" si="110"/>
        <v>0</v>
      </c>
      <c r="AM387" s="6" t="s">
        <v>4706</v>
      </c>
      <c r="AN387" t="s">
        <v>6197</v>
      </c>
      <c r="AO387" t="str">
        <f t="shared" si="100"/>
        <v/>
      </c>
      <c r="AP387" t="s">
        <v>1274</v>
      </c>
      <c r="AQ387" s="15" t="s">
        <v>4518</v>
      </c>
      <c r="AR387" s="6" t="s">
        <v>4952</v>
      </c>
      <c r="AV387"/>
      <c r="AX387"/>
      <c r="AZ387" t="str">
        <f t="shared" si="111"/>
        <v/>
      </c>
      <c r="BA387" t="str">
        <f t="shared" si="117"/>
        <v/>
      </c>
    </row>
    <row r="388" spans="1:53" ht="13.5">
      <c r="A388" s="135" t="str">
        <f t="shared" si="113"/>
        <v/>
      </c>
      <c r="B388" s="19" t="str">
        <f t="shared" si="114"/>
        <v/>
      </c>
      <c r="C388" s="19" t="str">
        <f t="shared" si="115"/>
        <v/>
      </c>
      <c r="D388" s="19" t="str">
        <f t="shared" si="116"/>
        <v/>
      </c>
      <c r="E388" s="5" t="str">
        <f t="shared" si="101"/>
        <v/>
      </c>
      <c r="F388" s="12" t="str">
        <f t="shared" si="102"/>
        <v/>
      </c>
      <c r="K388" s="9" t="str">
        <f t="shared" si="103"/>
        <v/>
      </c>
      <c r="L388" s="6">
        <f t="shared" si="104"/>
        <v>0</v>
      </c>
      <c r="M388" s="6">
        <f t="shared" si="105"/>
        <v>0</v>
      </c>
      <c r="N388" s="94" t="str">
        <f t="shared" si="106"/>
        <v/>
      </c>
      <c r="O388" s="17"/>
      <c r="P388" s="7"/>
      <c r="Q388" s="5"/>
      <c r="R388"/>
      <c r="S388" s="15"/>
      <c r="T388" s="136" t="str">
        <f t="shared" si="107"/>
        <v/>
      </c>
      <c r="U388" s="137" t="str">
        <f t="shared" si="108"/>
        <v/>
      </c>
      <c r="V388" s="1"/>
      <c r="Y388" s="90" t="str">
        <f t="shared" si="109"/>
        <v/>
      </c>
      <c r="AC388" s="6">
        <v>175839</v>
      </c>
      <c r="AD388" s="6" t="s">
        <v>6974</v>
      </c>
      <c r="AE388" s="158" t="s">
        <v>5045</v>
      </c>
      <c r="AF388" s="159" t="s">
        <v>8300</v>
      </c>
      <c r="AG388" s="160">
        <v>545379</v>
      </c>
      <c r="AH388" s="194" t="s">
        <v>679</v>
      </c>
      <c r="AI388" s="6" t="s">
        <v>1651</v>
      </c>
      <c r="AJ388" s="3" t="s">
        <v>8195</v>
      </c>
      <c r="AK388" t="s">
        <v>8195</v>
      </c>
      <c r="AL388" s="4">
        <f t="shared" si="110"/>
        <v>0</v>
      </c>
      <c r="AM388" s="6" t="s">
        <v>4742</v>
      </c>
      <c r="AN388" t="s">
        <v>6198</v>
      </c>
      <c r="AO388" t="str">
        <f t="shared" si="100"/>
        <v/>
      </c>
      <c r="AP388" t="s">
        <v>4827</v>
      </c>
      <c r="AQ388" s="15" t="s">
        <v>4845</v>
      </c>
      <c r="AR388" s="6" t="s">
        <v>4953</v>
      </c>
      <c r="AV388"/>
      <c r="AX388"/>
      <c r="AZ388" t="str">
        <f t="shared" si="111"/>
        <v/>
      </c>
      <c r="BA388" t="str">
        <f t="shared" si="117"/>
        <v/>
      </c>
    </row>
    <row r="389" spans="1:53" ht="13.5">
      <c r="A389" s="135" t="str">
        <f t="shared" si="113"/>
        <v/>
      </c>
      <c r="B389" s="19" t="str">
        <f t="shared" si="114"/>
        <v/>
      </c>
      <c r="C389" s="19" t="str">
        <f t="shared" si="115"/>
        <v/>
      </c>
      <c r="D389" s="19" t="str">
        <f t="shared" si="116"/>
        <v/>
      </c>
      <c r="E389" s="5" t="str">
        <f t="shared" si="101"/>
        <v/>
      </c>
      <c r="F389" s="12" t="str">
        <f t="shared" si="102"/>
        <v/>
      </c>
      <c r="K389" s="9" t="str">
        <f t="shared" si="103"/>
        <v/>
      </c>
      <c r="L389" s="6">
        <f t="shared" si="104"/>
        <v>0</v>
      </c>
      <c r="M389" s="6">
        <f t="shared" si="105"/>
        <v>0</v>
      </c>
      <c r="N389" s="94" t="str">
        <f t="shared" si="106"/>
        <v/>
      </c>
      <c r="O389" s="17"/>
      <c r="P389" s="7"/>
      <c r="Q389" s="5"/>
      <c r="R389"/>
      <c r="S389" s="15"/>
      <c r="T389" s="136" t="str">
        <f t="shared" si="107"/>
        <v/>
      </c>
      <c r="U389" s="137" t="str">
        <f t="shared" si="108"/>
        <v/>
      </c>
      <c r="V389" s="1"/>
      <c r="Y389" s="90" t="str">
        <f t="shared" si="109"/>
        <v/>
      </c>
      <c r="AC389" s="6" t="s">
        <v>5708</v>
      </c>
      <c r="AD389" s="6" t="s">
        <v>6975</v>
      </c>
      <c r="AE389" s="158" t="s">
        <v>4296</v>
      </c>
      <c r="AF389" s="159" t="s">
        <v>8299</v>
      </c>
      <c r="AG389" s="160">
        <v>545380</v>
      </c>
      <c r="AH389" s="194" t="s">
        <v>679</v>
      </c>
      <c r="AI389" s="6" t="s">
        <v>1188</v>
      </c>
      <c r="AJ389" s="3" t="s">
        <v>8196</v>
      </c>
      <c r="AK389" t="s">
        <v>8196</v>
      </c>
      <c r="AL389" s="4">
        <f t="shared" si="110"/>
        <v>0</v>
      </c>
      <c r="AM389" s="6" t="s">
        <v>4774</v>
      </c>
      <c r="AN389" t="s">
        <v>6199</v>
      </c>
      <c r="AO389" t="str">
        <f t="shared" ref="AO389:AO452" si="118">IFERROR(CONCATENATE(VLOOKUP(I389,$AP$5:$AR$500,3,0),"  (Host-",VLOOKUP(I389,$AP$5:$AR$500,2,0),")"),"")</f>
        <v/>
      </c>
      <c r="AP389" t="s">
        <v>4789</v>
      </c>
      <c r="AQ389" s="15" t="s">
        <v>4845</v>
      </c>
      <c r="AR389" s="6" t="s">
        <v>4954</v>
      </c>
      <c r="AV389"/>
      <c r="AX389"/>
      <c r="AZ389" t="str">
        <f t="shared" si="111"/>
        <v/>
      </c>
      <c r="BA389" t="str">
        <f t="shared" si="117"/>
        <v/>
      </c>
    </row>
    <row r="390" spans="1:53" ht="13.5">
      <c r="A390" s="135" t="str">
        <f t="shared" si="113"/>
        <v/>
      </c>
      <c r="B390" s="19" t="str">
        <f t="shared" si="114"/>
        <v/>
      </c>
      <c r="C390" s="19" t="str">
        <f t="shared" si="115"/>
        <v/>
      </c>
      <c r="D390" s="19" t="str">
        <f t="shared" si="116"/>
        <v/>
      </c>
      <c r="E390" s="5" t="str">
        <f t="shared" ref="E390:E453" si="119">IF(ISNA(VLOOKUP(I390,AI:AK,2,FALSE)),"",VLOOKUP(I390,AI:AK,2,FALSE))</f>
        <v/>
      </c>
      <c r="F390" s="12" t="str">
        <f t="shared" ref="F390:F453" si="120">IF(ISNA(VLOOKUP(I390,AI:AK,3,FALSE)),"",VLOOKUP(I390,AI:AK,3,FALSE))</f>
        <v/>
      </c>
      <c r="K390" s="9" t="str">
        <f t="shared" ref="K390:K453" si="121">IF(AND(LEFT(L390,3)&lt;&gt;"IB0",LEFT(L390,3)&lt;&gt;"ME0",LEFT(L390,3)&lt;&gt;"PS0",LEFT(L390,3)&lt;&gt;"RY0",LEFT(L390,3)&lt;&gt;"BU0",LEFT(L390,3)&lt;&gt;"IS0",LEFT(L390,3)&lt;&gt;"KA0",LEFT(L390,3)&lt;&gt;"FB0",LEFT(L390,3)&lt;&gt;"MB0",LEFT(L390,3)&lt;&gt;"LH0",LEFT(L390,3)&lt;&gt;"MU0",LEFT(L390,3)&lt;&gt;"AB0"),"",L390)</f>
        <v/>
      </c>
      <c r="L390" s="6">
        <f t="shared" ref="L390:L453" si="122">IF(ISNA(VLOOKUP(I390,$S$5:$S$900,1,FALSE)),I390,"")</f>
        <v>0</v>
      </c>
      <c r="M390" s="6">
        <f t="shared" ref="M390:M453" si="123">IF(OR(LEFT(L390,3)="IB0",LEFT(L390,3)="ME0",LEFT(L390,3)="PS0",LEFT(L390,3)="RY0",LEFT(L390,3)="BU0",LEFT(L390,3)="IS0",LEFT(L390,3)="KA0",LEFT(L390,3)="FB0",LEFT(L390,3)="MB0",LEFT(L390,3)="LH0",LEFT(L390,3)="MU0",LEFT(L390,3)="AB0",),"",L390)</f>
        <v>0</v>
      </c>
      <c r="N390" s="94" t="str">
        <f t="shared" ref="N390:N453" si="124">IF(I390="","",(IF(ISNA(VLOOKUP(M390,$AJ$4:$AK$4000,2,FALSE)),M390,VLOOKUP(M390,$AJ$4:$AK$4000,2,FALSE))))</f>
        <v/>
      </c>
      <c r="O390" s="17"/>
      <c r="P390" s="7"/>
      <c r="Q390" s="5"/>
      <c r="R390"/>
      <c r="S390" s="15"/>
      <c r="T390" s="136" t="str">
        <f t="shared" ref="T390:T453" si="125">IF(ISNA(VLOOKUP(S390,$I$5:$I$900,1,FALSE)),IF(ISBLANK(S390),"","up"),"")</f>
        <v/>
      </c>
      <c r="U390" s="137" t="str">
        <f t="shared" ref="U390:U453" si="126">IF(T390="up",(IF(ISNA(VLOOKUP(S390,$AV$1:$AX$1200,3,FALSE)),"",VLOOKUP(S390,$AV$1:$AX$1200,3,FALSE))),"")</f>
        <v/>
      </c>
      <c r="V390" s="1"/>
      <c r="Y390" s="90" t="str">
        <f t="shared" ref="Y390:Y453" si="127">IFERROR(VLOOKUP(S390,$AV$1:$BA$1200,6,0),"")</f>
        <v/>
      </c>
      <c r="AC390" s="6">
        <v>886411</v>
      </c>
      <c r="AD390" s="6" t="s">
        <v>6976</v>
      </c>
      <c r="AE390" s="158" t="s">
        <v>1132</v>
      </c>
      <c r="AF390" s="159" t="s">
        <v>8299</v>
      </c>
      <c r="AG390" s="160">
        <v>555381</v>
      </c>
      <c r="AH390" s="194" t="s">
        <v>679</v>
      </c>
      <c r="AI390" s="6" t="s">
        <v>1087</v>
      </c>
      <c r="AJ390" s="3" t="s">
        <v>8196</v>
      </c>
      <c r="AK390" t="s">
        <v>8196</v>
      </c>
      <c r="AL390" s="4">
        <f t="shared" ref="AL390:AL453" si="128">COUNTIF(G:G,G390)</f>
        <v>0</v>
      </c>
      <c r="AM390" s="6" t="s">
        <v>4734</v>
      </c>
      <c r="AN390" t="s">
        <v>6200</v>
      </c>
      <c r="AO390" t="str">
        <f t="shared" si="118"/>
        <v/>
      </c>
      <c r="AP390" t="s">
        <v>4739</v>
      </c>
      <c r="AQ390" s="15" t="s">
        <v>4518</v>
      </c>
      <c r="AR390" s="6" t="s">
        <v>4955</v>
      </c>
      <c r="AV390"/>
      <c r="AX390"/>
      <c r="AZ390" t="str">
        <f t="shared" ref="AZ390:AZ453" si="129">IF(ISBLANK(AW390),"",CONCATENATE("(",RIGHT(AW390,5),"-",TEXT(AX390,"h:mm;@"),")"))</f>
        <v/>
      </c>
      <c r="BA390" t="str">
        <f t="shared" ref="BA390:BA453" si="130">IF(AV406=AV390,"",CONCATENATE(IF(AV405=AV390,BA405,""),IF(AV404=AV390,BA404,""),IF(AV403=AV390,BA403,""),IF(AV402=AV390,BA402,""),IF(AV401=AV390,BA401,""),IF(AV400=AV390,BA400,""),IF(AV399=AV390,BA399,""),IF(AV398=AV390,BA398,""),IF(AV397=AV390,BA397,""),IF(AV396=AV390,BA396,""),IF(AV395=AV390,BA395,""),IF(AV394=AV390,BA394,""),IF(AV393=AV390,BA393,""),IF(AV392=AV390,BA392,""),IF(AV391=AV390,BA391,""),IF(AV389=AV390,BA389,""),BA390))</f>
        <v/>
      </c>
    </row>
    <row r="391" spans="1:53" ht="13.5">
      <c r="A391" s="135" t="str">
        <f t="shared" si="113"/>
        <v/>
      </c>
      <c r="B391" s="19" t="str">
        <f t="shared" si="114"/>
        <v/>
      </c>
      <c r="C391" s="19" t="str">
        <f t="shared" si="115"/>
        <v/>
      </c>
      <c r="D391" s="19" t="str">
        <f t="shared" si="116"/>
        <v/>
      </c>
      <c r="E391" s="5" t="str">
        <f t="shared" si="119"/>
        <v/>
      </c>
      <c r="F391" s="12" t="str">
        <f t="shared" si="120"/>
        <v/>
      </c>
      <c r="K391" s="9" t="str">
        <f t="shared" si="121"/>
        <v/>
      </c>
      <c r="L391" s="6">
        <f t="shared" si="122"/>
        <v>0</v>
      </c>
      <c r="M391" s="6">
        <f t="shared" si="123"/>
        <v>0</v>
      </c>
      <c r="N391" s="94" t="str">
        <f t="shared" si="124"/>
        <v/>
      </c>
      <c r="O391" s="17"/>
      <c r="P391" s="7"/>
      <c r="Q391" s="5"/>
      <c r="R391"/>
      <c r="S391" s="15"/>
      <c r="T391" s="136" t="str">
        <f t="shared" si="125"/>
        <v/>
      </c>
      <c r="U391" s="137" t="str">
        <f t="shared" si="126"/>
        <v/>
      </c>
      <c r="V391" s="1"/>
      <c r="Y391" s="90" t="str">
        <f t="shared" si="127"/>
        <v/>
      </c>
      <c r="AC391" s="6" t="s">
        <v>4386</v>
      </c>
      <c r="AD391" s="6" t="s">
        <v>6977</v>
      </c>
      <c r="AE391" s="158" t="s">
        <v>1133</v>
      </c>
      <c r="AF391" s="159" t="s">
        <v>8299</v>
      </c>
      <c r="AG391" s="160">
        <v>555382</v>
      </c>
      <c r="AH391" s="194" t="s">
        <v>679</v>
      </c>
      <c r="AI391" s="6" t="s">
        <v>1523</v>
      </c>
      <c r="AJ391" s="3" t="s">
        <v>8195</v>
      </c>
      <c r="AK391" t="s">
        <v>8195</v>
      </c>
      <c r="AL391" s="4">
        <f t="shared" si="128"/>
        <v>0</v>
      </c>
      <c r="AM391" s="6" t="s">
        <v>4764</v>
      </c>
      <c r="AN391" t="s">
        <v>6201</v>
      </c>
      <c r="AO391" t="str">
        <f t="shared" si="118"/>
        <v/>
      </c>
      <c r="AP391" t="s">
        <v>4741</v>
      </c>
      <c r="AQ391" s="15" t="s">
        <v>4519</v>
      </c>
      <c r="AR391" s="6" t="s">
        <v>4956</v>
      </c>
      <c r="AV391"/>
      <c r="AX391"/>
      <c r="AZ391" t="str">
        <f t="shared" si="129"/>
        <v/>
      </c>
      <c r="BA391" t="str">
        <f t="shared" si="130"/>
        <v/>
      </c>
    </row>
    <row r="392" spans="1:53" ht="13.5">
      <c r="A392" s="135" t="str">
        <f t="shared" si="113"/>
        <v/>
      </c>
      <c r="B392" s="19" t="str">
        <f t="shared" si="114"/>
        <v/>
      </c>
      <c r="C392" s="19" t="str">
        <f t="shared" si="115"/>
        <v/>
      </c>
      <c r="D392" s="19" t="str">
        <f t="shared" si="116"/>
        <v/>
      </c>
      <c r="E392" s="5" t="str">
        <f t="shared" si="119"/>
        <v/>
      </c>
      <c r="F392" s="12" t="str">
        <f t="shared" si="120"/>
        <v/>
      </c>
      <c r="K392" s="9" t="str">
        <f t="shared" si="121"/>
        <v/>
      </c>
      <c r="L392" s="6">
        <f t="shared" si="122"/>
        <v>0</v>
      </c>
      <c r="M392" s="6">
        <f t="shared" si="123"/>
        <v>0</v>
      </c>
      <c r="N392" s="94" t="str">
        <f t="shared" si="124"/>
        <v/>
      </c>
      <c r="O392" s="17"/>
      <c r="P392" s="7"/>
      <c r="Q392" s="5"/>
      <c r="R392"/>
      <c r="S392" s="15"/>
      <c r="T392" s="136" t="str">
        <f t="shared" si="125"/>
        <v/>
      </c>
      <c r="U392" s="137" t="str">
        <f t="shared" si="126"/>
        <v/>
      </c>
      <c r="V392" s="1"/>
      <c r="Y392" s="90" t="str">
        <f t="shared" si="127"/>
        <v/>
      </c>
      <c r="AC392" s="6">
        <v>165824</v>
      </c>
      <c r="AD392" s="6" t="s">
        <v>6978</v>
      </c>
      <c r="AE392" s="158">
        <v>213529</v>
      </c>
      <c r="AF392" s="159" t="s">
        <v>8299</v>
      </c>
      <c r="AG392" s="160">
        <v>555383</v>
      </c>
      <c r="AH392" s="194" t="s">
        <v>679</v>
      </c>
      <c r="AI392" s="6" t="s">
        <v>1090</v>
      </c>
      <c r="AJ392" s="3" t="s">
        <v>8201</v>
      </c>
      <c r="AK392" t="s">
        <v>8666</v>
      </c>
      <c r="AL392" s="4">
        <f t="shared" si="128"/>
        <v>0</v>
      </c>
      <c r="AM392" s="6" t="s">
        <v>5183</v>
      </c>
      <c r="AN392" t="s">
        <v>6202</v>
      </c>
      <c r="AO392" t="str">
        <f t="shared" si="118"/>
        <v/>
      </c>
      <c r="AP392" t="s">
        <v>4744</v>
      </c>
      <c r="AQ392" s="15" t="s">
        <v>4841</v>
      </c>
      <c r="AR392" s="6" t="s">
        <v>4957</v>
      </c>
      <c r="AV392"/>
      <c r="AX392"/>
      <c r="AZ392" t="str">
        <f t="shared" si="129"/>
        <v/>
      </c>
      <c r="BA392" t="str">
        <f t="shared" si="130"/>
        <v/>
      </c>
    </row>
    <row r="393" spans="1:53" ht="13.5">
      <c r="A393" s="135" t="str">
        <f t="shared" si="113"/>
        <v/>
      </c>
      <c r="B393" s="19" t="str">
        <f t="shared" si="114"/>
        <v/>
      </c>
      <c r="C393" s="19" t="str">
        <f t="shared" si="115"/>
        <v/>
      </c>
      <c r="D393" s="19" t="str">
        <f t="shared" si="116"/>
        <v/>
      </c>
      <c r="E393" s="5" t="str">
        <f t="shared" si="119"/>
        <v/>
      </c>
      <c r="F393" s="12" t="str">
        <f t="shared" si="120"/>
        <v/>
      </c>
      <c r="K393" s="9" t="str">
        <f t="shared" si="121"/>
        <v/>
      </c>
      <c r="L393" s="6">
        <f t="shared" si="122"/>
        <v>0</v>
      </c>
      <c r="M393" s="6">
        <f t="shared" si="123"/>
        <v>0</v>
      </c>
      <c r="N393" s="94" t="str">
        <f t="shared" si="124"/>
        <v/>
      </c>
      <c r="O393" s="17"/>
      <c r="P393" s="7"/>
      <c r="Q393" s="5"/>
      <c r="R393"/>
      <c r="S393" s="15"/>
      <c r="T393" s="136" t="str">
        <f t="shared" si="125"/>
        <v/>
      </c>
      <c r="U393" s="137" t="str">
        <f t="shared" si="126"/>
        <v/>
      </c>
      <c r="V393" s="1"/>
      <c r="Y393" s="90" t="str">
        <f t="shared" si="127"/>
        <v/>
      </c>
      <c r="AC393" s="6" t="s">
        <v>4244</v>
      </c>
      <c r="AD393" s="6" t="s">
        <v>6979</v>
      </c>
      <c r="AE393" s="158" t="s">
        <v>4301</v>
      </c>
      <c r="AF393" s="159" t="s">
        <v>8299</v>
      </c>
      <c r="AG393" s="160">
        <v>565384</v>
      </c>
      <c r="AH393" s="194" t="s">
        <v>679</v>
      </c>
      <c r="AI393" s="6" t="s">
        <v>967</v>
      </c>
      <c r="AJ393" s="3" t="s">
        <v>8196</v>
      </c>
      <c r="AK393" t="s">
        <v>8196</v>
      </c>
      <c r="AL393" s="4">
        <f t="shared" si="128"/>
        <v>0</v>
      </c>
      <c r="AM393" s="6" t="s">
        <v>4740</v>
      </c>
      <c r="AN393" t="s">
        <v>6203</v>
      </c>
      <c r="AO393" t="str">
        <f t="shared" si="118"/>
        <v/>
      </c>
      <c r="AP393" t="s">
        <v>4756</v>
      </c>
      <c r="AQ393" s="15" t="s">
        <v>4512</v>
      </c>
      <c r="AR393" s="6">
        <v>1056</v>
      </c>
      <c r="AV393"/>
      <c r="AX393"/>
      <c r="AZ393" t="str">
        <f t="shared" si="129"/>
        <v/>
      </c>
      <c r="BA393" t="str">
        <f t="shared" si="130"/>
        <v/>
      </c>
    </row>
    <row r="394" spans="1:53" ht="13.5">
      <c r="A394" s="135" t="str">
        <f t="shared" si="113"/>
        <v/>
      </c>
      <c r="B394" s="19" t="str">
        <f t="shared" si="114"/>
        <v/>
      </c>
      <c r="C394" s="19" t="str">
        <f t="shared" si="115"/>
        <v/>
      </c>
      <c r="D394" s="19" t="str">
        <f t="shared" si="116"/>
        <v/>
      </c>
      <c r="E394" s="5" t="str">
        <f t="shared" si="119"/>
        <v/>
      </c>
      <c r="F394" s="12" t="str">
        <f t="shared" si="120"/>
        <v/>
      </c>
      <c r="K394" s="9" t="str">
        <f t="shared" si="121"/>
        <v/>
      </c>
      <c r="L394" s="6">
        <f t="shared" si="122"/>
        <v>0</v>
      </c>
      <c r="M394" s="6">
        <f t="shared" si="123"/>
        <v>0</v>
      </c>
      <c r="N394" s="94" t="str">
        <f t="shared" si="124"/>
        <v/>
      </c>
      <c r="O394" s="17"/>
      <c r="P394" s="7"/>
      <c r="Q394" s="5"/>
      <c r="R394"/>
      <c r="S394" s="15"/>
      <c r="T394" s="136" t="str">
        <f t="shared" si="125"/>
        <v/>
      </c>
      <c r="U394" s="137" t="str">
        <f t="shared" si="126"/>
        <v/>
      </c>
      <c r="V394" s="1"/>
      <c r="Y394" s="90" t="str">
        <f t="shared" si="127"/>
        <v/>
      </c>
      <c r="AC394" s="6" t="s">
        <v>4089</v>
      </c>
      <c r="AD394" s="6" t="s">
        <v>6980</v>
      </c>
      <c r="AE394" s="158" t="s">
        <v>4302</v>
      </c>
      <c r="AF394" s="159" t="s">
        <v>8300</v>
      </c>
      <c r="AG394" s="160">
        <v>575385</v>
      </c>
      <c r="AH394" s="194" t="s">
        <v>678</v>
      </c>
      <c r="AI394" s="6" t="s">
        <v>976</v>
      </c>
      <c r="AJ394" s="3" t="s">
        <v>8216</v>
      </c>
      <c r="AK394" t="s">
        <v>8216</v>
      </c>
      <c r="AL394" s="4">
        <f t="shared" si="128"/>
        <v>0</v>
      </c>
      <c r="AM394" s="6" t="s">
        <v>105</v>
      </c>
      <c r="AN394" t="s">
        <v>6204</v>
      </c>
      <c r="AO394" t="str">
        <f t="shared" si="118"/>
        <v/>
      </c>
      <c r="AP394" t="s">
        <v>4750</v>
      </c>
      <c r="AQ394" s="15" t="s">
        <v>4518</v>
      </c>
      <c r="AR394" s="6" t="s">
        <v>4958</v>
      </c>
      <c r="AV394"/>
      <c r="AX394"/>
      <c r="AZ394" t="str">
        <f t="shared" si="129"/>
        <v/>
      </c>
      <c r="BA394" t="str">
        <f t="shared" si="130"/>
        <v/>
      </c>
    </row>
    <row r="395" spans="1:53" ht="13.5">
      <c r="A395" s="135" t="str">
        <f t="shared" si="113"/>
        <v/>
      </c>
      <c r="B395" s="19" t="str">
        <f t="shared" si="114"/>
        <v/>
      </c>
      <c r="C395" s="19" t="str">
        <f t="shared" si="115"/>
        <v/>
      </c>
      <c r="D395" s="19" t="str">
        <f t="shared" si="116"/>
        <v/>
      </c>
      <c r="E395" s="5" t="str">
        <f t="shared" si="119"/>
        <v/>
      </c>
      <c r="F395" s="12" t="str">
        <f t="shared" si="120"/>
        <v/>
      </c>
      <c r="K395" s="9" t="str">
        <f t="shared" si="121"/>
        <v/>
      </c>
      <c r="L395" s="6">
        <f t="shared" si="122"/>
        <v>0</v>
      </c>
      <c r="M395" s="6">
        <f t="shared" si="123"/>
        <v>0</v>
      </c>
      <c r="N395" s="94" t="str">
        <f t="shared" si="124"/>
        <v/>
      </c>
      <c r="O395" s="17"/>
      <c r="P395" s="7"/>
      <c r="Q395" s="5"/>
      <c r="R395"/>
      <c r="S395" s="15"/>
      <c r="T395" s="136" t="str">
        <f t="shared" si="125"/>
        <v/>
      </c>
      <c r="U395" s="137" t="str">
        <f t="shared" si="126"/>
        <v/>
      </c>
      <c r="V395" s="1"/>
      <c r="Y395" s="90" t="str">
        <f t="shared" si="127"/>
        <v/>
      </c>
      <c r="AC395" s="6" t="s">
        <v>4382</v>
      </c>
      <c r="AD395" s="6" t="s">
        <v>6981</v>
      </c>
      <c r="AE395" s="158">
        <v>313557</v>
      </c>
      <c r="AF395" s="159" t="s">
        <v>8299</v>
      </c>
      <c r="AG395" s="160">
        <v>575386</v>
      </c>
      <c r="AH395" s="194" t="s">
        <v>678</v>
      </c>
      <c r="AI395" s="6" t="s">
        <v>1524</v>
      </c>
      <c r="AJ395" s="3" t="s">
        <v>8196</v>
      </c>
      <c r="AK395" t="s">
        <v>8196</v>
      </c>
      <c r="AL395" s="4">
        <f t="shared" si="128"/>
        <v>0</v>
      </c>
      <c r="AM395" s="6" t="s">
        <v>4828</v>
      </c>
      <c r="AN395" t="s">
        <v>6205</v>
      </c>
      <c r="AO395" t="str">
        <f t="shared" si="118"/>
        <v/>
      </c>
      <c r="AP395" t="s">
        <v>4731</v>
      </c>
      <c r="AQ395" s="15" t="s">
        <v>4519</v>
      </c>
      <c r="AR395" s="6" t="s">
        <v>4959</v>
      </c>
      <c r="AV395"/>
      <c r="AX395"/>
      <c r="AZ395" t="str">
        <f t="shared" si="129"/>
        <v/>
      </c>
      <c r="BA395" t="str">
        <f t="shared" si="130"/>
        <v/>
      </c>
    </row>
    <row r="396" spans="1:53" ht="13.5">
      <c r="A396" s="135" t="str">
        <f t="shared" si="113"/>
        <v/>
      </c>
      <c r="B396" s="19" t="str">
        <f t="shared" si="114"/>
        <v/>
      </c>
      <c r="C396" s="19" t="str">
        <f t="shared" si="115"/>
        <v/>
      </c>
      <c r="D396" s="19" t="str">
        <f t="shared" si="116"/>
        <v/>
      </c>
      <c r="E396" s="5" t="str">
        <f t="shared" si="119"/>
        <v/>
      </c>
      <c r="F396" s="12" t="str">
        <f t="shared" si="120"/>
        <v/>
      </c>
      <c r="K396" s="9" t="str">
        <f t="shared" si="121"/>
        <v/>
      </c>
      <c r="L396" s="6">
        <f t="shared" si="122"/>
        <v>0</v>
      </c>
      <c r="M396" s="6">
        <f t="shared" si="123"/>
        <v>0</v>
      </c>
      <c r="N396" s="94" t="str">
        <f t="shared" si="124"/>
        <v/>
      </c>
      <c r="O396" s="17"/>
      <c r="P396" s="7"/>
      <c r="Q396" s="5"/>
      <c r="R396"/>
      <c r="S396" s="15"/>
      <c r="T396" s="136" t="str">
        <f t="shared" si="125"/>
        <v/>
      </c>
      <c r="U396" s="137" t="str">
        <f t="shared" si="126"/>
        <v/>
      </c>
      <c r="V396" s="1"/>
      <c r="Y396" s="90" t="str">
        <f t="shared" si="127"/>
        <v/>
      </c>
      <c r="AC396" s="6" t="s">
        <v>4091</v>
      </c>
      <c r="AD396" s="6" t="s">
        <v>6982</v>
      </c>
      <c r="AE396" s="158">
        <v>313566</v>
      </c>
      <c r="AF396" s="159" t="s">
        <v>8299</v>
      </c>
      <c r="AG396" s="160">
        <v>585389</v>
      </c>
      <c r="AH396" s="194" t="s">
        <v>1314</v>
      </c>
      <c r="AI396" s="6" t="s">
        <v>1525</v>
      </c>
      <c r="AJ396" s="3" t="s">
        <v>8196</v>
      </c>
      <c r="AK396" t="s">
        <v>8196</v>
      </c>
      <c r="AL396" s="4">
        <f t="shared" si="128"/>
        <v>0</v>
      </c>
      <c r="AM396" s="6" t="s">
        <v>3049</v>
      </c>
      <c r="AN396" t="s">
        <v>6206</v>
      </c>
      <c r="AO396" t="str">
        <f t="shared" si="118"/>
        <v/>
      </c>
      <c r="AP396" t="s">
        <v>4006</v>
      </c>
      <c r="AQ396" s="15" t="s">
        <v>4518</v>
      </c>
      <c r="AR396" s="6" t="s">
        <v>4960</v>
      </c>
      <c r="AV396"/>
      <c r="AX396"/>
      <c r="AZ396" t="str">
        <f t="shared" si="129"/>
        <v/>
      </c>
      <c r="BA396" t="str">
        <f t="shared" si="130"/>
        <v/>
      </c>
    </row>
    <row r="397" spans="1:53" ht="13.5">
      <c r="A397" s="135" t="str">
        <f t="shared" si="113"/>
        <v/>
      </c>
      <c r="B397" s="19" t="str">
        <f t="shared" si="114"/>
        <v/>
      </c>
      <c r="C397" s="19" t="str">
        <f t="shared" si="115"/>
        <v/>
      </c>
      <c r="D397" s="19" t="str">
        <f t="shared" si="116"/>
        <v/>
      </c>
      <c r="E397" s="5" t="str">
        <f t="shared" si="119"/>
        <v/>
      </c>
      <c r="F397" s="12" t="str">
        <f t="shared" si="120"/>
        <v/>
      </c>
      <c r="K397" s="9" t="str">
        <f t="shared" si="121"/>
        <v/>
      </c>
      <c r="L397" s="6">
        <f t="shared" si="122"/>
        <v>0</v>
      </c>
      <c r="M397" s="6">
        <f t="shared" si="123"/>
        <v>0</v>
      </c>
      <c r="N397" s="94" t="str">
        <f t="shared" si="124"/>
        <v/>
      </c>
      <c r="O397" s="17"/>
      <c r="P397" s="7"/>
      <c r="Q397" s="5"/>
      <c r="R397"/>
      <c r="S397" s="15"/>
      <c r="T397" s="136" t="str">
        <f t="shared" si="125"/>
        <v/>
      </c>
      <c r="U397" s="137" t="str">
        <f t="shared" si="126"/>
        <v/>
      </c>
      <c r="V397" s="1"/>
      <c r="Y397" s="90" t="str">
        <f t="shared" si="127"/>
        <v/>
      </c>
      <c r="AC397" s="6" t="s">
        <v>4387</v>
      </c>
      <c r="AD397" s="6" t="s">
        <v>6983</v>
      </c>
      <c r="AE397" s="158" t="s">
        <v>3547</v>
      </c>
      <c r="AF397" s="159" t="s">
        <v>8299</v>
      </c>
      <c r="AG397" s="160">
        <v>585390</v>
      </c>
      <c r="AH397" s="194" t="s">
        <v>679</v>
      </c>
      <c r="AI397" s="6" t="s">
        <v>1095</v>
      </c>
      <c r="AJ397" s="3" t="s">
        <v>8201</v>
      </c>
      <c r="AK397" t="s">
        <v>8666</v>
      </c>
      <c r="AL397" s="4">
        <f t="shared" si="128"/>
        <v>0</v>
      </c>
      <c r="AM397" s="6" t="s">
        <v>4829</v>
      </c>
      <c r="AN397" t="s">
        <v>6207</v>
      </c>
      <c r="AO397" t="str">
        <f t="shared" si="118"/>
        <v/>
      </c>
      <c r="AP397" t="s">
        <v>2228</v>
      </c>
      <c r="AQ397" s="15" t="s">
        <v>4841</v>
      </c>
      <c r="AR397" s="6" t="s">
        <v>4961</v>
      </c>
      <c r="AV397"/>
      <c r="AX397"/>
      <c r="AZ397" t="str">
        <f t="shared" si="129"/>
        <v/>
      </c>
      <c r="BA397" t="str">
        <f t="shared" si="130"/>
        <v/>
      </c>
    </row>
    <row r="398" spans="1:53" ht="13.5">
      <c r="A398" s="135" t="str">
        <f t="shared" si="113"/>
        <v/>
      </c>
      <c r="B398" s="19" t="str">
        <f t="shared" si="114"/>
        <v/>
      </c>
      <c r="C398" s="19" t="str">
        <f t="shared" si="115"/>
        <v/>
      </c>
      <c r="D398" s="19" t="str">
        <f t="shared" si="116"/>
        <v/>
      </c>
      <c r="E398" s="5" t="str">
        <f t="shared" si="119"/>
        <v/>
      </c>
      <c r="F398" s="12" t="str">
        <f t="shared" si="120"/>
        <v/>
      </c>
      <c r="K398" s="9" t="str">
        <f t="shared" si="121"/>
        <v/>
      </c>
      <c r="L398" s="6">
        <f t="shared" si="122"/>
        <v>0</v>
      </c>
      <c r="M398" s="6">
        <f t="shared" si="123"/>
        <v>0</v>
      </c>
      <c r="N398" s="94" t="str">
        <f t="shared" si="124"/>
        <v/>
      </c>
      <c r="O398" s="17"/>
      <c r="P398" s="7"/>
      <c r="Q398" s="5"/>
      <c r="R398"/>
      <c r="S398" s="15"/>
      <c r="T398" s="136" t="str">
        <f t="shared" si="125"/>
        <v/>
      </c>
      <c r="U398" s="137" t="str">
        <f t="shared" si="126"/>
        <v/>
      </c>
      <c r="V398" s="1"/>
      <c r="Y398" s="90" t="str">
        <f t="shared" si="127"/>
        <v/>
      </c>
      <c r="AC398" s="6" t="s">
        <v>4090</v>
      </c>
      <c r="AD398" s="6" t="s">
        <v>6984</v>
      </c>
      <c r="AE398" s="158" t="s">
        <v>4303</v>
      </c>
      <c r="AF398" s="159" t="s">
        <v>8299</v>
      </c>
      <c r="AG398" s="160">
        <v>585391</v>
      </c>
      <c r="AH398" s="194" t="s">
        <v>679</v>
      </c>
      <c r="AI398" s="6" t="s">
        <v>1653</v>
      </c>
      <c r="AJ398" s="3" t="s">
        <v>8196</v>
      </c>
      <c r="AK398" t="s">
        <v>8196</v>
      </c>
      <c r="AL398" s="4">
        <f t="shared" si="128"/>
        <v>0</v>
      </c>
      <c r="AM398" s="6" t="s">
        <v>4830</v>
      </c>
      <c r="AN398" t="s">
        <v>6208</v>
      </c>
      <c r="AO398" t="str">
        <f t="shared" si="118"/>
        <v/>
      </c>
      <c r="AP398" t="s">
        <v>4766</v>
      </c>
      <c r="AQ398" s="15" t="s">
        <v>4841</v>
      </c>
      <c r="AR398" s="6" t="s">
        <v>4962</v>
      </c>
      <c r="AV398"/>
      <c r="AX398"/>
      <c r="AZ398" t="str">
        <f t="shared" si="129"/>
        <v/>
      </c>
      <c r="BA398" t="str">
        <f t="shared" si="130"/>
        <v/>
      </c>
    </row>
    <row r="399" spans="1:53" ht="13.5">
      <c r="A399" s="135" t="str">
        <f t="shared" si="113"/>
        <v/>
      </c>
      <c r="B399" s="19" t="str">
        <f t="shared" si="114"/>
        <v/>
      </c>
      <c r="C399" s="19" t="str">
        <f t="shared" si="115"/>
        <v/>
      </c>
      <c r="D399" s="19" t="str">
        <f t="shared" si="116"/>
        <v/>
      </c>
      <c r="E399" s="5" t="str">
        <f t="shared" si="119"/>
        <v/>
      </c>
      <c r="F399" s="12" t="str">
        <f t="shared" si="120"/>
        <v/>
      </c>
      <c r="K399" s="9" t="str">
        <f t="shared" si="121"/>
        <v/>
      </c>
      <c r="L399" s="6">
        <f t="shared" si="122"/>
        <v>0</v>
      </c>
      <c r="M399" s="6">
        <f t="shared" si="123"/>
        <v>0</v>
      </c>
      <c r="N399" s="94" t="str">
        <f t="shared" si="124"/>
        <v/>
      </c>
      <c r="O399" s="17"/>
      <c r="P399" s="7"/>
      <c r="Q399" s="5"/>
      <c r="R399"/>
      <c r="S399" s="15"/>
      <c r="T399" s="136" t="str">
        <f t="shared" si="125"/>
        <v/>
      </c>
      <c r="U399" s="137" t="str">
        <f t="shared" si="126"/>
        <v/>
      </c>
      <c r="V399" s="1"/>
      <c r="Y399" s="90" t="str">
        <f t="shared" si="127"/>
        <v/>
      </c>
      <c r="AC399" s="6">
        <v>175840</v>
      </c>
      <c r="AD399" s="6" t="s">
        <v>6985</v>
      </c>
      <c r="AE399" s="158" t="s">
        <v>4304</v>
      </c>
      <c r="AF399" s="159" t="s">
        <v>8300</v>
      </c>
      <c r="AG399" s="160">
        <v>585392</v>
      </c>
      <c r="AH399" s="194" t="s">
        <v>679</v>
      </c>
      <c r="AI399" s="6" t="s">
        <v>1100</v>
      </c>
      <c r="AJ399" s="3" t="s">
        <v>8196</v>
      </c>
      <c r="AK399" t="s">
        <v>8196</v>
      </c>
      <c r="AL399" s="4">
        <f t="shared" si="128"/>
        <v>0</v>
      </c>
      <c r="AM399" s="6" t="s">
        <v>4831</v>
      </c>
      <c r="AN399" t="s">
        <v>6209</v>
      </c>
      <c r="AO399" t="str">
        <f t="shared" si="118"/>
        <v/>
      </c>
      <c r="AP399" t="s">
        <v>4706</v>
      </c>
      <c r="AQ399" s="15" t="s">
        <v>4519</v>
      </c>
      <c r="AR399" s="6" t="s">
        <v>4963</v>
      </c>
      <c r="AV399"/>
      <c r="AX399"/>
      <c r="AZ399" t="str">
        <f t="shared" si="129"/>
        <v/>
      </c>
      <c r="BA399" t="str">
        <f t="shared" si="130"/>
        <v/>
      </c>
    </row>
    <row r="400" spans="1:53" ht="13.5">
      <c r="A400" s="135" t="str">
        <f t="shared" si="113"/>
        <v/>
      </c>
      <c r="B400" s="19" t="str">
        <f t="shared" si="114"/>
        <v/>
      </c>
      <c r="C400" s="19" t="str">
        <f t="shared" si="115"/>
        <v/>
      </c>
      <c r="D400" s="19" t="str">
        <f t="shared" si="116"/>
        <v/>
      </c>
      <c r="E400" s="5" t="str">
        <f t="shared" si="119"/>
        <v/>
      </c>
      <c r="F400" s="12" t="str">
        <f t="shared" si="120"/>
        <v/>
      </c>
      <c r="K400" s="9" t="str">
        <f t="shared" si="121"/>
        <v/>
      </c>
      <c r="L400" s="6">
        <f t="shared" si="122"/>
        <v>0</v>
      </c>
      <c r="M400" s="6">
        <f t="shared" si="123"/>
        <v>0</v>
      </c>
      <c r="N400" s="94" t="str">
        <f t="shared" si="124"/>
        <v/>
      </c>
      <c r="O400" s="17"/>
      <c r="P400" s="7"/>
      <c r="Q400" s="5"/>
      <c r="R400"/>
      <c r="S400" s="37"/>
      <c r="T400" s="136" t="str">
        <f t="shared" si="125"/>
        <v/>
      </c>
      <c r="U400" s="137" t="str">
        <f t="shared" si="126"/>
        <v/>
      </c>
      <c r="V400" s="1"/>
      <c r="Y400" s="90" t="str">
        <f t="shared" si="127"/>
        <v/>
      </c>
      <c r="AC400" s="6" t="s">
        <v>4211</v>
      </c>
      <c r="AD400" s="6" t="s">
        <v>6986</v>
      </c>
      <c r="AE400" s="158" t="s">
        <v>4305</v>
      </c>
      <c r="AF400" s="159" t="s">
        <v>8300</v>
      </c>
      <c r="AG400" s="160">
        <v>585393</v>
      </c>
      <c r="AH400" s="194" t="s">
        <v>679</v>
      </c>
      <c r="AI400" s="6" t="s">
        <v>1102</v>
      </c>
      <c r="AJ400" s="3" t="s">
        <v>8228</v>
      </c>
      <c r="AK400" t="s">
        <v>8228</v>
      </c>
      <c r="AL400" s="4">
        <f t="shared" si="128"/>
        <v>0</v>
      </c>
      <c r="AM400" s="6" t="s">
        <v>4832</v>
      </c>
      <c r="AN400" t="s">
        <v>6210</v>
      </c>
      <c r="AO400" t="str">
        <f t="shared" si="118"/>
        <v/>
      </c>
      <c r="AP400" t="s">
        <v>4742</v>
      </c>
      <c r="AQ400" s="15" t="s">
        <v>4519</v>
      </c>
      <c r="AR400" s="6" t="s">
        <v>4964</v>
      </c>
      <c r="AV400"/>
      <c r="AX400"/>
      <c r="AZ400" t="str">
        <f t="shared" si="129"/>
        <v/>
      </c>
      <c r="BA400" t="str">
        <f t="shared" si="130"/>
        <v/>
      </c>
    </row>
    <row r="401" spans="1:53" ht="13.5">
      <c r="A401" s="135" t="str">
        <f t="shared" si="113"/>
        <v/>
      </c>
      <c r="B401" s="19" t="str">
        <f t="shared" si="114"/>
        <v/>
      </c>
      <c r="C401" s="19" t="str">
        <f t="shared" si="115"/>
        <v/>
      </c>
      <c r="D401" s="19" t="str">
        <f t="shared" si="116"/>
        <v/>
      </c>
      <c r="E401" s="5" t="str">
        <f t="shared" si="119"/>
        <v/>
      </c>
      <c r="F401" s="12" t="str">
        <f t="shared" si="120"/>
        <v/>
      </c>
      <c r="K401" s="9" t="str">
        <f t="shared" si="121"/>
        <v/>
      </c>
      <c r="L401" s="6">
        <f t="shared" si="122"/>
        <v>0</v>
      </c>
      <c r="M401" s="6">
        <f t="shared" si="123"/>
        <v>0</v>
      </c>
      <c r="N401" s="94" t="str">
        <f t="shared" si="124"/>
        <v/>
      </c>
      <c r="O401" s="6"/>
      <c r="P401" s="6"/>
      <c r="Q401" s="6"/>
      <c r="R401" s="6"/>
      <c r="T401" s="136" t="str">
        <f t="shared" si="125"/>
        <v/>
      </c>
      <c r="U401" s="137" t="str">
        <f t="shared" si="126"/>
        <v/>
      </c>
      <c r="V401" s="1"/>
      <c r="Y401" s="90" t="str">
        <f t="shared" si="127"/>
        <v/>
      </c>
      <c r="AC401" s="6" t="s">
        <v>4242</v>
      </c>
      <c r="AD401" s="6" t="s">
        <v>6987</v>
      </c>
      <c r="AE401" s="158" t="s">
        <v>4306</v>
      </c>
      <c r="AF401" s="159" t="s">
        <v>8300</v>
      </c>
      <c r="AG401" s="160">
        <v>585394</v>
      </c>
      <c r="AH401" s="194" t="s">
        <v>679</v>
      </c>
      <c r="AI401" s="6" t="s">
        <v>1667</v>
      </c>
      <c r="AJ401" s="3" t="s">
        <v>8209</v>
      </c>
      <c r="AK401" t="s">
        <v>8209</v>
      </c>
      <c r="AL401" s="4">
        <f t="shared" si="128"/>
        <v>0</v>
      </c>
      <c r="AM401" s="6" t="s">
        <v>4833</v>
      </c>
      <c r="AN401" t="s">
        <v>6211</v>
      </c>
      <c r="AO401" t="str">
        <f t="shared" si="118"/>
        <v/>
      </c>
      <c r="AP401" t="s">
        <v>4774</v>
      </c>
      <c r="AQ401" s="15" t="s">
        <v>4841</v>
      </c>
      <c r="AR401" s="6" t="s">
        <v>4965</v>
      </c>
      <c r="AV401"/>
      <c r="AX401"/>
      <c r="AZ401" t="str">
        <f t="shared" si="129"/>
        <v/>
      </c>
      <c r="BA401" t="str">
        <f t="shared" si="130"/>
        <v/>
      </c>
    </row>
    <row r="402" spans="1:53" ht="13.5">
      <c r="A402" s="135" t="str">
        <f t="shared" si="113"/>
        <v/>
      </c>
      <c r="B402" s="19" t="str">
        <f t="shared" si="114"/>
        <v/>
      </c>
      <c r="C402" s="19" t="str">
        <f t="shared" si="115"/>
        <v/>
      </c>
      <c r="D402" s="19" t="str">
        <f t="shared" si="116"/>
        <v/>
      </c>
      <c r="E402" s="5" t="str">
        <f t="shared" si="119"/>
        <v/>
      </c>
      <c r="F402" s="12" t="str">
        <f t="shared" si="120"/>
        <v/>
      </c>
      <c r="K402" s="9" t="str">
        <f t="shared" si="121"/>
        <v/>
      </c>
      <c r="L402" s="6">
        <f t="shared" si="122"/>
        <v>0</v>
      </c>
      <c r="M402" s="6">
        <f t="shared" si="123"/>
        <v>0</v>
      </c>
      <c r="N402" s="94" t="str">
        <f t="shared" si="124"/>
        <v/>
      </c>
      <c r="O402" s="6"/>
      <c r="P402" s="6"/>
      <c r="Q402" s="6"/>
      <c r="R402" s="6"/>
      <c r="T402" s="136" t="str">
        <f t="shared" si="125"/>
        <v/>
      </c>
      <c r="U402" s="137" t="str">
        <f t="shared" si="126"/>
        <v/>
      </c>
      <c r="V402" s="1"/>
      <c r="Y402" s="90" t="str">
        <f t="shared" si="127"/>
        <v/>
      </c>
      <c r="AC402" s="6" t="s">
        <v>4243</v>
      </c>
      <c r="AD402" s="6" t="s">
        <v>6987</v>
      </c>
      <c r="AE402" s="158" t="s">
        <v>4307</v>
      </c>
      <c r="AF402" s="159" t="s">
        <v>8300</v>
      </c>
      <c r="AG402" s="160">
        <v>595395</v>
      </c>
      <c r="AH402" s="194" t="s">
        <v>679</v>
      </c>
      <c r="AI402" s="6" t="s">
        <v>1662</v>
      </c>
      <c r="AJ402" s="3" t="s">
        <v>8196</v>
      </c>
      <c r="AK402" t="s">
        <v>8196</v>
      </c>
      <c r="AL402" s="4">
        <f t="shared" si="128"/>
        <v>0</v>
      </c>
      <c r="AM402" s="6" t="s">
        <v>4834</v>
      </c>
      <c r="AN402" t="s">
        <v>6212</v>
      </c>
      <c r="AO402" t="str">
        <f t="shared" si="118"/>
        <v/>
      </c>
      <c r="AP402" t="s">
        <v>4734</v>
      </c>
      <c r="AQ402" s="15" t="s">
        <v>4842</v>
      </c>
      <c r="AR402" s="6" t="s">
        <v>4966</v>
      </c>
      <c r="AV402"/>
      <c r="AX402"/>
      <c r="AZ402" t="str">
        <f t="shared" si="129"/>
        <v/>
      </c>
      <c r="BA402" t="str">
        <f t="shared" si="130"/>
        <v/>
      </c>
    </row>
    <row r="403" spans="1:53" ht="13.5">
      <c r="A403" s="135" t="str">
        <f t="shared" si="113"/>
        <v/>
      </c>
      <c r="B403" s="19" t="str">
        <f t="shared" si="114"/>
        <v/>
      </c>
      <c r="C403" s="19" t="str">
        <f t="shared" si="115"/>
        <v/>
      </c>
      <c r="D403" s="19" t="str">
        <f t="shared" si="116"/>
        <v/>
      </c>
      <c r="E403" s="5" t="str">
        <f t="shared" si="119"/>
        <v/>
      </c>
      <c r="F403" s="12" t="str">
        <f t="shared" si="120"/>
        <v/>
      </c>
      <c r="K403" s="9" t="str">
        <f t="shared" si="121"/>
        <v/>
      </c>
      <c r="L403" s="6">
        <f t="shared" si="122"/>
        <v>0</v>
      </c>
      <c r="M403" s="6">
        <f t="shared" si="123"/>
        <v>0</v>
      </c>
      <c r="N403" s="94" t="str">
        <f t="shared" si="124"/>
        <v/>
      </c>
      <c r="O403" s="6"/>
      <c r="P403" s="6"/>
      <c r="Q403" s="6"/>
      <c r="R403" s="6"/>
      <c r="T403" s="136" t="str">
        <f t="shared" si="125"/>
        <v/>
      </c>
      <c r="U403" s="137" t="str">
        <f t="shared" si="126"/>
        <v/>
      </c>
      <c r="V403" s="1"/>
      <c r="Y403" s="90" t="str">
        <f t="shared" si="127"/>
        <v/>
      </c>
      <c r="AC403" s="6" t="s">
        <v>4223</v>
      </c>
      <c r="AD403" s="6" t="s">
        <v>6988</v>
      </c>
      <c r="AE403" s="158" t="s">
        <v>5522</v>
      </c>
      <c r="AF403" s="159" t="s">
        <v>8299</v>
      </c>
      <c r="AG403" s="160">
        <v>595396</v>
      </c>
      <c r="AH403" s="194" t="s">
        <v>1314</v>
      </c>
      <c r="AI403" s="6" t="s">
        <v>1668</v>
      </c>
      <c r="AJ403" s="3" t="s">
        <v>8209</v>
      </c>
      <c r="AK403" t="s">
        <v>8209</v>
      </c>
      <c r="AL403" s="4">
        <f t="shared" si="128"/>
        <v>0</v>
      </c>
      <c r="AM403" s="6" t="s">
        <v>4835</v>
      </c>
      <c r="AN403" t="s">
        <v>6213</v>
      </c>
      <c r="AO403" t="str">
        <f t="shared" si="118"/>
        <v/>
      </c>
      <c r="AP403" t="s">
        <v>4764</v>
      </c>
      <c r="AQ403" s="15" t="s">
        <v>4841</v>
      </c>
      <c r="AR403" s="6" t="s">
        <v>4967</v>
      </c>
      <c r="AV403"/>
      <c r="AX403"/>
      <c r="AZ403" t="str">
        <f t="shared" si="129"/>
        <v/>
      </c>
      <c r="BA403" t="str">
        <f t="shared" si="130"/>
        <v/>
      </c>
    </row>
    <row r="404" spans="1:53" ht="13.5">
      <c r="A404" s="135" t="str">
        <f t="shared" si="113"/>
        <v/>
      </c>
      <c r="B404" s="19" t="str">
        <f t="shared" si="114"/>
        <v/>
      </c>
      <c r="C404" s="19" t="str">
        <f t="shared" si="115"/>
        <v/>
      </c>
      <c r="D404" s="19" t="str">
        <f t="shared" si="116"/>
        <v/>
      </c>
      <c r="E404" s="5" t="str">
        <f t="shared" si="119"/>
        <v/>
      </c>
      <c r="F404" s="12" t="str">
        <f t="shared" si="120"/>
        <v/>
      </c>
      <c r="K404" s="9" t="str">
        <f t="shared" si="121"/>
        <v/>
      </c>
      <c r="L404" s="6">
        <f t="shared" si="122"/>
        <v>0</v>
      </c>
      <c r="M404" s="6">
        <f t="shared" si="123"/>
        <v>0</v>
      </c>
      <c r="N404" s="94" t="str">
        <f t="shared" si="124"/>
        <v/>
      </c>
      <c r="O404" s="6"/>
      <c r="P404" s="6"/>
      <c r="Q404" s="6"/>
      <c r="R404" s="6"/>
      <c r="T404" s="136" t="str">
        <f t="shared" si="125"/>
        <v/>
      </c>
      <c r="U404" s="137" t="str">
        <f t="shared" si="126"/>
        <v/>
      </c>
      <c r="V404" s="1"/>
      <c r="Y404" s="90" t="str">
        <f t="shared" si="127"/>
        <v/>
      </c>
      <c r="AC404" s="6" t="s">
        <v>4212</v>
      </c>
      <c r="AD404" s="6" t="s">
        <v>6989</v>
      </c>
      <c r="AE404" s="158" t="s">
        <v>4309</v>
      </c>
      <c r="AF404" s="159" t="s">
        <v>8299</v>
      </c>
      <c r="AG404" s="160">
        <v>595397</v>
      </c>
      <c r="AH404" s="194" t="s">
        <v>1314</v>
      </c>
      <c r="AI404" s="6" t="s">
        <v>1654</v>
      </c>
      <c r="AJ404" s="3" t="s">
        <v>8201</v>
      </c>
      <c r="AK404" t="s">
        <v>8666</v>
      </c>
      <c r="AL404" s="4">
        <f t="shared" si="128"/>
        <v>0</v>
      </c>
      <c r="AM404" s="6" t="s">
        <v>4836</v>
      </c>
      <c r="AN404" t="s">
        <v>6214</v>
      </c>
      <c r="AO404" t="str">
        <f t="shared" si="118"/>
        <v/>
      </c>
      <c r="AP404" t="s">
        <v>4740</v>
      </c>
      <c r="AQ404" s="15" t="s">
        <v>4841</v>
      </c>
      <c r="AR404" s="6" t="s">
        <v>4968</v>
      </c>
      <c r="AV404"/>
      <c r="AX404"/>
      <c r="AZ404" t="str">
        <f t="shared" si="129"/>
        <v/>
      </c>
      <c r="BA404" t="str">
        <f t="shared" si="130"/>
        <v/>
      </c>
    </row>
    <row r="405" spans="1:53" ht="13.5">
      <c r="A405" s="135" t="str">
        <f t="shared" si="113"/>
        <v/>
      </c>
      <c r="B405" s="19" t="str">
        <f t="shared" si="114"/>
        <v/>
      </c>
      <c r="C405" s="19" t="str">
        <f t="shared" si="115"/>
        <v/>
      </c>
      <c r="D405" s="19" t="str">
        <f t="shared" si="116"/>
        <v/>
      </c>
      <c r="E405" s="5" t="str">
        <f t="shared" si="119"/>
        <v/>
      </c>
      <c r="F405" s="12" t="str">
        <f t="shared" si="120"/>
        <v/>
      </c>
      <c r="K405" s="9" t="str">
        <f t="shared" si="121"/>
        <v/>
      </c>
      <c r="L405" s="6">
        <f t="shared" si="122"/>
        <v>0</v>
      </c>
      <c r="M405" s="6">
        <f t="shared" si="123"/>
        <v>0</v>
      </c>
      <c r="N405" s="94" t="str">
        <f t="shared" si="124"/>
        <v/>
      </c>
      <c r="O405" s="6"/>
      <c r="P405" s="6"/>
      <c r="Q405" s="6"/>
      <c r="R405" s="6"/>
      <c r="T405" s="136" t="str">
        <f t="shared" si="125"/>
        <v/>
      </c>
      <c r="U405" s="137" t="str">
        <f t="shared" si="126"/>
        <v/>
      </c>
      <c r="V405" s="1"/>
      <c r="Y405" s="90" t="str">
        <f t="shared" si="127"/>
        <v/>
      </c>
      <c r="AC405" s="6">
        <v>165823</v>
      </c>
      <c r="AD405" s="6" t="s">
        <v>6990</v>
      </c>
      <c r="AE405" s="158" t="s">
        <v>4310</v>
      </c>
      <c r="AF405" s="159" t="s">
        <v>8299</v>
      </c>
      <c r="AG405" s="160">
        <v>595398</v>
      </c>
      <c r="AH405" s="194" t="s">
        <v>679</v>
      </c>
      <c r="AI405" s="6" t="s">
        <v>1105</v>
      </c>
      <c r="AJ405" s="3" t="s">
        <v>8196</v>
      </c>
      <c r="AK405" t="s">
        <v>8196</v>
      </c>
      <c r="AL405" s="4">
        <f t="shared" si="128"/>
        <v>0</v>
      </c>
      <c r="AM405" s="6" t="s">
        <v>4837</v>
      </c>
      <c r="AN405" t="s">
        <v>6215</v>
      </c>
      <c r="AO405" t="str">
        <f t="shared" si="118"/>
        <v/>
      </c>
      <c r="AP405" t="s">
        <v>105</v>
      </c>
      <c r="AQ405" s="15" t="s">
        <v>4512</v>
      </c>
      <c r="AR405" s="6">
        <v>5006</v>
      </c>
      <c r="AV405"/>
      <c r="AX405"/>
      <c r="AZ405" t="str">
        <f t="shared" si="129"/>
        <v/>
      </c>
      <c r="BA405" t="str">
        <f t="shared" si="130"/>
        <v/>
      </c>
    </row>
    <row r="406" spans="1:53" ht="13.5">
      <c r="A406" s="135" t="str">
        <f t="shared" si="113"/>
        <v/>
      </c>
      <c r="B406" s="19" t="str">
        <f t="shared" si="114"/>
        <v/>
      </c>
      <c r="C406" s="19" t="str">
        <f t="shared" si="115"/>
        <v/>
      </c>
      <c r="D406" s="19" t="str">
        <f t="shared" si="116"/>
        <v/>
      </c>
      <c r="E406" s="5" t="str">
        <f t="shared" si="119"/>
        <v/>
      </c>
      <c r="F406" s="12" t="str">
        <f t="shared" si="120"/>
        <v/>
      </c>
      <c r="K406" s="9" t="str">
        <f t="shared" si="121"/>
        <v/>
      </c>
      <c r="L406" s="6">
        <f t="shared" si="122"/>
        <v>0</v>
      </c>
      <c r="M406" s="6">
        <f t="shared" si="123"/>
        <v>0</v>
      </c>
      <c r="N406" s="94" t="str">
        <f t="shared" si="124"/>
        <v/>
      </c>
      <c r="O406" s="6"/>
      <c r="P406" s="6"/>
      <c r="Q406" s="6"/>
      <c r="R406" s="6"/>
      <c r="T406" s="136" t="str">
        <f t="shared" si="125"/>
        <v/>
      </c>
      <c r="U406" s="137" t="str">
        <f t="shared" si="126"/>
        <v/>
      </c>
      <c r="V406" s="1"/>
      <c r="Y406" s="90" t="str">
        <f t="shared" si="127"/>
        <v/>
      </c>
      <c r="AC406" s="6" t="s">
        <v>3557</v>
      </c>
      <c r="AD406" s="6" t="s">
        <v>6967</v>
      </c>
      <c r="AE406" s="158" t="s">
        <v>937</v>
      </c>
      <c r="AF406" s="159" t="s">
        <v>8299</v>
      </c>
      <c r="AG406" s="160">
        <v>595399</v>
      </c>
      <c r="AH406" s="194" t="s">
        <v>679</v>
      </c>
      <c r="AI406" s="6" t="s">
        <v>1670</v>
      </c>
      <c r="AJ406" s="3" t="s">
        <v>8195</v>
      </c>
      <c r="AK406" t="s">
        <v>8195</v>
      </c>
      <c r="AL406" s="4">
        <f t="shared" si="128"/>
        <v>0</v>
      </c>
      <c r="AM406" s="6" t="s">
        <v>4838</v>
      </c>
      <c r="AN406" t="s">
        <v>6216</v>
      </c>
      <c r="AO406" t="str">
        <f t="shared" si="118"/>
        <v/>
      </c>
      <c r="AP406" t="s">
        <v>4828</v>
      </c>
      <c r="AQ406" s="15" t="s">
        <v>4518</v>
      </c>
      <c r="AR406" s="6" t="s">
        <v>4969</v>
      </c>
      <c r="AV406"/>
      <c r="AX406"/>
      <c r="AZ406" t="str">
        <f t="shared" si="129"/>
        <v/>
      </c>
      <c r="BA406" t="str">
        <f t="shared" si="130"/>
        <v/>
      </c>
    </row>
    <row r="407" spans="1:53" ht="13.5">
      <c r="A407" s="135" t="str">
        <f t="shared" si="113"/>
        <v/>
      </c>
      <c r="B407" s="19" t="str">
        <f t="shared" si="114"/>
        <v/>
      </c>
      <c r="C407" s="19" t="str">
        <f t="shared" si="115"/>
        <v/>
      </c>
      <c r="D407" s="19" t="str">
        <f t="shared" si="116"/>
        <v/>
      </c>
      <c r="E407" s="5" t="str">
        <f t="shared" si="119"/>
        <v/>
      </c>
      <c r="F407" s="12" t="str">
        <f t="shared" si="120"/>
        <v/>
      </c>
      <c r="K407" s="9" t="str">
        <f t="shared" si="121"/>
        <v/>
      </c>
      <c r="L407" s="6">
        <f t="shared" si="122"/>
        <v>0</v>
      </c>
      <c r="M407" s="6">
        <f t="shared" si="123"/>
        <v>0</v>
      </c>
      <c r="N407" s="94" t="str">
        <f t="shared" si="124"/>
        <v/>
      </c>
      <c r="O407" s="6"/>
      <c r="P407" s="6"/>
      <c r="Q407" s="6"/>
      <c r="R407" s="6"/>
      <c r="T407" s="136" t="str">
        <f t="shared" si="125"/>
        <v/>
      </c>
      <c r="U407" s="137" t="str">
        <f t="shared" si="126"/>
        <v/>
      </c>
      <c r="V407" s="1"/>
      <c r="Y407" s="90" t="str">
        <f t="shared" si="127"/>
        <v/>
      </c>
      <c r="AC407" s="6" t="s">
        <v>3558</v>
      </c>
      <c r="AD407" s="6" t="s">
        <v>6967</v>
      </c>
      <c r="AE407" s="158">
        <v>293591</v>
      </c>
      <c r="AF407" s="159" t="s">
        <v>8299</v>
      </c>
      <c r="AG407" s="160">
        <v>595400</v>
      </c>
      <c r="AH407" s="194" t="s">
        <v>679</v>
      </c>
      <c r="AI407" s="6" t="s">
        <v>971</v>
      </c>
      <c r="AJ407" s="3" t="s">
        <v>8196</v>
      </c>
      <c r="AK407" t="s">
        <v>8196</v>
      </c>
      <c r="AL407" s="4">
        <f t="shared" si="128"/>
        <v>0</v>
      </c>
      <c r="AM407" s="6" t="s">
        <v>4839</v>
      </c>
      <c r="AN407" t="s">
        <v>6217</v>
      </c>
      <c r="AO407" t="str">
        <f t="shared" si="118"/>
        <v/>
      </c>
      <c r="AP407" t="s">
        <v>938</v>
      </c>
      <c r="AQ407" s="15" t="s">
        <v>4518</v>
      </c>
      <c r="AR407" s="6" t="s">
        <v>4561</v>
      </c>
      <c r="AV407"/>
      <c r="AX407"/>
      <c r="AZ407" t="str">
        <f t="shared" si="129"/>
        <v/>
      </c>
      <c r="BA407" t="str">
        <f t="shared" si="130"/>
        <v/>
      </c>
    </row>
    <row r="408" spans="1:53" ht="13.5">
      <c r="A408" s="135" t="str">
        <f t="shared" si="113"/>
        <v/>
      </c>
      <c r="B408" s="19" t="str">
        <f t="shared" si="114"/>
        <v/>
      </c>
      <c r="C408" s="19" t="str">
        <f t="shared" si="115"/>
        <v/>
      </c>
      <c r="D408" s="19" t="str">
        <f t="shared" si="116"/>
        <v/>
      </c>
      <c r="E408" s="5" t="str">
        <f t="shared" si="119"/>
        <v/>
      </c>
      <c r="F408" s="12" t="str">
        <f t="shared" si="120"/>
        <v/>
      </c>
      <c r="K408" s="9" t="str">
        <f t="shared" si="121"/>
        <v/>
      </c>
      <c r="L408" s="6">
        <f t="shared" si="122"/>
        <v>0</v>
      </c>
      <c r="M408" s="6">
        <f t="shared" si="123"/>
        <v>0</v>
      </c>
      <c r="N408" s="94" t="str">
        <f t="shared" si="124"/>
        <v/>
      </c>
      <c r="O408" s="6"/>
      <c r="P408" s="6"/>
      <c r="Q408" s="6"/>
      <c r="R408" s="6"/>
      <c r="T408" s="136" t="str">
        <f t="shared" si="125"/>
        <v/>
      </c>
      <c r="U408" s="137" t="str">
        <f t="shared" si="126"/>
        <v/>
      </c>
      <c r="V408" s="1"/>
      <c r="Y408" s="90" t="str">
        <f t="shared" si="127"/>
        <v/>
      </c>
      <c r="AC408" s="6" t="s">
        <v>3556</v>
      </c>
      <c r="AD408" s="6" t="s">
        <v>6967</v>
      </c>
      <c r="AE408" s="158" t="s">
        <v>1140</v>
      </c>
      <c r="AF408" s="159" t="s">
        <v>8300</v>
      </c>
      <c r="AG408" s="160">
        <v>595401</v>
      </c>
      <c r="AH408" s="194" t="s">
        <v>679</v>
      </c>
      <c r="AI408" s="6" t="s">
        <v>4710</v>
      </c>
      <c r="AJ408" s="3" t="s">
        <v>8196</v>
      </c>
      <c r="AK408" t="s">
        <v>8196</v>
      </c>
      <c r="AL408" s="4">
        <f t="shared" si="128"/>
        <v>0</v>
      </c>
      <c r="AM408" s="6" t="s">
        <v>4819</v>
      </c>
      <c r="AN408" t="s">
        <v>6218</v>
      </c>
      <c r="AO408" t="str">
        <f t="shared" si="118"/>
        <v/>
      </c>
      <c r="AP408" t="s">
        <v>3049</v>
      </c>
      <c r="AQ408" s="15" t="s">
        <v>4518</v>
      </c>
      <c r="AR408" s="6" t="s">
        <v>4970</v>
      </c>
      <c r="AV408"/>
      <c r="AX408"/>
      <c r="AZ408" t="str">
        <f t="shared" si="129"/>
        <v/>
      </c>
      <c r="BA408" t="str">
        <f t="shared" si="130"/>
        <v/>
      </c>
    </row>
    <row r="409" spans="1:53" ht="13.5">
      <c r="A409" s="135" t="str">
        <f t="shared" si="113"/>
        <v/>
      </c>
      <c r="B409" s="19" t="str">
        <f t="shared" si="114"/>
        <v/>
      </c>
      <c r="C409" s="19" t="str">
        <f t="shared" si="115"/>
        <v/>
      </c>
      <c r="D409" s="19" t="str">
        <f t="shared" si="116"/>
        <v/>
      </c>
      <c r="E409" s="5" t="str">
        <f t="shared" si="119"/>
        <v/>
      </c>
      <c r="F409" s="12" t="str">
        <f t="shared" si="120"/>
        <v/>
      </c>
      <c r="K409" s="9" t="str">
        <f t="shared" si="121"/>
        <v/>
      </c>
      <c r="L409" s="6">
        <f t="shared" si="122"/>
        <v>0</v>
      </c>
      <c r="M409" s="6">
        <f t="shared" si="123"/>
        <v>0</v>
      </c>
      <c r="N409" s="94" t="str">
        <f t="shared" si="124"/>
        <v/>
      </c>
      <c r="O409" s="6"/>
      <c r="P409" s="6"/>
      <c r="Q409" s="6"/>
      <c r="R409" s="6"/>
      <c r="T409" s="136" t="str">
        <f t="shared" si="125"/>
        <v/>
      </c>
      <c r="U409" s="137" t="str">
        <f t="shared" si="126"/>
        <v/>
      </c>
      <c r="V409" s="1"/>
      <c r="Y409" s="90" t="str">
        <f t="shared" si="127"/>
        <v/>
      </c>
      <c r="AC409" s="6">
        <v>165825</v>
      </c>
      <c r="AD409" s="6" t="s">
        <v>6978</v>
      </c>
      <c r="AE409" s="158" t="s">
        <v>4311</v>
      </c>
      <c r="AF409" s="159" t="s">
        <v>8300</v>
      </c>
      <c r="AG409" s="160">
        <v>595402</v>
      </c>
      <c r="AH409" s="194" t="s">
        <v>679</v>
      </c>
      <c r="AI409" s="6" t="s">
        <v>4718</v>
      </c>
      <c r="AJ409" s="3" t="s">
        <v>8196</v>
      </c>
      <c r="AK409" t="s">
        <v>8196</v>
      </c>
      <c r="AL409" s="4">
        <f t="shared" si="128"/>
        <v>0</v>
      </c>
      <c r="AM409" s="6" t="s">
        <v>4840</v>
      </c>
      <c r="AN409" t="s">
        <v>6219</v>
      </c>
      <c r="AO409" t="str">
        <f t="shared" si="118"/>
        <v/>
      </c>
      <c r="AP409" t="s">
        <v>4829</v>
      </c>
      <c r="AQ409" s="15" t="s">
        <v>4842</v>
      </c>
      <c r="AR409" s="6" t="s">
        <v>4971</v>
      </c>
      <c r="AV409"/>
      <c r="AX409"/>
      <c r="AZ409" t="str">
        <f t="shared" si="129"/>
        <v/>
      </c>
      <c r="BA409" t="str">
        <f t="shared" si="130"/>
        <v/>
      </c>
    </row>
    <row r="410" spans="1:53" ht="13.5">
      <c r="A410" s="135" t="str">
        <f t="shared" si="113"/>
        <v/>
      </c>
      <c r="B410" s="19" t="str">
        <f t="shared" si="114"/>
        <v/>
      </c>
      <c r="C410" s="19" t="str">
        <f t="shared" si="115"/>
        <v/>
      </c>
      <c r="D410" s="19" t="str">
        <f t="shared" si="116"/>
        <v/>
      </c>
      <c r="E410" s="5" t="str">
        <f t="shared" si="119"/>
        <v/>
      </c>
      <c r="F410" s="12" t="str">
        <f t="shared" si="120"/>
        <v/>
      </c>
      <c r="K410" s="9" t="str">
        <f t="shared" si="121"/>
        <v/>
      </c>
      <c r="L410" s="6">
        <f t="shared" si="122"/>
        <v>0</v>
      </c>
      <c r="M410" s="6">
        <f t="shared" si="123"/>
        <v>0</v>
      </c>
      <c r="N410" s="94" t="str">
        <f t="shared" si="124"/>
        <v/>
      </c>
      <c r="O410" s="6"/>
      <c r="P410" s="6"/>
      <c r="Q410" s="6"/>
      <c r="R410" s="6"/>
      <c r="T410" s="136" t="str">
        <f t="shared" si="125"/>
        <v/>
      </c>
      <c r="U410" s="137" t="str">
        <f t="shared" si="126"/>
        <v/>
      </c>
      <c r="V410" s="1"/>
      <c r="Y410" s="90" t="str">
        <f t="shared" si="127"/>
        <v/>
      </c>
      <c r="AC410" s="6" t="s">
        <v>3559</v>
      </c>
      <c r="AD410" s="6" t="s">
        <v>6967</v>
      </c>
      <c r="AE410" s="158" t="s">
        <v>4312</v>
      </c>
      <c r="AF410" s="159" t="s">
        <v>8300</v>
      </c>
      <c r="AG410" s="160">
        <v>605403</v>
      </c>
      <c r="AH410" s="194" t="s">
        <v>679</v>
      </c>
      <c r="AI410" s="6" t="s">
        <v>5435</v>
      </c>
      <c r="AJ410" s="3" t="s">
        <v>8207</v>
      </c>
      <c r="AK410" t="s">
        <v>8207</v>
      </c>
      <c r="AL410" s="4">
        <f t="shared" si="128"/>
        <v>0</v>
      </c>
      <c r="AM410" s="6" t="s">
        <v>5111</v>
      </c>
      <c r="AN410" t="s">
        <v>6220</v>
      </c>
      <c r="AO410" t="str">
        <f t="shared" si="118"/>
        <v/>
      </c>
      <c r="AP410" t="s">
        <v>4830</v>
      </c>
      <c r="AQ410" s="15" t="s">
        <v>4512</v>
      </c>
      <c r="AR410" s="6">
        <v>7313</v>
      </c>
      <c r="AV410"/>
      <c r="AX410"/>
      <c r="AZ410" t="str">
        <f t="shared" si="129"/>
        <v/>
      </c>
      <c r="BA410" t="str">
        <f t="shared" si="130"/>
        <v/>
      </c>
    </row>
    <row r="411" spans="1:53" ht="13.5">
      <c r="A411" s="135" t="str">
        <f t="shared" si="113"/>
        <v/>
      </c>
      <c r="B411" s="19" t="str">
        <f t="shared" si="114"/>
        <v/>
      </c>
      <c r="C411" s="19" t="str">
        <f t="shared" si="115"/>
        <v/>
      </c>
      <c r="D411" s="19" t="str">
        <f t="shared" si="116"/>
        <v/>
      </c>
      <c r="E411" s="5" t="str">
        <f t="shared" si="119"/>
        <v/>
      </c>
      <c r="F411" s="12" t="str">
        <f t="shared" si="120"/>
        <v/>
      </c>
      <c r="K411" s="9" t="str">
        <f t="shared" si="121"/>
        <v/>
      </c>
      <c r="L411" s="6">
        <f t="shared" si="122"/>
        <v>0</v>
      </c>
      <c r="M411" s="6">
        <f t="shared" si="123"/>
        <v>0</v>
      </c>
      <c r="N411" s="94" t="str">
        <f t="shared" si="124"/>
        <v/>
      </c>
      <c r="O411" s="6"/>
      <c r="P411" s="6"/>
      <c r="Q411" s="6"/>
      <c r="R411" s="6"/>
      <c r="T411" s="136" t="str">
        <f t="shared" si="125"/>
        <v/>
      </c>
      <c r="U411" s="137" t="str">
        <f t="shared" si="126"/>
        <v/>
      </c>
      <c r="V411" s="1"/>
      <c r="Y411" s="90" t="str">
        <f t="shared" si="127"/>
        <v/>
      </c>
      <c r="AC411" s="6" t="s">
        <v>3614</v>
      </c>
      <c r="AD411" s="6" t="s">
        <v>6971</v>
      </c>
      <c r="AE411" s="158" t="s">
        <v>1141</v>
      </c>
      <c r="AF411" s="159" t="s">
        <v>8299</v>
      </c>
      <c r="AG411" s="160">
        <v>605404</v>
      </c>
      <c r="AH411" s="194" t="s">
        <v>679</v>
      </c>
      <c r="AI411" s="6" t="s">
        <v>602</v>
      </c>
      <c r="AJ411" s="3" t="s">
        <v>8224</v>
      </c>
      <c r="AK411" t="s">
        <v>8224</v>
      </c>
      <c r="AL411" s="4">
        <f t="shared" si="128"/>
        <v>0</v>
      </c>
      <c r="AM411" s="6" t="s">
        <v>5076</v>
      </c>
      <c r="AN411" t="s">
        <v>6221</v>
      </c>
      <c r="AO411" t="str">
        <f t="shared" si="118"/>
        <v/>
      </c>
      <c r="AP411" t="s">
        <v>4831</v>
      </c>
      <c r="AQ411" s="15" t="s">
        <v>4841</v>
      </c>
      <c r="AR411" s="6" t="s">
        <v>4972</v>
      </c>
      <c r="AV411"/>
      <c r="AX411"/>
      <c r="AZ411" t="str">
        <f t="shared" si="129"/>
        <v/>
      </c>
      <c r="BA411" t="str">
        <f t="shared" si="130"/>
        <v/>
      </c>
    </row>
    <row r="412" spans="1:53" ht="13.5">
      <c r="A412" s="135" t="str">
        <f t="shared" si="113"/>
        <v/>
      </c>
      <c r="B412" s="19" t="str">
        <f t="shared" si="114"/>
        <v/>
      </c>
      <c r="C412" s="19" t="str">
        <f t="shared" si="115"/>
        <v/>
      </c>
      <c r="D412" s="19" t="str">
        <f t="shared" si="116"/>
        <v/>
      </c>
      <c r="E412" s="5" t="str">
        <f t="shared" si="119"/>
        <v/>
      </c>
      <c r="F412" s="12" t="str">
        <f t="shared" si="120"/>
        <v/>
      </c>
      <c r="K412" s="9" t="str">
        <f t="shared" si="121"/>
        <v/>
      </c>
      <c r="L412" s="6">
        <f t="shared" si="122"/>
        <v>0</v>
      </c>
      <c r="M412" s="6">
        <f t="shared" si="123"/>
        <v>0</v>
      </c>
      <c r="N412" s="94" t="str">
        <f t="shared" si="124"/>
        <v/>
      </c>
      <c r="O412" s="6"/>
      <c r="P412" s="6"/>
      <c r="Q412" s="6"/>
      <c r="R412" s="6"/>
      <c r="T412" s="136" t="str">
        <f t="shared" si="125"/>
        <v/>
      </c>
      <c r="U412" s="137" t="str">
        <f t="shared" si="126"/>
        <v/>
      </c>
      <c r="V412" s="1"/>
      <c r="Y412" s="90" t="str">
        <f t="shared" si="127"/>
        <v/>
      </c>
      <c r="AC412" s="6">
        <v>166474</v>
      </c>
      <c r="AD412" s="6" t="s">
        <v>6991</v>
      </c>
      <c r="AE412" s="158" t="s">
        <v>1142</v>
      </c>
      <c r="AF412" s="159" t="s">
        <v>8300</v>
      </c>
      <c r="AG412" s="160">
        <v>605405</v>
      </c>
      <c r="AH412" s="194" t="s">
        <v>679</v>
      </c>
      <c r="AI412" s="6" t="s">
        <v>1965</v>
      </c>
      <c r="AJ412" s="3" t="s">
        <v>8234</v>
      </c>
      <c r="AK412" t="s">
        <v>8234</v>
      </c>
      <c r="AL412" s="4">
        <f t="shared" si="128"/>
        <v>0</v>
      </c>
      <c r="AM412" s="6" t="s">
        <v>5282</v>
      </c>
      <c r="AN412" t="s">
        <v>6222</v>
      </c>
      <c r="AO412" t="str">
        <f t="shared" si="118"/>
        <v/>
      </c>
      <c r="AP412" t="s">
        <v>4832</v>
      </c>
      <c r="AQ412" s="15" t="s">
        <v>4512</v>
      </c>
      <c r="AR412" s="6">
        <v>7166</v>
      </c>
      <c r="AV412"/>
      <c r="AX412"/>
      <c r="AZ412" t="str">
        <f t="shared" si="129"/>
        <v/>
      </c>
      <c r="BA412" t="str">
        <f t="shared" si="130"/>
        <v/>
      </c>
    </row>
    <row r="413" spans="1:53" ht="13.5">
      <c r="A413" s="135" t="str">
        <f t="shared" si="113"/>
        <v/>
      </c>
      <c r="B413" s="19" t="str">
        <f t="shared" si="114"/>
        <v/>
      </c>
      <c r="C413" s="19" t="str">
        <f t="shared" si="115"/>
        <v/>
      </c>
      <c r="D413" s="19" t="str">
        <f t="shared" si="116"/>
        <v/>
      </c>
      <c r="E413" s="5" t="str">
        <f t="shared" si="119"/>
        <v/>
      </c>
      <c r="F413" s="12" t="str">
        <f t="shared" si="120"/>
        <v/>
      </c>
      <c r="K413" s="9" t="str">
        <f t="shared" si="121"/>
        <v/>
      </c>
      <c r="L413" s="6">
        <f t="shared" si="122"/>
        <v>0</v>
      </c>
      <c r="M413" s="6">
        <f t="shared" si="123"/>
        <v>0</v>
      </c>
      <c r="N413" s="94" t="str">
        <f t="shared" si="124"/>
        <v/>
      </c>
      <c r="O413" s="6"/>
      <c r="P413" s="6"/>
      <c r="Q413" s="6"/>
      <c r="R413" s="6"/>
      <c r="T413" s="136" t="str">
        <f t="shared" si="125"/>
        <v/>
      </c>
      <c r="U413" s="137" t="str">
        <f t="shared" si="126"/>
        <v/>
      </c>
      <c r="V413" s="1"/>
      <c r="Y413" s="90" t="str">
        <f t="shared" si="127"/>
        <v/>
      </c>
      <c r="AC413" s="6" t="s">
        <v>3854</v>
      </c>
      <c r="AD413" s="6" t="s">
        <v>6992</v>
      </c>
      <c r="AE413" s="158" t="s">
        <v>4313</v>
      </c>
      <c r="AF413" s="159" t="s">
        <v>8297</v>
      </c>
      <c r="AG413" s="160">
        <v>605406</v>
      </c>
      <c r="AH413" s="194" t="s">
        <v>679</v>
      </c>
      <c r="AI413" s="6" t="s">
        <v>1763</v>
      </c>
      <c r="AJ413" s="3" t="s">
        <v>8238</v>
      </c>
      <c r="AK413" t="s">
        <v>8673</v>
      </c>
      <c r="AL413" s="4">
        <f t="shared" si="128"/>
        <v>0</v>
      </c>
      <c r="AM413" s="6" t="s">
        <v>5039</v>
      </c>
      <c r="AN413" t="s">
        <v>6223</v>
      </c>
      <c r="AO413" t="str">
        <f t="shared" si="118"/>
        <v/>
      </c>
      <c r="AP413" t="s">
        <v>4833</v>
      </c>
      <c r="AQ413" s="15" t="s">
        <v>4512</v>
      </c>
      <c r="AR413" s="6">
        <v>3904</v>
      </c>
      <c r="AV413"/>
      <c r="AX413"/>
      <c r="AZ413" t="str">
        <f t="shared" si="129"/>
        <v/>
      </c>
      <c r="BA413" t="str">
        <f t="shared" si="130"/>
        <v/>
      </c>
    </row>
    <row r="414" spans="1:53" ht="13.5">
      <c r="A414" s="135" t="str">
        <f t="shared" si="113"/>
        <v/>
      </c>
      <c r="B414" s="19" t="str">
        <f t="shared" si="114"/>
        <v/>
      </c>
      <c r="C414" s="19" t="str">
        <f t="shared" si="115"/>
        <v/>
      </c>
      <c r="D414" s="19" t="str">
        <f t="shared" si="116"/>
        <v/>
      </c>
      <c r="E414" s="5" t="str">
        <f t="shared" si="119"/>
        <v/>
      </c>
      <c r="F414" s="12" t="str">
        <f t="shared" si="120"/>
        <v/>
      </c>
      <c r="K414" s="9" t="str">
        <f t="shared" si="121"/>
        <v/>
      </c>
      <c r="L414" s="6">
        <f t="shared" si="122"/>
        <v>0</v>
      </c>
      <c r="M414" s="6">
        <f t="shared" si="123"/>
        <v>0</v>
      </c>
      <c r="N414" s="94" t="str">
        <f t="shared" si="124"/>
        <v/>
      </c>
      <c r="O414" s="6"/>
      <c r="P414" s="6"/>
      <c r="Q414" s="6"/>
      <c r="R414" s="6"/>
      <c r="T414" s="136" t="str">
        <f t="shared" si="125"/>
        <v/>
      </c>
      <c r="U414" s="137" t="str">
        <f t="shared" si="126"/>
        <v/>
      </c>
      <c r="V414" s="1"/>
      <c r="Y414" s="90" t="str">
        <f t="shared" si="127"/>
        <v/>
      </c>
      <c r="AC414" s="6" t="s">
        <v>3853</v>
      </c>
      <c r="AD414" s="6" t="s">
        <v>6993</v>
      </c>
      <c r="AE414" s="158">
        <v>113599</v>
      </c>
      <c r="AF414" s="159" t="s">
        <v>8300</v>
      </c>
      <c r="AG414" s="160">
        <v>615376</v>
      </c>
      <c r="AH414" s="194" t="s">
        <v>679</v>
      </c>
      <c r="AI414" s="6" t="s">
        <v>1765</v>
      </c>
      <c r="AJ414" s="3" t="s">
        <v>8222</v>
      </c>
      <c r="AK414" t="s">
        <v>8670</v>
      </c>
      <c r="AL414" s="4">
        <f t="shared" si="128"/>
        <v>0</v>
      </c>
      <c r="AM414" s="6" t="s">
        <v>5088</v>
      </c>
      <c r="AN414" t="s">
        <v>6224</v>
      </c>
      <c r="AO414" t="str">
        <f t="shared" si="118"/>
        <v/>
      </c>
      <c r="AP414" t="s">
        <v>4834</v>
      </c>
      <c r="AQ414" s="15" t="s">
        <v>4512</v>
      </c>
      <c r="AR414" s="6">
        <v>9931</v>
      </c>
      <c r="AV414"/>
      <c r="AX414"/>
      <c r="AZ414" t="str">
        <f t="shared" si="129"/>
        <v/>
      </c>
      <c r="BA414" t="str">
        <f t="shared" si="130"/>
        <v/>
      </c>
    </row>
    <row r="415" spans="1:53" ht="13.5">
      <c r="A415" s="135" t="str">
        <f t="shared" si="113"/>
        <v/>
      </c>
      <c r="B415" s="19" t="str">
        <f t="shared" si="114"/>
        <v/>
      </c>
      <c r="C415" s="19" t="str">
        <f t="shared" si="115"/>
        <v/>
      </c>
      <c r="D415" s="19" t="str">
        <f t="shared" si="116"/>
        <v/>
      </c>
      <c r="E415" s="5" t="str">
        <f t="shared" si="119"/>
        <v/>
      </c>
      <c r="F415" s="12" t="str">
        <f t="shared" si="120"/>
        <v/>
      </c>
      <c r="K415" s="9" t="str">
        <f t="shared" si="121"/>
        <v/>
      </c>
      <c r="L415" s="6">
        <f t="shared" si="122"/>
        <v>0</v>
      </c>
      <c r="M415" s="6">
        <f t="shared" si="123"/>
        <v>0</v>
      </c>
      <c r="N415" s="94" t="str">
        <f t="shared" si="124"/>
        <v/>
      </c>
      <c r="O415" s="6"/>
      <c r="P415" s="6"/>
      <c r="Q415" s="6"/>
      <c r="R415" s="6"/>
      <c r="T415" s="136" t="str">
        <f t="shared" si="125"/>
        <v/>
      </c>
      <c r="U415" s="137" t="str">
        <f t="shared" si="126"/>
        <v/>
      </c>
      <c r="V415" s="1"/>
      <c r="Y415" s="90" t="str">
        <f t="shared" si="127"/>
        <v/>
      </c>
      <c r="AC415" s="6" t="s">
        <v>3954</v>
      </c>
      <c r="AD415" s="6" t="s">
        <v>6994</v>
      </c>
      <c r="AE415" s="158">
        <v>113602</v>
      </c>
      <c r="AF415" s="159" t="s">
        <v>8299</v>
      </c>
      <c r="AG415" s="160">
        <v>625367</v>
      </c>
      <c r="AH415" s="194" t="s">
        <v>679</v>
      </c>
      <c r="AI415" s="6" t="s">
        <v>1766</v>
      </c>
      <c r="AJ415" s="3" t="s">
        <v>8238</v>
      </c>
      <c r="AK415" t="s">
        <v>8673</v>
      </c>
      <c r="AL415" s="4">
        <f t="shared" si="128"/>
        <v>0</v>
      </c>
      <c r="AM415" s="6" t="s">
        <v>5067</v>
      </c>
      <c r="AN415" t="s">
        <v>6225</v>
      </c>
      <c r="AO415" t="str">
        <f t="shared" si="118"/>
        <v/>
      </c>
      <c r="AP415" t="s">
        <v>4835</v>
      </c>
      <c r="AQ415" s="15" t="s">
        <v>4518</v>
      </c>
      <c r="AR415" s="6" t="s">
        <v>4973</v>
      </c>
      <c r="AV415"/>
      <c r="AX415"/>
      <c r="AZ415" t="str">
        <f t="shared" si="129"/>
        <v/>
      </c>
      <c r="BA415" t="str">
        <f t="shared" si="130"/>
        <v/>
      </c>
    </row>
    <row r="416" spans="1:53" ht="13.5">
      <c r="A416" s="135" t="str">
        <f t="shared" si="113"/>
        <v/>
      </c>
      <c r="B416" s="19" t="str">
        <f t="shared" si="114"/>
        <v/>
      </c>
      <c r="C416" s="19" t="str">
        <f t="shared" si="115"/>
        <v/>
      </c>
      <c r="D416" s="19" t="str">
        <f t="shared" si="116"/>
        <v/>
      </c>
      <c r="E416" s="5" t="str">
        <f t="shared" si="119"/>
        <v/>
      </c>
      <c r="F416" s="12" t="str">
        <f t="shared" si="120"/>
        <v/>
      </c>
      <c r="K416" s="9" t="str">
        <f t="shared" si="121"/>
        <v/>
      </c>
      <c r="L416" s="6">
        <f t="shared" si="122"/>
        <v>0</v>
      </c>
      <c r="M416" s="6">
        <f t="shared" si="123"/>
        <v>0</v>
      </c>
      <c r="N416" s="94" t="str">
        <f t="shared" si="124"/>
        <v/>
      </c>
      <c r="O416" s="6"/>
      <c r="P416" s="6"/>
      <c r="Q416" s="6"/>
      <c r="R416" s="6"/>
      <c r="T416" s="136" t="str">
        <f t="shared" si="125"/>
        <v/>
      </c>
      <c r="U416" s="137" t="str">
        <f t="shared" si="126"/>
        <v/>
      </c>
      <c r="V416" s="1"/>
      <c r="Y416" s="90" t="str">
        <f t="shared" si="127"/>
        <v/>
      </c>
      <c r="AC416" s="6">
        <v>886401</v>
      </c>
      <c r="AD416" s="6" t="s">
        <v>6995</v>
      </c>
      <c r="AE416" s="158" t="s">
        <v>4353</v>
      </c>
      <c r="AF416" s="159" t="s">
        <v>8299</v>
      </c>
      <c r="AG416" s="160">
        <v>625368</v>
      </c>
      <c r="AH416" s="194" t="s">
        <v>679</v>
      </c>
      <c r="AI416" s="6" t="s">
        <v>2163</v>
      </c>
      <c r="AJ416" s="3" t="s">
        <v>8234</v>
      </c>
      <c r="AK416" t="s">
        <v>8234</v>
      </c>
      <c r="AL416" s="4">
        <f t="shared" si="128"/>
        <v>0</v>
      </c>
      <c r="AM416" s="6" t="s">
        <v>5052</v>
      </c>
      <c r="AN416" t="s">
        <v>6226</v>
      </c>
      <c r="AO416" t="str">
        <f t="shared" si="118"/>
        <v/>
      </c>
      <c r="AP416" t="s">
        <v>4836</v>
      </c>
      <c r="AQ416" s="15" t="s">
        <v>4841</v>
      </c>
      <c r="AR416" s="6" t="s">
        <v>4974</v>
      </c>
      <c r="AV416"/>
      <c r="AX416"/>
      <c r="AZ416" t="str">
        <f t="shared" si="129"/>
        <v/>
      </c>
      <c r="BA416" t="str">
        <f t="shared" si="130"/>
        <v/>
      </c>
    </row>
    <row r="417" spans="1:53" ht="13.5">
      <c r="A417" s="135" t="str">
        <f t="shared" si="113"/>
        <v/>
      </c>
      <c r="B417" s="19" t="str">
        <f t="shared" si="114"/>
        <v/>
      </c>
      <c r="C417" s="19" t="str">
        <f t="shared" si="115"/>
        <v/>
      </c>
      <c r="D417" s="19" t="str">
        <f t="shared" si="116"/>
        <v/>
      </c>
      <c r="E417" s="5" t="str">
        <f t="shared" si="119"/>
        <v/>
      </c>
      <c r="F417" s="12" t="str">
        <f t="shared" si="120"/>
        <v/>
      </c>
      <c r="K417" s="9" t="str">
        <f t="shared" si="121"/>
        <v/>
      </c>
      <c r="L417" s="6">
        <f t="shared" si="122"/>
        <v>0</v>
      </c>
      <c r="M417" s="6">
        <f t="shared" si="123"/>
        <v>0</v>
      </c>
      <c r="N417" s="94" t="str">
        <f t="shared" si="124"/>
        <v/>
      </c>
      <c r="O417" s="6"/>
      <c r="P417" s="6"/>
      <c r="Q417" s="6"/>
      <c r="R417" s="6"/>
      <c r="T417" s="136" t="str">
        <f t="shared" si="125"/>
        <v/>
      </c>
      <c r="U417" s="137" t="str">
        <f t="shared" si="126"/>
        <v/>
      </c>
      <c r="V417" s="1"/>
      <c r="Y417" s="90" t="str">
        <f t="shared" si="127"/>
        <v/>
      </c>
      <c r="AC417" s="6" t="s">
        <v>5125</v>
      </c>
      <c r="AD417" s="6" t="s">
        <v>6996</v>
      </c>
      <c r="AE417" s="158">
        <v>25417</v>
      </c>
      <c r="AF417" s="159" t="s">
        <v>8311</v>
      </c>
      <c r="AG417" s="160">
        <v>625369</v>
      </c>
      <c r="AH417" s="194" t="s">
        <v>679</v>
      </c>
      <c r="AI417" s="6" t="s">
        <v>2187</v>
      </c>
      <c r="AJ417" s="3" t="s">
        <v>8231</v>
      </c>
      <c r="AK417" t="s">
        <v>8238</v>
      </c>
      <c r="AL417" s="4">
        <f t="shared" si="128"/>
        <v>0</v>
      </c>
      <c r="AM417" s="6" t="s">
        <v>5092</v>
      </c>
      <c r="AN417" t="s">
        <v>6227</v>
      </c>
      <c r="AO417" t="str">
        <f t="shared" si="118"/>
        <v/>
      </c>
      <c r="AP417" t="s">
        <v>4837</v>
      </c>
      <c r="AQ417" s="15" t="s">
        <v>4512</v>
      </c>
      <c r="AR417" s="6">
        <v>4311</v>
      </c>
      <c r="AV417"/>
      <c r="AX417"/>
      <c r="AZ417" t="str">
        <f t="shared" si="129"/>
        <v/>
      </c>
      <c r="BA417" t="str">
        <f t="shared" si="130"/>
        <v/>
      </c>
    </row>
    <row r="418" spans="1:53" ht="13.5">
      <c r="A418" s="135" t="str">
        <f t="shared" si="113"/>
        <v/>
      </c>
      <c r="B418" s="19" t="str">
        <f t="shared" si="114"/>
        <v/>
      </c>
      <c r="C418" s="19" t="str">
        <f t="shared" si="115"/>
        <v/>
      </c>
      <c r="D418" s="19" t="str">
        <f t="shared" si="116"/>
        <v/>
      </c>
      <c r="E418" s="5" t="str">
        <f t="shared" si="119"/>
        <v/>
      </c>
      <c r="F418" s="12" t="str">
        <f t="shared" si="120"/>
        <v/>
      </c>
      <c r="K418" s="9" t="str">
        <f t="shared" si="121"/>
        <v/>
      </c>
      <c r="L418" s="6">
        <f t="shared" si="122"/>
        <v>0</v>
      </c>
      <c r="M418" s="6">
        <f t="shared" si="123"/>
        <v>0</v>
      </c>
      <c r="N418" s="94" t="str">
        <f t="shared" si="124"/>
        <v/>
      </c>
      <c r="O418" s="6"/>
      <c r="P418" s="6"/>
      <c r="Q418" s="6"/>
      <c r="R418" s="6"/>
      <c r="T418" s="136" t="str">
        <f t="shared" si="125"/>
        <v/>
      </c>
      <c r="U418" s="137" t="str">
        <f t="shared" si="126"/>
        <v/>
      </c>
      <c r="V418" s="1"/>
      <c r="Y418" s="90" t="str">
        <f t="shared" si="127"/>
        <v/>
      </c>
      <c r="AC418" s="6" t="s">
        <v>4224</v>
      </c>
      <c r="AD418" s="6" t="s">
        <v>6997</v>
      </c>
      <c r="AE418" s="158">
        <v>45239</v>
      </c>
      <c r="AF418" s="159" t="s">
        <v>8345</v>
      </c>
      <c r="AG418" s="160">
        <v>625370</v>
      </c>
      <c r="AH418" s="194" t="s">
        <v>679</v>
      </c>
      <c r="AI418" s="6" t="s">
        <v>1761</v>
      </c>
      <c r="AJ418" s="3" t="s">
        <v>8248</v>
      </c>
      <c r="AK418" t="s">
        <v>8248</v>
      </c>
      <c r="AL418" s="4">
        <f t="shared" si="128"/>
        <v>0</v>
      </c>
      <c r="AM418" s="6" t="s">
        <v>5284</v>
      </c>
      <c r="AN418" t="s">
        <v>6228</v>
      </c>
      <c r="AO418" t="str">
        <f t="shared" si="118"/>
        <v/>
      </c>
      <c r="AP418" t="s">
        <v>4838</v>
      </c>
      <c r="AQ418" s="15" t="s">
        <v>4512</v>
      </c>
      <c r="AR418" s="6">
        <v>1772</v>
      </c>
      <c r="AV418"/>
      <c r="AX418"/>
      <c r="AZ418" t="str">
        <f t="shared" si="129"/>
        <v/>
      </c>
      <c r="BA418" t="str">
        <f t="shared" si="130"/>
        <v/>
      </c>
    </row>
    <row r="419" spans="1:53" ht="13.5">
      <c r="A419" s="135" t="str">
        <f t="shared" si="113"/>
        <v/>
      </c>
      <c r="B419" s="19" t="str">
        <f t="shared" si="114"/>
        <v/>
      </c>
      <c r="C419" s="19" t="str">
        <f t="shared" si="115"/>
        <v/>
      </c>
      <c r="D419" s="19" t="str">
        <f t="shared" si="116"/>
        <v/>
      </c>
      <c r="E419" s="5" t="str">
        <f t="shared" si="119"/>
        <v/>
      </c>
      <c r="F419" s="12" t="str">
        <f t="shared" si="120"/>
        <v/>
      </c>
      <c r="K419" s="9" t="str">
        <f t="shared" si="121"/>
        <v/>
      </c>
      <c r="L419" s="6">
        <f t="shared" si="122"/>
        <v>0</v>
      </c>
      <c r="M419" s="6">
        <f t="shared" si="123"/>
        <v>0</v>
      </c>
      <c r="N419" s="94" t="str">
        <f t="shared" si="124"/>
        <v/>
      </c>
      <c r="O419" s="6"/>
      <c r="P419" s="6"/>
      <c r="Q419" s="6"/>
      <c r="R419" s="6"/>
      <c r="T419" s="136" t="str">
        <f t="shared" si="125"/>
        <v/>
      </c>
      <c r="U419" s="137" t="str">
        <f t="shared" si="126"/>
        <v/>
      </c>
      <c r="V419" s="1"/>
      <c r="Y419" s="90" t="str">
        <f t="shared" si="127"/>
        <v/>
      </c>
      <c r="AC419" s="6" t="s">
        <v>4143</v>
      </c>
      <c r="AD419" s="6" t="s">
        <v>6998</v>
      </c>
      <c r="AE419" s="158">
        <v>45270</v>
      </c>
      <c r="AF419" s="159" t="s">
        <v>8346</v>
      </c>
      <c r="AG419" s="160">
        <v>635423</v>
      </c>
      <c r="AH419" s="194" t="s">
        <v>679</v>
      </c>
      <c r="AI419" s="6" t="s">
        <v>1790</v>
      </c>
      <c r="AJ419" s="3" t="s">
        <v>8235</v>
      </c>
      <c r="AK419" t="s">
        <v>8672</v>
      </c>
      <c r="AL419" s="4">
        <f t="shared" si="128"/>
        <v>0</v>
      </c>
      <c r="AM419" s="6" t="s">
        <v>5046</v>
      </c>
      <c r="AN419" t="s">
        <v>6229</v>
      </c>
      <c r="AO419" t="str">
        <f t="shared" si="118"/>
        <v/>
      </c>
      <c r="AP419" t="s">
        <v>4839</v>
      </c>
      <c r="AQ419" s="15" t="s">
        <v>4841</v>
      </c>
      <c r="AR419" s="6" t="s">
        <v>4975</v>
      </c>
      <c r="AV419"/>
      <c r="AX419"/>
      <c r="AZ419" t="str">
        <f t="shared" si="129"/>
        <v/>
      </c>
      <c r="BA419" t="str">
        <f t="shared" si="130"/>
        <v/>
      </c>
    </row>
    <row r="420" spans="1:53" ht="13.5">
      <c r="A420" s="135" t="str">
        <f t="shared" si="113"/>
        <v/>
      </c>
      <c r="B420" s="19" t="str">
        <f t="shared" si="114"/>
        <v/>
      </c>
      <c r="C420" s="19" t="str">
        <f t="shared" si="115"/>
        <v/>
      </c>
      <c r="D420" s="19" t="str">
        <f t="shared" si="116"/>
        <v/>
      </c>
      <c r="E420" s="5" t="str">
        <f t="shared" si="119"/>
        <v/>
      </c>
      <c r="F420" s="12" t="str">
        <f t="shared" si="120"/>
        <v/>
      </c>
      <c r="K420" s="9" t="str">
        <f t="shared" si="121"/>
        <v/>
      </c>
      <c r="L420" s="6">
        <f t="shared" si="122"/>
        <v>0</v>
      </c>
      <c r="M420" s="6">
        <f t="shared" si="123"/>
        <v>0</v>
      </c>
      <c r="N420" s="94" t="str">
        <f t="shared" si="124"/>
        <v/>
      </c>
      <c r="O420" s="6"/>
      <c r="P420" s="6"/>
      <c r="Q420" s="6"/>
      <c r="R420" s="6"/>
      <c r="T420" s="136" t="str">
        <f t="shared" si="125"/>
        <v/>
      </c>
      <c r="U420" s="137" t="str">
        <f t="shared" si="126"/>
        <v/>
      </c>
      <c r="V420" s="1"/>
      <c r="Y420" s="90" t="str">
        <f t="shared" si="127"/>
        <v/>
      </c>
      <c r="AC420" s="6">
        <v>796329</v>
      </c>
      <c r="AD420" s="6" t="s">
        <v>6999</v>
      </c>
      <c r="AE420" s="158">
        <v>95629</v>
      </c>
      <c r="AF420" s="159" t="s">
        <v>8300</v>
      </c>
      <c r="AG420" s="160">
        <v>635424</v>
      </c>
      <c r="AH420" s="194" t="s">
        <v>679</v>
      </c>
      <c r="AI420" s="6" t="s">
        <v>4044</v>
      </c>
      <c r="AJ420" s="3" t="s">
        <v>8249</v>
      </c>
      <c r="AK420" t="s">
        <v>8249</v>
      </c>
      <c r="AL420" s="4">
        <f t="shared" si="128"/>
        <v>0</v>
      </c>
      <c r="AM420" s="6" t="s">
        <v>5175</v>
      </c>
      <c r="AN420" t="s">
        <v>6230</v>
      </c>
      <c r="AO420" t="str">
        <f t="shared" si="118"/>
        <v/>
      </c>
      <c r="AP420" t="s">
        <v>4819</v>
      </c>
      <c r="AQ420" s="15" t="s">
        <v>4512</v>
      </c>
      <c r="AR420" s="6">
        <v>1038</v>
      </c>
      <c r="AV420"/>
      <c r="AX420"/>
      <c r="AZ420" t="str">
        <f t="shared" si="129"/>
        <v/>
      </c>
      <c r="BA420" t="str">
        <f t="shared" si="130"/>
        <v/>
      </c>
    </row>
    <row r="421" spans="1:53" ht="13.5">
      <c r="A421" s="135" t="str">
        <f t="shared" si="113"/>
        <v/>
      </c>
      <c r="B421" s="19" t="str">
        <f t="shared" si="114"/>
        <v/>
      </c>
      <c r="C421" s="19" t="str">
        <f t="shared" si="115"/>
        <v/>
      </c>
      <c r="D421" s="19" t="str">
        <f t="shared" si="116"/>
        <v/>
      </c>
      <c r="E421" s="5" t="str">
        <f t="shared" si="119"/>
        <v/>
      </c>
      <c r="F421" s="12" t="str">
        <f t="shared" si="120"/>
        <v/>
      </c>
      <c r="K421" s="9" t="str">
        <f t="shared" si="121"/>
        <v/>
      </c>
      <c r="L421" s="6">
        <f t="shared" si="122"/>
        <v>0</v>
      </c>
      <c r="M421" s="6">
        <f t="shared" si="123"/>
        <v>0</v>
      </c>
      <c r="N421" s="94" t="str">
        <f t="shared" si="124"/>
        <v/>
      </c>
      <c r="O421" s="6"/>
      <c r="P421" s="6"/>
      <c r="Q421" s="6"/>
      <c r="R421" s="6"/>
      <c r="T421" s="136" t="str">
        <f t="shared" si="125"/>
        <v/>
      </c>
      <c r="U421" s="137" t="str">
        <f t="shared" si="126"/>
        <v/>
      </c>
      <c r="V421" s="1"/>
      <c r="Y421" s="90" t="str">
        <f t="shared" si="127"/>
        <v/>
      </c>
      <c r="AC421" s="6" t="s">
        <v>4138</v>
      </c>
      <c r="AD421" s="6" t="s">
        <v>7000</v>
      </c>
      <c r="AE421" s="158">
        <v>23634</v>
      </c>
      <c r="AF421" s="159" t="s">
        <v>8299</v>
      </c>
      <c r="AG421" s="160">
        <v>635425</v>
      </c>
      <c r="AH421" s="194" t="s">
        <v>678</v>
      </c>
      <c r="AI421" s="6" t="s">
        <v>1112</v>
      </c>
      <c r="AJ421" s="3" t="s">
        <v>8250</v>
      </c>
      <c r="AK421" t="s">
        <v>8250</v>
      </c>
      <c r="AL421" s="4">
        <f t="shared" si="128"/>
        <v>0</v>
      </c>
      <c r="AM421" s="6" t="s">
        <v>5058</v>
      </c>
      <c r="AN421" t="s">
        <v>6231</v>
      </c>
      <c r="AO421" t="str">
        <f t="shared" si="118"/>
        <v/>
      </c>
      <c r="AP421" t="s">
        <v>4840</v>
      </c>
      <c r="AQ421" s="15" t="s">
        <v>4512</v>
      </c>
      <c r="AR421" s="6">
        <v>9899</v>
      </c>
      <c r="AV421"/>
      <c r="AX421"/>
      <c r="AZ421" t="str">
        <f t="shared" si="129"/>
        <v/>
      </c>
      <c r="BA421" t="str">
        <f t="shared" si="130"/>
        <v/>
      </c>
    </row>
    <row r="422" spans="1:53" ht="13.5">
      <c r="A422" s="135" t="str">
        <f t="shared" si="113"/>
        <v/>
      </c>
      <c r="B422" s="19" t="str">
        <f t="shared" si="114"/>
        <v/>
      </c>
      <c r="C422" s="19" t="str">
        <f t="shared" si="115"/>
        <v/>
      </c>
      <c r="D422" s="19" t="str">
        <f t="shared" si="116"/>
        <v/>
      </c>
      <c r="E422" s="5" t="str">
        <f t="shared" si="119"/>
        <v/>
      </c>
      <c r="F422" s="12" t="str">
        <f t="shared" si="120"/>
        <v/>
      </c>
      <c r="K422" s="9" t="str">
        <f t="shared" si="121"/>
        <v/>
      </c>
      <c r="L422" s="6">
        <f t="shared" si="122"/>
        <v>0</v>
      </c>
      <c r="M422" s="6">
        <f t="shared" si="123"/>
        <v>0</v>
      </c>
      <c r="N422" s="94" t="str">
        <f t="shared" si="124"/>
        <v/>
      </c>
      <c r="O422" s="6"/>
      <c r="P422" s="6"/>
      <c r="Q422" s="6"/>
      <c r="R422" s="6"/>
      <c r="T422" s="136" t="str">
        <f t="shared" si="125"/>
        <v/>
      </c>
      <c r="U422" s="137" t="str">
        <f t="shared" si="126"/>
        <v/>
      </c>
      <c r="V422" s="1"/>
      <c r="Y422" s="90" t="str">
        <f t="shared" si="127"/>
        <v/>
      </c>
      <c r="AC422" s="6" t="s">
        <v>4172</v>
      </c>
      <c r="AD422" s="6" t="s">
        <v>7001</v>
      </c>
      <c r="AE422" s="158">
        <v>43635</v>
      </c>
      <c r="AF422" s="159" t="s">
        <v>8299</v>
      </c>
      <c r="AG422" s="160">
        <v>644322</v>
      </c>
      <c r="AH422" s="194" t="s">
        <v>678</v>
      </c>
      <c r="AI422" s="6" t="s">
        <v>2505</v>
      </c>
      <c r="AJ422" s="3" t="s">
        <v>8226</v>
      </c>
      <c r="AK422" t="s">
        <v>8671</v>
      </c>
      <c r="AL422" s="4">
        <f t="shared" si="128"/>
        <v>0</v>
      </c>
      <c r="AM422" s="6" t="s">
        <v>5089</v>
      </c>
      <c r="AN422" t="s">
        <v>6232</v>
      </c>
      <c r="AO422" t="str">
        <f t="shared" si="118"/>
        <v/>
      </c>
      <c r="AV422"/>
      <c r="AX422"/>
      <c r="AZ422" t="str">
        <f t="shared" si="129"/>
        <v/>
      </c>
      <c r="BA422" t="str">
        <f t="shared" si="130"/>
        <v/>
      </c>
    </row>
    <row r="423" spans="1:53" ht="13.5">
      <c r="A423" s="135" t="str">
        <f t="shared" si="113"/>
        <v/>
      </c>
      <c r="B423" s="19" t="str">
        <f t="shared" si="114"/>
        <v/>
      </c>
      <c r="C423" s="19" t="str">
        <f t="shared" si="115"/>
        <v/>
      </c>
      <c r="D423" s="19" t="str">
        <f t="shared" si="116"/>
        <v/>
      </c>
      <c r="E423" s="5" t="str">
        <f t="shared" si="119"/>
        <v/>
      </c>
      <c r="F423" s="12" t="str">
        <f t="shared" si="120"/>
        <v/>
      </c>
      <c r="K423" s="9" t="str">
        <f t="shared" si="121"/>
        <v/>
      </c>
      <c r="L423" s="6">
        <f t="shared" si="122"/>
        <v>0</v>
      </c>
      <c r="M423" s="6">
        <f t="shared" si="123"/>
        <v>0</v>
      </c>
      <c r="N423" s="94" t="str">
        <f t="shared" si="124"/>
        <v/>
      </c>
      <c r="O423" s="6"/>
      <c r="P423" s="6"/>
      <c r="Q423" s="6"/>
      <c r="R423" s="6"/>
      <c r="T423" s="136" t="str">
        <f t="shared" si="125"/>
        <v/>
      </c>
      <c r="U423" s="137" t="str">
        <f t="shared" si="126"/>
        <v/>
      </c>
      <c r="V423" s="1"/>
      <c r="Y423" s="90" t="str">
        <f t="shared" si="127"/>
        <v/>
      </c>
      <c r="AC423" s="6" t="s">
        <v>3563</v>
      </c>
      <c r="AD423" s="6" t="s">
        <v>7002</v>
      </c>
      <c r="AE423" s="158" t="s">
        <v>1143</v>
      </c>
      <c r="AF423" s="159" t="s">
        <v>8299</v>
      </c>
      <c r="AG423" s="160">
        <v>645426</v>
      </c>
      <c r="AH423" s="194" t="s">
        <v>678</v>
      </c>
      <c r="AI423" s="6" t="s">
        <v>2557</v>
      </c>
      <c r="AJ423" s="3" t="s">
        <v>8226</v>
      </c>
      <c r="AK423" t="s">
        <v>8671</v>
      </c>
      <c r="AL423" s="4">
        <f t="shared" si="128"/>
        <v>0</v>
      </c>
      <c r="AM423" s="6" t="s">
        <v>5062</v>
      </c>
      <c r="AN423" t="s">
        <v>6233</v>
      </c>
      <c r="AO423" t="str">
        <f t="shared" si="118"/>
        <v/>
      </c>
      <c r="AV423"/>
      <c r="AX423"/>
      <c r="AZ423" t="str">
        <f t="shared" si="129"/>
        <v/>
      </c>
      <c r="BA423" t="str">
        <f t="shared" si="130"/>
        <v/>
      </c>
    </row>
    <row r="424" spans="1:53" ht="13.5">
      <c r="A424" s="135" t="str">
        <f t="shared" ref="A424:A487" si="131">IF(ISNA(VLOOKUP(I424,AC:AD,2,FALSE)),"",VLOOKUP(I424,AC:AD,2,FALSE))</f>
        <v/>
      </c>
      <c r="B424" s="19" t="str">
        <f t="shared" ref="B424:B487" si="132">IF(ISNA(VLOOKUP(I424,AE:AF,2,FALSE)),"",VLOOKUP(I424,AE:AF,2,FALSE))</f>
        <v/>
      </c>
      <c r="C424" s="19" t="str">
        <f t="shared" ref="C424:C487" si="133">IF(ISNA(VLOOKUP(I424,AM:AN,2,FALSE)),"",VLOOKUP(I424,AM:AN,2,FALSE))</f>
        <v/>
      </c>
      <c r="D424" s="19" t="str">
        <f t="shared" ref="D424:D487" si="134">IF(ISNA(VLOOKUP(I424,AG:AH,2,FALSE)),"",VLOOKUP(I424,AG:AH,2,FALSE))</f>
        <v/>
      </c>
      <c r="E424" s="5" t="str">
        <f t="shared" si="119"/>
        <v/>
      </c>
      <c r="F424" s="12" t="str">
        <f t="shared" si="120"/>
        <v/>
      </c>
      <c r="K424" s="9" t="str">
        <f t="shared" si="121"/>
        <v/>
      </c>
      <c r="L424" s="6">
        <f t="shared" si="122"/>
        <v>0</v>
      </c>
      <c r="M424" s="6">
        <f t="shared" si="123"/>
        <v>0</v>
      </c>
      <c r="N424" s="94" t="str">
        <f t="shared" si="124"/>
        <v/>
      </c>
      <c r="O424" s="6"/>
      <c r="P424" s="6"/>
      <c r="Q424" s="6"/>
      <c r="R424" s="6"/>
      <c r="T424" s="136" t="str">
        <f t="shared" si="125"/>
        <v/>
      </c>
      <c r="U424" s="137" t="str">
        <f t="shared" si="126"/>
        <v/>
      </c>
      <c r="V424" s="1"/>
      <c r="Y424" s="90" t="str">
        <f t="shared" si="127"/>
        <v/>
      </c>
      <c r="AC424" s="6" t="s">
        <v>4225</v>
      </c>
      <c r="AD424" s="6" t="s">
        <v>6929</v>
      </c>
      <c r="AE424" s="158" t="s">
        <v>4314</v>
      </c>
      <c r="AF424" s="159" t="s">
        <v>8299</v>
      </c>
      <c r="AG424" s="160">
        <v>645428</v>
      </c>
      <c r="AH424" s="194" t="s">
        <v>678</v>
      </c>
      <c r="AI424" s="6" t="s">
        <v>624</v>
      </c>
      <c r="AJ424" s="3" t="s">
        <v>8202</v>
      </c>
      <c r="AK424" t="s">
        <v>8202</v>
      </c>
      <c r="AL424" s="4">
        <f t="shared" si="128"/>
        <v>0</v>
      </c>
      <c r="AM424" s="6" t="s">
        <v>5059</v>
      </c>
      <c r="AN424" t="s">
        <v>6234</v>
      </c>
      <c r="AO424" t="str">
        <f t="shared" si="118"/>
        <v/>
      </c>
      <c r="AV424"/>
      <c r="AX424"/>
      <c r="AZ424" t="str">
        <f t="shared" si="129"/>
        <v/>
      </c>
      <c r="BA424" t="str">
        <f t="shared" si="130"/>
        <v/>
      </c>
    </row>
    <row r="425" spans="1:53" ht="13.5">
      <c r="A425" s="135" t="str">
        <f t="shared" si="131"/>
        <v/>
      </c>
      <c r="B425" s="19" t="str">
        <f t="shared" si="132"/>
        <v/>
      </c>
      <c r="C425" s="19" t="str">
        <f t="shared" si="133"/>
        <v/>
      </c>
      <c r="D425" s="19" t="str">
        <f t="shared" si="134"/>
        <v/>
      </c>
      <c r="E425" s="5" t="str">
        <f t="shared" si="119"/>
        <v/>
      </c>
      <c r="F425" s="12" t="str">
        <f t="shared" si="120"/>
        <v/>
      </c>
      <c r="K425" s="9" t="str">
        <f t="shared" si="121"/>
        <v/>
      </c>
      <c r="L425" s="6">
        <f t="shared" si="122"/>
        <v>0</v>
      </c>
      <c r="M425" s="6">
        <f t="shared" si="123"/>
        <v>0</v>
      </c>
      <c r="N425" s="94" t="str">
        <f t="shared" si="124"/>
        <v/>
      </c>
      <c r="O425" s="6"/>
      <c r="P425" s="6"/>
      <c r="Q425" s="6"/>
      <c r="R425" s="6"/>
      <c r="T425" s="136" t="str">
        <f t="shared" si="125"/>
        <v/>
      </c>
      <c r="U425" s="137" t="str">
        <f t="shared" si="126"/>
        <v/>
      </c>
      <c r="V425" s="1"/>
      <c r="Y425" s="90" t="str">
        <f t="shared" si="127"/>
        <v/>
      </c>
      <c r="AC425" s="6">
        <v>135504</v>
      </c>
      <c r="AD425" s="6" t="s">
        <v>7003</v>
      </c>
      <c r="AE425" s="158" t="s">
        <v>1145</v>
      </c>
      <c r="AF425" s="159" t="s">
        <v>8299</v>
      </c>
      <c r="AG425" s="160">
        <v>645429</v>
      </c>
      <c r="AH425" s="194" t="s">
        <v>678</v>
      </c>
      <c r="AI425" s="6" t="s">
        <v>869</v>
      </c>
      <c r="AJ425" s="3" t="s">
        <v>8215</v>
      </c>
      <c r="AK425" t="s">
        <v>8215</v>
      </c>
      <c r="AL425" s="4">
        <f t="shared" si="128"/>
        <v>0</v>
      </c>
      <c r="AM425" s="6" t="s">
        <v>5073</v>
      </c>
      <c r="AN425" t="s">
        <v>6235</v>
      </c>
      <c r="AO425" t="str">
        <f t="shared" si="118"/>
        <v/>
      </c>
      <c r="AV425"/>
      <c r="AX425"/>
      <c r="AZ425" t="str">
        <f t="shared" si="129"/>
        <v/>
      </c>
      <c r="BA425" t="str">
        <f t="shared" si="130"/>
        <v/>
      </c>
    </row>
    <row r="426" spans="1:53" ht="13.5">
      <c r="A426" s="135" t="str">
        <f t="shared" si="131"/>
        <v/>
      </c>
      <c r="B426" s="19" t="str">
        <f t="shared" si="132"/>
        <v/>
      </c>
      <c r="C426" s="19" t="str">
        <f t="shared" si="133"/>
        <v/>
      </c>
      <c r="D426" s="19" t="str">
        <f t="shared" si="134"/>
        <v/>
      </c>
      <c r="E426" s="5" t="str">
        <f t="shared" si="119"/>
        <v/>
      </c>
      <c r="F426" s="12" t="str">
        <f t="shared" si="120"/>
        <v/>
      </c>
      <c r="K426" s="9" t="str">
        <f t="shared" si="121"/>
        <v/>
      </c>
      <c r="L426" s="6">
        <f t="shared" si="122"/>
        <v>0</v>
      </c>
      <c r="M426" s="6">
        <f t="shared" si="123"/>
        <v>0</v>
      </c>
      <c r="N426" s="94" t="str">
        <f t="shared" si="124"/>
        <v/>
      </c>
      <c r="O426" s="6"/>
      <c r="P426" s="6"/>
      <c r="Q426" s="6"/>
      <c r="R426" s="6"/>
      <c r="T426" s="136" t="str">
        <f t="shared" si="125"/>
        <v/>
      </c>
      <c r="U426" s="137" t="str">
        <f t="shared" si="126"/>
        <v/>
      </c>
      <c r="V426" s="1"/>
      <c r="Y426" s="90" t="str">
        <f t="shared" si="127"/>
        <v/>
      </c>
      <c r="AC426" s="6" t="s">
        <v>5045</v>
      </c>
      <c r="AD426" s="6" t="s">
        <v>7004</v>
      </c>
      <c r="AE426" s="158" t="s">
        <v>4360</v>
      </c>
      <c r="AF426" s="159" t="s">
        <v>8333</v>
      </c>
      <c r="AG426" s="160">
        <v>645430</v>
      </c>
      <c r="AH426" s="194" t="s">
        <v>679</v>
      </c>
      <c r="AI426" s="6" t="s">
        <v>2679</v>
      </c>
      <c r="AJ426" s="3" t="s">
        <v>8251</v>
      </c>
      <c r="AK426" t="s">
        <v>8251</v>
      </c>
      <c r="AL426" s="4">
        <f t="shared" si="128"/>
        <v>0</v>
      </c>
      <c r="AM426" s="6" t="s">
        <v>5162</v>
      </c>
      <c r="AN426" t="s">
        <v>6236</v>
      </c>
      <c r="AO426" t="str">
        <f t="shared" si="118"/>
        <v/>
      </c>
      <c r="AV426"/>
      <c r="AX426"/>
      <c r="AZ426" t="str">
        <f t="shared" si="129"/>
        <v/>
      </c>
      <c r="BA426" t="str">
        <f t="shared" si="130"/>
        <v/>
      </c>
    </row>
    <row r="427" spans="1:53" ht="13.5">
      <c r="A427" s="135" t="str">
        <f t="shared" si="131"/>
        <v/>
      </c>
      <c r="B427" s="19" t="str">
        <f t="shared" si="132"/>
        <v/>
      </c>
      <c r="C427" s="19" t="str">
        <f t="shared" si="133"/>
        <v/>
      </c>
      <c r="D427" s="19" t="str">
        <f t="shared" si="134"/>
        <v/>
      </c>
      <c r="E427" s="5" t="str">
        <f t="shared" si="119"/>
        <v/>
      </c>
      <c r="F427" s="12" t="str">
        <f t="shared" si="120"/>
        <v/>
      </c>
      <c r="K427" s="9" t="str">
        <f t="shared" si="121"/>
        <v/>
      </c>
      <c r="L427" s="6">
        <f t="shared" si="122"/>
        <v>0</v>
      </c>
      <c r="M427" s="6">
        <f t="shared" si="123"/>
        <v>0</v>
      </c>
      <c r="N427" s="94" t="str">
        <f t="shared" si="124"/>
        <v/>
      </c>
      <c r="O427" s="6"/>
      <c r="P427" s="6"/>
      <c r="Q427" s="6"/>
      <c r="R427" s="6"/>
      <c r="T427" s="136" t="str">
        <f t="shared" si="125"/>
        <v/>
      </c>
      <c r="U427" s="137" t="str">
        <f t="shared" si="126"/>
        <v/>
      </c>
      <c r="V427" s="1"/>
      <c r="Y427" s="90" t="str">
        <f t="shared" si="127"/>
        <v/>
      </c>
      <c r="AC427" s="6" t="s">
        <v>4087</v>
      </c>
      <c r="AD427" s="6" t="s">
        <v>7005</v>
      </c>
      <c r="AE427" s="158" t="s">
        <v>4361</v>
      </c>
      <c r="AF427" s="159" t="s">
        <v>8324</v>
      </c>
      <c r="AG427" s="160">
        <v>655431</v>
      </c>
      <c r="AH427" s="194" t="s">
        <v>679</v>
      </c>
      <c r="AI427" s="6" t="s">
        <v>2258</v>
      </c>
      <c r="AJ427" s="3" t="s">
        <v>8221</v>
      </c>
      <c r="AK427" t="s">
        <v>8669</v>
      </c>
      <c r="AL427" s="4">
        <f t="shared" si="128"/>
        <v>0</v>
      </c>
      <c r="AM427" s="6" t="s">
        <v>5068</v>
      </c>
      <c r="AN427" t="s">
        <v>6237</v>
      </c>
      <c r="AO427" t="str">
        <f t="shared" si="118"/>
        <v/>
      </c>
      <c r="AV427"/>
      <c r="AX427"/>
      <c r="AZ427" t="str">
        <f t="shared" si="129"/>
        <v/>
      </c>
      <c r="BA427" t="str">
        <f t="shared" si="130"/>
        <v/>
      </c>
    </row>
    <row r="428" spans="1:53" ht="13.5">
      <c r="A428" s="135" t="str">
        <f t="shared" si="131"/>
        <v/>
      </c>
      <c r="B428" s="19" t="str">
        <f t="shared" si="132"/>
        <v/>
      </c>
      <c r="C428" s="19" t="str">
        <f t="shared" si="133"/>
        <v/>
      </c>
      <c r="D428" s="19" t="str">
        <f t="shared" si="134"/>
        <v/>
      </c>
      <c r="E428" s="5" t="str">
        <f t="shared" si="119"/>
        <v/>
      </c>
      <c r="F428" s="12" t="str">
        <f t="shared" si="120"/>
        <v/>
      </c>
      <c r="K428" s="9" t="str">
        <f t="shared" si="121"/>
        <v/>
      </c>
      <c r="L428" s="6">
        <f t="shared" si="122"/>
        <v>0</v>
      </c>
      <c r="M428" s="6">
        <f t="shared" si="123"/>
        <v>0</v>
      </c>
      <c r="N428" s="94" t="str">
        <f t="shared" si="124"/>
        <v/>
      </c>
      <c r="O428" s="6"/>
      <c r="P428" s="6"/>
      <c r="Q428" s="6"/>
      <c r="R428" s="6"/>
      <c r="T428" s="136" t="str">
        <f t="shared" si="125"/>
        <v/>
      </c>
      <c r="U428" s="137" t="str">
        <f t="shared" si="126"/>
        <v/>
      </c>
      <c r="V428" s="1"/>
      <c r="Y428" s="90" t="str">
        <f t="shared" si="127"/>
        <v/>
      </c>
      <c r="AC428" s="6" t="s">
        <v>4088</v>
      </c>
      <c r="AD428" s="6" t="s">
        <v>7006</v>
      </c>
      <c r="AE428" s="158" t="s">
        <v>1268</v>
      </c>
      <c r="AF428" s="159" t="s">
        <v>8299</v>
      </c>
      <c r="AG428" s="160">
        <v>655432</v>
      </c>
      <c r="AH428" s="194" t="s">
        <v>679</v>
      </c>
      <c r="AI428" s="6" t="s">
        <v>633</v>
      </c>
      <c r="AJ428" s="3" t="s">
        <v>8216</v>
      </c>
      <c r="AK428" t="s">
        <v>8216</v>
      </c>
      <c r="AL428" s="4">
        <f t="shared" si="128"/>
        <v>0</v>
      </c>
      <c r="AM428" s="6" t="s">
        <v>5075</v>
      </c>
      <c r="AN428" t="s">
        <v>6238</v>
      </c>
      <c r="AO428" t="str">
        <f t="shared" si="118"/>
        <v/>
      </c>
      <c r="AV428"/>
      <c r="AX428"/>
      <c r="AZ428" t="str">
        <f t="shared" si="129"/>
        <v/>
      </c>
      <c r="BA428" t="str">
        <f t="shared" si="130"/>
        <v/>
      </c>
    </row>
    <row r="429" spans="1:53" ht="13.5">
      <c r="A429" s="135" t="str">
        <f t="shared" si="131"/>
        <v/>
      </c>
      <c r="B429" s="19" t="str">
        <f t="shared" si="132"/>
        <v/>
      </c>
      <c r="C429" s="19" t="str">
        <f t="shared" si="133"/>
        <v/>
      </c>
      <c r="D429" s="19" t="str">
        <f t="shared" si="134"/>
        <v/>
      </c>
      <c r="E429" s="5" t="str">
        <f t="shared" si="119"/>
        <v/>
      </c>
      <c r="F429" s="12" t="str">
        <f t="shared" si="120"/>
        <v/>
      </c>
      <c r="K429" s="9" t="str">
        <f t="shared" si="121"/>
        <v/>
      </c>
      <c r="L429" s="6">
        <f t="shared" si="122"/>
        <v>0</v>
      </c>
      <c r="M429" s="6">
        <f t="shared" si="123"/>
        <v>0</v>
      </c>
      <c r="N429" s="94" t="str">
        <f t="shared" si="124"/>
        <v/>
      </c>
      <c r="O429" s="6"/>
      <c r="P429" s="6"/>
      <c r="Q429" s="6"/>
      <c r="R429" s="6"/>
      <c r="T429" s="136" t="str">
        <f t="shared" si="125"/>
        <v/>
      </c>
      <c r="U429" s="137" t="str">
        <f t="shared" si="126"/>
        <v/>
      </c>
      <c r="V429" s="1"/>
      <c r="Y429" s="90" t="str">
        <f t="shared" si="127"/>
        <v/>
      </c>
      <c r="AC429" s="6" t="s">
        <v>3562</v>
      </c>
      <c r="AD429" s="6" t="s">
        <v>7007</v>
      </c>
      <c r="AE429" s="158" t="s">
        <v>4362</v>
      </c>
      <c r="AF429" s="159" t="s">
        <v>8311</v>
      </c>
      <c r="AG429" s="160">
        <v>665433</v>
      </c>
      <c r="AH429" s="194" t="s">
        <v>678</v>
      </c>
      <c r="AI429" s="6" t="s">
        <v>1415</v>
      </c>
      <c r="AJ429" s="3" t="s">
        <v>8216</v>
      </c>
      <c r="AK429" t="s">
        <v>8216</v>
      </c>
      <c r="AL429" s="4">
        <f t="shared" si="128"/>
        <v>0</v>
      </c>
      <c r="AM429" s="6" t="s">
        <v>5192</v>
      </c>
      <c r="AN429" t="s">
        <v>6239</v>
      </c>
      <c r="AO429" t="str">
        <f t="shared" si="118"/>
        <v/>
      </c>
      <c r="AV429"/>
      <c r="AX429"/>
      <c r="AZ429" t="str">
        <f t="shared" si="129"/>
        <v/>
      </c>
      <c r="BA429" t="str">
        <f t="shared" si="130"/>
        <v/>
      </c>
    </row>
    <row r="430" spans="1:53" ht="13.5">
      <c r="A430" s="135" t="str">
        <f t="shared" si="131"/>
        <v/>
      </c>
      <c r="B430" s="19" t="str">
        <f t="shared" si="132"/>
        <v/>
      </c>
      <c r="C430" s="19" t="str">
        <f t="shared" si="133"/>
        <v/>
      </c>
      <c r="D430" s="19" t="str">
        <f t="shared" si="134"/>
        <v/>
      </c>
      <c r="E430" s="5" t="str">
        <f t="shared" si="119"/>
        <v/>
      </c>
      <c r="F430" s="12" t="str">
        <f t="shared" si="120"/>
        <v/>
      </c>
      <c r="K430" s="9" t="str">
        <f t="shared" si="121"/>
        <v/>
      </c>
      <c r="L430" s="6">
        <f t="shared" si="122"/>
        <v>0</v>
      </c>
      <c r="M430" s="6">
        <f t="shared" si="123"/>
        <v>0</v>
      </c>
      <c r="N430" s="94" t="str">
        <f t="shared" si="124"/>
        <v/>
      </c>
      <c r="O430" s="6"/>
      <c r="P430" s="6"/>
      <c r="Q430" s="6"/>
      <c r="R430" s="6"/>
      <c r="T430" s="136" t="str">
        <f t="shared" si="125"/>
        <v/>
      </c>
      <c r="U430" s="137" t="str">
        <f t="shared" si="126"/>
        <v/>
      </c>
      <c r="V430" s="1"/>
      <c r="Y430" s="90" t="str">
        <f t="shared" si="127"/>
        <v/>
      </c>
      <c r="AC430" s="6" t="s">
        <v>4142</v>
      </c>
      <c r="AD430" s="6" t="s">
        <v>6998</v>
      </c>
      <c r="AE430" s="158" t="s">
        <v>4363</v>
      </c>
      <c r="AF430" s="159" t="s">
        <v>8320</v>
      </c>
      <c r="AG430" s="160">
        <v>665434</v>
      </c>
      <c r="AH430" s="194" t="s">
        <v>679</v>
      </c>
      <c r="AI430" s="6" t="s">
        <v>979</v>
      </c>
      <c r="AJ430" s="3" t="s">
        <v>8216</v>
      </c>
      <c r="AK430" t="s">
        <v>8216</v>
      </c>
      <c r="AL430" s="4">
        <f t="shared" si="128"/>
        <v>0</v>
      </c>
      <c r="AM430" s="6" t="s">
        <v>5164</v>
      </c>
      <c r="AN430" t="s">
        <v>6240</v>
      </c>
      <c r="AO430" t="str">
        <f t="shared" si="118"/>
        <v/>
      </c>
      <c r="AV430"/>
      <c r="AX430"/>
      <c r="AZ430" t="str">
        <f t="shared" si="129"/>
        <v/>
      </c>
      <c r="BA430" t="str">
        <f t="shared" si="130"/>
        <v/>
      </c>
    </row>
    <row r="431" spans="1:53" ht="13.5">
      <c r="A431" s="135" t="str">
        <f t="shared" si="131"/>
        <v/>
      </c>
      <c r="B431" s="19" t="str">
        <f t="shared" si="132"/>
        <v/>
      </c>
      <c r="C431" s="19" t="str">
        <f t="shared" si="133"/>
        <v/>
      </c>
      <c r="D431" s="19" t="str">
        <f t="shared" si="134"/>
        <v/>
      </c>
      <c r="E431" s="5" t="str">
        <f t="shared" si="119"/>
        <v/>
      </c>
      <c r="F431" s="12" t="str">
        <f t="shared" si="120"/>
        <v/>
      </c>
      <c r="K431" s="9" t="str">
        <f t="shared" si="121"/>
        <v/>
      </c>
      <c r="L431" s="6">
        <f t="shared" si="122"/>
        <v>0</v>
      </c>
      <c r="M431" s="6">
        <f t="shared" si="123"/>
        <v>0</v>
      </c>
      <c r="N431" s="94" t="str">
        <f t="shared" si="124"/>
        <v/>
      </c>
      <c r="O431" s="6"/>
      <c r="P431" s="6"/>
      <c r="Q431" s="6"/>
      <c r="R431" s="6"/>
      <c r="T431" s="136" t="str">
        <f t="shared" si="125"/>
        <v/>
      </c>
      <c r="U431" s="137" t="str">
        <f t="shared" si="126"/>
        <v/>
      </c>
      <c r="V431" s="1"/>
      <c r="Y431" s="90" t="str">
        <f t="shared" si="127"/>
        <v/>
      </c>
      <c r="AC431" s="6">
        <v>105575</v>
      </c>
      <c r="AD431" s="6" t="s">
        <v>7008</v>
      </c>
      <c r="AE431" s="158" t="s">
        <v>4364</v>
      </c>
      <c r="AF431" s="159" t="s">
        <v>8309</v>
      </c>
      <c r="AG431" s="160">
        <v>665435</v>
      </c>
      <c r="AH431" s="194" t="s">
        <v>678</v>
      </c>
      <c r="AI431" s="6" t="s">
        <v>659</v>
      </c>
      <c r="AJ431" s="3" t="s">
        <v>8198</v>
      </c>
      <c r="AK431" t="s">
        <v>8198</v>
      </c>
      <c r="AL431" s="4">
        <f t="shared" si="128"/>
        <v>0</v>
      </c>
      <c r="AM431" s="6" t="s">
        <v>5074</v>
      </c>
      <c r="AN431" t="s">
        <v>6241</v>
      </c>
      <c r="AO431" t="str">
        <f t="shared" si="118"/>
        <v/>
      </c>
      <c r="AV431"/>
      <c r="AX431"/>
      <c r="AZ431" t="str">
        <f t="shared" si="129"/>
        <v/>
      </c>
      <c r="BA431" t="str">
        <f t="shared" si="130"/>
        <v/>
      </c>
    </row>
    <row r="432" spans="1:53" ht="13.5">
      <c r="A432" s="135" t="str">
        <f t="shared" si="131"/>
        <v/>
      </c>
      <c r="B432" s="19" t="str">
        <f t="shared" si="132"/>
        <v/>
      </c>
      <c r="C432" s="19" t="str">
        <f t="shared" si="133"/>
        <v/>
      </c>
      <c r="D432" s="19" t="str">
        <f t="shared" si="134"/>
        <v/>
      </c>
      <c r="E432" s="5" t="str">
        <f t="shared" si="119"/>
        <v/>
      </c>
      <c r="F432" s="12" t="str">
        <f t="shared" si="120"/>
        <v/>
      </c>
      <c r="K432" s="9" t="str">
        <f t="shared" si="121"/>
        <v/>
      </c>
      <c r="L432" s="6">
        <f t="shared" si="122"/>
        <v>0</v>
      </c>
      <c r="M432" s="6">
        <f t="shared" si="123"/>
        <v>0</v>
      </c>
      <c r="N432" s="94" t="str">
        <f t="shared" si="124"/>
        <v/>
      </c>
      <c r="O432" s="6"/>
      <c r="P432" s="6"/>
      <c r="Q432" s="6"/>
      <c r="R432" s="6"/>
      <c r="T432" s="136" t="str">
        <f t="shared" si="125"/>
        <v/>
      </c>
      <c r="U432" s="137" t="str">
        <f t="shared" si="126"/>
        <v/>
      </c>
      <c r="V432" s="1"/>
      <c r="Y432" s="90" t="str">
        <f t="shared" si="127"/>
        <v/>
      </c>
      <c r="AA432" t="str">
        <f t="shared" ref="AA432:AA461" si="135">IF(NOT(AO432=""),CONCATENATE("Warid site: ",I432,"(Guest - Warid) / ",AO432," is down since ",(TEXT(REPLACE(G432,6,1,"/2014 "),"d/m/yyyy hh:mm")),"/ Power issue at ",VLOOKUP(I432,AP:AR,2,0), " end"),"")</f>
        <v/>
      </c>
      <c r="AC432" s="6" t="s">
        <v>4234</v>
      </c>
      <c r="AD432" s="6" t="s">
        <v>6929</v>
      </c>
      <c r="AE432" s="158" t="s">
        <v>1269</v>
      </c>
      <c r="AF432" s="159" t="s">
        <v>8299</v>
      </c>
      <c r="AG432" s="160">
        <v>665436</v>
      </c>
      <c r="AH432" s="194" t="s">
        <v>679</v>
      </c>
      <c r="AI432" s="6" t="s">
        <v>660</v>
      </c>
      <c r="AJ432" s="3" t="s">
        <v>8198</v>
      </c>
      <c r="AK432" t="s">
        <v>8198</v>
      </c>
      <c r="AL432" s="4">
        <f t="shared" si="128"/>
        <v>0</v>
      </c>
      <c r="AM432" s="6" t="s">
        <v>5074</v>
      </c>
      <c r="AN432" t="s">
        <v>6242</v>
      </c>
      <c r="AO432" t="str">
        <f t="shared" si="118"/>
        <v/>
      </c>
      <c r="AV432"/>
      <c r="AX432"/>
      <c r="AZ432" t="str">
        <f t="shared" si="129"/>
        <v/>
      </c>
      <c r="BA432" t="str">
        <f t="shared" si="130"/>
        <v/>
      </c>
    </row>
    <row r="433" spans="1:53" ht="13.5">
      <c r="A433" s="135" t="str">
        <f t="shared" si="131"/>
        <v/>
      </c>
      <c r="B433" s="19" t="str">
        <f t="shared" si="132"/>
        <v/>
      </c>
      <c r="C433" s="19" t="str">
        <f t="shared" si="133"/>
        <v/>
      </c>
      <c r="D433" s="19" t="str">
        <f t="shared" si="134"/>
        <v/>
      </c>
      <c r="E433" s="5" t="str">
        <f t="shared" si="119"/>
        <v/>
      </c>
      <c r="F433" s="12" t="str">
        <f t="shared" si="120"/>
        <v/>
      </c>
      <c r="K433" s="9" t="str">
        <f t="shared" si="121"/>
        <v/>
      </c>
      <c r="L433" s="6">
        <f t="shared" si="122"/>
        <v>0</v>
      </c>
      <c r="M433" s="6">
        <f t="shared" si="123"/>
        <v>0</v>
      </c>
      <c r="N433" s="94" t="str">
        <f t="shared" si="124"/>
        <v/>
      </c>
      <c r="O433" s="6"/>
      <c r="P433" s="6"/>
      <c r="Q433" s="6"/>
      <c r="R433" s="6"/>
      <c r="T433" s="136" t="str">
        <f t="shared" si="125"/>
        <v/>
      </c>
      <c r="U433" s="137" t="str">
        <f t="shared" si="126"/>
        <v/>
      </c>
      <c r="V433" s="1"/>
      <c r="Y433" s="90" t="str">
        <f t="shared" si="127"/>
        <v/>
      </c>
      <c r="AA433" t="str">
        <f t="shared" si="135"/>
        <v/>
      </c>
      <c r="AC433" s="6">
        <v>796328</v>
      </c>
      <c r="AD433" s="6" t="s">
        <v>6999</v>
      </c>
      <c r="AE433" s="158">
        <v>95630</v>
      </c>
      <c r="AF433" s="159" t="s">
        <v>8309</v>
      </c>
      <c r="AG433" s="160">
        <v>665437</v>
      </c>
      <c r="AH433" s="194" t="s">
        <v>679</v>
      </c>
      <c r="AI433" s="6" t="s">
        <v>6727</v>
      </c>
      <c r="AJ433" s="3" t="s">
        <v>8198</v>
      </c>
      <c r="AK433" t="s">
        <v>8198</v>
      </c>
      <c r="AL433" s="4">
        <f t="shared" si="128"/>
        <v>0</v>
      </c>
      <c r="AM433" s="6" t="s">
        <v>5280</v>
      </c>
      <c r="AN433" t="s">
        <v>6243</v>
      </c>
      <c r="AO433" t="str">
        <f t="shared" si="118"/>
        <v/>
      </c>
      <c r="AV433"/>
      <c r="AX433"/>
      <c r="AZ433" t="str">
        <f t="shared" si="129"/>
        <v/>
      </c>
      <c r="BA433" t="str">
        <f t="shared" si="130"/>
        <v/>
      </c>
    </row>
    <row r="434" spans="1:53" ht="13.5">
      <c r="A434" s="135" t="str">
        <f t="shared" si="131"/>
        <v/>
      </c>
      <c r="B434" s="19" t="str">
        <f t="shared" si="132"/>
        <v/>
      </c>
      <c r="C434" s="19" t="str">
        <f t="shared" si="133"/>
        <v/>
      </c>
      <c r="D434" s="19" t="str">
        <f t="shared" si="134"/>
        <v/>
      </c>
      <c r="E434" s="5" t="str">
        <f t="shared" si="119"/>
        <v/>
      </c>
      <c r="F434" s="12" t="str">
        <f t="shared" si="120"/>
        <v/>
      </c>
      <c r="K434" s="9" t="str">
        <f t="shared" si="121"/>
        <v/>
      </c>
      <c r="L434" s="6">
        <f t="shared" si="122"/>
        <v>0</v>
      </c>
      <c r="M434" s="6">
        <f t="shared" si="123"/>
        <v>0</v>
      </c>
      <c r="N434" s="94" t="str">
        <f t="shared" si="124"/>
        <v/>
      </c>
      <c r="O434" s="6"/>
      <c r="P434" s="6"/>
      <c r="Q434" s="6"/>
      <c r="R434" s="6"/>
      <c r="T434" s="136" t="str">
        <f t="shared" si="125"/>
        <v/>
      </c>
      <c r="U434" s="137" t="str">
        <f t="shared" si="126"/>
        <v/>
      </c>
      <c r="V434" s="1"/>
      <c r="Y434" s="90" t="str">
        <f t="shared" si="127"/>
        <v/>
      </c>
      <c r="AA434" t="str">
        <f t="shared" si="135"/>
        <v/>
      </c>
      <c r="AC434" s="6" t="s">
        <v>4141</v>
      </c>
      <c r="AD434" s="6" t="s">
        <v>7009</v>
      </c>
      <c r="AE434" s="158">
        <v>95632</v>
      </c>
      <c r="AF434" s="159" t="s">
        <v>8297</v>
      </c>
      <c r="AG434" s="160">
        <v>675438</v>
      </c>
      <c r="AH434" s="194" t="s">
        <v>4700</v>
      </c>
      <c r="AI434" s="6" t="s">
        <v>672</v>
      </c>
      <c r="AJ434" s="3" t="s">
        <v>8198</v>
      </c>
      <c r="AK434" t="s">
        <v>8198</v>
      </c>
      <c r="AL434" s="4">
        <f t="shared" si="128"/>
        <v>0</v>
      </c>
      <c r="AM434" s="6" t="s">
        <v>5040</v>
      </c>
      <c r="AN434" t="s">
        <v>6244</v>
      </c>
      <c r="AO434" t="str">
        <f t="shared" si="118"/>
        <v/>
      </c>
      <c r="AV434"/>
      <c r="AX434"/>
      <c r="AZ434" t="str">
        <f t="shared" si="129"/>
        <v/>
      </c>
      <c r="BA434" t="str">
        <f t="shared" si="130"/>
        <v/>
      </c>
    </row>
    <row r="435" spans="1:53" ht="13.5">
      <c r="A435" s="135" t="str">
        <f t="shared" si="131"/>
        <v/>
      </c>
      <c r="B435" s="19" t="str">
        <f t="shared" si="132"/>
        <v/>
      </c>
      <c r="C435" s="19" t="str">
        <f t="shared" si="133"/>
        <v/>
      </c>
      <c r="D435" s="19" t="str">
        <f t="shared" si="134"/>
        <v/>
      </c>
      <c r="E435" s="5" t="str">
        <f t="shared" si="119"/>
        <v/>
      </c>
      <c r="F435" s="12" t="str">
        <f t="shared" si="120"/>
        <v/>
      </c>
      <c r="K435" s="9" t="str">
        <f t="shared" si="121"/>
        <v/>
      </c>
      <c r="L435" s="6">
        <f t="shared" si="122"/>
        <v>0</v>
      </c>
      <c r="M435" s="6">
        <f t="shared" si="123"/>
        <v>0</v>
      </c>
      <c r="N435" s="94" t="str">
        <f t="shared" si="124"/>
        <v/>
      </c>
      <c r="O435" s="6"/>
      <c r="P435" s="6"/>
      <c r="Q435" s="6"/>
      <c r="R435" s="6"/>
      <c r="T435" s="136" t="str">
        <f t="shared" si="125"/>
        <v/>
      </c>
      <c r="U435" s="137" t="str">
        <f t="shared" si="126"/>
        <v/>
      </c>
      <c r="V435" s="1"/>
      <c r="Y435" s="90" t="str">
        <f t="shared" si="127"/>
        <v/>
      </c>
      <c r="AA435" t="str">
        <f t="shared" si="135"/>
        <v/>
      </c>
      <c r="AC435" s="6" t="s">
        <v>4144</v>
      </c>
      <c r="AD435" s="6" t="s">
        <v>6971</v>
      </c>
      <c r="AE435" s="158">
        <v>135613</v>
      </c>
      <c r="AF435" s="159" t="s">
        <v>8300</v>
      </c>
      <c r="AG435" s="160">
        <v>685439</v>
      </c>
      <c r="AH435" s="194" t="s">
        <v>679</v>
      </c>
      <c r="AI435" s="6" t="s">
        <v>4714</v>
      </c>
      <c r="AJ435" s="3" t="s">
        <v>8198</v>
      </c>
      <c r="AK435" t="s">
        <v>8198</v>
      </c>
      <c r="AL435" s="4">
        <f t="shared" si="128"/>
        <v>0</v>
      </c>
      <c r="AM435" s="6" t="s">
        <v>5093</v>
      </c>
      <c r="AN435" t="s">
        <v>6245</v>
      </c>
      <c r="AO435" t="str">
        <f t="shared" si="118"/>
        <v/>
      </c>
      <c r="AV435"/>
      <c r="AX435"/>
      <c r="AZ435" t="str">
        <f t="shared" si="129"/>
        <v/>
      </c>
      <c r="BA435" t="str">
        <f t="shared" si="130"/>
        <v/>
      </c>
    </row>
    <row r="436" spans="1:53" ht="13.5">
      <c r="A436" s="135" t="str">
        <f t="shared" si="131"/>
        <v/>
      </c>
      <c r="B436" s="19" t="str">
        <f t="shared" si="132"/>
        <v/>
      </c>
      <c r="C436" s="19" t="str">
        <f t="shared" si="133"/>
        <v/>
      </c>
      <c r="D436" s="19" t="str">
        <f t="shared" si="134"/>
        <v/>
      </c>
      <c r="E436" s="5" t="str">
        <f t="shared" si="119"/>
        <v/>
      </c>
      <c r="F436" s="12" t="str">
        <f t="shared" si="120"/>
        <v/>
      </c>
      <c r="K436" s="9" t="str">
        <f t="shared" si="121"/>
        <v/>
      </c>
      <c r="L436" s="6">
        <f t="shared" si="122"/>
        <v>0</v>
      </c>
      <c r="M436" s="6">
        <f t="shared" si="123"/>
        <v>0</v>
      </c>
      <c r="N436" s="94" t="str">
        <f t="shared" si="124"/>
        <v/>
      </c>
      <c r="O436" s="6"/>
      <c r="P436" s="6"/>
      <c r="Q436" s="6"/>
      <c r="R436" s="6"/>
      <c r="T436" s="136" t="str">
        <f t="shared" si="125"/>
        <v/>
      </c>
      <c r="U436" s="137" t="str">
        <f t="shared" si="126"/>
        <v/>
      </c>
      <c r="V436" s="1"/>
      <c r="Y436" s="90" t="str">
        <f t="shared" si="127"/>
        <v/>
      </c>
      <c r="AA436" t="str">
        <f t="shared" si="135"/>
        <v/>
      </c>
      <c r="AC436" s="6" t="s">
        <v>4210</v>
      </c>
      <c r="AD436" s="6" t="s">
        <v>7010</v>
      </c>
      <c r="AE436" s="158">
        <v>195217</v>
      </c>
      <c r="AF436" s="159" t="s">
        <v>8333</v>
      </c>
      <c r="AG436" s="160">
        <v>695440</v>
      </c>
      <c r="AH436" s="194" t="s">
        <v>679</v>
      </c>
      <c r="AI436" s="6" t="s">
        <v>5477</v>
      </c>
      <c r="AJ436" s="3" t="s">
        <v>8198</v>
      </c>
      <c r="AK436" t="s">
        <v>8198</v>
      </c>
      <c r="AL436" s="4">
        <f t="shared" si="128"/>
        <v>0</v>
      </c>
      <c r="AM436" s="6" t="s">
        <v>5150</v>
      </c>
      <c r="AN436" t="s">
        <v>6246</v>
      </c>
      <c r="AO436" t="str">
        <f t="shared" si="118"/>
        <v/>
      </c>
      <c r="AV436"/>
      <c r="AX436"/>
      <c r="AZ436" t="str">
        <f t="shared" si="129"/>
        <v/>
      </c>
      <c r="BA436" t="str">
        <f t="shared" si="130"/>
        <v/>
      </c>
    </row>
    <row r="437" spans="1:53" ht="13.5">
      <c r="A437" s="135" t="str">
        <f t="shared" si="131"/>
        <v/>
      </c>
      <c r="B437" s="19" t="str">
        <f t="shared" si="132"/>
        <v/>
      </c>
      <c r="C437" s="19" t="str">
        <f t="shared" si="133"/>
        <v/>
      </c>
      <c r="D437" s="19" t="str">
        <f t="shared" si="134"/>
        <v/>
      </c>
      <c r="E437" s="5" t="str">
        <f t="shared" si="119"/>
        <v/>
      </c>
      <c r="F437" s="12" t="str">
        <f t="shared" si="120"/>
        <v/>
      </c>
      <c r="K437" s="9" t="str">
        <f t="shared" si="121"/>
        <v/>
      </c>
      <c r="L437" s="6">
        <f t="shared" si="122"/>
        <v>0</v>
      </c>
      <c r="M437" s="6">
        <f t="shared" si="123"/>
        <v>0</v>
      </c>
      <c r="N437" s="94" t="str">
        <f t="shared" si="124"/>
        <v/>
      </c>
      <c r="O437" s="6"/>
      <c r="P437" s="6"/>
      <c r="Q437" s="6"/>
      <c r="R437" s="6"/>
      <c r="T437" s="136" t="str">
        <f t="shared" si="125"/>
        <v/>
      </c>
      <c r="U437" s="137" t="str">
        <f t="shared" si="126"/>
        <v/>
      </c>
      <c r="V437" s="1"/>
      <c r="Y437" s="90" t="str">
        <f t="shared" si="127"/>
        <v/>
      </c>
      <c r="AA437" t="str">
        <f t="shared" si="135"/>
        <v/>
      </c>
      <c r="AC437" s="6" t="s">
        <v>5175</v>
      </c>
      <c r="AD437" s="6" t="s">
        <v>7011</v>
      </c>
      <c r="AE437" s="158" t="s">
        <v>4295</v>
      </c>
      <c r="AF437" s="159" t="s">
        <v>8296</v>
      </c>
      <c r="AG437" s="160">
        <v>695441</v>
      </c>
      <c r="AH437" s="194" t="s">
        <v>679</v>
      </c>
      <c r="AI437" s="6" t="s">
        <v>1900</v>
      </c>
      <c r="AJ437" s="3" t="s">
        <v>8217</v>
      </c>
      <c r="AK437" t="s">
        <v>8668</v>
      </c>
      <c r="AL437" s="4">
        <f t="shared" si="128"/>
        <v>0</v>
      </c>
      <c r="AM437" s="6" t="s">
        <v>5066</v>
      </c>
      <c r="AN437" t="s">
        <v>6247</v>
      </c>
      <c r="AO437" t="str">
        <f t="shared" si="118"/>
        <v/>
      </c>
      <c r="AV437"/>
      <c r="AX437"/>
      <c r="AZ437" t="str">
        <f t="shared" si="129"/>
        <v/>
      </c>
      <c r="BA437" t="str">
        <f t="shared" si="130"/>
        <v/>
      </c>
    </row>
    <row r="438" spans="1:53" ht="13.5">
      <c r="A438" s="135" t="str">
        <f t="shared" si="131"/>
        <v/>
      </c>
      <c r="B438" s="19" t="str">
        <f t="shared" si="132"/>
        <v/>
      </c>
      <c r="C438" s="19" t="str">
        <f t="shared" si="133"/>
        <v/>
      </c>
      <c r="D438" s="19" t="str">
        <f t="shared" si="134"/>
        <v/>
      </c>
      <c r="E438" s="5" t="str">
        <f t="shared" si="119"/>
        <v/>
      </c>
      <c r="F438" s="12" t="str">
        <f t="shared" si="120"/>
        <v/>
      </c>
      <c r="K438" s="9" t="str">
        <f t="shared" si="121"/>
        <v/>
      </c>
      <c r="L438" s="6">
        <f t="shared" si="122"/>
        <v>0</v>
      </c>
      <c r="M438" s="6">
        <f t="shared" si="123"/>
        <v>0</v>
      </c>
      <c r="N438" s="94" t="str">
        <f t="shared" si="124"/>
        <v/>
      </c>
      <c r="O438" s="6"/>
      <c r="P438" s="6"/>
      <c r="Q438" s="6"/>
      <c r="R438" s="6"/>
      <c r="T438" s="136" t="str">
        <f t="shared" si="125"/>
        <v/>
      </c>
      <c r="U438" s="137" t="str">
        <f t="shared" si="126"/>
        <v/>
      </c>
      <c r="V438" s="1"/>
      <c r="Y438" s="90" t="str">
        <f t="shared" si="127"/>
        <v/>
      </c>
      <c r="AA438" t="str">
        <f t="shared" si="135"/>
        <v/>
      </c>
      <c r="AC438" s="6">
        <v>135615</v>
      </c>
      <c r="AD438" s="6" t="s">
        <v>7012</v>
      </c>
      <c r="AE438" s="158" t="s">
        <v>4315</v>
      </c>
      <c r="AF438" s="159" t="s">
        <v>8320</v>
      </c>
      <c r="AG438" s="160">
        <v>695442</v>
      </c>
      <c r="AH438" s="194" t="s">
        <v>1314</v>
      </c>
      <c r="AI438" s="6" t="s">
        <v>1998</v>
      </c>
      <c r="AJ438" s="3" t="s">
        <v>8217</v>
      </c>
      <c r="AK438" t="s">
        <v>8668</v>
      </c>
      <c r="AL438" s="4">
        <f t="shared" si="128"/>
        <v>0</v>
      </c>
      <c r="AM438" s="6" t="s">
        <v>5165</v>
      </c>
      <c r="AN438" t="s">
        <v>6248</v>
      </c>
      <c r="AO438" t="str">
        <f t="shared" si="118"/>
        <v/>
      </c>
      <c r="AV438"/>
      <c r="AX438"/>
      <c r="AZ438" t="str">
        <f t="shared" si="129"/>
        <v/>
      </c>
      <c r="BA438" t="str">
        <f t="shared" si="130"/>
        <v/>
      </c>
    </row>
    <row r="439" spans="1:53" ht="13.5">
      <c r="A439" s="135" t="str">
        <f t="shared" si="131"/>
        <v/>
      </c>
      <c r="B439" s="19" t="str">
        <f t="shared" si="132"/>
        <v/>
      </c>
      <c r="C439" s="19" t="str">
        <f t="shared" si="133"/>
        <v/>
      </c>
      <c r="D439" s="19" t="str">
        <f t="shared" si="134"/>
        <v/>
      </c>
      <c r="E439" s="5" t="str">
        <f t="shared" si="119"/>
        <v/>
      </c>
      <c r="F439" s="12" t="str">
        <f t="shared" si="120"/>
        <v/>
      </c>
      <c r="K439" s="9" t="str">
        <f t="shared" si="121"/>
        <v/>
      </c>
      <c r="L439" s="6">
        <f t="shared" si="122"/>
        <v>0</v>
      </c>
      <c r="M439" s="6">
        <f t="shared" si="123"/>
        <v>0</v>
      </c>
      <c r="N439" s="94" t="str">
        <f t="shared" si="124"/>
        <v/>
      </c>
      <c r="O439" s="6"/>
      <c r="P439" s="6"/>
      <c r="Q439" s="6"/>
      <c r="R439" s="6"/>
      <c r="T439" s="136" t="str">
        <f t="shared" si="125"/>
        <v/>
      </c>
      <c r="U439" s="137" t="str">
        <f t="shared" si="126"/>
        <v/>
      </c>
      <c r="V439" s="1"/>
      <c r="Y439" s="90" t="str">
        <f t="shared" si="127"/>
        <v/>
      </c>
      <c r="AA439" t="str">
        <f t="shared" si="135"/>
        <v/>
      </c>
      <c r="AC439" s="6" t="s">
        <v>3615</v>
      </c>
      <c r="AD439" s="6" t="s">
        <v>6971</v>
      </c>
      <c r="AE439" s="158" t="s">
        <v>4322</v>
      </c>
      <c r="AF439" s="159" t="s">
        <v>8320</v>
      </c>
      <c r="AG439" s="160">
        <v>695443</v>
      </c>
      <c r="AH439" s="194" t="s">
        <v>679</v>
      </c>
      <c r="AI439" s="6" t="s">
        <v>4149</v>
      </c>
      <c r="AJ439" s="3" t="s">
        <v>8214</v>
      </c>
      <c r="AK439" t="s">
        <v>8214</v>
      </c>
      <c r="AL439" s="4">
        <f t="shared" si="128"/>
        <v>0</v>
      </c>
      <c r="AM439" s="6" t="s">
        <v>5038</v>
      </c>
      <c r="AN439" t="s">
        <v>6249</v>
      </c>
      <c r="AO439" t="str">
        <f t="shared" si="118"/>
        <v/>
      </c>
      <c r="AV439"/>
      <c r="AX439"/>
      <c r="AZ439" t="str">
        <f t="shared" si="129"/>
        <v/>
      </c>
      <c r="BA439" t="str">
        <f t="shared" si="130"/>
        <v/>
      </c>
    </row>
    <row r="440" spans="1:53" ht="13.5">
      <c r="A440" s="135" t="str">
        <f t="shared" si="131"/>
        <v/>
      </c>
      <c r="B440" s="19" t="str">
        <f t="shared" si="132"/>
        <v/>
      </c>
      <c r="C440" s="19" t="str">
        <f t="shared" si="133"/>
        <v/>
      </c>
      <c r="D440" s="19" t="str">
        <f t="shared" si="134"/>
        <v/>
      </c>
      <c r="E440" s="5" t="str">
        <f t="shared" si="119"/>
        <v/>
      </c>
      <c r="F440" s="12" t="str">
        <f t="shared" si="120"/>
        <v/>
      </c>
      <c r="K440" s="9" t="str">
        <f t="shared" si="121"/>
        <v/>
      </c>
      <c r="L440" s="6">
        <f t="shared" si="122"/>
        <v>0</v>
      </c>
      <c r="M440" s="6">
        <f t="shared" si="123"/>
        <v>0</v>
      </c>
      <c r="N440" s="94" t="str">
        <f t="shared" si="124"/>
        <v/>
      </c>
      <c r="O440" s="6"/>
      <c r="P440" s="6"/>
      <c r="Q440" s="6"/>
      <c r="R440" s="6"/>
      <c r="T440" s="136" t="str">
        <f t="shared" si="125"/>
        <v/>
      </c>
      <c r="U440" s="137" t="str">
        <f t="shared" si="126"/>
        <v/>
      </c>
      <c r="V440" s="1"/>
      <c r="Y440" s="90" t="str">
        <f t="shared" si="127"/>
        <v/>
      </c>
      <c r="AA440" t="str">
        <f t="shared" si="135"/>
        <v/>
      </c>
      <c r="AC440" s="6">
        <v>886402</v>
      </c>
      <c r="AD440" s="6" t="s">
        <v>7013</v>
      </c>
      <c r="AE440" s="158" t="s">
        <v>4323</v>
      </c>
      <c r="AF440" s="159" t="s">
        <v>8299</v>
      </c>
      <c r="AG440" s="160">
        <v>705444</v>
      </c>
      <c r="AH440" s="194" t="s">
        <v>1314</v>
      </c>
      <c r="AI440" s="6" t="s">
        <v>2555</v>
      </c>
      <c r="AJ440" s="3" t="s">
        <v>8226</v>
      </c>
      <c r="AK440" t="s">
        <v>8671</v>
      </c>
      <c r="AL440" s="4">
        <f t="shared" si="128"/>
        <v>0</v>
      </c>
      <c r="AM440" s="6" t="s">
        <v>5061</v>
      </c>
      <c r="AN440" t="s">
        <v>6250</v>
      </c>
      <c r="AO440" t="str">
        <f t="shared" si="118"/>
        <v/>
      </c>
      <c r="AV440"/>
      <c r="AX440"/>
      <c r="AZ440" t="str">
        <f t="shared" si="129"/>
        <v/>
      </c>
      <c r="BA440" t="str">
        <f t="shared" si="130"/>
        <v/>
      </c>
    </row>
    <row r="441" spans="1:53" ht="13.5">
      <c r="A441" s="135" t="str">
        <f t="shared" si="131"/>
        <v/>
      </c>
      <c r="B441" s="19" t="str">
        <f t="shared" si="132"/>
        <v/>
      </c>
      <c r="C441" s="19" t="str">
        <f t="shared" si="133"/>
        <v/>
      </c>
      <c r="D441" s="19" t="str">
        <f t="shared" si="134"/>
        <v/>
      </c>
      <c r="E441" s="5" t="str">
        <f t="shared" si="119"/>
        <v/>
      </c>
      <c r="F441" s="12" t="str">
        <f t="shared" si="120"/>
        <v/>
      </c>
      <c r="K441" s="9" t="str">
        <f t="shared" si="121"/>
        <v/>
      </c>
      <c r="L441" s="6">
        <f t="shared" si="122"/>
        <v>0</v>
      </c>
      <c r="M441" s="6">
        <f t="shared" si="123"/>
        <v>0</v>
      </c>
      <c r="N441" s="94" t="str">
        <f t="shared" si="124"/>
        <v/>
      </c>
      <c r="O441" s="6"/>
      <c r="P441" s="6"/>
      <c r="Q441" s="6"/>
      <c r="R441" s="6"/>
      <c r="T441" s="136" t="str">
        <f t="shared" si="125"/>
        <v/>
      </c>
      <c r="U441" s="137" t="str">
        <f t="shared" si="126"/>
        <v/>
      </c>
      <c r="V441" s="1"/>
      <c r="Y441" s="90" t="str">
        <f t="shared" si="127"/>
        <v/>
      </c>
      <c r="AA441" t="str">
        <f t="shared" si="135"/>
        <v/>
      </c>
      <c r="AC441" s="6" t="s">
        <v>3606</v>
      </c>
      <c r="AD441" s="6" t="s">
        <v>6971</v>
      </c>
      <c r="AE441" s="158">
        <v>313677</v>
      </c>
      <c r="AF441" s="159" t="s">
        <v>8299</v>
      </c>
      <c r="AG441" s="160">
        <v>705445</v>
      </c>
      <c r="AH441" s="194" t="s">
        <v>1314</v>
      </c>
      <c r="AI441" s="6" t="s">
        <v>2578</v>
      </c>
      <c r="AJ441" s="3" t="s">
        <v>8226</v>
      </c>
      <c r="AK441" t="s">
        <v>8671</v>
      </c>
      <c r="AL441" s="4">
        <f t="shared" si="128"/>
        <v>0</v>
      </c>
      <c r="AM441" s="6" t="s">
        <v>5055</v>
      </c>
      <c r="AN441" t="s">
        <v>6251</v>
      </c>
      <c r="AO441" t="str">
        <f t="shared" si="118"/>
        <v/>
      </c>
      <c r="AV441"/>
      <c r="AX441"/>
      <c r="AZ441" t="str">
        <f t="shared" si="129"/>
        <v/>
      </c>
      <c r="BA441" t="str">
        <f t="shared" si="130"/>
        <v/>
      </c>
    </row>
    <row r="442" spans="1:53" ht="13.5">
      <c r="A442" s="135" t="str">
        <f t="shared" si="131"/>
        <v/>
      </c>
      <c r="B442" s="19" t="str">
        <f t="shared" si="132"/>
        <v/>
      </c>
      <c r="C442" s="19" t="str">
        <f t="shared" si="133"/>
        <v/>
      </c>
      <c r="D442" s="19" t="str">
        <f t="shared" si="134"/>
        <v/>
      </c>
      <c r="E442" s="5" t="str">
        <f t="shared" si="119"/>
        <v/>
      </c>
      <c r="F442" s="12" t="str">
        <f t="shared" si="120"/>
        <v/>
      </c>
      <c r="K442" s="9" t="str">
        <f t="shared" si="121"/>
        <v/>
      </c>
      <c r="L442" s="6">
        <f t="shared" si="122"/>
        <v>0</v>
      </c>
      <c r="M442" s="6">
        <f t="shared" si="123"/>
        <v>0</v>
      </c>
      <c r="N442" s="94" t="str">
        <f t="shared" si="124"/>
        <v/>
      </c>
      <c r="O442" s="6"/>
      <c r="P442" s="6"/>
      <c r="Q442" s="6"/>
      <c r="R442" s="6"/>
      <c r="T442" s="136" t="str">
        <f t="shared" si="125"/>
        <v/>
      </c>
      <c r="U442" s="137" t="str">
        <f t="shared" si="126"/>
        <v/>
      </c>
      <c r="V442" s="1"/>
      <c r="Y442" s="90" t="str">
        <f t="shared" si="127"/>
        <v/>
      </c>
      <c r="AA442" t="str">
        <f t="shared" si="135"/>
        <v/>
      </c>
      <c r="AC442" s="6" t="s">
        <v>4145</v>
      </c>
      <c r="AD442" s="6" t="s">
        <v>7014</v>
      </c>
      <c r="AE442" s="158">
        <v>293697</v>
      </c>
      <c r="AF442" s="159" t="s">
        <v>8299</v>
      </c>
      <c r="AG442" s="160">
        <v>705446</v>
      </c>
      <c r="AH442" s="194" t="s">
        <v>1314</v>
      </c>
      <c r="AI442" s="6" t="s">
        <v>2579</v>
      </c>
      <c r="AJ442" s="3" t="s">
        <v>8226</v>
      </c>
      <c r="AK442" t="s">
        <v>8671</v>
      </c>
      <c r="AL442" s="4">
        <f t="shared" si="128"/>
        <v>0</v>
      </c>
      <c r="AM442" s="6" t="s">
        <v>5042</v>
      </c>
      <c r="AN442" t="s">
        <v>6252</v>
      </c>
      <c r="AO442" t="str">
        <f t="shared" si="118"/>
        <v/>
      </c>
      <c r="AV442"/>
      <c r="AX442"/>
      <c r="AZ442" t="str">
        <f t="shared" si="129"/>
        <v/>
      </c>
      <c r="BA442" t="str">
        <f t="shared" si="130"/>
        <v/>
      </c>
    </row>
    <row r="443" spans="1:53" ht="13.5">
      <c r="A443" s="135" t="str">
        <f t="shared" si="131"/>
        <v/>
      </c>
      <c r="B443" s="19" t="str">
        <f t="shared" si="132"/>
        <v/>
      </c>
      <c r="C443" s="19" t="str">
        <f t="shared" si="133"/>
        <v/>
      </c>
      <c r="D443" s="19" t="str">
        <f t="shared" si="134"/>
        <v/>
      </c>
      <c r="E443" s="5" t="str">
        <f t="shared" si="119"/>
        <v/>
      </c>
      <c r="F443" s="12" t="str">
        <f t="shared" si="120"/>
        <v/>
      </c>
      <c r="K443" s="9" t="str">
        <f t="shared" si="121"/>
        <v/>
      </c>
      <c r="L443" s="6">
        <f t="shared" si="122"/>
        <v>0</v>
      </c>
      <c r="M443" s="6">
        <f t="shared" si="123"/>
        <v>0</v>
      </c>
      <c r="N443" s="94" t="str">
        <f t="shared" si="124"/>
        <v/>
      </c>
      <c r="O443" s="6"/>
      <c r="P443" s="6"/>
      <c r="Q443" s="6"/>
      <c r="R443" s="6"/>
      <c r="T443" s="136" t="str">
        <f t="shared" si="125"/>
        <v/>
      </c>
      <c r="U443" s="137" t="str">
        <f t="shared" si="126"/>
        <v/>
      </c>
      <c r="V443" s="1"/>
      <c r="Y443" s="90" t="str">
        <f t="shared" si="127"/>
        <v/>
      </c>
      <c r="AA443" t="str">
        <f t="shared" si="135"/>
        <v/>
      </c>
      <c r="AC443" s="6" t="s">
        <v>3619</v>
      </c>
      <c r="AD443" s="6" t="s">
        <v>6971</v>
      </c>
      <c r="AE443" s="158" t="s">
        <v>4316</v>
      </c>
      <c r="AF443" s="159" t="s">
        <v>8309</v>
      </c>
      <c r="AG443" s="160">
        <v>715447</v>
      </c>
      <c r="AH443" s="194" t="s">
        <v>679</v>
      </c>
      <c r="AI443" s="6" t="s">
        <v>2818</v>
      </c>
      <c r="AJ443" s="3" t="s">
        <v>8226</v>
      </c>
      <c r="AK443" t="s">
        <v>8671</v>
      </c>
      <c r="AL443" s="4">
        <f t="shared" si="128"/>
        <v>0</v>
      </c>
      <c r="AM443" s="6" t="s">
        <v>5179</v>
      </c>
      <c r="AN443" t="s">
        <v>6253</v>
      </c>
      <c r="AO443" t="str">
        <f t="shared" si="118"/>
        <v/>
      </c>
      <c r="AV443"/>
      <c r="AX443"/>
      <c r="AZ443" t="str">
        <f t="shared" si="129"/>
        <v/>
      </c>
      <c r="BA443" t="str">
        <f t="shared" si="130"/>
        <v/>
      </c>
    </row>
    <row r="444" spans="1:53" ht="13.5">
      <c r="A444" s="135" t="str">
        <f t="shared" si="131"/>
        <v/>
      </c>
      <c r="B444" s="19" t="str">
        <f t="shared" si="132"/>
        <v/>
      </c>
      <c r="C444" s="19" t="str">
        <f t="shared" si="133"/>
        <v/>
      </c>
      <c r="D444" s="19" t="str">
        <f t="shared" si="134"/>
        <v/>
      </c>
      <c r="E444" s="5" t="str">
        <f t="shared" si="119"/>
        <v/>
      </c>
      <c r="F444" s="12" t="str">
        <f t="shared" si="120"/>
        <v/>
      </c>
      <c r="K444" s="9" t="str">
        <f t="shared" si="121"/>
        <v/>
      </c>
      <c r="L444" s="6">
        <f t="shared" si="122"/>
        <v>0</v>
      </c>
      <c r="M444" s="6">
        <f t="shared" si="123"/>
        <v>0</v>
      </c>
      <c r="N444" s="94" t="str">
        <f t="shared" si="124"/>
        <v/>
      </c>
      <c r="O444" s="6"/>
      <c r="P444" s="6"/>
      <c r="Q444" s="6"/>
      <c r="R444" s="6"/>
      <c r="T444" s="136" t="str">
        <f t="shared" si="125"/>
        <v/>
      </c>
      <c r="U444" s="137" t="str">
        <f t="shared" si="126"/>
        <v/>
      </c>
      <c r="V444" s="1"/>
      <c r="Y444" s="90" t="str">
        <f t="shared" si="127"/>
        <v/>
      </c>
      <c r="AA444" t="str">
        <f t="shared" si="135"/>
        <v/>
      </c>
      <c r="AC444" s="6" t="s">
        <v>3561</v>
      </c>
      <c r="AD444" s="6" t="s">
        <v>7007</v>
      </c>
      <c r="AE444" s="158" t="s">
        <v>4324</v>
      </c>
      <c r="AF444" s="159" t="s">
        <v>8299</v>
      </c>
      <c r="AG444" s="160">
        <v>715448</v>
      </c>
      <c r="AH444" s="194" t="s">
        <v>679</v>
      </c>
      <c r="AI444" s="6" t="s">
        <v>2775</v>
      </c>
      <c r="AJ444" s="3" t="s">
        <v>8226</v>
      </c>
      <c r="AK444" t="s">
        <v>8671</v>
      </c>
      <c r="AL444" s="4">
        <f t="shared" si="128"/>
        <v>0</v>
      </c>
      <c r="AM444" s="6" t="s">
        <v>5077</v>
      </c>
      <c r="AN444" t="s">
        <v>6254</v>
      </c>
      <c r="AO444" t="str">
        <f t="shared" si="118"/>
        <v/>
      </c>
      <c r="AV444"/>
      <c r="AX444"/>
      <c r="AZ444" t="str">
        <f t="shared" si="129"/>
        <v/>
      </c>
      <c r="BA444" t="str">
        <f t="shared" si="130"/>
        <v/>
      </c>
    </row>
    <row r="445" spans="1:53" ht="13.5">
      <c r="A445" s="135" t="str">
        <f t="shared" si="131"/>
        <v/>
      </c>
      <c r="B445" s="19" t="str">
        <f t="shared" si="132"/>
        <v/>
      </c>
      <c r="C445" s="19" t="str">
        <f t="shared" si="133"/>
        <v/>
      </c>
      <c r="D445" s="19" t="str">
        <f t="shared" si="134"/>
        <v/>
      </c>
      <c r="E445" s="5" t="str">
        <f t="shared" si="119"/>
        <v/>
      </c>
      <c r="F445" s="12" t="str">
        <f t="shared" si="120"/>
        <v/>
      </c>
      <c r="K445" s="9" t="str">
        <f t="shared" si="121"/>
        <v/>
      </c>
      <c r="L445" s="6">
        <f t="shared" si="122"/>
        <v>0</v>
      </c>
      <c r="M445" s="6">
        <f t="shared" si="123"/>
        <v>0</v>
      </c>
      <c r="N445" s="94" t="str">
        <f t="shared" si="124"/>
        <v/>
      </c>
      <c r="O445" s="6"/>
      <c r="P445" s="6"/>
      <c r="Q445" s="6"/>
      <c r="R445" s="6"/>
      <c r="T445" s="136" t="str">
        <f t="shared" si="125"/>
        <v/>
      </c>
      <c r="U445" s="137" t="str">
        <f t="shared" si="126"/>
        <v/>
      </c>
      <c r="V445" s="1"/>
      <c r="Y445" s="90" t="str">
        <f t="shared" si="127"/>
        <v/>
      </c>
      <c r="AA445" t="str">
        <f t="shared" si="135"/>
        <v/>
      </c>
      <c r="AC445" s="6" t="s">
        <v>3604</v>
      </c>
      <c r="AD445" s="6" t="s">
        <v>6971</v>
      </c>
      <c r="AE445" s="158" t="s">
        <v>4325</v>
      </c>
      <c r="AF445" s="159" t="s">
        <v>8299</v>
      </c>
      <c r="AG445" s="160">
        <v>715449</v>
      </c>
      <c r="AH445" s="194" t="s">
        <v>679</v>
      </c>
      <c r="AI445" s="6" t="s">
        <v>2776</v>
      </c>
      <c r="AJ445" s="3" t="s">
        <v>8226</v>
      </c>
      <c r="AK445" t="s">
        <v>8671</v>
      </c>
      <c r="AL445" s="4">
        <f t="shared" si="128"/>
        <v>0</v>
      </c>
      <c r="AM445" s="6" t="s">
        <v>5196</v>
      </c>
      <c r="AN445" t="s">
        <v>6255</v>
      </c>
      <c r="AO445" t="str">
        <f t="shared" si="118"/>
        <v/>
      </c>
      <c r="AV445"/>
      <c r="AX445"/>
      <c r="AZ445" t="str">
        <f t="shared" si="129"/>
        <v/>
      </c>
      <c r="BA445" t="str">
        <f t="shared" si="130"/>
        <v/>
      </c>
    </row>
    <row r="446" spans="1:53" ht="13.5">
      <c r="A446" s="135" t="str">
        <f t="shared" si="131"/>
        <v/>
      </c>
      <c r="B446" s="19" t="str">
        <f t="shared" si="132"/>
        <v/>
      </c>
      <c r="C446" s="19" t="str">
        <f t="shared" si="133"/>
        <v/>
      </c>
      <c r="D446" s="19" t="str">
        <f t="shared" si="134"/>
        <v/>
      </c>
      <c r="E446" s="5" t="str">
        <f t="shared" si="119"/>
        <v/>
      </c>
      <c r="F446" s="12" t="str">
        <f t="shared" si="120"/>
        <v/>
      </c>
      <c r="K446" s="9" t="str">
        <f t="shared" si="121"/>
        <v/>
      </c>
      <c r="L446" s="6">
        <f t="shared" si="122"/>
        <v>0</v>
      </c>
      <c r="M446" s="6">
        <f t="shared" si="123"/>
        <v>0</v>
      </c>
      <c r="N446" s="94" t="str">
        <f t="shared" si="124"/>
        <v/>
      </c>
      <c r="O446" s="6"/>
      <c r="P446" s="6"/>
      <c r="Q446" s="6"/>
      <c r="R446" s="6"/>
      <c r="T446" s="136" t="str">
        <f t="shared" si="125"/>
        <v/>
      </c>
      <c r="U446" s="137" t="str">
        <f t="shared" si="126"/>
        <v/>
      </c>
      <c r="V446" s="1"/>
      <c r="Y446" s="90" t="str">
        <f t="shared" si="127"/>
        <v/>
      </c>
      <c r="AA446" t="str">
        <f t="shared" si="135"/>
        <v/>
      </c>
      <c r="AC446" s="6" t="s">
        <v>3616</v>
      </c>
      <c r="AD446" s="6" t="s">
        <v>6971</v>
      </c>
      <c r="AE446" s="158" t="s">
        <v>4326</v>
      </c>
      <c r="AF446" s="159" t="s">
        <v>8299</v>
      </c>
      <c r="AG446" s="160">
        <v>725450</v>
      </c>
      <c r="AH446" s="194" t="s">
        <v>679</v>
      </c>
      <c r="AI446" s="6" t="s">
        <v>2779</v>
      </c>
      <c r="AJ446" s="3" t="s">
        <v>8226</v>
      </c>
      <c r="AK446" t="s">
        <v>8671</v>
      </c>
      <c r="AL446" s="4">
        <f t="shared" si="128"/>
        <v>0</v>
      </c>
      <c r="AM446" s="6" t="s">
        <v>5035</v>
      </c>
      <c r="AN446" t="s">
        <v>6256</v>
      </c>
      <c r="AO446" t="str">
        <f t="shared" si="118"/>
        <v/>
      </c>
      <c r="AV446"/>
      <c r="AX446"/>
      <c r="AZ446" t="str">
        <f t="shared" si="129"/>
        <v/>
      </c>
      <c r="BA446" t="str">
        <f t="shared" si="130"/>
        <v/>
      </c>
    </row>
    <row r="447" spans="1:53" ht="13.5">
      <c r="A447" s="135" t="str">
        <f t="shared" si="131"/>
        <v/>
      </c>
      <c r="B447" s="19" t="str">
        <f t="shared" si="132"/>
        <v/>
      </c>
      <c r="C447" s="19" t="str">
        <f t="shared" si="133"/>
        <v/>
      </c>
      <c r="D447" s="19" t="str">
        <f t="shared" si="134"/>
        <v/>
      </c>
      <c r="E447" s="5" t="str">
        <f t="shared" si="119"/>
        <v/>
      </c>
      <c r="F447" s="12" t="str">
        <f t="shared" si="120"/>
        <v/>
      </c>
      <c r="K447" s="9" t="str">
        <f t="shared" si="121"/>
        <v/>
      </c>
      <c r="L447" s="6">
        <f t="shared" si="122"/>
        <v>0</v>
      </c>
      <c r="M447" s="6">
        <f t="shared" si="123"/>
        <v>0</v>
      </c>
      <c r="N447" s="94" t="str">
        <f t="shared" si="124"/>
        <v/>
      </c>
      <c r="O447" s="6"/>
      <c r="P447" s="6"/>
      <c r="Q447" s="6"/>
      <c r="R447" s="6"/>
      <c r="T447" s="136" t="str">
        <f t="shared" si="125"/>
        <v/>
      </c>
      <c r="U447" s="137" t="str">
        <f t="shared" si="126"/>
        <v/>
      </c>
      <c r="V447" s="1"/>
      <c r="Y447" s="90" t="str">
        <f t="shared" si="127"/>
        <v/>
      </c>
      <c r="AA447" t="str">
        <f t="shared" si="135"/>
        <v/>
      </c>
      <c r="AC447" s="6" t="s">
        <v>3611</v>
      </c>
      <c r="AD447" s="6" t="s">
        <v>6971</v>
      </c>
      <c r="AE447" s="158" t="s">
        <v>4327</v>
      </c>
      <c r="AF447" s="159" t="s">
        <v>8299</v>
      </c>
      <c r="AG447" s="160">
        <v>725451</v>
      </c>
      <c r="AH447" s="194" t="s">
        <v>679</v>
      </c>
      <c r="AI447" s="6" t="s">
        <v>1912</v>
      </c>
      <c r="AJ447" s="3" t="s">
        <v>8234</v>
      </c>
      <c r="AK447" t="s">
        <v>8234</v>
      </c>
      <c r="AL447" s="4">
        <f t="shared" si="128"/>
        <v>0</v>
      </c>
      <c r="AM447" s="6" t="s">
        <v>5193</v>
      </c>
      <c r="AN447" t="s">
        <v>6257</v>
      </c>
      <c r="AO447" t="str">
        <f t="shared" si="118"/>
        <v/>
      </c>
      <c r="AV447"/>
      <c r="AX447"/>
      <c r="AZ447" t="str">
        <f t="shared" si="129"/>
        <v/>
      </c>
      <c r="BA447" t="str">
        <f t="shared" si="130"/>
        <v/>
      </c>
    </row>
    <row r="448" spans="1:53" ht="13.5">
      <c r="A448" s="135" t="str">
        <f t="shared" si="131"/>
        <v/>
      </c>
      <c r="B448" s="19" t="str">
        <f t="shared" si="132"/>
        <v/>
      </c>
      <c r="C448" s="19" t="str">
        <f t="shared" si="133"/>
        <v/>
      </c>
      <c r="D448" s="19" t="str">
        <f t="shared" si="134"/>
        <v/>
      </c>
      <c r="E448" s="5" t="str">
        <f t="shared" si="119"/>
        <v/>
      </c>
      <c r="F448" s="12" t="str">
        <f t="shared" si="120"/>
        <v/>
      </c>
      <c r="K448" s="9" t="str">
        <f t="shared" si="121"/>
        <v/>
      </c>
      <c r="L448" s="6">
        <f t="shared" si="122"/>
        <v>0</v>
      </c>
      <c r="M448" s="6">
        <f t="shared" si="123"/>
        <v>0</v>
      </c>
      <c r="N448" s="94" t="str">
        <f t="shared" si="124"/>
        <v/>
      </c>
      <c r="O448" s="6"/>
      <c r="P448" s="6"/>
      <c r="Q448" s="6"/>
      <c r="R448" s="6"/>
      <c r="T448" s="136" t="str">
        <f t="shared" si="125"/>
        <v/>
      </c>
      <c r="U448" s="137" t="str">
        <f t="shared" si="126"/>
        <v/>
      </c>
      <c r="V448" s="1"/>
      <c r="Y448" s="90" t="str">
        <f t="shared" si="127"/>
        <v/>
      </c>
      <c r="AA448" t="str">
        <f t="shared" si="135"/>
        <v/>
      </c>
      <c r="AC448" s="6">
        <v>375606</v>
      </c>
      <c r="AD448" s="6" t="s">
        <v>7015</v>
      </c>
      <c r="AE448" s="158">
        <v>273707</v>
      </c>
      <c r="AF448" s="159" t="s">
        <v>8299</v>
      </c>
      <c r="AG448" s="160">
        <v>735452</v>
      </c>
      <c r="AH448" s="194" t="s">
        <v>679</v>
      </c>
      <c r="AI448" s="6" t="s">
        <v>2471</v>
      </c>
      <c r="AJ448" s="3" t="s">
        <v>8206</v>
      </c>
      <c r="AK448" t="s">
        <v>8206</v>
      </c>
      <c r="AL448" s="4">
        <f t="shared" si="128"/>
        <v>0</v>
      </c>
      <c r="AM448" s="6" t="s">
        <v>5108</v>
      </c>
      <c r="AN448" t="s">
        <v>6258</v>
      </c>
      <c r="AO448" t="str">
        <f t="shared" si="118"/>
        <v/>
      </c>
      <c r="AV448"/>
      <c r="AX448"/>
      <c r="AZ448" t="str">
        <f t="shared" si="129"/>
        <v/>
      </c>
      <c r="BA448" t="str">
        <f t="shared" si="130"/>
        <v/>
      </c>
    </row>
    <row r="449" spans="1:53" ht="13.5">
      <c r="A449" s="135" t="str">
        <f t="shared" si="131"/>
        <v/>
      </c>
      <c r="B449" s="19" t="str">
        <f t="shared" si="132"/>
        <v/>
      </c>
      <c r="C449" s="19" t="str">
        <f t="shared" si="133"/>
        <v/>
      </c>
      <c r="D449" s="19" t="str">
        <f t="shared" si="134"/>
        <v/>
      </c>
      <c r="E449" s="5" t="str">
        <f t="shared" si="119"/>
        <v/>
      </c>
      <c r="F449" s="12" t="str">
        <f t="shared" si="120"/>
        <v/>
      </c>
      <c r="K449" s="9" t="str">
        <f t="shared" si="121"/>
        <v/>
      </c>
      <c r="L449" s="6">
        <f t="shared" si="122"/>
        <v>0</v>
      </c>
      <c r="M449" s="6">
        <f t="shared" si="123"/>
        <v>0</v>
      </c>
      <c r="N449" s="94" t="str">
        <f t="shared" si="124"/>
        <v/>
      </c>
      <c r="O449" s="6"/>
      <c r="P449" s="6"/>
      <c r="Q449" s="6"/>
      <c r="R449" s="6"/>
      <c r="T449" s="136" t="str">
        <f t="shared" si="125"/>
        <v/>
      </c>
      <c r="U449" s="137" t="str">
        <f t="shared" si="126"/>
        <v/>
      </c>
      <c r="V449" s="1"/>
      <c r="Y449" s="90" t="str">
        <f t="shared" si="127"/>
        <v/>
      </c>
      <c r="AA449" t="str">
        <f t="shared" si="135"/>
        <v/>
      </c>
      <c r="AC449" s="6" t="s">
        <v>3608</v>
      </c>
      <c r="AD449" s="6" t="s">
        <v>6971</v>
      </c>
      <c r="AE449" s="158" t="s">
        <v>4328</v>
      </c>
      <c r="AF449" s="159" t="s">
        <v>8297</v>
      </c>
      <c r="AG449" s="160">
        <v>735453</v>
      </c>
      <c r="AH449" s="194" t="s">
        <v>679</v>
      </c>
      <c r="AI449" s="6" t="s">
        <v>4171</v>
      </c>
      <c r="AJ449" s="3" t="s">
        <v>8206</v>
      </c>
      <c r="AK449" t="s">
        <v>8206</v>
      </c>
      <c r="AL449" s="4">
        <f t="shared" si="128"/>
        <v>0</v>
      </c>
      <c r="AM449" s="6" t="s">
        <v>5115</v>
      </c>
      <c r="AN449" t="s">
        <v>6259</v>
      </c>
      <c r="AO449" t="str">
        <f t="shared" si="118"/>
        <v/>
      </c>
      <c r="AV449"/>
      <c r="AX449"/>
      <c r="AZ449" t="str">
        <f t="shared" si="129"/>
        <v/>
      </c>
      <c r="BA449" t="str">
        <f t="shared" si="130"/>
        <v/>
      </c>
    </row>
    <row r="450" spans="1:53" ht="13.5">
      <c r="A450" s="135" t="str">
        <f t="shared" si="131"/>
        <v/>
      </c>
      <c r="B450" s="19" t="str">
        <f t="shared" si="132"/>
        <v/>
      </c>
      <c r="C450" s="19" t="str">
        <f t="shared" si="133"/>
        <v/>
      </c>
      <c r="D450" s="19" t="str">
        <f t="shared" si="134"/>
        <v/>
      </c>
      <c r="E450" s="5" t="str">
        <f t="shared" si="119"/>
        <v/>
      </c>
      <c r="F450" s="12" t="str">
        <f t="shared" si="120"/>
        <v/>
      </c>
      <c r="K450" s="9" t="str">
        <f t="shared" si="121"/>
        <v/>
      </c>
      <c r="L450" s="6">
        <f t="shared" si="122"/>
        <v>0</v>
      </c>
      <c r="M450" s="6">
        <f t="shared" si="123"/>
        <v>0</v>
      </c>
      <c r="N450" s="94" t="str">
        <f t="shared" si="124"/>
        <v/>
      </c>
      <c r="O450" s="6"/>
      <c r="P450" s="6"/>
      <c r="Q450" s="6"/>
      <c r="R450" s="6"/>
      <c r="T450" s="136" t="str">
        <f t="shared" si="125"/>
        <v/>
      </c>
      <c r="U450" s="137" t="str">
        <f t="shared" si="126"/>
        <v/>
      </c>
      <c r="V450" s="1"/>
      <c r="Y450" s="90" t="str">
        <f t="shared" si="127"/>
        <v/>
      </c>
      <c r="AA450" t="str">
        <f t="shared" si="135"/>
        <v/>
      </c>
      <c r="AC450" s="6" t="s">
        <v>3620</v>
      </c>
      <c r="AD450" s="6" t="s">
        <v>6971</v>
      </c>
      <c r="AE450" s="158" t="s">
        <v>4332</v>
      </c>
      <c r="AF450" s="159" t="s">
        <v>8299</v>
      </c>
      <c r="AG450" s="160">
        <v>735454</v>
      </c>
      <c r="AH450" s="194" t="s">
        <v>679</v>
      </c>
      <c r="AI450" s="6" t="s">
        <v>1960</v>
      </c>
      <c r="AJ450" s="3" t="s">
        <v>8252</v>
      </c>
      <c r="AK450" t="s">
        <v>8252</v>
      </c>
      <c r="AL450" s="4">
        <f t="shared" si="128"/>
        <v>0</v>
      </c>
      <c r="AM450" s="6" t="s">
        <v>5081</v>
      </c>
      <c r="AN450" t="s">
        <v>6260</v>
      </c>
      <c r="AO450" t="str">
        <f t="shared" si="118"/>
        <v/>
      </c>
      <c r="AV450"/>
      <c r="AX450"/>
      <c r="AZ450" t="str">
        <f t="shared" si="129"/>
        <v/>
      </c>
      <c r="BA450" t="str">
        <f t="shared" si="130"/>
        <v/>
      </c>
    </row>
    <row r="451" spans="1:53" ht="13.5">
      <c r="A451" s="135" t="str">
        <f t="shared" si="131"/>
        <v/>
      </c>
      <c r="B451" s="19" t="str">
        <f t="shared" si="132"/>
        <v/>
      </c>
      <c r="C451" s="19" t="str">
        <f t="shared" si="133"/>
        <v/>
      </c>
      <c r="D451" s="19" t="str">
        <f t="shared" si="134"/>
        <v/>
      </c>
      <c r="E451" s="5" t="str">
        <f t="shared" si="119"/>
        <v/>
      </c>
      <c r="F451" s="12" t="str">
        <f t="shared" si="120"/>
        <v/>
      </c>
      <c r="K451" s="9" t="str">
        <f t="shared" si="121"/>
        <v/>
      </c>
      <c r="L451" s="6">
        <f t="shared" si="122"/>
        <v>0</v>
      </c>
      <c r="M451" s="6">
        <f t="shared" si="123"/>
        <v>0</v>
      </c>
      <c r="N451" s="94" t="str">
        <f t="shared" si="124"/>
        <v/>
      </c>
      <c r="O451" s="6"/>
      <c r="P451" s="6"/>
      <c r="Q451" s="6"/>
      <c r="R451" s="6"/>
      <c r="T451" s="136" t="str">
        <f t="shared" si="125"/>
        <v/>
      </c>
      <c r="U451" s="137" t="str">
        <f t="shared" si="126"/>
        <v/>
      </c>
      <c r="V451" s="1"/>
      <c r="Y451" s="90" t="str">
        <f t="shared" si="127"/>
        <v/>
      </c>
      <c r="AA451" t="str">
        <f t="shared" si="135"/>
        <v/>
      </c>
      <c r="AC451" s="6" t="s">
        <v>3612</v>
      </c>
      <c r="AD451" s="6" t="s">
        <v>6971</v>
      </c>
      <c r="AE451" s="158" t="s">
        <v>4339</v>
      </c>
      <c r="AF451" s="159" t="s">
        <v>8299</v>
      </c>
      <c r="AG451" s="160">
        <v>735455</v>
      </c>
      <c r="AH451" s="194" t="s">
        <v>679</v>
      </c>
      <c r="AI451" s="6" t="s">
        <v>4725</v>
      </c>
      <c r="AJ451" s="3" t="s">
        <v>8213</v>
      </c>
      <c r="AK451" t="s">
        <v>8213</v>
      </c>
      <c r="AL451" s="4">
        <f t="shared" si="128"/>
        <v>0</v>
      </c>
      <c r="AM451" s="6" t="s">
        <v>5268</v>
      </c>
      <c r="AN451" t="s">
        <v>6261</v>
      </c>
      <c r="AO451" t="str">
        <f t="shared" si="118"/>
        <v/>
      </c>
      <c r="AV451"/>
      <c r="AX451"/>
      <c r="AZ451" t="str">
        <f t="shared" si="129"/>
        <v/>
      </c>
      <c r="BA451" t="str">
        <f t="shared" si="130"/>
        <v/>
      </c>
    </row>
    <row r="452" spans="1:53" ht="13.5">
      <c r="A452" s="135" t="str">
        <f t="shared" si="131"/>
        <v/>
      </c>
      <c r="B452" s="19" t="str">
        <f t="shared" si="132"/>
        <v/>
      </c>
      <c r="C452" s="19" t="str">
        <f t="shared" si="133"/>
        <v/>
      </c>
      <c r="D452" s="19" t="str">
        <f t="shared" si="134"/>
        <v/>
      </c>
      <c r="E452" s="5" t="str">
        <f t="shared" si="119"/>
        <v/>
      </c>
      <c r="F452" s="12" t="str">
        <f t="shared" si="120"/>
        <v/>
      </c>
      <c r="K452" s="9" t="str">
        <f t="shared" si="121"/>
        <v/>
      </c>
      <c r="L452" s="6">
        <f t="shared" si="122"/>
        <v>0</v>
      </c>
      <c r="M452" s="6">
        <f t="shared" si="123"/>
        <v>0</v>
      </c>
      <c r="N452" s="94" t="str">
        <f t="shared" si="124"/>
        <v/>
      </c>
      <c r="O452" s="6"/>
      <c r="P452" s="6"/>
      <c r="Q452" s="6"/>
      <c r="R452" s="6"/>
      <c r="T452" s="136" t="str">
        <f t="shared" si="125"/>
        <v/>
      </c>
      <c r="U452" s="137" t="str">
        <f t="shared" si="126"/>
        <v/>
      </c>
      <c r="V452" s="1"/>
      <c r="Y452" s="90" t="str">
        <f t="shared" si="127"/>
        <v/>
      </c>
      <c r="AA452" t="str">
        <f t="shared" si="135"/>
        <v/>
      </c>
      <c r="AC452" s="6">
        <v>105576</v>
      </c>
      <c r="AD452" s="6" t="s">
        <v>7016</v>
      </c>
      <c r="AE452" s="158" t="s">
        <v>1149</v>
      </c>
      <c r="AF452" s="159" t="s">
        <v>8299</v>
      </c>
      <c r="AG452" s="160">
        <v>735456</v>
      </c>
      <c r="AH452" s="194" t="s">
        <v>679</v>
      </c>
      <c r="AI452" s="6" t="s">
        <v>4708</v>
      </c>
      <c r="AJ452" s="3" t="s">
        <v>8239</v>
      </c>
      <c r="AK452" t="s">
        <v>8674</v>
      </c>
      <c r="AL452" s="4">
        <f t="shared" si="128"/>
        <v>0</v>
      </c>
      <c r="AM452" s="6" t="s">
        <v>5129</v>
      </c>
      <c r="AN452" t="s">
        <v>6262</v>
      </c>
      <c r="AO452" t="str">
        <f t="shared" si="118"/>
        <v/>
      </c>
      <c r="AV452"/>
      <c r="AX452"/>
      <c r="AZ452" t="str">
        <f t="shared" si="129"/>
        <v/>
      </c>
      <c r="BA452" t="str">
        <f t="shared" si="130"/>
        <v/>
      </c>
    </row>
    <row r="453" spans="1:53" ht="13.5">
      <c r="A453" s="135" t="str">
        <f t="shared" si="131"/>
        <v/>
      </c>
      <c r="B453" s="19" t="str">
        <f t="shared" si="132"/>
        <v/>
      </c>
      <c r="C453" s="19" t="str">
        <f t="shared" si="133"/>
        <v/>
      </c>
      <c r="D453" s="19" t="str">
        <f t="shared" si="134"/>
        <v/>
      </c>
      <c r="E453" s="5" t="str">
        <f t="shared" si="119"/>
        <v/>
      </c>
      <c r="F453" s="12" t="str">
        <f t="shared" si="120"/>
        <v/>
      </c>
      <c r="K453" s="9" t="str">
        <f t="shared" si="121"/>
        <v/>
      </c>
      <c r="L453" s="6">
        <f t="shared" si="122"/>
        <v>0</v>
      </c>
      <c r="M453" s="6">
        <f t="shared" si="123"/>
        <v>0</v>
      </c>
      <c r="N453" s="94" t="str">
        <f t="shared" si="124"/>
        <v/>
      </c>
      <c r="O453" s="6"/>
      <c r="P453" s="6"/>
      <c r="Q453" s="6"/>
      <c r="R453" s="6"/>
      <c r="T453" s="136" t="str">
        <f t="shared" si="125"/>
        <v/>
      </c>
      <c r="U453" s="137" t="str">
        <f t="shared" si="126"/>
        <v/>
      </c>
      <c r="V453" s="1"/>
      <c r="Y453" s="90" t="str">
        <f t="shared" si="127"/>
        <v/>
      </c>
      <c r="AA453" t="str">
        <f t="shared" si="135"/>
        <v/>
      </c>
      <c r="AC453" s="6" t="s">
        <v>3610</v>
      </c>
      <c r="AD453" s="6" t="s">
        <v>6971</v>
      </c>
      <c r="AE453" s="158" t="s">
        <v>4340</v>
      </c>
      <c r="AF453" s="159" t="s">
        <v>8299</v>
      </c>
      <c r="AG453" s="160">
        <v>735457</v>
      </c>
      <c r="AH453" s="194" t="s">
        <v>679</v>
      </c>
      <c r="AI453" s="6" t="s">
        <v>6685</v>
      </c>
      <c r="AJ453" s="3" t="s">
        <v>8197</v>
      </c>
      <c r="AK453" t="s">
        <v>8197</v>
      </c>
      <c r="AL453" s="4">
        <f t="shared" si="128"/>
        <v>0</v>
      </c>
      <c r="AM453" s="6" t="s">
        <v>5113</v>
      </c>
      <c r="AN453" t="s">
        <v>6263</v>
      </c>
      <c r="AO453" t="str">
        <f t="shared" ref="AO453:AO461" si="136">IFERROR(CONCATENATE(VLOOKUP(I453,$AP$5:$AR$500,3,0),"  (Host-",VLOOKUP(I453,$AP$5:$AR$500,2,0),")"),"")</f>
        <v/>
      </c>
      <c r="AV453"/>
      <c r="AX453"/>
      <c r="AZ453" t="str">
        <f t="shared" si="129"/>
        <v/>
      </c>
      <c r="BA453" t="str">
        <f t="shared" si="130"/>
        <v/>
      </c>
    </row>
    <row r="454" spans="1:53" ht="13.5">
      <c r="A454" s="135" t="str">
        <f t="shared" si="131"/>
        <v/>
      </c>
      <c r="B454" s="19" t="str">
        <f t="shared" si="132"/>
        <v/>
      </c>
      <c r="C454" s="19" t="str">
        <f t="shared" si="133"/>
        <v/>
      </c>
      <c r="D454" s="19" t="str">
        <f t="shared" si="134"/>
        <v/>
      </c>
      <c r="E454" s="5" t="str">
        <f t="shared" ref="E454:E517" si="137">IF(ISNA(VLOOKUP(I454,AI:AK,2,FALSE)),"",VLOOKUP(I454,AI:AK,2,FALSE))</f>
        <v/>
      </c>
      <c r="F454" s="12" t="str">
        <f t="shared" ref="F454:F517" si="138">IF(ISNA(VLOOKUP(I454,AI:AK,3,FALSE)),"",VLOOKUP(I454,AI:AK,3,FALSE))</f>
        <v/>
      </c>
      <c r="K454" s="9" t="str">
        <f t="shared" ref="K454:K517" si="139">IF(AND(LEFT(L454,3)&lt;&gt;"IB0",LEFT(L454,3)&lt;&gt;"ME0",LEFT(L454,3)&lt;&gt;"PS0",LEFT(L454,3)&lt;&gt;"RY0",LEFT(L454,3)&lt;&gt;"BU0",LEFT(L454,3)&lt;&gt;"IS0",LEFT(L454,3)&lt;&gt;"KA0",LEFT(L454,3)&lt;&gt;"FB0",LEFT(L454,3)&lt;&gt;"MB0",LEFT(L454,3)&lt;&gt;"LH0",LEFT(L454,3)&lt;&gt;"MU0",LEFT(L454,3)&lt;&gt;"AB0"),"",L454)</f>
        <v/>
      </c>
      <c r="L454" s="6">
        <f t="shared" ref="L454:L500" si="140">IF(ISNA(VLOOKUP(I454,$S$5:$S$900,1,FALSE)),I454,"")</f>
        <v>0</v>
      </c>
      <c r="M454" s="6">
        <f t="shared" ref="M454:M500" si="141">IF(OR(LEFT(L454,3)="IB0",LEFT(L454,3)="ME0",LEFT(L454,3)="PS0",LEFT(L454,3)="RY0",LEFT(L454,3)="BU0",LEFT(L454,3)="IS0",LEFT(L454,3)="KA0",LEFT(L454,3)="FB0",LEFT(L454,3)="MB0",LEFT(L454,3)="LH0",LEFT(L454,3)="MU0",LEFT(L454,3)="AB0",),"",L454)</f>
        <v>0</v>
      </c>
      <c r="N454" s="94" t="str">
        <f t="shared" ref="N454:N500" si="142">IF(I454="","",(IF(ISNA(VLOOKUP(M454,$AJ$4:$AK$4000,2,FALSE)),M454,VLOOKUP(M454,$AJ$4:$AK$4000,2,FALSE))))</f>
        <v/>
      </c>
      <c r="O454" s="6"/>
      <c r="P454" s="6"/>
      <c r="Q454" s="6"/>
      <c r="R454" s="6"/>
      <c r="T454" s="136" t="str">
        <f t="shared" ref="T454:T517" si="143">IF(ISNA(VLOOKUP(S454,$I$5:$I$900,1,FALSE)),IF(ISBLANK(S454),"","up"),"")</f>
        <v/>
      </c>
      <c r="U454" s="137" t="str">
        <f t="shared" ref="U454:U517" si="144">IF(T454="up",(IF(ISNA(VLOOKUP(S454,$AV$1:$AX$1200,3,FALSE)),"",VLOOKUP(S454,$AV$1:$AX$1200,3,FALSE))),"")</f>
        <v/>
      </c>
      <c r="V454" s="1"/>
      <c r="Y454" s="90" t="str">
        <f t="shared" ref="Y454:Y517" si="145">IFERROR(VLOOKUP(S454,$AV$1:$BA$1200,6,0),"")</f>
        <v/>
      </c>
      <c r="AA454" t="str">
        <f t="shared" si="135"/>
        <v/>
      </c>
      <c r="AC454" s="6" t="s">
        <v>3618</v>
      </c>
      <c r="AD454" s="6" t="s">
        <v>6971</v>
      </c>
      <c r="AE454" s="158" t="s">
        <v>4341</v>
      </c>
      <c r="AF454" s="159" t="s">
        <v>8309</v>
      </c>
      <c r="AG454" s="160">
        <v>735458</v>
      </c>
      <c r="AH454" s="194" t="s">
        <v>679</v>
      </c>
      <c r="AI454" s="6" t="s">
        <v>4185</v>
      </c>
      <c r="AJ454" s="3" t="s">
        <v>8253</v>
      </c>
      <c r="AK454" t="s">
        <v>8253</v>
      </c>
      <c r="AL454" s="4">
        <f t="shared" ref="AL454:AL500" si="146">COUNTIF(G:G,G454)</f>
        <v>0</v>
      </c>
      <c r="AM454" s="6" t="s">
        <v>5057</v>
      </c>
      <c r="AN454" t="s">
        <v>6264</v>
      </c>
      <c r="AO454" t="str">
        <f t="shared" si="136"/>
        <v/>
      </c>
      <c r="AV454"/>
      <c r="AX454"/>
      <c r="AZ454" t="str">
        <f t="shared" ref="AZ454:AZ484" si="147">IF(ISBLANK(AW454),"",CONCATENATE("(",RIGHT(AW454,5),"-",TEXT(AX454,"h:mm;@"),")"))</f>
        <v/>
      </c>
      <c r="BA454" t="str">
        <f t="shared" ref="BA454:BA517" si="148">IF(AV470=AV454,"",CONCATENATE(IF(AV469=AV454,BA469,""),IF(AV468=AV454,BA468,""),IF(AV467=AV454,BA467,""),IF(AV466=AV454,BA466,""),IF(AV465=AV454,BA465,""),IF(AV464=AV454,BA464,""),IF(AV463=AV454,BA463,""),IF(AV462=AV454,BA462,""),IF(AV461=AV454,BA461,""),IF(AV460=AV454,BA460,""),IF(AV459=AV454,BA459,""),IF(AV458=AV454,BA458,""),IF(AV457=AV454,BA457,""),IF(AV456=AV454,BA456,""),IF(AV455=AV454,BA455,""),IF(AV453=AV454,BA453,""),BA454))</f>
        <v/>
      </c>
    </row>
    <row r="455" spans="1:53" ht="13.5">
      <c r="A455" s="135" t="str">
        <f t="shared" si="131"/>
        <v/>
      </c>
      <c r="B455" s="19" t="str">
        <f t="shared" si="132"/>
        <v/>
      </c>
      <c r="C455" s="19" t="str">
        <f t="shared" si="133"/>
        <v/>
      </c>
      <c r="D455" s="19" t="str">
        <f t="shared" si="134"/>
        <v/>
      </c>
      <c r="E455" s="5" t="str">
        <f t="shared" si="137"/>
        <v/>
      </c>
      <c r="F455" s="12" t="str">
        <f t="shared" si="138"/>
        <v/>
      </c>
      <c r="K455" s="9" t="str">
        <f t="shared" si="139"/>
        <v/>
      </c>
      <c r="L455" s="6">
        <f t="shared" si="140"/>
        <v>0</v>
      </c>
      <c r="M455" s="6">
        <f t="shared" si="141"/>
        <v>0</v>
      </c>
      <c r="N455" s="94" t="str">
        <f t="shared" si="142"/>
        <v/>
      </c>
      <c r="O455" s="6"/>
      <c r="P455" s="6"/>
      <c r="Q455" s="6"/>
      <c r="R455" s="6"/>
      <c r="T455" s="136" t="str">
        <f t="shared" si="143"/>
        <v/>
      </c>
      <c r="U455" s="137" t="str">
        <f t="shared" si="144"/>
        <v/>
      </c>
      <c r="V455" s="1"/>
      <c r="Y455" s="90" t="str">
        <f t="shared" si="145"/>
        <v/>
      </c>
      <c r="AA455" t="str">
        <f t="shared" si="135"/>
        <v/>
      </c>
      <c r="AC455" s="6" t="s">
        <v>4230</v>
      </c>
      <c r="AD455" s="6" t="s">
        <v>7017</v>
      </c>
      <c r="AE455" s="158" t="s">
        <v>4120</v>
      </c>
      <c r="AF455" s="159" t="s">
        <v>8299</v>
      </c>
      <c r="AG455" s="160">
        <v>735459</v>
      </c>
      <c r="AH455" s="194" t="s">
        <v>678</v>
      </c>
      <c r="AI455" s="6" t="s">
        <v>4188</v>
      </c>
      <c r="AJ455" s="3" t="s">
        <v>8253</v>
      </c>
      <c r="AK455" t="s">
        <v>8253</v>
      </c>
      <c r="AL455" s="4">
        <f t="shared" si="146"/>
        <v>0</v>
      </c>
      <c r="AM455" s="6" t="s">
        <v>5168</v>
      </c>
      <c r="AN455" t="s">
        <v>6265</v>
      </c>
      <c r="AO455" t="str">
        <f t="shared" si="136"/>
        <v/>
      </c>
      <c r="AV455"/>
      <c r="AX455"/>
      <c r="AZ455" t="str">
        <f t="shared" si="147"/>
        <v/>
      </c>
      <c r="BA455" t="str">
        <f t="shared" si="148"/>
        <v/>
      </c>
    </row>
    <row r="456" spans="1:53" ht="13.5">
      <c r="A456" s="135" t="str">
        <f t="shared" si="131"/>
        <v/>
      </c>
      <c r="B456" s="19" t="str">
        <f t="shared" si="132"/>
        <v/>
      </c>
      <c r="C456" s="19" t="str">
        <f t="shared" si="133"/>
        <v/>
      </c>
      <c r="D456" s="19" t="str">
        <f t="shared" si="134"/>
        <v/>
      </c>
      <c r="E456" s="5" t="str">
        <f t="shared" si="137"/>
        <v/>
      </c>
      <c r="F456" s="12" t="str">
        <f t="shared" si="138"/>
        <v/>
      </c>
      <c r="K456" s="9" t="str">
        <f t="shared" si="139"/>
        <v/>
      </c>
      <c r="L456" s="6">
        <f t="shared" si="140"/>
        <v>0</v>
      </c>
      <c r="M456" s="6">
        <f t="shared" si="141"/>
        <v>0</v>
      </c>
      <c r="N456" s="94" t="str">
        <f t="shared" si="142"/>
        <v/>
      </c>
      <c r="O456" s="6"/>
      <c r="P456" s="6"/>
      <c r="Q456" s="6"/>
      <c r="R456" s="6"/>
      <c r="T456" s="136" t="str">
        <f t="shared" si="143"/>
        <v/>
      </c>
      <c r="U456" s="137" t="str">
        <f t="shared" si="144"/>
        <v/>
      </c>
      <c r="V456" s="1"/>
      <c r="Y456" s="90" t="str">
        <f t="shared" si="145"/>
        <v/>
      </c>
      <c r="AA456" t="str">
        <f t="shared" si="135"/>
        <v/>
      </c>
      <c r="AC456" s="6" t="s">
        <v>3607</v>
      </c>
      <c r="AD456" s="6" t="s">
        <v>7018</v>
      </c>
      <c r="AE456" s="158" t="s">
        <v>1158</v>
      </c>
      <c r="AF456" s="159" t="s">
        <v>8299</v>
      </c>
      <c r="AG456" s="160">
        <v>745460</v>
      </c>
      <c r="AH456" s="194" t="s">
        <v>679</v>
      </c>
      <c r="AI456" s="6" t="s">
        <v>4189</v>
      </c>
      <c r="AJ456" s="3" t="s">
        <v>8253</v>
      </c>
      <c r="AK456" t="s">
        <v>8253</v>
      </c>
      <c r="AL456" s="4">
        <f t="shared" si="146"/>
        <v>0</v>
      </c>
      <c r="AM456" s="6" t="s">
        <v>5122</v>
      </c>
      <c r="AN456" t="s">
        <v>6266</v>
      </c>
      <c r="AO456" t="str">
        <f t="shared" si="136"/>
        <v/>
      </c>
      <c r="AV456"/>
      <c r="AX456"/>
      <c r="AZ456" t="str">
        <f t="shared" si="147"/>
        <v/>
      </c>
      <c r="BA456" t="str">
        <f t="shared" si="148"/>
        <v/>
      </c>
    </row>
    <row r="457" spans="1:53" ht="13.5">
      <c r="A457" s="135" t="str">
        <f t="shared" si="131"/>
        <v/>
      </c>
      <c r="B457" s="19" t="str">
        <f t="shared" si="132"/>
        <v/>
      </c>
      <c r="C457" s="19" t="str">
        <f t="shared" si="133"/>
        <v/>
      </c>
      <c r="D457" s="19" t="str">
        <f t="shared" si="134"/>
        <v/>
      </c>
      <c r="E457" s="5" t="str">
        <f t="shared" si="137"/>
        <v/>
      </c>
      <c r="F457" s="12" t="str">
        <f t="shared" si="138"/>
        <v/>
      </c>
      <c r="K457" s="9" t="str">
        <f t="shared" si="139"/>
        <v/>
      </c>
      <c r="L457" s="6">
        <f t="shared" si="140"/>
        <v>0</v>
      </c>
      <c r="M457" s="6">
        <f t="shared" si="141"/>
        <v>0</v>
      </c>
      <c r="N457" s="94" t="str">
        <f t="shared" si="142"/>
        <v/>
      </c>
      <c r="O457" s="6"/>
      <c r="P457" s="6"/>
      <c r="Q457" s="6"/>
      <c r="R457" s="6"/>
      <c r="T457" s="136" t="str">
        <f t="shared" si="143"/>
        <v/>
      </c>
      <c r="U457" s="137" t="str">
        <f t="shared" si="144"/>
        <v/>
      </c>
      <c r="V457" s="1"/>
      <c r="Y457" s="90" t="str">
        <f t="shared" si="145"/>
        <v/>
      </c>
      <c r="AA457" t="str">
        <f t="shared" si="135"/>
        <v/>
      </c>
      <c r="AC457" s="6" t="s">
        <v>3605</v>
      </c>
      <c r="AD457" s="6" t="s">
        <v>6971</v>
      </c>
      <c r="AE457" s="158" t="s">
        <v>1159</v>
      </c>
      <c r="AF457" s="159" t="s">
        <v>8299</v>
      </c>
      <c r="AG457" s="160">
        <v>745461</v>
      </c>
      <c r="AH457" s="194" t="s">
        <v>679</v>
      </c>
      <c r="AI457" s="6" t="s">
        <v>4190</v>
      </c>
      <c r="AJ457" s="3" t="s">
        <v>8253</v>
      </c>
      <c r="AK457" t="s">
        <v>8253</v>
      </c>
      <c r="AL457" s="4">
        <f t="shared" si="146"/>
        <v>0</v>
      </c>
      <c r="AM457" s="6" t="s">
        <v>5147</v>
      </c>
      <c r="AN457" t="s">
        <v>6267</v>
      </c>
      <c r="AO457" t="str">
        <f t="shared" si="136"/>
        <v/>
      </c>
      <c r="AV457"/>
      <c r="AX457"/>
      <c r="AZ457" t="str">
        <f t="shared" si="147"/>
        <v/>
      </c>
      <c r="BA457" t="str">
        <f t="shared" si="148"/>
        <v/>
      </c>
    </row>
    <row r="458" spans="1:53" ht="13.5">
      <c r="A458" s="135" t="str">
        <f t="shared" si="131"/>
        <v/>
      </c>
      <c r="B458" s="19" t="str">
        <f t="shared" si="132"/>
        <v/>
      </c>
      <c r="C458" s="19" t="str">
        <f t="shared" si="133"/>
        <v/>
      </c>
      <c r="D458" s="19" t="str">
        <f t="shared" si="134"/>
        <v/>
      </c>
      <c r="E458" s="5" t="str">
        <f t="shared" si="137"/>
        <v/>
      </c>
      <c r="F458" s="12" t="str">
        <f t="shared" si="138"/>
        <v/>
      </c>
      <c r="K458" s="9" t="str">
        <f t="shared" si="139"/>
        <v/>
      </c>
      <c r="L458" s="6">
        <f t="shared" si="140"/>
        <v>0</v>
      </c>
      <c r="M458" s="6">
        <f t="shared" si="141"/>
        <v>0</v>
      </c>
      <c r="N458" s="94" t="str">
        <f t="shared" si="142"/>
        <v/>
      </c>
      <c r="O458" s="6"/>
      <c r="P458" s="6"/>
      <c r="Q458" s="6"/>
      <c r="R458" s="6"/>
      <c r="T458" s="136" t="str">
        <f t="shared" si="143"/>
        <v/>
      </c>
      <c r="U458" s="137" t="str">
        <f t="shared" si="144"/>
        <v/>
      </c>
      <c r="V458" s="1"/>
      <c r="Y458" s="90" t="str">
        <f t="shared" si="145"/>
        <v/>
      </c>
      <c r="AA458" t="str">
        <f t="shared" si="135"/>
        <v/>
      </c>
      <c r="AC458" s="6" t="s">
        <v>3613</v>
      </c>
      <c r="AD458" s="6" t="s">
        <v>6971</v>
      </c>
      <c r="AE458" s="158" t="s">
        <v>4396</v>
      </c>
      <c r="AF458" s="159" t="s">
        <v>8299</v>
      </c>
      <c r="AG458" s="160">
        <v>755462</v>
      </c>
      <c r="AH458" s="194" t="s">
        <v>679</v>
      </c>
      <c r="AI458" s="6" t="s">
        <v>4192</v>
      </c>
      <c r="AJ458" s="3" t="s">
        <v>8253</v>
      </c>
      <c r="AK458" t="s">
        <v>8253</v>
      </c>
      <c r="AL458" s="4">
        <f t="shared" si="146"/>
        <v>0</v>
      </c>
      <c r="AM458" s="6" t="s">
        <v>5809</v>
      </c>
      <c r="AN458" t="s">
        <v>6268</v>
      </c>
      <c r="AO458" t="str">
        <f t="shared" si="136"/>
        <v/>
      </c>
      <c r="AV458"/>
      <c r="AX458"/>
      <c r="AZ458" t="str">
        <f t="shared" si="147"/>
        <v/>
      </c>
      <c r="BA458" t="str">
        <f t="shared" si="148"/>
        <v/>
      </c>
    </row>
    <row r="459" spans="1:53" ht="13.5">
      <c r="A459" s="135" t="str">
        <f t="shared" si="131"/>
        <v/>
      </c>
      <c r="B459" s="19" t="str">
        <f t="shared" si="132"/>
        <v/>
      </c>
      <c r="C459" s="19" t="str">
        <f t="shared" si="133"/>
        <v/>
      </c>
      <c r="D459" s="19" t="str">
        <f t="shared" si="134"/>
        <v/>
      </c>
      <c r="E459" s="5" t="str">
        <f t="shared" si="137"/>
        <v/>
      </c>
      <c r="F459" s="12" t="str">
        <f t="shared" si="138"/>
        <v/>
      </c>
      <c r="K459" s="9" t="str">
        <f t="shared" si="139"/>
        <v/>
      </c>
      <c r="L459" s="6">
        <f t="shared" si="140"/>
        <v>0</v>
      </c>
      <c r="M459" s="6">
        <f t="shared" si="141"/>
        <v>0</v>
      </c>
      <c r="N459" s="94" t="str">
        <f t="shared" si="142"/>
        <v/>
      </c>
      <c r="O459" s="6"/>
      <c r="P459" s="6"/>
      <c r="Q459" s="6"/>
      <c r="R459" s="6"/>
      <c r="T459" s="136" t="str">
        <f t="shared" si="143"/>
        <v/>
      </c>
      <c r="U459" s="137" t="str">
        <f t="shared" si="144"/>
        <v/>
      </c>
      <c r="V459" s="1"/>
      <c r="Y459" s="90" t="str">
        <f t="shared" si="145"/>
        <v/>
      </c>
      <c r="AA459" t="str">
        <f t="shared" si="135"/>
        <v/>
      </c>
      <c r="AC459" s="6" t="s">
        <v>3609</v>
      </c>
      <c r="AD459" s="6" t="s">
        <v>6971</v>
      </c>
      <c r="AE459" s="158" t="s">
        <v>3725</v>
      </c>
      <c r="AF459" s="159" t="s">
        <v>8299</v>
      </c>
      <c r="AG459" s="160">
        <v>755463</v>
      </c>
      <c r="AH459" s="194" t="s">
        <v>679</v>
      </c>
      <c r="AI459" s="6" t="s">
        <v>4193</v>
      </c>
      <c r="AJ459" s="3" t="s">
        <v>8253</v>
      </c>
      <c r="AK459" t="s">
        <v>8253</v>
      </c>
      <c r="AL459" s="4">
        <f t="shared" si="146"/>
        <v>0</v>
      </c>
      <c r="AM459" s="6" t="s">
        <v>5171</v>
      </c>
      <c r="AN459" t="s">
        <v>6269</v>
      </c>
      <c r="AO459" t="str">
        <f t="shared" si="136"/>
        <v/>
      </c>
      <c r="AV459"/>
      <c r="AX459"/>
      <c r="AZ459" t="str">
        <f t="shared" si="147"/>
        <v/>
      </c>
      <c r="BA459" t="str">
        <f t="shared" si="148"/>
        <v/>
      </c>
    </row>
    <row r="460" spans="1:53" ht="13.5">
      <c r="A460" s="135" t="str">
        <f t="shared" si="131"/>
        <v/>
      </c>
      <c r="B460" s="19" t="str">
        <f t="shared" si="132"/>
        <v/>
      </c>
      <c r="C460" s="19" t="str">
        <f t="shared" si="133"/>
        <v/>
      </c>
      <c r="D460" s="19" t="str">
        <f t="shared" si="134"/>
        <v/>
      </c>
      <c r="E460" s="5" t="str">
        <f t="shared" si="137"/>
        <v/>
      </c>
      <c r="F460" s="12" t="str">
        <f t="shared" si="138"/>
        <v/>
      </c>
      <c r="K460" s="9" t="str">
        <f t="shared" si="139"/>
        <v/>
      </c>
      <c r="L460" s="6">
        <f t="shared" si="140"/>
        <v>0</v>
      </c>
      <c r="M460" s="6">
        <f t="shared" si="141"/>
        <v>0</v>
      </c>
      <c r="N460" s="94" t="str">
        <f t="shared" si="142"/>
        <v/>
      </c>
      <c r="O460" s="6"/>
      <c r="P460" s="6"/>
      <c r="Q460" s="6"/>
      <c r="R460" s="6"/>
      <c r="T460" s="136" t="str">
        <f t="shared" si="143"/>
        <v/>
      </c>
      <c r="U460" s="137" t="str">
        <f t="shared" si="144"/>
        <v/>
      </c>
      <c r="V460" s="1"/>
      <c r="Y460" s="90" t="str">
        <f t="shared" si="145"/>
        <v/>
      </c>
      <c r="AA460" t="str">
        <f t="shared" si="135"/>
        <v/>
      </c>
      <c r="AC460" s="6" t="s">
        <v>3617</v>
      </c>
      <c r="AD460" s="6" t="s">
        <v>6971</v>
      </c>
      <c r="AE460" s="158" t="s">
        <v>3726</v>
      </c>
      <c r="AF460" s="159" t="s">
        <v>8299</v>
      </c>
      <c r="AG460" s="160">
        <v>765224</v>
      </c>
      <c r="AH460" s="194" t="s">
        <v>1314</v>
      </c>
      <c r="AI460" s="6" t="s">
        <v>4197</v>
      </c>
      <c r="AJ460" s="3" t="s">
        <v>8253</v>
      </c>
      <c r="AK460" t="s">
        <v>8253</v>
      </c>
      <c r="AL460" s="4">
        <f t="shared" si="146"/>
        <v>0</v>
      </c>
      <c r="AM460" s="6" t="s">
        <v>5810</v>
      </c>
      <c r="AN460" t="s">
        <v>6270</v>
      </c>
      <c r="AO460" t="str">
        <f t="shared" si="136"/>
        <v/>
      </c>
      <c r="AV460"/>
      <c r="AX460"/>
      <c r="AZ460" t="str">
        <f t="shared" si="147"/>
        <v/>
      </c>
      <c r="BA460" t="str">
        <f t="shared" si="148"/>
        <v/>
      </c>
    </row>
    <row r="461" spans="1:53" ht="13.5">
      <c r="A461" s="135" t="str">
        <f t="shared" si="131"/>
        <v/>
      </c>
      <c r="B461" s="19" t="str">
        <f t="shared" si="132"/>
        <v/>
      </c>
      <c r="C461" s="19" t="str">
        <f t="shared" si="133"/>
        <v/>
      </c>
      <c r="D461" s="19" t="str">
        <f t="shared" si="134"/>
        <v/>
      </c>
      <c r="E461" s="5" t="str">
        <f t="shared" si="137"/>
        <v/>
      </c>
      <c r="F461" s="12" t="str">
        <f t="shared" si="138"/>
        <v/>
      </c>
      <c r="K461" s="9" t="str">
        <f t="shared" si="139"/>
        <v/>
      </c>
      <c r="L461" s="6">
        <f t="shared" si="140"/>
        <v>0</v>
      </c>
      <c r="M461" s="6">
        <f t="shared" si="141"/>
        <v>0</v>
      </c>
      <c r="N461" s="94" t="str">
        <f t="shared" si="142"/>
        <v/>
      </c>
      <c r="O461" s="6"/>
      <c r="P461" s="6"/>
      <c r="Q461" s="6"/>
      <c r="R461" s="6"/>
      <c r="T461" s="136" t="str">
        <f t="shared" si="143"/>
        <v/>
      </c>
      <c r="U461" s="137" t="str">
        <f t="shared" si="144"/>
        <v/>
      </c>
      <c r="V461" s="1"/>
      <c r="Y461" s="90" t="str">
        <f t="shared" si="145"/>
        <v/>
      </c>
      <c r="AA461" t="str">
        <f t="shared" si="135"/>
        <v/>
      </c>
      <c r="AC461" s="6">
        <v>375641</v>
      </c>
      <c r="AD461" s="6" t="s">
        <v>7015</v>
      </c>
      <c r="AE461" s="158" t="s">
        <v>3727</v>
      </c>
      <c r="AF461" s="159" t="s">
        <v>8299</v>
      </c>
      <c r="AG461" s="160">
        <v>765225</v>
      </c>
      <c r="AH461" s="194" t="s">
        <v>1314</v>
      </c>
      <c r="AI461" s="6" t="s">
        <v>4199</v>
      </c>
      <c r="AJ461" s="3" t="s">
        <v>8253</v>
      </c>
      <c r="AK461" t="s">
        <v>8253</v>
      </c>
      <c r="AL461" s="4">
        <f t="shared" si="146"/>
        <v>0</v>
      </c>
      <c r="AM461" s="6" t="s">
        <v>5121</v>
      </c>
      <c r="AN461" t="s">
        <v>6271</v>
      </c>
      <c r="AO461" t="str">
        <f t="shared" si="136"/>
        <v/>
      </c>
      <c r="AV461"/>
      <c r="AX461"/>
      <c r="AZ461" t="str">
        <f t="shared" si="147"/>
        <v/>
      </c>
      <c r="BA461" t="str">
        <f t="shared" si="148"/>
        <v/>
      </c>
    </row>
    <row r="462" spans="1:53" ht="13.5">
      <c r="A462" s="135" t="str">
        <f t="shared" si="131"/>
        <v/>
      </c>
      <c r="B462" s="19" t="str">
        <f t="shared" si="132"/>
        <v/>
      </c>
      <c r="C462" s="19" t="str">
        <f t="shared" si="133"/>
        <v/>
      </c>
      <c r="D462" s="19" t="str">
        <f t="shared" si="134"/>
        <v/>
      </c>
      <c r="E462" s="5" t="str">
        <f t="shared" si="137"/>
        <v/>
      </c>
      <c r="F462" s="12" t="str">
        <f t="shared" si="138"/>
        <v/>
      </c>
      <c r="K462" s="9" t="str">
        <f t="shared" si="139"/>
        <v/>
      </c>
      <c r="L462" s="6">
        <f t="shared" si="140"/>
        <v>0</v>
      </c>
      <c r="M462" s="6">
        <f t="shared" si="141"/>
        <v>0</v>
      </c>
      <c r="N462" s="94" t="str">
        <f t="shared" si="142"/>
        <v/>
      </c>
      <c r="O462" s="6"/>
      <c r="P462" s="6"/>
      <c r="Q462" s="6"/>
      <c r="R462" s="6"/>
      <c r="T462" s="136" t="str">
        <f t="shared" si="143"/>
        <v/>
      </c>
      <c r="U462" s="137" t="str">
        <f t="shared" si="144"/>
        <v/>
      </c>
      <c r="V462" s="1"/>
      <c r="Y462" s="90" t="str">
        <f t="shared" si="145"/>
        <v/>
      </c>
      <c r="AC462" s="6" t="s">
        <v>1313</v>
      </c>
      <c r="AD462" s="6" t="s">
        <v>6971</v>
      </c>
      <c r="AE462" s="158" t="s">
        <v>13</v>
      </c>
      <c r="AF462" s="159" t="s">
        <v>8339</v>
      </c>
      <c r="AG462" s="160">
        <v>765226</v>
      </c>
      <c r="AH462" s="194" t="s">
        <v>1314</v>
      </c>
      <c r="AI462" s="6" t="s">
        <v>4209</v>
      </c>
      <c r="AJ462" s="3" t="s">
        <v>8253</v>
      </c>
      <c r="AK462" t="s">
        <v>8253</v>
      </c>
      <c r="AL462" s="4">
        <f t="shared" si="146"/>
        <v>0</v>
      </c>
      <c r="AM462" s="6" t="s">
        <v>5102</v>
      </c>
      <c r="AN462" t="s">
        <v>6272</v>
      </c>
      <c r="AV462"/>
      <c r="AX462"/>
      <c r="AZ462" t="str">
        <f t="shared" si="147"/>
        <v/>
      </c>
      <c r="BA462" t="str">
        <f t="shared" si="148"/>
        <v/>
      </c>
    </row>
    <row r="463" spans="1:53" ht="13.5">
      <c r="A463" s="135" t="str">
        <f t="shared" si="131"/>
        <v/>
      </c>
      <c r="B463" s="19" t="str">
        <f t="shared" si="132"/>
        <v/>
      </c>
      <c r="C463" s="19" t="str">
        <f t="shared" si="133"/>
        <v/>
      </c>
      <c r="D463" s="19" t="str">
        <f t="shared" si="134"/>
        <v/>
      </c>
      <c r="E463" s="5" t="str">
        <f t="shared" si="137"/>
        <v/>
      </c>
      <c r="F463" s="12" t="str">
        <f t="shared" si="138"/>
        <v/>
      </c>
      <c r="K463" s="9" t="str">
        <f t="shared" si="139"/>
        <v/>
      </c>
      <c r="L463" s="6">
        <f t="shared" si="140"/>
        <v>0</v>
      </c>
      <c r="M463" s="6">
        <f t="shared" si="141"/>
        <v>0</v>
      </c>
      <c r="N463" s="94" t="str">
        <f t="shared" si="142"/>
        <v/>
      </c>
      <c r="O463" s="6"/>
      <c r="P463" s="6"/>
      <c r="Q463" s="6"/>
      <c r="R463" s="6"/>
      <c r="T463" s="136" t="str">
        <f t="shared" si="143"/>
        <v/>
      </c>
      <c r="U463" s="137" t="str">
        <f t="shared" si="144"/>
        <v/>
      </c>
      <c r="V463" s="1"/>
      <c r="Y463" s="90" t="str">
        <f t="shared" si="145"/>
        <v/>
      </c>
      <c r="AC463" s="6">
        <v>796327</v>
      </c>
      <c r="AD463" s="6" t="s">
        <v>6999</v>
      </c>
      <c r="AE463" s="158">
        <v>203888</v>
      </c>
      <c r="AF463" s="159" t="s">
        <v>8299</v>
      </c>
      <c r="AG463" s="160">
        <v>765227</v>
      </c>
      <c r="AH463" s="194" t="s">
        <v>1314</v>
      </c>
      <c r="AI463" s="6" t="s">
        <v>4228</v>
      </c>
      <c r="AJ463" s="3" t="s">
        <v>8253</v>
      </c>
      <c r="AK463" t="s">
        <v>8253</v>
      </c>
      <c r="AL463" s="4">
        <f t="shared" si="146"/>
        <v>0</v>
      </c>
      <c r="AM463" s="6" t="s">
        <v>5160</v>
      </c>
      <c r="AN463" t="s">
        <v>6273</v>
      </c>
      <c r="AV463"/>
      <c r="AX463"/>
      <c r="AZ463" t="str">
        <f t="shared" si="147"/>
        <v/>
      </c>
      <c r="BA463" t="str">
        <f t="shared" si="148"/>
        <v/>
      </c>
    </row>
    <row r="464" spans="1:53" ht="13.5">
      <c r="A464" s="135" t="str">
        <f t="shared" si="131"/>
        <v/>
      </c>
      <c r="B464" s="19" t="str">
        <f t="shared" si="132"/>
        <v/>
      </c>
      <c r="C464" s="19" t="str">
        <f t="shared" si="133"/>
        <v/>
      </c>
      <c r="D464" s="19" t="str">
        <f t="shared" si="134"/>
        <v/>
      </c>
      <c r="E464" s="5" t="str">
        <f t="shared" si="137"/>
        <v/>
      </c>
      <c r="F464" s="12" t="str">
        <f t="shared" si="138"/>
        <v/>
      </c>
      <c r="K464" s="9" t="str">
        <f t="shared" si="139"/>
        <v/>
      </c>
      <c r="L464" s="6">
        <f t="shared" si="140"/>
        <v>0</v>
      </c>
      <c r="M464" s="6">
        <f t="shared" si="141"/>
        <v>0</v>
      </c>
      <c r="N464" s="94" t="str">
        <f t="shared" si="142"/>
        <v/>
      </c>
      <c r="O464" s="6"/>
      <c r="P464" s="6"/>
      <c r="Q464" s="6"/>
      <c r="R464" s="6"/>
      <c r="T464" s="136" t="str">
        <f t="shared" si="143"/>
        <v/>
      </c>
      <c r="U464" s="137" t="str">
        <f t="shared" si="144"/>
        <v/>
      </c>
      <c r="V464" s="1"/>
      <c r="Y464" s="90" t="str">
        <f t="shared" si="145"/>
        <v/>
      </c>
      <c r="AC464" s="6" t="s">
        <v>3996</v>
      </c>
      <c r="AD464" s="6" t="s">
        <v>7019</v>
      </c>
      <c r="AE464" s="158">
        <v>203889</v>
      </c>
      <c r="AF464" s="159" t="s">
        <v>8299</v>
      </c>
      <c r="AG464" s="160">
        <v>765228</v>
      </c>
      <c r="AH464" s="194" t="s">
        <v>679</v>
      </c>
      <c r="AI464" s="6" t="s">
        <v>4235</v>
      </c>
      <c r="AJ464" s="3" t="s">
        <v>8253</v>
      </c>
      <c r="AK464" t="s">
        <v>8253</v>
      </c>
      <c r="AL464" s="4">
        <f t="shared" si="146"/>
        <v>0</v>
      </c>
      <c r="AM464" s="6" t="s">
        <v>5072</v>
      </c>
      <c r="AN464" t="s">
        <v>6274</v>
      </c>
      <c r="AV464"/>
      <c r="AX464"/>
      <c r="AZ464" t="str">
        <f t="shared" si="147"/>
        <v/>
      </c>
      <c r="BA464" t="str">
        <f t="shared" si="148"/>
        <v/>
      </c>
    </row>
    <row r="465" spans="1:53" ht="13.5">
      <c r="A465" s="135" t="str">
        <f t="shared" si="131"/>
        <v/>
      </c>
      <c r="B465" s="19" t="str">
        <f t="shared" si="132"/>
        <v/>
      </c>
      <c r="C465" s="19" t="str">
        <f t="shared" si="133"/>
        <v/>
      </c>
      <c r="D465" s="19" t="str">
        <f t="shared" si="134"/>
        <v/>
      </c>
      <c r="E465" s="5" t="str">
        <f t="shared" si="137"/>
        <v/>
      </c>
      <c r="F465" s="12" t="str">
        <f t="shared" si="138"/>
        <v/>
      </c>
      <c r="K465" s="9" t="str">
        <f t="shared" si="139"/>
        <v/>
      </c>
      <c r="L465" s="6">
        <f t="shared" si="140"/>
        <v>0</v>
      </c>
      <c r="M465" s="6">
        <f t="shared" si="141"/>
        <v>0</v>
      </c>
      <c r="N465" s="94" t="str">
        <f t="shared" si="142"/>
        <v/>
      </c>
      <c r="O465" s="6"/>
      <c r="P465" s="6"/>
      <c r="Q465" s="6"/>
      <c r="R465" s="6"/>
      <c r="T465" s="136" t="str">
        <f t="shared" si="143"/>
        <v/>
      </c>
      <c r="U465" s="137" t="str">
        <f t="shared" si="144"/>
        <v/>
      </c>
      <c r="V465" s="1"/>
      <c r="Y465" s="90" t="str">
        <f t="shared" si="145"/>
        <v/>
      </c>
      <c r="AC465" s="6">
        <v>375604</v>
      </c>
      <c r="AD465" s="6" t="s">
        <v>7015</v>
      </c>
      <c r="AE465" s="158" t="s">
        <v>3728</v>
      </c>
      <c r="AF465" s="159" t="s">
        <v>8299</v>
      </c>
      <c r="AG465" s="160">
        <v>765229</v>
      </c>
      <c r="AH465" s="194" t="s">
        <v>679</v>
      </c>
      <c r="AI465" s="6" t="s">
        <v>4241</v>
      </c>
      <c r="AJ465" s="3" t="s">
        <v>8253</v>
      </c>
      <c r="AK465" t="s">
        <v>8253</v>
      </c>
      <c r="AL465" s="4">
        <f t="shared" si="146"/>
        <v>0</v>
      </c>
      <c r="AM465" s="6" t="s">
        <v>5243</v>
      </c>
      <c r="AN465" t="s">
        <v>6275</v>
      </c>
      <c r="AV465"/>
      <c r="AX465"/>
      <c r="AZ465" t="str">
        <f t="shared" si="147"/>
        <v/>
      </c>
      <c r="BA465" t="str">
        <f t="shared" si="148"/>
        <v/>
      </c>
    </row>
    <row r="466" spans="1:53" ht="13.5">
      <c r="A466" s="135" t="str">
        <f t="shared" si="131"/>
        <v/>
      </c>
      <c r="B466" s="19" t="str">
        <f t="shared" si="132"/>
        <v/>
      </c>
      <c r="C466" s="19" t="str">
        <f t="shared" si="133"/>
        <v/>
      </c>
      <c r="D466" s="19" t="str">
        <f t="shared" si="134"/>
        <v/>
      </c>
      <c r="E466" s="5" t="str">
        <f t="shared" si="137"/>
        <v/>
      </c>
      <c r="F466" s="12" t="str">
        <f t="shared" si="138"/>
        <v/>
      </c>
      <c r="K466" s="9" t="str">
        <f t="shared" si="139"/>
        <v/>
      </c>
      <c r="L466" s="6">
        <f t="shared" si="140"/>
        <v>0</v>
      </c>
      <c r="M466" s="6">
        <f t="shared" si="141"/>
        <v>0</v>
      </c>
      <c r="N466" s="94" t="str">
        <f t="shared" si="142"/>
        <v/>
      </c>
      <c r="O466" s="6"/>
      <c r="P466" s="6"/>
      <c r="Q466" s="6"/>
      <c r="R466" s="6"/>
      <c r="T466" s="136" t="str">
        <f t="shared" si="143"/>
        <v/>
      </c>
      <c r="U466" s="137" t="str">
        <f t="shared" si="144"/>
        <v/>
      </c>
      <c r="V466" s="1"/>
      <c r="Y466" s="90" t="str">
        <f t="shared" si="145"/>
        <v/>
      </c>
      <c r="AC466" s="6">
        <v>135614</v>
      </c>
      <c r="AD466" s="6" t="s">
        <v>7012</v>
      </c>
      <c r="AE466" s="158" t="s">
        <v>4460</v>
      </c>
      <c r="AF466" s="159" t="s">
        <v>8299</v>
      </c>
      <c r="AG466" s="160">
        <v>765230</v>
      </c>
      <c r="AH466" s="194" t="s">
        <v>1314</v>
      </c>
      <c r="AI466" s="6" t="s">
        <v>3730</v>
      </c>
      <c r="AJ466" s="3" t="s">
        <v>8244</v>
      </c>
      <c r="AK466" t="s">
        <v>8244</v>
      </c>
      <c r="AL466" s="4">
        <f t="shared" si="146"/>
        <v>0</v>
      </c>
      <c r="AM466" s="6" t="s">
        <v>5198</v>
      </c>
      <c r="AN466" t="s">
        <v>6276</v>
      </c>
      <c r="AV466"/>
      <c r="AX466"/>
      <c r="AZ466" t="str">
        <f t="shared" si="147"/>
        <v/>
      </c>
      <c r="BA466" t="str">
        <f t="shared" si="148"/>
        <v/>
      </c>
    </row>
    <row r="467" spans="1:53" ht="13.5">
      <c r="A467" s="135" t="str">
        <f t="shared" si="131"/>
        <v/>
      </c>
      <c r="B467" s="19" t="str">
        <f t="shared" si="132"/>
        <v/>
      </c>
      <c r="C467" s="19" t="str">
        <f t="shared" si="133"/>
        <v/>
      </c>
      <c r="D467" s="19" t="str">
        <f t="shared" si="134"/>
        <v/>
      </c>
      <c r="E467" s="5" t="str">
        <f t="shared" si="137"/>
        <v/>
      </c>
      <c r="F467" s="12" t="str">
        <f t="shared" si="138"/>
        <v/>
      </c>
      <c r="K467" s="9" t="str">
        <f t="shared" si="139"/>
        <v/>
      </c>
      <c r="L467" s="6">
        <f t="shared" si="140"/>
        <v>0</v>
      </c>
      <c r="M467" s="6">
        <f t="shared" si="141"/>
        <v>0</v>
      </c>
      <c r="N467" s="94" t="str">
        <f t="shared" si="142"/>
        <v/>
      </c>
      <c r="O467" s="6"/>
      <c r="P467" s="6"/>
      <c r="Q467" s="6"/>
      <c r="R467" s="6"/>
      <c r="T467" s="136" t="str">
        <f t="shared" si="143"/>
        <v/>
      </c>
      <c r="U467" s="137" t="str">
        <f t="shared" si="144"/>
        <v/>
      </c>
      <c r="V467" s="1"/>
      <c r="Y467" s="90" t="str">
        <f t="shared" si="145"/>
        <v/>
      </c>
      <c r="AC467" s="6">
        <v>165821</v>
      </c>
      <c r="AD467" s="6" t="s">
        <v>6990</v>
      </c>
      <c r="AE467" s="158" t="s">
        <v>4461</v>
      </c>
      <c r="AF467" s="159" t="s">
        <v>8299</v>
      </c>
      <c r="AG467" s="160">
        <v>765231</v>
      </c>
      <c r="AH467" s="194" t="s">
        <v>1314</v>
      </c>
      <c r="AI467" s="6" t="s">
        <v>1533</v>
      </c>
      <c r="AJ467" s="3" t="s">
        <v>8197</v>
      </c>
      <c r="AK467" t="s">
        <v>8197</v>
      </c>
      <c r="AL467" s="4">
        <f t="shared" si="146"/>
        <v>0</v>
      </c>
      <c r="AM467" s="6" t="s">
        <v>5245</v>
      </c>
      <c r="AN467" t="s">
        <v>6277</v>
      </c>
      <c r="AV467"/>
      <c r="AX467"/>
      <c r="AZ467" t="str">
        <f t="shared" si="147"/>
        <v/>
      </c>
      <c r="BA467" t="str">
        <f t="shared" si="148"/>
        <v/>
      </c>
    </row>
    <row r="468" spans="1:53" ht="13.5">
      <c r="A468" s="135" t="str">
        <f t="shared" si="131"/>
        <v/>
      </c>
      <c r="B468" s="19" t="str">
        <f t="shared" si="132"/>
        <v/>
      </c>
      <c r="C468" s="19" t="str">
        <f t="shared" si="133"/>
        <v/>
      </c>
      <c r="D468" s="19" t="str">
        <f t="shared" si="134"/>
        <v/>
      </c>
      <c r="E468" s="5" t="str">
        <f t="shared" si="137"/>
        <v/>
      </c>
      <c r="F468" s="12" t="str">
        <f t="shared" si="138"/>
        <v/>
      </c>
      <c r="K468" s="9" t="str">
        <f t="shared" si="139"/>
        <v/>
      </c>
      <c r="L468" s="6">
        <f t="shared" si="140"/>
        <v>0</v>
      </c>
      <c r="M468" s="6">
        <f t="shared" si="141"/>
        <v>0</v>
      </c>
      <c r="N468" s="94" t="str">
        <f t="shared" si="142"/>
        <v/>
      </c>
      <c r="O468" s="6"/>
      <c r="P468" s="6"/>
      <c r="Q468" s="6"/>
      <c r="R468" s="6"/>
      <c r="T468" s="136" t="str">
        <f t="shared" si="143"/>
        <v/>
      </c>
      <c r="U468" s="137" t="str">
        <f t="shared" si="144"/>
        <v/>
      </c>
      <c r="V468" s="1"/>
      <c r="Y468" s="90" t="str">
        <f t="shared" si="145"/>
        <v/>
      </c>
      <c r="AC468" s="6" t="s">
        <v>3852</v>
      </c>
      <c r="AD468" s="6" t="s">
        <v>7020</v>
      </c>
      <c r="AE468" s="158" t="s">
        <v>4462</v>
      </c>
      <c r="AF468" s="159" t="s">
        <v>8299</v>
      </c>
      <c r="AG468" s="160">
        <v>765232</v>
      </c>
      <c r="AH468" s="194" t="s">
        <v>679</v>
      </c>
      <c r="AI468" s="6" t="s">
        <v>1538</v>
      </c>
      <c r="AJ468" s="3" t="s">
        <v>8197</v>
      </c>
      <c r="AK468" t="s">
        <v>8197</v>
      </c>
      <c r="AL468" s="4">
        <f t="shared" si="146"/>
        <v>0</v>
      </c>
      <c r="AM468" s="6" t="s">
        <v>5097</v>
      </c>
      <c r="AN468" t="s">
        <v>6278</v>
      </c>
      <c r="AV468"/>
      <c r="AX468"/>
      <c r="AZ468" t="str">
        <f t="shared" si="147"/>
        <v/>
      </c>
      <c r="BA468" t="str">
        <f t="shared" si="148"/>
        <v/>
      </c>
    </row>
    <row r="469" spans="1:53" ht="13.5">
      <c r="A469" s="135" t="str">
        <f t="shared" si="131"/>
        <v/>
      </c>
      <c r="B469" s="19" t="str">
        <f t="shared" si="132"/>
        <v/>
      </c>
      <c r="C469" s="19" t="str">
        <f t="shared" si="133"/>
        <v/>
      </c>
      <c r="D469" s="19" t="str">
        <f t="shared" si="134"/>
        <v/>
      </c>
      <c r="E469" s="5" t="str">
        <f t="shared" si="137"/>
        <v/>
      </c>
      <c r="F469" s="12" t="str">
        <f t="shared" si="138"/>
        <v/>
      </c>
      <c r="K469" s="9" t="str">
        <f t="shared" si="139"/>
        <v/>
      </c>
      <c r="L469" s="6">
        <f t="shared" si="140"/>
        <v>0</v>
      </c>
      <c r="M469" s="6">
        <f t="shared" si="141"/>
        <v>0</v>
      </c>
      <c r="N469" s="94" t="str">
        <f t="shared" si="142"/>
        <v/>
      </c>
      <c r="O469" s="6"/>
      <c r="P469" s="6"/>
      <c r="Q469" s="6"/>
      <c r="R469" s="6"/>
      <c r="T469" s="136" t="str">
        <f t="shared" si="143"/>
        <v/>
      </c>
      <c r="U469" s="137" t="str">
        <f t="shared" si="144"/>
        <v/>
      </c>
      <c r="V469" s="1"/>
      <c r="Y469" s="90" t="str">
        <f t="shared" si="145"/>
        <v/>
      </c>
      <c r="AC469" s="6" t="s">
        <v>4384</v>
      </c>
      <c r="AD469" s="6" t="s">
        <v>7021</v>
      </c>
      <c r="AE469" s="158" t="s">
        <v>1191</v>
      </c>
      <c r="AF469" s="159" t="s">
        <v>8299</v>
      </c>
      <c r="AG469" s="160">
        <v>765233</v>
      </c>
      <c r="AH469" s="194" t="s">
        <v>1314</v>
      </c>
      <c r="AI469" s="6" t="s">
        <v>2394</v>
      </c>
      <c r="AJ469" s="3" t="s">
        <v>8237</v>
      </c>
      <c r="AK469" t="s">
        <v>8237</v>
      </c>
      <c r="AL469" s="4">
        <f t="shared" si="146"/>
        <v>0</v>
      </c>
      <c r="AM469" s="6" t="s">
        <v>5071</v>
      </c>
      <c r="AN469" t="s">
        <v>6279</v>
      </c>
      <c r="AV469"/>
      <c r="AX469"/>
      <c r="AZ469" t="str">
        <f t="shared" si="147"/>
        <v/>
      </c>
      <c r="BA469" t="str">
        <f t="shared" si="148"/>
        <v/>
      </c>
    </row>
    <row r="470" spans="1:53" ht="13.5">
      <c r="A470" s="135" t="str">
        <f t="shared" si="131"/>
        <v/>
      </c>
      <c r="B470" s="19" t="str">
        <f t="shared" si="132"/>
        <v/>
      </c>
      <c r="C470" s="19" t="str">
        <f t="shared" si="133"/>
        <v/>
      </c>
      <c r="D470" s="19" t="str">
        <f t="shared" si="134"/>
        <v/>
      </c>
      <c r="E470" s="5" t="str">
        <f t="shared" si="137"/>
        <v/>
      </c>
      <c r="F470" s="12" t="str">
        <f t="shared" si="138"/>
        <v/>
      </c>
      <c r="K470" s="9" t="str">
        <f t="shared" si="139"/>
        <v/>
      </c>
      <c r="L470" s="6">
        <f t="shared" si="140"/>
        <v>0</v>
      </c>
      <c r="M470" s="6">
        <f t="shared" si="141"/>
        <v>0</v>
      </c>
      <c r="N470" s="94" t="str">
        <f t="shared" si="142"/>
        <v/>
      </c>
      <c r="O470" s="6"/>
      <c r="P470" s="6"/>
      <c r="Q470" s="6"/>
      <c r="R470" s="6"/>
      <c r="T470" s="136" t="str">
        <f t="shared" si="143"/>
        <v/>
      </c>
      <c r="U470" s="137" t="str">
        <f t="shared" si="144"/>
        <v/>
      </c>
      <c r="V470" s="1"/>
      <c r="Y470" s="90" t="str">
        <f t="shared" si="145"/>
        <v/>
      </c>
      <c r="AC470" s="6" t="s">
        <v>3878</v>
      </c>
      <c r="AD470" s="6" t="s">
        <v>7022</v>
      </c>
      <c r="AE470" s="158" t="s">
        <v>4464</v>
      </c>
      <c r="AF470" s="159" t="s">
        <v>8299</v>
      </c>
      <c r="AG470" s="160">
        <v>771613</v>
      </c>
      <c r="AH470" s="194" t="s">
        <v>4700</v>
      </c>
      <c r="AI470" s="6" t="s">
        <v>2396</v>
      </c>
      <c r="AJ470" s="3" t="s">
        <v>8237</v>
      </c>
      <c r="AK470" t="s">
        <v>8237</v>
      </c>
      <c r="AL470" s="4">
        <f t="shared" si="146"/>
        <v>0</v>
      </c>
      <c r="AM470" s="6" t="s">
        <v>5292</v>
      </c>
      <c r="AN470" t="s">
        <v>6280</v>
      </c>
      <c r="AV470"/>
      <c r="AX470"/>
      <c r="AZ470" t="str">
        <f t="shared" si="147"/>
        <v/>
      </c>
      <c r="BA470" t="str">
        <f t="shared" si="148"/>
        <v/>
      </c>
    </row>
    <row r="471" spans="1:53" ht="13.5">
      <c r="A471" s="135" t="str">
        <f t="shared" si="131"/>
        <v/>
      </c>
      <c r="B471" s="19" t="str">
        <f t="shared" si="132"/>
        <v/>
      </c>
      <c r="C471" s="19" t="str">
        <f t="shared" si="133"/>
        <v/>
      </c>
      <c r="D471" s="19" t="str">
        <f t="shared" si="134"/>
        <v/>
      </c>
      <c r="E471" s="5" t="str">
        <f t="shared" si="137"/>
        <v/>
      </c>
      <c r="F471" s="12" t="str">
        <f t="shared" si="138"/>
        <v/>
      </c>
      <c r="K471" s="9" t="str">
        <f t="shared" si="139"/>
        <v/>
      </c>
      <c r="L471" s="6">
        <f t="shared" si="140"/>
        <v>0</v>
      </c>
      <c r="M471" s="6">
        <f t="shared" si="141"/>
        <v>0</v>
      </c>
      <c r="N471" s="94" t="str">
        <f t="shared" si="142"/>
        <v/>
      </c>
      <c r="O471" s="6"/>
      <c r="P471" s="6"/>
      <c r="Q471" s="6"/>
      <c r="R471" s="6"/>
      <c r="T471" s="136" t="str">
        <f t="shared" si="143"/>
        <v/>
      </c>
      <c r="U471" s="137" t="str">
        <f t="shared" si="144"/>
        <v/>
      </c>
      <c r="V471" s="1"/>
      <c r="Y471" s="90" t="str">
        <f t="shared" si="145"/>
        <v/>
      </c>
      <c r="AC471" s="6" t="s">
        <v>4226</v>
      </c>
      <c r="AD471" s="6" t="s">
        <v>7023</v>
      </c>
      <c r="AE471" s="158" t="s">
        <v>5523</v>
      </c>
      <c r="AF471" s="159" t="s">
        <v>8299</v>
      </c>
      <c r="AG471" s="160">
        <v>771614</v>
      </c>
      <c r="AH471" s="194" t="s">
        <v>679</v>
      </c>
      <c r="AI471" s="6" t="s">
        <v>183</v>
      </c>
      <c r="AJ471" s="3" t="s">
        <v>8212</v>
      </c>
      <c r="AK471" t="s">
        <v>8212</v>
      </c>
      <c r="AL471" s="4">
        <f t="shared" si="146"/>
        <v>0</v>
      </c>
      <c r="AM471" s="6" t="s">
        <v>5116</v>
      </c>
      <c r="AN471" t="s">
        <v>6281</v>
      </c>
      <c r="AV471"/>
      <c r="AX471"/>
      <c r="AZ471" t="str">
        <f t="shared" si="147"/>
        <v/>
      </c>
      <c r="BA471" t="str">
        <f t="shared" si="148"/>
        <v/>
      </c>
    </row>
    <row r="472" spans="1:53" ht="13.5">
      <c r="A472" s="135" t="str">
        <f t="shared" si="131"/>
        <v/>
      </c>
      <c r="B472" s="19" t="str">
        <f t="shared" si="132"/>
        <v/>
      </c>
      <c r="C472" s="19" t="str">
        <f t="shared" si="133"/>
        <v/>
      </c>
      <c r="D472" s="19" t="str">
        <f t="shared" si="134"/>
        <v/>
      </c>
      <c r="E472" s="5" t="str">
        <f t="shared" si="137"/>
        <v/>
      </c>
      <c r="F472" s="12" t="str">
        <f t="shared" si="138"/>
        <v/>
      </c>
      <c r="K472" s="9" t="str">
        <f t="shared" si="139"/>
        <v/>
      </c>
      <c r="L472" s="6">
        <f t="shared" si="140"/>
        <v>0</v>
      </c>
      <c r="M472" s="6">
        <f t="shared" si="141"/>
        <v>0</v>
      </c>
      <c r="N472" s="94" t="str">
        <f t="shared" si="142"/>
        <v/>
      </c>
      <c r="O472" s="6"/>
      <c r="P472" s="6"/>
      <c r="Q472" s="6"/>
      <c r="R472" s="6"/>
      <c r="T472" s="136" t="str">
        <f t="shared" si="143"/>
        <v/>
      </c>
      <c r="U472" s="137" t="str">
        <f t="shared" si="144"/>
        <v/>
      </c>
      <c r="V472" s="1"/>
      <c r="Y472" s="90" t="str">
        <f t="shared" si="145"/>
        <v/>
      </c>
      <c r="AC472" s="6" t="s">
        <v>3851</v>
      </c>
      <c r="AD472" s="6" t="s">
        <v>7020</v>
      </c>
      <c r="AE472" s="158" t="s">
        <v>4465</v>
      </c>
      <c r="AF472" s="159" t="s">
        <v>8299</v>
      </c>
      <c r="AG472" s="160">
        <v>771615</v>
      </c>
      <c r="AH472" s="194" t="s">
        <v>679</v>
      </c>
      <c r="AI472" s="6" t="s">
        <v>388</v>
      </c>
      <c r="AJ472" s="3" t="s">
        <v>8196</v>
      </c>
      <c r="AK472" t="s">
        <v>8196</v>
      </c>
      <c r="AL472" s="4">
        <f t="shared" si="146"/>
        <v>0</v>
      </c>
      <c r="AM472" s="6" t="s">
        <v>5131</v>
      </c>
      <c r="AN472" t="s">
        <v>6282</v>
      </c>
      <c r="AV472"/>
      <c r="AX472"/>
      <c r="AZ472" t="str">
        <f t="shared" si="147"/>
        <v/>
      </c>
      <c r="BA472" t="str">
        <f t="shared" si="148"/>
        <v/>
      </c>
    </row>
    <row r="473" spans="1:53" ht="13.5">
      <c r="A473" s="135" t="str">
        <f t="shared" si="131"/>
        <v/>
      </c>
      <c r="B473" s="19" t="str">
        <f t="shared" si="132"/>
        <v/>
      </c>
      <c r="C473" s="19" t="str">
        <f t="shared" si="133"/>
        <v/>
      </c>
      <c r="D473" s="19" t="str">
        <f t="shared" si="134"/>
        <v/>
      </c>
      <c r="E473" s="5" t="str">
        <f t="shared" si="137"/>
        <v/>
      </c>
      <c r="F473" s="12" t="str">
        <f t="shared" si="138"/>
        <v/>
      </c>
      <c r="K473" s="9" t="str">
        <f t="shared" si="139"/>
        <v/>
      </c>
      <c r="L473" s="6">
        <f t="shared" si="140"/>
        <v>0</v>
      </c>
      <c r="M473" s="6">
        <f t="shared" si="141"/>
        <v>0</v>
      </c>
      <c r="N473" s="94" t="str">
        <f t="shared" si="142"/>
        <v/>
      </c>
      <c r="O473" s="6"/>
      <c r="P473" s="6"/>
      <c r="Q473" s="6"/>
      <c r="R473" s="6"/>
      <c r="T473" s="136" t="str">
        <f t="shared" si="143"/>
        <v/>
      </c>
      <c r="U473" s="137" t="str">
        <f t="shared" si="144"/>
        <v/>
      </c>
      <c r="V473" s="1"/>
      <c r="Y473" s="90" t="str">
        <f t="shared" si="145"/>
        <v/>
      </c>
      <c r="AC473" s="6" t="s">
        <v>4383</v>
      </c>
      <c r="AD473" s="6" t="s">
        <v>7024</v>
      </c>
      <c r="AE473" s="158" t="s">
        <v>4466</v>
      </c>
      <c r="AF473" s="159" t="s">
        <v>8299</v>
      </c>
      <c r="AG473" s="160">
        <v>782449</v>
      </c>
      <c r="AH473" s="194" t="s">
        <v>679</v>
      </c>
      <c r="AI473" s="6" t="s">
        <v>4095</v>
      </c>
      <c r="AJ473" s="3" t="s">
        <v>8250</v>
      </c>
      <c r="AK473" t="s">
        <v>8250</v>
      </c>
      <c r="AL473" s="4">
        <f t="shared" si="146"/>
        <v>0</v>
      </c>
      <c r="AM473" s="6" t="s">
        <v>5172</v>
      </c>
      <c r="AN473" t="s">
        <v>6283</v>
      </c>
      <c r="AV473"/>
      <c r="AX473"/>
      <c r="AZ473" t="str">
        <f t="shared" si="147"/>
        <v/>
      </c>
      <c r="BA473" t="str">
        <f t="shared" si="148"/>
        <v/>
      </c>
    </row>
    <row r="474" spans="1:53" ht="13.5">
      <c r="A474" s="135" t="str">
        <f t="shared" si="131"/>
        <v/>
      </c>
      <c r="B474" s="19" t="str">
        <f t="shared" si="132"/>
        <v/>
      </c>
      <c r="C474" s="19" t="str">
        <f t="shared" si="133"/>
        <v/>
      </c>
      <c r="D474" s="19" t="str">
        <f t="shared" si="134"/>
        <v/>
      </c>
      <c r="E474" s="5" t="str">
        <f t="shared" si="137"/>
        <v/>
      </c>
      <c r="F474" s="12" t="str">
        <f t="shared" si="138"/>
        <v/>
      </c>
      <c r="K474" s="9" t="str">
        <f t="shared" si="139"/>
        <v/>
      </c>
      <c r="L474" s="6">
        <f t="shared" si="140"/>
        <v>0</v>
      </c>
      <c r="M474" s="6">
        <f t="shared" si="141"/>
        <v>0</v>
      </c>
      <c r="N474" s="94" t="str">
        <f t="shared" si="142"/>
        <v/>
      </c>
      <c r="O474" s="6"/>
      <c r="P474" s="6"/>
      <c r="Q474" s="6"/>
      <c r="R474" s="6"/>
      <c r="T474" s="136" t="str">
        <f t="shared" si="143"/>
        <v/>
      </c>
      <c r="U474" s="137" t="str">
        <f t="shared" si="144"/>
        <v/>
      </c>
      <c r="V474" s="1"/>
      <c r="Y474" s="90" t="str">
        <f t="shared" si="145"/>
        <v/>
      </c>
      <c r="AC474" s="6" t="s">
        <v>5171</v>
      </c>
      <c r="AD474" s="6" t="s">
        <v>7025</v>
      </c>
      <c r="AE474" s="158" t="s">
        <v>3729</v>
      </c>
      <c r="AF474" s="159" t="s">
        <v>8339</v>
      </c>
      <c r="AG474" s="160">
        <v>782451</v>
      </c>
      <c r="AH474" s="194" t="s">
        <v>679</v>
      </c>
      <c r="AI474" s="6" t="s">
        <v>2398</v>
      </c>
      <c r="AJ474" s="3" t="s">
        <v>8206</v>
      </c>
      <c r="AK474" t="s">
        <v>8206</v>
      </c>
      <c r="AL474" s="4">
        <f t="shared" si="146"/>
        <v>0</v>
      </c>
      <c r="AM474" s="6" t="s">
        <v>5186</v>
      </c>
      <c r="AN474" t="s">
        <v>6284</v>
      </c>
      <c r="AV474"/>
      <c r="AX474"/>
      <c r="AZ474" t="str">
        <f t="shared" si="147"/>
        <v/>
      </c>
      <c r="BA474" t="str">
        <f t="shared" si="148"/>
        <v/>
      </c>
    </row>
    <row r="475" spans="1:53" ht="13.5">
      <c r="A475" s="135" t="str">
        <f t="shared" si="131"/>
        <v/>
      </c>
      <c r="B475" s="19" t="str">
        <f t="shared" si="132"/>
        <v/>
      </c>
      <c r="C475" s="19" t="str">
        <f t="shared" si="133"/>
        <v/>
      </c>
      <c r="D475" s="19" t="str">
        <f t="shared" si="134"/>
        <v/>
      </c>
      <c r="E475" s="5" t="str">
        <f t="shared" si="137"/>
        <v/>
      </c>
      <c r="F475" s="12" t="str">
        <f t="shared" si="138"/>
        <v/>
      </c>
      <c r="K475" s="9" t="str">
        <f t="shared" si="139"/>
        <v/>
      </c>
      <c r="L475" s="6">
        <f t="shared" si="140"/>
        <v>0</v>
      </c>
      <c r="M475" s="6">
        <f t="shared" si="141"/>
        <v>0</v>
      </c>
      <c r="N475" s="94" t="str">
        <f t="shared" si="142"/>
        <v/>
      </c>
      <c r="O475" s="6"/>
      <c r="P475" s="6"/>
      <c r="Q475" s="6"/>
      <c r="R475" s="6"/>
      <c r="T475" s="136" t="str">
        <f t="shared" si="143"/>
        <v/>
      </c>
      <c r="U475" s="137" t="str">
        <f t="shared" si="144"/>
        <v/>
      </c>
      <c r="V475" s="1"/>
      <c r="Y475" s="90" t="str">
        <f t="shared" si="145"/>
        <v/>
      </c>
      <c r="AC475" s="6">
        <v>375640</v>
      </c>
      <c r="AD475" s="6" t="s">
        <v>7026</v>
      </c>
      <c r="AE475" s="158" t="s">
        <v>3730</v>
      </c>
      <c r="AF475" s="159" t="s">
        <v>8299</v>
      </c>
      <c r="AG475" s="160">
        <v>782452</v>
      </c>
      <c r="AH475" s="194" t="s">
        <v>679</v>
      </c>
      <c r="AI475" s="6">
        <v>15255</v>
      </c>
      <c r="AJ475" s="3" t="s">
        <v>8217</v>
      </c>
      <c r="AK475" t="s">
        <v>8668</v>
      </c>
      <c r="AL475" s="4">
        <f t="shared" si="146"/>
        <v>0</v>
      </c>
      <c r="AM475" s="6" t="s">
        <v>5053</v>
      </c>
      <c r="AN475" t="s">
        <v>6285</v>
      </c>
      <c r="AV475"/>
      <c r="AX475"/>
      <c r="AZ475" t="str">
        <f t="shared" si="147"/>
        <v/>
      </c>
      <c r="BA475" t="str">
        <f t="shared" si="148"/>
        <v/>
      </c>
    </row>
    <row r="476" spans="1:53" ht="13.5">
      <c r="A476" s="135" t="str">
        <f t="shared" si="131"/>
        <v/>
      </c>
      <c r="B476" s="19" t="str">
        <f t="shared" si="132"/>
        <v/>
      </c>
      <c r="C476" s="19" t="str">
        <f t="shared" si="133"/>
        <v/>
      </c>
      <c r="D476" s="19" t="str">
        <f t="shared" si="134"/>
        <v/>
      </c>
      <c r="E476" s="5" t="str">
        <f t="shared" si="137"/>
        <v/>
      </c>
      <c r="F476" s="12" t="str">
        <f t="shared" si="138"/>
        <v/>
      </c>
      <c r="K476" s="9" t="str">
        <f t="shared" si="139"/>
        <v/>
      </c>
      <c r="L476" s="6">
        <f t="shared" si="140"/>
        <v>0</v>
      </c>
      <c r="M476" s="6">
        <f t="shared" si="141"/>
        <v>0</v>
      </c>
      <c r="N476" s="94" t="str">
        <f t="shared" si="142"/>
        <v/>
      </c>
      <c r="O476" s="6"/>
      <c r="P476" s="6"/>
      <c r="Q476" s="6"/>
      <c r="R476" s="6"/>
      <c r="T476" s="136" t="str">
        <f t="shared" si="143"/>
        <v/>
      </c>
      <c r="U476" s="137" t="str">
        <f t="shared" si="144"/>
        <v/>
      </c>
      <c r="V476" s="1"/>
      <c r="Y476" s="90" t="str">
        <f t="shared" si="145"/>
        <v/>
      </c>
      <c r="AC476" s="6" t="s">
        <v>4222</v>
      </c>
      <c r="AD476" s="6" t="s">
        <v>7027</v>
      </c>
      <c r="AE476" s="158" t="s">
        <v>3732</v>
      </c>
      <c r="AF476" s="159" t="s">
        <v>8339</v>
      </c>
      <c r="AG476" s="160">
        <v>782453</v>
      </c>
      <c r="AH476" s="194" t="s">
        <v>679</v>
      </c>
      <c r="AI476" s="6">
        <v>235279</v>
      </c>
      <c r="AJ476" s="3" t="s">
        <v>8212</v>
      </c>
      <c r="AK476" t="s">
        <v>8212</v>
      </c>
      <c r="AL476" s="4">
        <f t="shared" si="146"/>
        <v>0</v>
      </c>
      <c r="AM476" s="6" t="s">
        <v>5069</v>
      </c>
      <c r="AN476" t="s">
        <v>6286</v>
      </c>
      <c r="AV476"/>
      <c r="AX476"/>
      <c r="AZ476" t="str">
        <f t="shared" si="147"/>
        <v/>
      </c>
      <c r="BA476" t="str">
        <f t="shared" si="148"/>
        <v/>
      </c>
    </row>
    <row r="477" spans="1:53" ht="13.5">
      <c r="A477" s="135" t="str">
        <f t="shared" si="131"/>
        <v/>
      </c>
      <c r="B477" s="19" t="str">
        <f t="shared" si="132"/>
        <v/>
      </c>
      <c r="C477" s="19" t="str">
        <f t="shared" si="133"/>
        <v/>
      </c>
      <c r="D477" s="19" t="str">
        <f t="shared" si="134"/>
        <v/>
      </c>
      <c r="E477" s="5" t="str">
        <f t="shared" si="137"/>
        <v/>
      </c>
      <c r="F477" s="12" t="str">
        <f t="shared" si="138"/>
        <v/>
      </c>
      <c r="K477" s="9" t="str">
        <f t="shared" si="139"/>
        <v/>
      </c>
      <c r="L477" s="6">
        <f t="shared" si="140"/>
        <v>0</v>
      </c>
      <c r="M477" s="6">
        <f t="shared" si="141"/>
        <v>0</v>
      </c>
      <c r="N477" s="94" t="str">
        <f t="shared" si="142"/>
        <v/>
      </c>
      <c r="O477" s="6"/>
      <c r="P477" s="6"/>
      <c r="Q477" s="6"/>
      <c r="R477" s="6"/>
      <c r="T477" s="136" t="str">
        <f t="shared" si="143"/>
        <v/>
      </c>
      <c r="U477" s="137" t="str">
        <f t="shared" si="144"/>
        <v/>
      </c>
      <c r="V477" s="1"/>
      <c r="Y477" s="90" t="str">
        <f t="shared" si="145"/>
        <v/>
      </c>
      <c r="AC477" s="6" t="s">
        <v>3877</v>
      </c>
      <c r="AD477" s="6" t="s">
        <v>6929</v>
      </c>
      <c r="AE477" s="158" t="s">
        <v>4816</v>
      </c>
      <c r="AF477" s="159" t="s">
        <v>8300</v>
      </c>
      <c r="AG477" s="160">
        <v>782454</v>
      </c>
      <c r="AH477" s="194" t="s">
        <v>679</v>
      </c>
      <c r="AI477" s="6">
        <v>23634</v>
      </c>
      <c r="AJ477" s="3" t="s">
        <v>8225</v>
      </c>
      <c r="AK477" t="s">
        <v>8225</v>
      </c>
      <c r="AL477" s="4">
        <f t="shared" si="146"/>
        <v>0</v>
      </c>
      <c r="AM477" s="6" t="s">
        <v>5140</v>
      </c>
      <c r="AN477" t="s">
        <v>6287</v>
      </c>
      <c r="AV477"/>
      <c r="AX477"/>
      <c r="AZ477" t="str">
        <f t="shared" si="147"/>
        <v/>
      </c>
      <c r="BA477" t="str">
        <f t="shared" si="148"/>
        <v/>
      </c>
    </row>
    <row r="478" spans="1:53" ht="13.5">
      <c r="A478" s="135" t="str">
        <f t="shared" si="131"/>
        <v/>
      </c>
      <c r="B478" s="19" t="str">
        <f t="shared" si="132"/>
        <v/>
      </c>
      <c r="C478" s="19" t="str">
        <f t="shared" si="133"/>
        <v/>
      </c>
      <c r="D478" s="19" t="str">
        <f t="shared" si="134"/>
        <v/>
      </c>
      <c r="E478" s="5" t="str">
        <f t="shared" si="137"/>
        <v/>
      </c>
      <c r="F478" s="12" t="str">
        <f t="shared" si="138"/>
        <v/>
      </c>
      <c r="K478" s="9" t="str">
        <f t="shared" si="139"/>
        <v/>
      </c>
      <c r="L478" s="6">
        <f t="shared" si="140"/>
        <v>0</v>
      </c>
      <c r="M478" s="6">
        <f t="shared" si="141"/>
        <v>0</v>
      </c>
      <c r="N478" s="94" t="str">
        <f t="shared" si="142"/>
        <v/>
      </c>
      <c r="O478" s="6"/>
      <c r="P478" s="6"/>
      <c r="Q478" s="6"/>
      <c r="R478" s="6"/>
      <c r="T478" s="136" t="str">
        <f t="shared" si="143"/>
        <v/>
      </c>
      <c r="U478" s="137" t="str">
        <f t="shared" si="144"/>
        <v/>
      </c>
      <c r="V478" s="1"/>
      <c r="Y478" s="90" t="str">
        <f t="shared" si="145"/>
        <v/>
      </c>
      <c r="AC478" s="6" t="s">
        <v>3876</v>
      </c>
      <c r="AD478" s="6" t="s">
        <v>6929</v>
      </c>
      <c r="AE478" s="158" t="s">
        <v>43</v>
      </c>
      <c r="AF478" s="159" t="s">
        <v>8342</v>
      </c>
      <c r="AG478" s="160">
        <v>796323</v>
      </c>
      <c r="AH478" s="194" t="s">
        <v>679</v>
      </c>
      <c r="AI478" s="6">
        <v>25339</v>
      </c>
      <c r="AJ478" s="3" t="s">
        <v>8207</v>
      </c>
      <c r="AK478" t="s">
        <v>8207</v>
      </c>
      <c r="AL478" s="4">
        <f t="shared" si="146"/>
        <v>0</v>
      </c>
      <c r="AM478" s="6" t="s">
        <v>5090</v>
      </c>
      <c r="AN478" t="s">
        <v>6288</v>
      </c>
      <c r="AV478"/>
      <c r="AX478"/>
      <c r="AZ478" t="str">
        <f t="shared" si="147"/>
        <v/>
      </c>
      <c r="BA478" t="str">
        <f t="shared" si="148"/>
        <v/>
      </c>
    </row>
    <row r="479" spans="1:53" ht="13.5">
      <c r="A479" s="135" t="str">
        <f t="shared" si="131"/>
        <v/>
      </c>
      <c r="B479" s="19" t="str">
        <f t="shared" si="132"/>
        <v/>
      </c>
      <c r="C479" s="19" t="str">
        <f t="shared" si="133"/>
        <v/>
      </c>
      <c r="D479" s="19" t="str">
        <f t="shared" si="134"/>
        <v/>
      </c>
      <c r="E479" s="5" t="str">
        <f t="shared" si="137"/>
        <v/>
      </c>
      <c r="F479" s="12" t="str">
        <f t="shared" si="138"/>
        <v/>
      </c>
      <c r="K479" s="9" t="str">
        <f t="shared" si="139"/>
        <v/>
      </c>
      <c r="L479" s="6">
        <f t="shared" si="140"/>
        <v>0</v>
      </c>
      <c r="M479" s="6">
        <f t="shared" si="141"/>
        <v>0</v>
      </c>
      <c r="N479" s="94" t="str">
        <f t="shared" si="142"/>
        <v/>
      </c>
      <c r="O479" s="6"/>
      <c r="P479" s="6"/>
      <c r="Q479" s="6"/>
      <c r="R479" s="6"/>
      <c r="T479" s="136" t="str">
        <f t="shared" si="143"/>
        <v/>
      </c>
      <c r="U479" s="137" t="str">
        <f t="shared" si="144"/>
        <v/>
      </c>
      <c r="V479" s="1"/>
      <c r="Y479" s="90" t="str">
        <f t="shared" si="145"/>
        <v/>
      </c>
      <c r="AC479" s="6" t="s">
        <v>3884</v>
      </c>
      <c r="AD479" s="6" t="s">
        <v>7028</v>
      </c>
      <c r="AE479" s="158" t="s">
        <v>3736</v>
      </c>
      <c r="AF479" s="159" t="s">
        <v>8339</v>
      </c>
      <c r="AG479" s="160">
        <v>796324</v>
      </c>
      <c r="AH479" s="194" t="s">
        <v>679</v>
      </c>
      <c r="AI479" s="6">
        <v>35265</v>
      </c>
      <c r="AJ479" s="3" t="s">
        <v>8238</v>
      </c>
      <c r="AK479" t="s">
        <v>8673</v>
      </c>
      <c r="AL479" s="4">
        <f t="shared" si="146"/>
        <v>0</v>
      </c>
      <c r="AM479" s="6" t="s">
        <v>5264</v>
      </c>
      <c r="AN479" t="s">
        <v>6289</v>
      </c>
      <c r="AV479"/>
      <c r="AX479"/>
      <c r="AZ479" t="str">
        <f t="shared" si="147"/>
        <v/>
      </c>
      <c r="BA479" t="str">
        <f t="shared" si="148"/>
        <v/>
      </c>
    </row>
    <row r="480" spans="1:53" ht="13.5">
      <c r="A480" s="135" t="str">
        <f t="shared" si="131"/>
        <v/>
      </c>
      <c r="B480" s="19" t="str">
        <f t="shared" si="132"/>
        <v/>
      </c>
      <c r="C480" s="19" t="str">
        <f t="shared" si="133"/>
        <v/>
      </c>
      <c r="D480" s="19" t="str">
        <f t="shared" si="134"/>
        <v/>
      </c>
      <c r="E480" s="5" t="str">
        <f t="shared" si="137"/>
        <v/>
      </c>
      <c r="F480" s="12" t="str">
        <f t="shared" si="138"/>
        <v/>
      </c>
      <c r="K480" s="9" t="str">
        <f t="shared" si="139"/>
        <v/>
      </c>
      <c r="L480" s="6">
        <f t="shared" si="140"/>
        <v>0</v>
      </c>
      <c r="M480" s="6">
        <f t="shared" si="141"/>
        <v>0</v>
      </c>
      <c r="N480" s="94" t="str">
        <f t="shared" si="142"/>
        <v/>
      </c>
      <c r="O480" s="6"/>
      <c r="P480" s="6"/>
      <c r="Q480" s="6"/>
      <c r="R480" s="6"/>
      <c r="T480" s="136" t="str">
        <f t="shared" si="143"/>
        <v/>
      </c>
      <c r="U480" s="137" t="str">
        <f t="shared" si="144"/>
        <v/>
      </c>
      <c r="V480" s="1"/>
      <c r="Y480" s="90" t="str">
        <f t="shared" si="145"/>
        <v/>
      </c>
      <c r="AC480" s="6" t="s">
        <v>3883</v>
      </c>
      <c r="AD480" s="6" t="s">
        <v>7028</v>
      </c>
      <c r="AE480" s="158" t="s">
        <v>4318</v>
      </c>
      <c r="AF480" s="159" t="s">
        <v>8320</v>
      </c>
      <c r="AG480" s="160">
        <v>796325</v>
      </c>
      <c r="AH480" s="194" t="s">
        <v>679</v>
      </c>
      <c r="AI480" s="6">
        <v>65237</v>
      </c>
      <c r="AJ480" s="3" t="s">
        <v>8206</v>
      </c>
      <c r="AK480" t="s">
        <v>8206</v>
      </c>
      <c r="AL480" s="4">
        <f t="shared" si="146"/>
        <v>0</v>
      </c>
      <c r="AM480" s="6" t="s">
        <v>5303</v>
      </c>
      <c r="AN480" t="s">
        <v>6290</v>
      </c>
      <c r="AV480"/>
      <c r="AX480"/>
      <c r="AZ480" t="str">
        <f t="shared" si="147"/>
        <v/>
      </c>
      <c r="BA480" t="str">
        <f t="shared" si="148"/>
        <v/>
      </c>
    </row>
    <row r="481" spans="1:53" ht="13.5">
      <c r="A481" s="135" t="str">
        <f t="shared" si="131"/>
        <v/>
      </c>
      <c r="B481" s="19" t="str">
        <f t="shared" si="132"/>
        <v/>
      </c>
      <c r="C481" s="19" t="str">
        <f t="shared" si="133"/>
        <v/>
      </c>
      <c r="D481" s="19" t="str">
        <f t="shared" si="134"/>
        <v/>
      </c>
      <c r="E481" s="5" t="str">
        <f t="shared" si="137"/>
        <v/>
      </c>
      <c r="F481" s="12" t="str">
        <f t="shared" si="138"/>
        <v/>
      </c>
      <c r="K481" s="9" t="str">
        <f t="shared" si="139"/>
        <v/>
      </c>
      <c r="L481" s="6">
        <f t="shared" si="140"/>
        <v>0</v>
      </c>
      <c r="M481" s="6">
        <f t="shared" si="141"/>
        <v>0</v>
      </c>
      <c r="N481" s="94" t="str">
        <f t="shared" si="142"/>
        <v/>
      </c>
      <c r="O481" s="6"/>
      <c r="P481" s="6"/>
      <c r="Q481" s="6"/>
      <c r="R481" s="6"/>
      <c r="T481" s="136" t="str">
        <f t="shared" si="143"/>
        <v/>
      </c>
      <c r="U481" s="137" t="str">
        <f t="shared" si="144"/>
        <v/>
      </c>
      <c r="V481" s="1"/>
      <c r="Y481" s="90" t="str">
        <f t="shared" si="145"/>
        <v/>
      </c>
      <c r="AC481" s="6" t="s">
        <v>4140</v>
      </c>
      <c r="AD481" s="6" t="s">
        <v>7029</v>
      </c>
      <c r="AE481" s="158" t="s">
        <v>4319</v>
      </c>
      <c r="AF481" s="159" t="s">
        <v>8297</v>
      </c>
      <c r="AG481" s="160">
        <v>796326</v>
      </c>
      <c r="AH481" s="194" t="s">
        <v>1314</v>
      </c>
      <c r="AI481" s="6">
        <v>65274</v>
      </c>
      <c r="AJ481" s="3" t="s">
        <v>8206</v>
      </c>
      <c r="AK481" t="s">
        <v>8206</v>
      </c>
      <c r="AL481" s="4">
        <f t="shared" si="146"/>
        <v>0</v>
      </c>
      <c r="AM481" s="6" t="s">
        <v>5050</v>
      </c>
      <c r="AN481" t="s">
        <v>6291</v>
      </c>
      <c r="AV481"/>
      <c r="AX481"/>
      <c r="AZ481" t="str">
        <f t="shared" si="147"/>
        <v/>
      </c>
      <c r="BA481" t="str">
        <f t="shared" si="148"/>
        <v/>
      </c>
    </row>
    <row r="482" spans="1:53" ht="13.5">
      <c r="A482" s="135" t="str">
        <f t="shared" si="131"/>
        <v/>
      </c>
      <c r="B482" s="19" t="str">
        <f t="shared" si="132"/>
        <v/>
      </c>
      <c r="C482" s="19" t="str">
        <f t="shared" si="133"/>
        <v/>
      </c>
      <c r="D482" s="19" t="str">
        <f t="shared" si="134"/>
        <v/>
      </c>
      <c r="E482" s="5" t="str">
        <f t="shared" si="137"/>
        <v/>
      </c>
      <c r="F482" s="12" t="str">
        <f t="shared" si="138"/>
        <v/>
      </c>
      <c r="K482" s="9" t="str">
        <f t="shared" si="139"/>
        <v/>
      </c>
      <c r="L482" s="6">
        <f t="shared" si="140"/>
        <v>0</v>
      </c>
      <c r="M482" s="6">
        <f t="shared" si="141"/>
        <v>0</v>
      </c>
      <c r="N482" s="94" t="str">
        <f t="shared" si="142"/>
        <v/>
      </c>
      <c r="O482" s="6"/>
      <c r="P482" s="6"/>
      <c r="Q482" s="6"/>
      <c r="R482" s="6"/>
      <c r="T482" s="136" t="str">
        <f t="shared" si="143"/>
        <v/>
      </c>
      <c r="U482" s="137" t="str">
        <f t="shared" si="144"/>
        <v/>
      </c>
      <c r="V482" s="1"/>
      <c r="Y482" s="90" t="str">
        <f t="shared" si="145"/>
        <v/>
      </c>
      <c r="AC482" s="6" t="s">
        <v>4385</v>
      </c>
      <c r="AD482" s="6" t="s">
        <v>7030</v>
      </c>
      <c r="AE482" s="158" t="s">
        <v>3741</v>
      </c>
      <c r="AF482" s="159" t="s">
        <v>8347</v>
      </c>
      <c r="AG482" s="160">
        <v>796327</v>
      </c>
      <c r="AH482" s="194" t="s">
        <v>679</v>
      </c>
      <c r="AI482" s="6">
        <v>65276</v>
      </c>
      <c r="AJ482" s="3" t="s">
        <v>8206</v>
      </c>
      <c r="AK482" t="s">
        <v>8206</v>
      </c>
      <c r="AL482" s="4">
        <f t="shared" si="146"/>
        <v>0</v>
      </c>
      <c r="AM482" s="6" t="s">
        <v>5166</v>
      </c>
      <c r="AN482" t="s">
        <v>6292</v>
      </c>
      <c r="AV482"/>
      <c r="AX482"/>
      <c r="AZ482" t="str">
        <f t="shared" si="147"/>
        <v/>
      </c>
      <c r="BA482" t="str">
        <f t="shared" si="148"/>
        <v/>
      </c>
    </row>
    <row r="483" spans="1:53" ht="13.5">
      <c r="A483" s="135" t="str">
        <f t="shared" si="131"/>
        <v/>
      </c>
      <c r="B483" s="19" t="str">
        <f t="shared" si="132"/>
        <v/>
      </c>
      <c r="C483" s="19" t="str">
        <f t="shared" si="133"/>
        <v/>
      </c>
      <c r="D483" s="19" t="str">
        <f t="shared" si="134"/>
        <v/>
      </c>
      <c r="E483" s="5" t="str">
        <f t="shared" si="137"/>
        <v/>
      </c>
      <c r="F483" s="12" t="str">
        <f t="shared" si="138"/>
        <v/>
      </c>
      <c r="K483" s="9" t="str">
        <f t="shared" si="139"/>
        <v/>
      </c>
      <c r="L483" s="6">
        <f t="shared" si="140"/>
        <v>0</v>
      </c>
      <c r="M483" s="6">
        <f t="shared" si="141"/>
        <v>0</v>
      </c>
      <c r="N483" s="94" t="str">
        <f t="shared" si="142"/>
        <v/>
      </c>
      <c r="O483" s="6"/>
      <c r="P483" s="6"/>
      <c r="Q483" s="6"/>
      <c r="R483" s="6"/>
      <c r="T483" s="136" t="str">
        <f t="shared" si="143"/>
        <v/>
      </c>
      <c r="U483" s="137" t="str">
        <f t="shared" si="144"/>
        <v/>
      </c>
      <c r="V483" s="1"/>
      <c r="Y483" s="90" t="str">
        <f t="shared" si="145"/>
        <v/>
      </c>
      <c r="AC483" s="6">
        <v>375635</v>
      </c>
      <c r="AD483" s="6" t="s">
        <v>7031</v>
      </c>
      <c r="AE483" s="158" t="s">
        <v>4320</v>
      </c>
      <c r="AF483" s="159" t="s">
        <v>8311</v>
      </c>
      <c r="AG483" s="161">
        <v>796328</v>
      </c>
      <c r="AH483" s="194" t="s">
        <v>679</v>
      </c>
      <c r="AI483" s="6">
        <v>65330</v>
      </c>
      <c r="AJ483" s="3" t="s">
        <v>8206</v>
      </c>
      <c r="AK483" t="s">
        <v>8206</v>
      </c>
      <c r="AL483" s="4">
        <f t="shared" si="146"/>
        <v>0</v>
      </c>
      <c r="AM483" s="6" t="s">
        <v>5045</v>
      </c>
      <c r="AN483" t="s">
        <v>6293</v>
      </c>
      <c r="AV483"/>
      <c r="AX483"/>
      <c r="AZ483" t="str">
        <f t="shared" si="147"/>
        <v/>
      </c>
      <c r="BA483" t="str">
        <f t="shared" si="148"/>
        <v/>
      </c>
    </row>
    <row r="484" spans="1:53" ht="13.5">
      <c r="A484" s="135" t="str">
        <f t="shared" si="131"/>
        <v/>
      </c>
      <c r="B484" s="19" t="str">
        <f t="shared" si="132"/>
        <v/>
      </c>
      <c r="C484" s="19" t="str">
        <f t="shared" si="133"/>
        <v/>
      </c>
      <c r="D484" s="19" t="str">
        <f t="shared" si="134"/>
        <v/>
      </c>
      <c r="E484" s="5" t="str">
        <f t="shared" si="137"/>
        <v/>
      </c>
      <c r="F484" s="12" t="str">
        <f t="shared" si="138"/>
        <v/>
      </c>
      <c r="K484" s="9" t="str">
        <f t="shared" si="139"/>
        <v/>
      </c>
      <c r="L484" s="6">
        <f t="shared" si="140"/>
        <v>0</v>
      </c>
      <c r="M484" s="6">
        <f t="shared" si="141"/>
        <v>0</v>
      </c>
      <c r="N484" s="94" t="str">
        <f t="shared" si="142"/>
        <v/>
      </c>
      <c r="O484" s="6"/>
      <c r="P484" s="6"/>
      <c r="Q484" s="6"/>
      <c r="R484" s="6"/>
      <c r="T484" s="136" t="str">
        <f t="shared" si="143"/>
        <v/>
      </c>
      <c r="U484" s="137" t="str">
        <f t="shared" si="144"/>
        <v/>
      </c>
      <c r="V484" s="1"/>
      <c r="Y484" s="90" t="str">
        <f t="shared" si="145"/>
        <v/>
      </c>
      <c r="AC484" s="6" t="s">
        <v>3953</v>
      </c>
      <c r="AD484" s="6" t="s">
        <v>6994</v>
      </c>
      <c r="AE484" s="158" t="s">
        <v>3744</v>
      </c>
      <c r="AF484" s="159" t="s">
        <v>8339</v>
      </c>
      <c r="AG484" s="160">
        <v>796329</v>
      </c>
      <c r="AH484" s="194" t="s">
        <v>679</v>
      </c>
      <c r="AI484" s="6">
        <v>195222</v>
      </c>
      <c r="AJ484" s="3" t="s">
        <v>8230</v>
      </c>
      <c r="AK484" t="s">
        <v>8230</v>
      </c>
      <c r="AL484" s="4">
        <f t="shared" si="146"/>
        <v>0</v>
      </c>
      <c r="AM484" s="6" t="s">
        <v>5118</v>
      </c>
      <c r="AN484" t="s">
        <v>6294</v>
      </c>
      <c r="AV484"/>
      <c r="AX484"/>
      <c r="AZ484" t="str">
        <f t="shared" si="147"/>
        <v/>
      </c>
      <c r="BA484" t="str">
        <f t="shared" si="148"/>
        <v/>
      </c>
    </row>
    <row r="485" spans="1:53" ht="13.5">
      <c r="A485" s="135" t="str">
        <f t="shared" si="131"/>
        <v/>
      </c>
      <c r="B485" s="19" t="str">
        <f t="shared" si="132"/>
        <v/>
      </c>
      <c r="C485" s="19" t="str">
        <f t="shared" si="133"/>
        <v/>
      </c>
      <c r="D485" s="19" t="str">
        <f t="shared" si="134"/>
        <v/>
      </c>
      <c r="E485" s="5" t="str">
        <f t="shared" si="137"/>
        <v/>
      </c>
      <c r="F485" s="12" t="str">
        <f t="shared" si="138"/>
        <v/>
      </c>
      <c r="K485" s="9" t="str">
        <f t="shared" si="139"/>
        <v/>
      </c>
      <c r="L485" s="6">
        <f t="shared" si="140"/>
        <v>0</v>
      </c>
      <c r="M485" s="6">
        <f t="shared" si="141"/>
        <v>0</v>
      </c>
      <c r="N485" s="94" t="str">
        <f t="shared" si="142"/>
        <v/>
      </c>
      <c r="O485" s="6"/>
      <c r="P485" s="6"/>
      <c r="Q485" s="6"/>
      <c r="R485" s="6"/>
      <c r="T485" s="136" t="str">
        <f t="shared" si="143"/>
        <v/>
      </c>
      <c r="U485" s="137" t="str">
        <f t="shared" si="144"/>
        <v/>
      </c>
      <c r="V485" s="1"/>
      <c r="Y485" s="90" t="str">
        <f t="shared" si="145"/>
        <v/>
      </c>
      <c r="AC485" s="6" t="s">
        <v>4238</v>
      </c>
      <c r="AD485" s="6" t="s">
        <v>7032</v>
      </c>
      <c r="AE485" s="158" t="s">
        <v>3745</v>
      </c>
      <c r="AF485" s="159" t="s">
        <v>8348</v>
      </c>
      <c r="AG485" s="160">
        <v>806333</v>
      </c>
      <c r="AH485" s="194" t="s">
        <v>679</v>
      </c>
      <c r="AI485" s="6" t="s">
        <v>1136</v>
      </c>
      <c r="AJ485" s="3" t="s">
        <v>8224</v>
      </c>
      <c r="AK485" t="s">
        <v>8224</v>
      </c>
      <c r="AL485" s="4">
        <f t="shared" si="146"/>
        <v>0</v>
      </c>
      <c r="AM485" s="6" t="s">
        <v>5263</v>
      </c>
      <c r="AN485" t="s">
        <v>6295</v>
      </c>
      <c r="AV485"/>
      <c r="AX485"/>
      <c r="AZ485" t="str">
        <f t="shared" ref="AZ485:AZ517" si="149">IF(ISBLANK(AW485),"",CONCATENATE("(",RIGHT(AW485,5),"-",TEXT(AX485,"h:mm;@"),")"))</f>
        <v/>
      </c>
      <c r="BA485" t="str">
        <f t="shared" si="148"/>
        <v/>
      </c>
    </row>
    <row r="486" spans="1:53" ht="13.5">
      <c r="A486" s="135" t="str">
        <f t="shared" si="131"/>
        <v/>
      </c>
      <c r="B486" s="19" t="str">
        <f t="shared" si="132"/>
        <v/>
      </c>
      <c r="C486" s="19" t="str">
        <f t="shared" si="133"/>
        <v/>
      </c>
      <c r="D486" s="19" t="str">
        <f t="shared" si="134"/>
        <v/>
      </c>
      <c r="E486" s="5" t="str">
        <f t="shared" si="137"/>
        <v/>
      </c>
      <c r="F486" s="12" t="str">
        <f t="shared" si="138"/>
        <v/>
      </c>
      <c r="K486" s="9" t="str">
        <f t="shared" si="139"/>
        <v/>
      </c>
      <c r="L486" s="6">
        <f t="shared" si="140"/>
        <v>0</v>
      </c>
      <c r="M486" s="6">
        <f t="shared" si="141"/>
        <v>0</v>
      </c>
      <c r="N486" s="94" t="str">
        <f t="shared" si="142"/>
        <v/>
      </c>
      <c r="O486" s="6"/>
      <c r="P486" s="6"/>
      <c r="Q486" s="6"/>
      <c r="R486" s="6"/>
      <c r="T486" s="136" t="str">
        <f t="shared" si="143"/>
        <v/>
      </c>
      <c r="U486" s="137" t="str">
        <f t="shared" si="144"/>
        <v/>
      </c>
      <c r="V486" s="1"/>
      <c r="Y486" s="90" t="str">
        <f t="shared" si="145"/>
        <v/>
      </c>
      <c r="AC486" s="6" t="s">
        <v>3955</v>
      </c>
      <c r="AD486" s="6" t="s">
        <v>6994</v>
      </c>
      <c r="AE486" s="158" t="s">
        <v>3746</v>
      </c>
      <c r="AF486" s="159" t="s">
        <v>8347</v>
      </c>
      <c r="AG486" s="160">
        <v>806334</v>
      </c>
      <c r="AH486" s="194" t="s">
        <v>679</v>
      </c>
      <c r="AI486" s="6">
        <v>235325</v>
      </c>
      <c r="AJ486" s="3" t="s">
        <v>8212</v>
      </c>
      <c r="AK486" t="s">
        <v>8212</v>
      </c>
      <c r="AL486" s="4">
        <f t="shared" si="146"/>
        <v>0</v>
      </c>
      <c r="AM486" s="6" t="s">
        <v>5136</v>
      </c>
      <c r="AN486" t="s">
        <v>6296</v>
      </c>
      <c r="AV486"/>
      <c r="AX486"/>
      <c r="AZ486" t="str">
        <f t="shared" si="149"/>
        <v/>
      </c>
      <c r="BA486" t="str">
        <f t="shared" si="148"/>
        <v/>
      </c>
    </row>
    <row r="487" spans="1:53" ht="13.5">
      <c r="A487" s="135" t="str">
        <f t="shared" si="131"/>
        <v/>
      </c>
      <c r="B487" s="19" t="str">
        <f t="shared" si="132"/>
        <v/>
      </c>
      <c r="C487" s="19" t="str">
        <f t="shared" si="133"/>
        <v/>
      </c>
      <c r="D487" s="19" t="str">
        <f t="shared" si="134"/>
        <v/>
      </c>
      <c r="E487" s="5" t="str">
        <f t="shared" si="137"/>
        <v/>
      </c>
      <c r="F487" s="12" t="str">
        <f t="shared" si="138"/>
        <v/>
      </c>
      <c r="K487" s="9" t="str">
        <f t="shared" si="139"/>
        <v/>
      </c>
      <c r="L487" s="6">
        <f t="shared" si="140"/>
        <v>0</v>
      </c>
      <c r="M487" s="6">
        <f t="shared" si="141"/>
        <v>0</v>
      </c>
      <c r="N487" s="94" t="str">
        <f t="shared" si="142"/>
        <v/>
      </c>
      <c r="O487" s="6"/>
      <c r="P487" s="6"/>
      <c r="Q487" s="6"/>
      <c r="R487" s="6"/>
      <c r="T487" s="136" t="str">
        <f t="shared" si="143"/>
        <v/>
      </c>
      <c r="U487" s="137" t="str">
        <f t="shared" si="144"/>
        <v/>
      </c>
      <c r="V487" s="1"/>
      <c r="Y487" s="90" t="str">
        <f t="shared" si="145"/>
        <v/>
      </c>
      <c r="AC487" s="6" t="s">
        <v>2723</v>
      </c>
      <c r="AD487" s="6" t="s">
        <v>7033</v>
      </c>
      <c r="AE487" s="158" t="s">
        <v>3748</v>
      </c>
      <c r="AF487" s="159" t="s">
        <v>8347</v>
      </c>
      <c r="AG487" s="160">
        <v>816330</v>
      </c>
      <c r="AH487" s="194" t="s">
        <v>679</v>
      </c>
      <c r="AI487" s="6">
        <v>243766</v>
      </c>
      <c r="AJ487" s="3" t="s">
        <v>8241</v>
      </c>
      <c r="AK487" t="s">
        <v>8675</v>
      </c>
      <c r="AL487" s="4">
        <f t="shared" si="146"/>
        <v>0</v>
      </c>
      <c r="AM487" s="6" t="s">
        <v>5105</v>
      </c>
      <c r="AN487" t="s">
        <v>6297</v>
      </c>
      <c r="AV487"/>
      <c r="AX487"/>
      <c r="AZ487" t="str">
        <f t="shared" si="149"/>
        <v/>
      </c>
      <c r="BA487" t="str">
        <f t="shared" si="148"/>
        <v/>
      </c>
    </row>
    <row r="488" spans="1:53" ht="13.5">
      <c r="A488" s="135" t="str">
        <f t="shared" ref="A488:A551" si="150">IF(ISNA(VLOOKUP(I488,AC:AD,2,FALSE)),"",VLOOKUP(I488,AC:AD,2,FALSE))</f>
        <v/>
      </c>
      <c r="B488" s="19" t="str">
        <f t="shared" ref="B488:B551" si="151">IF(ISNA(VLOOKUP(I488,AE:AF,2,FALSE)),"",VLOOKUP(I488,AE:AF,2,FALSE))</f>
        <v/>
      </c>
      <c r="C488" s="19" t="str">
        <f t="shared" ref="C488:C551" si="152">IF(ISNA(VLOOKUP(I488,AM:AN,2,FALSE)),"",VLOOKUP(I488,AM:AN,2,FALSE))</f>
        <v/>
      </c>
      <c r="D488" s="19" t="str">
        <f t="shared" ref="D488:D551" si="153">IF(ISNA(VLOOKUP(I488,AG:AH,2,FALSE)),"",VLOOKUP(I488,AG:AH,2,FALSE))</f>
        <v/>
      </c>
      <c r="E488" s="5" t="str">
        <f t="shared" si="137"/>
        <v/>
      </c>
      <c r="F488" s="12" t="str">
        <f t="shared" si="138"/>
        <v/>
      </c>
      <c r="K488" s="9" t="str">
        <f t="shared" si="139"/>
        <v/>
      </c>
      <c r="L488" s="6">
        <f t="shared" si="140"/>
        <v>0</v>
      </c>
      <c r="M488" s="6">
        <f t="shared" si="141"/>
        <v>0</v>
      </c>
      <c r="N488" s="94" t="str">
        <f t="shared" si="142"/>
        <v/>
      </c>
      <c r="O488" s="6"/>
      <c r="P488" s="6"/>
      <c r="Q488" s="6"/>
      <c r="R488" s="6"/>
      <c r="T488" s="136" t="str">
        <f t="shared" si="143"/>
        <v/>
      </c>
      <c r="U488" s="137" t="str">
        <f t="shared" si="144"/>
        <v/>
      </c>
      <c r="V488" s="1"/>
      <c r="Y488" s="90" t="str">
        <f t="shared" si="145"/>
        <v/>
      </c>
      <c r="AC488" s="6" t="s">
        <v>3956</v>
      </c>
      <c r="AD488" s="6" t="s">
        <v>6994</v>
      </c>
      <c r="AE488" s="158" t="s">
        <v>3749</v>
      </c>
      <c r="AF488" s="159" t="s">
        <v>8299</v>
      </c>
      <c r="AG488" s="160">
        <v>816331</v>
      </c>
      <c r="AH488" s="194" t="s">
        <v>678</v>
      </c>
      <c r="AI488" s="6">
        <v>245250</v>
      </c>
      <c r="AJ488" s="3" t="s">
        <v>8254</v>
      </c>
      <c r="AK488" t="s">
        <v>8254</v>
      </c>
      <c r="AL488" s="4">
        <f t="shared" si="146"/>
        <v>0</v>
      </c>
      <c r="AM488" s="6" t="s">
        <v>5135</v>
      </c>
      <c r="AN488" t="s">
        <v>6298</v>
      </c>
      <c r="AV488"/>
      <c r="AX488"/>
      <c r="AZ488" t="str">
        <f t="shared" si="149"/>
        <v/>
      </c>
      <c r="BA488" t="str">
        <f t="shared" si="148"/>
        <v/>
      </c>
    </row>
    <row r="489" spans="1:53" ht="13.5">
      <c r="A489" s="135" t="str">
        <f t="shared" si="150"/>
        <v/>
      </c>
      <c r="B489" s="19" t="str">
        <f t="shared" si="151"/>
        <v/>
      </c>
      <c r="C489" s="19" t="str">
        <f t="shared" si="152"/>
        <v/>
      </c>
      <c r="D489" s="19" t="str">
        <f t="shared" si="153"/>
        <v/>
      </c>
      <c r="E489" s="5" t="str">
        <f t="shared" si="137"/>
        <v/>
      </c>
      <c r="F489" s="12" t="str">
        <f t="shared" si="138"/>
        <v/>
      </c>
      <c r="K489" s="9" t="str">
        <f t="shared" si="139"/>
        <v/>
      </c>
      <c r="L489" s="6">
        <f t="shared" si="140"/>
        <v>0</v>
      </c>
      <c r="M489" s="6">
        <f t="shared" si="141"/>
        <v>0</v>
      </c>
      <c r="N489" s="94" t="str">
        <f t="shared" si="142"/>
        <v/>
      </c>
      <c r="O489" s="6"/>
      <c r="P489" s="6"/>
      <c r="Q489" s="6"/>
      <c r="R489" s="6"/>
      <c r="T489" s="136" t="str">
        <f t="shared" si="143"/>
        <v/>
      </c>
      <c r="U489" s="137" t="str">
        <f t="shared" si="144"/>
        <v/>
      </c>
      <c r="V489" s="1"/>
      <c r="Y489" s="90" t="str">
        <f t="shared" si="145"/>
        <v/>
      </c>
      <c r="AC489" s="6" t="s">
        <v>4209</v>
      </c>
      <c r="AD489" s="6" t="s">
        <v>7034</v>
      </c>
      <c r="AE489" s="158" t="s">
        <v>3750</v>
      </c>
      <c r="AF489" s="159" t="s">
        <v>8347</v>
      </c>
      <c r="AG489" s="160">
        <v>816558</v>
      </c>
      <c r="AH489" s="194" t="s">
        <v>679</v>
      </c>
      <c r="AI489" s="6">
        <v>246045</v>
      </c>
      <c r="AJ489" s="3" t="s">
        <v>8241</v>
      </c>
      <c r="AK489" t="s">
        <v>8675</v>
      </c>
      <c r="AL489" s="4">
        <f t="shared" si="146"/>
        <v>0</v>
      </c>
      <c r="AM489" s="6" t="s">
        <v>5248</v>
      </c>
      <c r="AN489" t="s">
        <v>6299</v>
      </c>
      <c r="AV489"/>
      <c r="AX489"/>
      <c r="AZ489" t="str">
        <f t="shared" si="149"/>
        <v/>
      </c>
      <c r="BA489" t="str">
        <f t="shared" si="148"/>
        <v/>
      </c>
    </row>
    <row r="490" spans="1:53" ht="13.5">
      <c r="A490" s="135" t="str">
        <f t="shared" si="150"/>
        <v/>
      </c>
      <c r="B490" s="19" t="str">
        <f t="shared" si="151"/>
        <v/>
      </c>
      <c r="C490" s="19" t="str">
        <f t="shared" si="152"/>
        <v/>
      </c>
      <c r="D490" s="19" t="str">
        <f t="shared" si="153"/>
        <v/>
      </c>
      <c r="E490" s="5" t="str">
        <f t="shared" si="137"/>
        <v/>
      </c>
      <c r="F490" s="12" t="str">
        <f t="shared" si="138"/>
        <v/>
      </c>
      <c r="K490" s="9" t="str">
        <f t="shared" si="139"/>
        <v/>
      </c>
      <c r="L490" s="6">
        <f t="shared" si="140"/>
        <v>0</v>
      </c>
      <c r="M490" s="6">
        <f t="shared" si="141"/>
        <v>0</v>
      </c>
      <c r="N490" s="94" t="str">
        <f t="shared" si="142"/>
        <v/>
      </c>
      <c r="O490" s="6"/>
      <c r="P490" s="6"/>
      <c r="Q490" s="6"/>
      <c r="R490" s="6"/>
      <c r="T490" s="136" t="str">
        <f t="shared" si="143"/>
        <v/>
      </c>
      <c r="U490" s="137" t="str">
        <f t="shared" si="144"/>
        <v/>
      </c>
      <c r="V490" s="1"/>
      <c r="Y490" s="90" t="str">
        <f t="shared" si="145"/>
        <v/>
      </c>
      <c r="AC490" s="6" t="s">
        <v>2721</v>
      </c>
      <c r="AD490" s="6" t="s">
        <v>7033</v>
      </c>
      <c r="AE490" s="158" t="s">
        <v>3751</v>
      </c>
      <c r="AF490" s="159" t="s">
        <v>8349</v>
      </c>
      <c r="AG490" s="161">
        <v>826336</v>
      </c>
      <c r="AH490" s="194" t="s">
        <v>679</v>
      </c>
      <c r="AI490" s="6">
        <v>246093</v>
      </c>
      <c r="AJ490" s="3" t="s">
        <v>8241</v>
      </c>
      <c r="AK490" t="s">
        <v>8675</v>
      </c>
      <c r="AL490" s="4">
        <f t="shared" si="146"/>
        <v>0</v>
      </c>
      <c r="AM490" s="6" t="s">
        <v>5176</v>
      </c>
      <c r="AN490" t="s">
        <v>6300</v>
      </c>
      <c r="AV490"/>
      <c r="AX490"/>
      <c r="AZ490" t="str">
        <f t="shared" si="149"/>
        <v/>
      </c>
      <c r="BA490" t="str">
        <f t="shared" si="148"/>
        <v/>
      </c>
    </row>
    <row r="491" spans="1:53" ht="13.5">
      <c r="A491" s="135" t="str">
        <f t="shared" si="150"/>
        <v/>
      </c>
      <c r="B491" s="19" t="str">
        <f t="shared" si="151"/>
        <v/>
      </c>
      <c r="C491" s="19" t="str">
        <f t="shared" si="152"/>
        <v/>
      </c>
      <c r="D491" s="19" t="str">
        <f t="shared" si="153"/>
        <v/>
      </c>
      <c r="E491" s="5" t="str">
        <f t="shared" si="137"/>
        <v/>
      </c>
      <c r="F491" s="12" t="str">
        <f t="shared" si="138"/>
        <v/>
      </c>
      <c r="K491" s="9" t="str">
        <f t="shared" si="139"/>
        <v/>
      </c>
      <c r="L491" s="6">
        <f t="shared" si="140"/>
        <v>0</v>
      </c>
      <c r="M491" s="6">
        <f t="shared" si="141"/>
        <v>0</v>
      </c>
      <c r="N491" s="94" t="str">
        <f t="shared" si="142"/>
        <v/>
      </c>
      <c r="O491" s="6"/>
      <c r="P491" s="6"/>
      <c r="Q491" s="6"/>
      <c r="R491" s="6"/>
      <c r="T491" s="136" t="str">
        <f t="shared" si="143"/>
        <v/>
      </c>
      <c r="U491" s="137" t="str">
        <f t="shared" si="144"/>
        <v/>
      </c>
      <c r="V491" s="1"/>
      <c r="Y491" s="90" t="str">
        <f t="shared" si="145"/>
        <v/>
      </c>
      <c r="AC491" s="6" t="s">
        <v>4139</v>
      </c>
      <c r="AD491" s="6" t="s">
        <v>7035</v>
      </c>
      <c r="AE491" s="158" t="s">
        <v>3752</v>
      </c>
      <c r="AF491" s="159" t="s">
        <v>8342</v>
      </c>
      <c r="AG491" s="160">
        <v>826337</v>
      </c>
      <c r="AH491" s="194" t="s">
        <v>679</v>
      </c>
      <c r="AI491" s="6">
        <v>246296</v>
      </c>
      <c r="AJ491" s="3" t="s">
        <v>8241</v>
      </c>
      <c r="AK491" t="s">
        <v>8675</v>
      </c>
      <c r="AL491" s="4">
        <f t="shared" si="146"/>
        <v>0</v>
      </c>
      <c r="AM491" s="6" t="s">
        <v>5103</v>
      </c>
      <c r="AN491" t="s">
        <v>6301</v>
      </c>
      <c r="AV491"/>
      <c r="AX491"/>
      <c r="AZ491" t="str">
        <f t="shared" si="149"/>
        <v/>
      </c>
      <c r="BA491" t="str">
        <f t="shared" si="148"/>
        <v/>
      </c>
    </row>
    <row r="492" spans="1:53" ht="13.5">
      <c r="A492" s="135" t="str">
        <f t="shared" si="150"/>
        <v/>
      </c>
      <c r="B492" s="19" t="str">
        <f t="shared" si="151"/>
        <v/>
      </c>
      <c r="C492" s="19" t="str">
        <f t="shared" si="152"/>
        <v/>
      </c>
      <c r="D492" s="19" t="str">
        <f t="shared" si="153"/>
        <v/>
      </c>
      <c r="E492" s="5" t="str">
        <f t="shared" si="137"/>
        <v/>
      </c>
      <c r="F492" s="12" t="str">
        <f t="shared" si="138"/>
        <v/>
      </c>
      <c r="K492" s="9" t="str">
        <f t="shared" si="139"/>
        <v/>
      </c>
      <c r="L492" s="6">
        <f t="shared" si="140"/>
        <v>0</v>
      </c>
      <c r="M492" s="6">
        <f t="shared" si="141"/>
        <v>0</v>
      </c>
      <c r="N492" s="94" t="str">
        <f t="shared" si="142"/>
        <v/>
      </c>
      <c r="O492" s="6"/>
      <c r="P492" s="6"/>
      <c r="Q492" s="6"/>
      <c r="R492" s="6"/>
      <c r="T492" s="136" t="str">
        <f t="shared" si="143"/>
        <v/>
      </c>
      <c r="U492" s="137" t="str">
        <f t="shared" si="144"/>
        <v/>
      </c>
      <c r="V492" s="1"/>
      <c r="Y492" s="90" t="str">
        <f t="shared" si="145"/>
        <v/>
      </c>
      <c r="AC492" s="6" t="s">
        <v>3957</v>
      </c>
      <c r="AD492" s="6" t="s">
        <v>6994</v>
      </c>
      <c r="AE492" s="158" t="s">
        <v>3753</v>
      </c>
      <c r="AF492" s="159" t="s">
        <v>8299</v>
      </c>
      <c r="AG492" s="160">
        <v>826339</v>
      </c>
      <c r="AH492" s="194" t="s">
        <v>1314</v>
      </c>
      <c r="AI492" s="6">
        <v>246832</v>
      </c>
      <c r="AJ492" s="3" t="s">
        <v>8241</v>
      </c>
      <c r="AK492" t="s">
        <v>8675</v>
      </c>
      <c r="AL492" s="4">
        <f t="shared" si="146"/>
        <v>0</v>
      </c>
      <c r="AM492" s="6" t="s">
        <v>5266</v>
      </c>
      <c r="AN492" t="s">
        <v>6302</v>
      </c>
      <c r="AV492"/>
      <c r="AX492"/>
      <c r="AZ492" t="str">
        <f t="shared" si="149"/>
        <v/>
      </c>
      <c r="BA492" t="str">
        <f t="shared" si="148"/>
        <v/>
      </c>
    </row>
    <row r="493" spans="1:53" ht="13.5">
      <c r="A493" s="135" t="str">
        <f t="shared" si="150"/>
        <v/>
      </c>
      <c r="B493" s="19" t="str">
        <f t="shared" si="151"/>
        <v/>
      </c>
      <c r="C493" s="19" t="str">
        <f t="shared" si="152"/>
        <v/>
      </c>
      <c r="D493" s="19" t="str">
        <f t="shared" si="153"/>
        <v/>
      </c>
      <c r="E493" s="5" t="str">
        <f t="shared" si="137"/>
        <v/>
      </c>
      <c r="F493" s="12" t="str">
        <f t="shared" si="138"/>
        <v/>
      </c>
      <c r="K493" s="9" t="str">
        <f t="shared" si="139"/>
        <v/>
      </c>
      <c r="L493" s="6">
        <f t="shared" si="140"/>
        <v>0</v>
      </c>
      <c r="M493" s="6">
        <f t="shared" si="141"/>
        <v>0</v>
      </c>
      <c r="N493" s="94" t="str">
        <f t="shared" si="142"/>
        <v/>
      </c>
      <c r="O493" s="6"/>
      <c r="P493" s="6"/>
      <c r="Q493" s="6"/>
      <c r="R493" s="6"/>
      <c r="T493" s="136" t="str">
        <f t="shared" si="143"/>
        <v/>
      </c>
      <c r="U493" s="137" t="str">
        <f t="shared" si="144"/>
        <v/>
      </c>
      <c r="V493" s="1"/>
      <c r="Y493" s="90" t="str">
        <f t="shared" si="145"/>
        <v/>
      </c>
      <c r="AC493" s="6" t="s">
        <v>2722</v>
      </c>
      <c r="AD493" s="6" t="s">
        <v>7033</v>
      </c>
      <c r="AE493" s="158" t="s">
        <v>3754</v>
      </c>
      <c r="AF493" s="159" t="s">
        <v>8350</v>
      </c>
      <c r="AG493" s="160">
        <v>826341</v>
      </c>
      <c r="AH493" s="194" t="s">
        <v>1314</v>
      </c>
      <c r="AI493" s="6">
        <v>247501</v>
      </c>
      <c r="AJ493" s="3" t="s">
        <v>8255</v>
      </c>
      <c r="AK493" t="s">
        <v>8255</v>
      </c>
      <c r="AL493" s="4">
        <f t="shared" si="146"/>
        <v>0</v>
      </c>
      <c r="AM493" s="6" t="s">
        <v>5036</v>
      </c>
      <c r="AN493" t="s">
        <v>6303</v>
      </c>
      <c r="AV493"/>
      <c r="AX493"/>
      <c r="AZ493" t="str">
        <f t="shared" si="149"/>
        <v/>
      </c>
      <c r="BA493" t="str">
        <f t="shared" si="148"/>
        <v/>
      </c>
    </row>
    <row r="494" spans="1:53" ht="13.5">
      <c r="A494" s="135" t="str">
        <f t="shared" si="150"/>
        <v/>
      </c>
      <c r="B494" s="19" t="str">
        <f t="shared" si="151"/>
        <v/>
      </c>
      <c r="C494" s="19" t="str">
        <f t="shared" si="152"/>
        <v/>
      </c>
      <c r="D494" s="19" t="str">
        <f t="shared" si="153"/>
        <v/>
      </c>
      <c r="E494" s="5" t="str">
        <f t="shared" si="137"/>
        <v/>
      </c>
      <c r="F494" s="12" t="str">
        <f t="shared" si="138"/>
        <v/>
      </c>
      <c r="K494" s="9" t="str">
        <f t="shared" si="139"/>
        <v/>
      </c>
      <c r="L494" s="6">
        <f t="shared" si="140"/>
        <v>0</v>
      </c>
      <c r="M494" s="6">
        <f t="shared" si="141"/>
        <v>0</v>
      </c>
      <c r="N494" s="94" t="str">
        <f t="shared" si="142"/>
        <v/>
      </c>
      <c r="O494" s="6"/>
      <c r="P494" s="6"/>
      <c r="Q494" s="6"/>
      <c r="R494" s="6"/>
      <c r="T494" s="136" t="str">
        <f t="shared" si="143"/>
        <v/>
      </c>
      <c r="U494" s="137" t="str">
        <f t="shared" si="144"/>
        <v/>
      </c>
      <c r="V494" s="1"/>
      <c r="Y494" s="90" t="str">
        <f t="shared" si="145"/>
        <v/>
      </c>
      <c r="AC494" s="6" t="s">
        <v>2686</v>
      </c>
      <c r="AD494" s="6" t="s">
        <v>7036</v>
      </c>
      <c r="AE494" s="158" t="s">
        <v>3755</v>
      </c>
      <c r="AF494" s="159" t="s">
        <v>8351</v>
      </c>
      <c r="AG494" s="160">
        <v>826342</v>
      </c>
      <c r="AH494" s="194" t="s">
        <v>1314</v>
      </c>
      <c r="AI494" s="6">
        <v>295292</v>
      </c>
      <c r="AJ494" s="3" t="s">
        <v>8216</v>
      </c>
      <c r="AK494" t="s">
        <v>8216</v>
      </c>
      <c r="AL494" s="4">
        <f t="shared" si="146"/>
        <v>0</v>
      </c>
      <c r="AM494" s="6" t="s">
        <v>5163</v>
      </c>
      <c r="AN494" t="s">
        <v>6304</v>
      </c>
      <c r="AV494"/>
      <c r="AX494"/>
      <c r="AZ494" t="str">
        <f t="shared" si="149"/>
        <v/>
      </c>
      <c r="BA494" t="str">
        <f t="shared" si="148"/>
        <v/>
      </c>
    </row>
    <row r="495" spans="1:53" ht="13.5">
      <c r="A495" s="135" t="str">
        <f t="shared" si="150"/>
        <v/>
      </c>
      <c r="B495" s="19" t="str">
        <f t="shared" si="151"/>
        <v/>
      </c>
      <c r="C495" s="19" t="str">
        <f t="shared" si="152"/>
        <v/>
      </c>
      <c r="D495" s="19" t="str">
        <f t="shared" si="153"/>
        <v/>
      </c>
      <c r="E495" s="5" t="str">
        <f t="shared" si="137"/>
        <v/>
      </c>
      <c r="F495" s="12" t="str">
        <f t="shared" si="138"/>
        <v/>
      </c>
      <c r="K495" s="9" t="str">
        <f t="shared" si="139"/>
        <v/>
      </c>
      <c r="L495" s="6">
        <f t="shared" si="140"/>
        <v>0</v>
      </c>
      <c r="M495" s="6">
        <f t="shared" si="141"/>
        <v>0</v>
      </c>
      <c r="N495" s="94" t="str">
        <f t="shared" si="142"/>
        <v/>
      </c>
      <c r="O495" s="6"/>
      <c r="P495" s="6"/>
      <c r="Q495" s="6"/>
      <c r="R495" s="6"/>
      <c r="T495" s="136" t="str">
        <f t="shared" si="143"/>
        <v/>
      </c>
      <c r="U495" s="137" t="str">
        <f t="shared" si="144"/>
        <v/>
      </c>
      <c r="V495" s="1"/>
      <c r="Y495" s="90" t="str">
        <f t="shared" si="145"/>
        <v/>
      </c>
      <c r="AC495" s="6">
        <v>796326</v>
      </c>
      <c r="AD495" s="6" t="s">
        <v>6999</v>
      </c>
      <c r="AE495" s="158" t="s">
        <v>3756</v>
      </c>
      <c r="AF495" s="159" t="s">
        <v>8342</v>
      </c>
      <c r="AG495" s="160">
        <v>826343</v>
      </c>
      <c r="AH495" s="194" t="s">
        <v>679</v>
      </c>
      <c r="AI495" s="6">
        <v>295294</v>
      </c>
      <c r="AJ495" s="3" t="s">
        <v>8225</v>
      </c>
      <c r="AK495" t="s">
        <v>8225</v>
      </c>
      <c r="AL495" s="4">
        <f t="shared" si="146"/>
        <v>0</v>
      </c>
      <c r="AM495" s="6" t="s">
        <v>5098</v>
      </c>
      <c r="AN495" t="s">
        <v>6305</v>
      </c>
      <c r="AV495"/>
      <c r="AX495"/>
      <c r="AZ495" t="str">
        <f t="shared" si="149"/>
        <v/>
      </c>
      <c r="BA495" t="str">
        <f t="shared" si="148"/>
        <v/>
      </c>
    </row>
    <row r="496" spans="1:53" ht="13.5">
      <c r="A496" s="135" t="str">
        <f t="shared" si="150"/>
        <v/>
      </c>
      <c r="B496" s="19" t="str">
        <f t="shared" si="151"/>
        <v/>
      </c>
      <c r="C496" s="19" t="str">
        <f t="shared" si="152"/>
        <v/>
      </c>
      <c r="D496" s="19" t="str">
        <f t="shared" si="153"/>
        <v/>
      </c>
      <c r="E496" s="5" t="str">
        <f t="shared" si="137"/>
        <v/>
      </c>
      <c r="F496" s="12" t="str">
        <f t="shared" si="138"/>
        <v/>
      </c>
      <c r="K496" s="9" t="str">
        <f t="shared" si="139"/>
        <v/>
      </c>
      <c r="L496" s="6">
        <f t="shared" si="140"/>
        <v>0</v>
      </c>
      <c r="M496" s="6">
        <f t="shared" si="141"/>
        <v>0</v>
      </c>
      <c r="N496" s="94" t="str">
        <f t="shared" si="142"/>
        <v/>
      </c>
      <c r="O496" s="6"/>
      <c r="P496" s="6"/>
      <c r="Q496" s="6"/>
      <c r="R496" s="6"/>
      <c r="T496" s="136" t="str">
        <f t="shared" si="143"/>
        <v/>
      </c>
      <c r="U496" s="137" t="str">
        <f t="shared" si="144"/>
        <v/>
      </c>
      <c r="V496" s="1"/>
      <c r="Y496" s="90" t="str">
        <f t="shared" si="145"/>
        <v/>
      </c>
      <c r="AC496" s="6" t="s">
        <v>2724</v>
      </c>
      <c r="AD496" s="6" t="s">
        <v>7033</v>
      </c>
      <c r="AE496" s="158" t="s">
        <v>4321</v>
      </c>
      <c r="AF496" s="159" t="s">
        <v>8296</v>
      </c>
      <c r="AG496" s="160">
        <v>826344</v>
      </c>
      <c r="AH496" s="194" t="s">
        <v>1314</v>
      </c>
      <c r="AI496" s="6" t="s">
        <v>2086</v>
      </c>
      <c r="AJ496" s="3" t="s">
        <v>8235</v>
      </c>
      <c r="AK496" t="s">
        <v>8672</v>
      </c>
      <c r="AL496" s="4">
        <f t="shared" si="146"/>
        <v>0</v>
      </c>
      <c r="AM496" s="6" t="s">
        <v>5159</v>
      </c>
      <c r="AN496" t="s">
        <v>6306</v>
      </c>
      <c r="AV496"/>
      <c r="AX496"/>
      <c r="AZ496" t="str">
        <f t="shared" si="149"/>
        <v/>
      </c>
      <c r="BA496" t="str">
        <f t="shared" si="148"/>
        <v/>
      </c>
    </row>
    <row r="497" spans="1:53" ht="13.5">
      <c r="A497" s="135" t="str">
        <f t="shared" si="150"/>
        <v/>
      </c>
      <c r="B497" s="19" t="str">
        <f t="shared" si="151"/>
        <v/>
      </c>
      <c r="C497" s="19" t="str">
        <f t="shared" si="152"/>
        <v/>
      </c>
      <c r="D497" s="19" t="str">
        <f t="shared" si="153"/>
        <v/>
      </c>
      <c r="E497" s="5" t="str">
        <f t="shared" si="137"/>
        <v/>
      </c>
      <c r="F497" s="12" t="str">
        <f t="shared" si="138"/>
        <v/>
      </c>
      <c r="K497" s="9" t="str">
        <f t="shared" si="139"/>
        <v/>
      </c>
      <c r="L497" s="6">
        <f t="shared" si="140"/>
        <v>0</v>
      </c>
      <c r="M497" s="6">
        <f t="shared" si="141"/>
        <v>0</v>
      </c>
      <c r="N497" s="94" t="str">
        <f t="shared" si="142"/>
        <v/>
      </c>
      <c r="O497" s="6"/>
      <c r="P497" s="6"/>
      <c r="Q497" s="6"/>
      <c r="R497" s="6"/>
      <c r="T497" s="136" t="str">
        <f t="shared" si="143"/>
        <v/>
      </c>
      <c r="U497" s="137" t="str">
        <f t="shared" si="144"/>
        <v/>
      </c>
      <c r="V497" s="1"/>
      <c r="Y497" s="90" t="str">
        <f t="shared" si="145"/>
        <v/>
      </c>
      <c r="AC497" s="6">
        <v>105578</v>
      </c>
      <c r="AD497" s="6" t="s">
        <v>7016</v>
      </c>
      <c r="AE497" s="158" t="s">
        <v>3758</v>
      </c>
      <c r="AF497" s="159" t="s">
        <v>8299</v>
      </c>
      <c r="AG497" s="160">
        <v>826345</v>
      </c>
      <c r="AH497" s="194" t="s">
        <v>1314</v>
      </c>
      <c r="AI497" s="6" t="s">
        <v>1150</v>
      </c>
      <c r="AJ497" s="3" t="s">
        <v>8239</v>
      </c>
      <c r="AK497" t="s">
        <v>8674</v>
      </c>
      <c r="AL497" s="4">
        <f t="shared" si="146"/>
        <v>0</v>
      </c>
      <c r="AM497" s="6" t="s">
        <v>5241</v>
      </c>
      <c r="AN497" t="s">
        <v>6307</v>
      </c>
      <c r="AV497"/>
      <c r="AX497"/>
      <c r="AZ497" t="str">
        <f t="shared" si="149"/>
        <v/>
      </c>
      <c r="BA497" t="str">
        <f t="shared" si="148"/>
        <v/>
      </c>
    </row>
    <row r="498" spans="1:53" ht="13.5">
      <c r="A498" s="135" t="str">
        <f t="shared" si="150"/>
        <v/>
      </c>
      <c r="B498" s="19" t="str">
        <f t="shared" si="151"/>
        <v/>
      </c>
      <c r="C498" s="19" t="str">
        <f t="shared" si="152"/>
        <v/>
      </c>
      <c r="D498" s="19" t="str">
        <f t="shared" si="153"/>
        <v/>
      </c>
      <c r="E498" s="5" t="str">
        <f t="shared" si="137"/>
        <v/>
      </c>
      <c r="F498" s="12" t="str">
        <f t="shared" si="138"/>
        <v/>
      </c>
      <c r="K498" s="9" t="str">
        <f t="shared" si="139"/>
        <v/>
      </c>
      <c r="L498" s="6">
        <f t="shared" si="140"/>
        <v>0</v>
      </c>
      <c r="M498" s="6">
        <f t="shared" si="141"/>
        <v>0</v>
      </c>
      <c r="N498" s="94" t="str">
        <f t="shared" si="142"/>
        <v/>
      </c>
      <c r="O498" s="6"/>
      <c r="P498" s="6"/>
      <c r="Q498" s="6"/>
      <c r="R498" s="6"/>
      <c r="T498" s="136" t="str">
        <f t="shared" si="143"/>
        <v/>
      </c>
      <c r="U498" s="137" t="str">
        <f t="shared" si="144"/>
        <v/>
      </c>
      <c r="V498" s="1"/>
      <c r="Y498" s="90" t="str">
        <f t="shared" si="145"/>
        <v/>
      </c>
      <c r="AC498" s="6">
        <v>886403</v>
      </c>
      <c r="AD498" s="6" t="s">
        <v>7037</v>
      </c>
      <c r="AE498" s="158">
        <v>215582</v>
      </c>
      <c r="AF498" s="159" t="s">
        <v>8331</v>
      </c>
      <c r="AG498" s="160">
        <v>836348</v>
      </c>
      <c r="AH498" s="194" t="s">
        <v>679</v>
      </c>
      <c r="AI498" s="6" t="s">
        <v>2101</v>
      </c>
      <c r="AJ498" s="3" t="s">
        <v>8235</v>
      </c>
      <c r="AK498" t="s">
        <v>8672</v>
      </c>
      <c r="AL498" s="4">
        <f t="shared" si="146"/>
        <v>0</v>
      </c>
      <c r="AM498" s="6" t="s">
        <v>5083</v>
      </c>
      <c r="AN498" t="s">
        <v>6308</v>
      </c>
      <c r="AV498"/>
      <c r="AX498"/>
      <c r="AZ498" t="str">
        <f t="shared" si="149"/>
        <v/>
      </c>
      <c r="BA498" t="str">
        <f t="shared" si="148"/>
        <v/>
      </c>
    </row>
    <row r="499" spans="1:53" ht="13.5">
      <c r="A499" s="135" t="str">
        <f t="shared" si="150"/>
        <v/>
      </c>
      <c r="B499" s="19" t="str">
        <f t="shared" si="151"/>
        <v/>
      </c>
      <c r="C499" s="19" t="str">
        <f t="shared" si="152"/>
        <v/>
      </c>
      <c r="D499" s="19" t="str">
        <f t="shared" si="153"/>
        <v/>
      </c>
      <c r="E499" s="5" t="str">
        <f t="shared" si="137"/>
        <v/>
      </c>
      <c r="F499" s="12" t="str">
        <f t="shared" si="138"/>
        <v/>
      </c>
      <c r="K499" s="9" t="str">
        <f t="shared" si="139"/>
        <v/>
      </c>
      <c r="L499" s="6">
        <f t="shared" si="140"/>
        <v>0</v>
      </c>
      <c r="M499" s="6">
        <f t="shared" si="141"/>
        <v>0</v>
      </c>
      <c r="N499" s="94" t="str">
        <f t="shared" si="142"/>
        <v/>
      </c>
      <c r="O499" s="6"/>
      <c r="P499" s="6"/>
      <c r="Q499" s="6"/>
      <c r="R499" s="6"/>
      <c r="T499" s="136" t="str">
        <f t="shared" si="143"/>
        <v/>
      </c>
      <c r="U499" s="137" t="str">
        <f t="shared" si="144"/>
        <v/>
      </c>
      <c r="V499" s="1"/>
      <c r="Y499" s="90" t="str">
        <f t="shared" si="145"/>
        <v/>
      </c>
      <c r="AC499" s="6" t="s">
        <v>4133</v>
      </c>
      <c r="AD499" s="6" t="s">
        <v>7038</v>
      </c>
      <c r="AE499" s="158" t="s">
        <v>3760</v>
      </c>
      <c r="AF499" s="159" t="s">
        <v>8299</v>
      </c>
      <c r="AG499" s="160">
        <v>836349</v>
      </c>
      <c r="AH499" s="194" t="s">
        <v>679</v>
      </c>
      <c r="AI499" s="6" t="s">
        <v>2104</v>
      </c>
      <c r="AJ499" s="3" t="s">
        <v>8235</v>
      </c>
      <c r="AK499" t="s">
        <v>8672</v>
      </c>
      <c r="AL499" s="4">
        <f t="shared" si="146"/>
        <v>0</v>
      </c>
      <c r="AM499" s="6" t="s">
        <v>5144</v>
      </c>
      <c r="AN499" t="s">
        <v>6309</v>
      </c>
      <c r="AV499"/>
      <c r="AX499"/>
      <c r="AZ499" t="str">
        <f t="shared" si="149"/>
        <v/>
      </c>
      <c r="BA499" t="str">
        <f t="shared" si="148"/>
        <v/>
      </c>
    </row>
    <row r="500" spans="1:53" ht="13.5">
      <c r="A500" s="135" t="str">
        <f t="shared" si="150"/>
        <v/>
      </c>
      <c r="B500" s="19" t="str">
        <f t="shared" si="151"/>
        <v/>
      </c>
      <c r="C500" s="19" t="str">
        <f t="shared" si="152"/>
        <v/>
      </c>
      <c r="D500" s="19" t="str">
        <f t="shared" si="153"/>
        <v/>
      </c>
      <c r="E500" s="5" t="str">
        <f t="shared" si="137"/>
        <v/>
      </c>
      <c r="F500" s="12" t="str">
        <f t="shared" si="138"/>
        <v/>
      </c>
      <c r="K500" s="9" t="str">
        <f t="shared" si="139"/>
        <v/>
      </c>
      <c r="L500" s="6">
        <f t="shared" si="140"/>
        <v>0</v>
      </c>
      <c r="M500" s="6">
        <f t="shared" si="141"/>
        <v>0</v>
      </c>
      <c r="N500" s="94" t="str">
        <f t="shared" si="142"/>
        <v/>
      </c>
      <c r="O500" s="6"/>
      <c r="P500" s="6"/>
      <c r="Q500" s="6"/>
      <c r="R500" s="6"/>
      <c r="T500" s="136" t="str">
        <f t="shared" si="143"/>
        <v/>
      </c>
      <c r="U500" s="137" t="str">
        <f t="shared" si="144"/>
        <v/>
      </c>
      <c r="V500" s="1"/>
      <c r="Y500" s="90" t="str">
        <f t="shared" si="145"/>
        <v/>
      </c>
      <c r="AC500" s="6" t="s">
        <v>3958</v>
      </c>
      <c r="AD500" s="6" t="s">
        <v>7039</v>
      </c>
      <c r="AE500" s="158" t="s">
        <v>3645</v>
      </c>
      <c r="AF500" s="159" t="s">
        <v>8340</v>
      </c>
      <c r="AG500" s="160">
        <v>836350</v>
      </c>
      <c r="AH500" s="194" t="s">
        <v>679</v>
      </c>
      <c r="AI500" s="6" t="s">
        <v>2114</v>
      </c>
      <c r="AJ500" s="3" t="s">
        <v>8227</v>
      </c>
      <c r="AK500" t="s">
        <v>8227</v>
      </c>
      <c r="AL500" s="4">
        <f t="shared" si="146"/>
        <v>0</v>
      </c>
      <c r="AM500" s="6" t="s">
        <v>5033</v>
      </c>
      <c r="AN500" t="s">
        <v>6310</v>
      </c>
      <c r="AV500"/>
      <c r="AX500"/>
      <c r="AZ500" t="str">
        <f t="shared" si="149"/>
        <v/>
      </c>
      <c r="BA500" t="str">
        <f t="shared" si="148"/>
        <v/>
      </c>
    </row>
    <row r="501" spans="1:53" ht="13.5">
      <c r="A501" s="135" t="str">
        <f t="shared" si="150"/>
        <v/>
      </c>
      <c r="B501" s="19" t="str">
        <f t="shared" si="151"/>
        <v/>
      </c>
      <c r="C501" s="19" t="str">
        <f t="shared" si="152"/>
        <v/>
      </c>
      <c r="D501" s="19" t="str">
        <f t="shared" si="153"/>
        <v/>
      </c>
      <c r="E501" s="5" t="str">
        <f t="shared" si="137"/>
        <v/>
      </c>
      <c r="F501" s="12" t="str">
        <f t="shared" si="138"/>
        <v/>
      </c>
      <c r="K501" s="9" t="str">
        <f t="shared" si="139"/>
        <v/>
      </c>
      <c r="L501" s="6">
        <f t="shared" ref="L501:L517" si="154">IF(ISNA(VLOOKUP(I501,$S$5:$S$900,1,FALSE)),I501,"")</f>
        <v>0</v>
      </c>
      <c r="M501" s="6">
        <f t="shared" ref="M501:M517" si="155">IF(OR(LEFT(L501,3)="IB0",LEFT(L501,3)="ME0",LEFT(L501,3)="PS0",LEFT(L501,3)="RY0",LEFT(L501,3)="BU0",LEFT(L501,3)="IS0",LEFT(L501,3)="KA0",LEFT(L501,3)="FB0",LEFT(L501,3)="MB0",LEFT(L501,3)="LH0",LEFT(L501,3)="MU0",LEFT(L501,3)="AB0",),"",L501)</f>
        <v>0</v>
      </c>
      <c r="N501" s="94" t="str">
        <f t="shared" ref="N501:N517" si="156">IF(I501="","",(IF(ISNA(VLOOKUP(M501,$AJ$4:$AK$4000,2,FALSE)),M501,VLOOKUP(M501,$AJ$4:$AK$4000,2,FALSE))))</f>
        <v/>
      </c>
      <c r="O501" s="6"/>
      <c r="P501" s="6"/>
      <c r="Q501" s="6"/>
      <c r="R501" s="6"/>
      <c r="T501" s="136" t="str">
        <f t="shared" si="143"/>
        <v/>
      </c>
      <c r="U501" s="137" t="str">
        <f t="shared" si="144"/>
        <v/>
      </c>
      <c r="V501" s="1"/>
      <c r="Y501" s="90" t="str">
        <f t="shared" si="145"/>
        <v/>
      </c>
      <c r="AC501" s="6" t="s">
        <v>4482</v>
      </c>
      <c r="AD501" s="6" t="s">
        <v>6994</v>
      </c>
      <c r="AE501" s="158">
        <v>293698</v>
      </c>
      <c r="AF501" s="159" t="s">
        <v>8352</v>
      </c>
      <c r="AG501" s="160">
        <v>846351</v>
      </c>
      <c r="AH501" s="194" t="s">
        <v>679</v>
      </c>
      <c r="AI501" s="6" t="s">
        <v>1732</v>
      </c>
      <c r="AJ501" s="3" t="s">
        <v>8238</v>
      </c>
      <c r="AK501" t="s">
        <v>8673</v>
      </c>
      <c r="AL501" s="29"/>
      <c r="AM501" s="6" t="s">
        <v>5138</v>
      </c>
      <c r="AN501" t="s">
        <v>6311</v>
      </c>
      <c r="AV501"/>
      <c r="AX501"/>
      <c r="AZ501" t="str">
        <f t="shared" si="149"/>
        <v/>
      </c>
      <c r="BA501" t="str">
        <f t="shared" si="148"/>
        <v/>
      </c>
    </row>
    <row r="502" spans="1:53" ht="13.5">
      <c r="A502" s="135" t="str">
        <f t="shared" si="150"/>
        <v/>
      </c>
      <c r="B502" s="19" t="str">
        <f t="shared" si="151"/>
        <v/>
      </c>
      <c r="C502" s="19" t="str">
        <f t="shared" si="152"/>
        <v/>
      </c>
      <c r="D502" s="19" t="str">
        <f t="shared" si="153"/>
        <v/>
      </c>
      <c r="E502" s="5" t="str">
        <f t="shared" si="137"/>
        <v/>
      </c>
      <c r="F502" s="12" t="str">
        <f t="shared" si="138"/>
        <v/>
      </c>
      <c r="K502" s="9" t="str">
        <f t="shared" si="139"/>
        <v/>
      </c>
      <c r="L502" s="6">
        <f t="shared" si="154"/>
        <v>0</v>
      </c>
      <c r="M502" s="6">
        <f t="shared" si="155"/>
        <v>0</v>
      </c>
      <c r="N502" s="94" t="str">
        <f t="shared" si="156"/>
        <v/>
      </c>
      <c r="O502" s="6"/>
      <c r="P502" s="6"/>
      <c r="Q502" s="6"/>
      <c r="R502" s="6"/>
      <c r="T502" s="136" t="str">
        <f t="shared" si="143"/>
        <v/>
      </c>
      <c r="U502" s="137" t="str">
        <f t="shared" si="144"/>
        <v/>
      </c>
      <c r="V502" s="1"/>
      <c r="Y502" s="90" t="str">
        <f t="shared" si="145"/>
        <v/>
      </c>
      <c r="AC502" s="6">
        <v>375639</v>
      </c>
      <c r="AD502" s="6" t="s">
        <v>7026</v>
      </c>
      <c r="AE502" s="158" t="s">
        <v>3647</v>
      </c>
      <c r="AF502" s="159" t="s">
        <v>8311</v>
      </c>
      <c r="AG502" s="160">
        <v>846352</v>
      </c>
      <c r="AH502" s="194" t="s">
        <v>679</v>
      </c>
      <c r="AI502" s="6" t="s">
        <v>1487</v>
      </c>
      <c r="AJ502" s="3" t="s">
        <v>8224</v>
      </c>
      <c r="AK502" t="s">
        <v>8224</v>
      </c>
      <c r="AL502" s="29"/>
      <c r="AM502" s="6" t="s">
        <v>5252</v>
      </c>
      <c r="AN502" t="s">
        <v>6312</v>
      </c>
      <c r="AV502"/>
      <c r="AX502"/>
      <c r="AZ502" t="str">
        <f t="shared" si="149"/>
        <v/>
      </c>
      <c r="BA502" t="str">
        <f t="shared" si="148"/>
        <v/>
      </c>
    </row>
    <row r="503" spans="1:53" ht="13.5">
      <c r="A503" s="135" t="str">
        <f t="shared" si="150"/>
        <v/>
      </c>
      <c r="B503" s="19" t="str">
        <f t="shared" si="151"/>
        <v/>
      </c>
      <c r="C503" s="19" t="str">
        <f t="shared" si="152"/>
        <v/>
      </c>
      <c r="D503" s="19" t="str">
        <f t="shared" si="153"/>
        <v/>
      </c>
      <c r="E503" s="5" t="str">
        <f t="shared" si="137"/>
        <v/>
      </c>
      <c r="F503" s="12" t="str">
        <f t="shared" si="138"/>
        <v/>
      </c>
      <c r="K503" s="9" t="str">
        <f t="shared" si="139"/>
        <v/>
      </c>
      <c r="L503" s="6">
        <f t="shared" si="154"/>
        <v>0</v>
      </c>
      <c r="M503" s="6">
        <f t="shared" si="155"/>
        <v>0</v>
      </c>
      <c r="N503" s="94" t="str">
        <f t="shared" si="156"/>
        <v/>
      </c>
      <c r="O503" s="6"/>
      <c r="P503" s="6"/>
      <c r="Q503" s="6"/>
      <c r="R503" s="6"/>
      <c r="T503" s="136" t="str">
        <f t="shared" si="143"/>
        <v/>
      </c>
      <c r="U503" s="137" t="str">
        <f t="shared" si="144"/>
        <v/>
      </c>
      <c r="V503" s="1"/>
      <c r="Y503" s="90" t="str">
        <f t="shared" si="145"/>
        <v/>
      </c>
      <c r="AC503" s="6" t="s">
        <v>3842</v>
      </c>
      <c r="AD503" s="6" t="s">
        <v>7040</v>
      </c>
      <c r="AE503" s="158" t="s">
        <v>58</v>
      </c>
      <c r="AF503" s="159" t="s">
        <v>8296</v>
      </c>
      <c r="AG503" s="160">
        <v>856354</v>
      </c>
      <c r="AH503" s="194" t="s">
        <v>1314</v>
      </c>
      <c r="AI503" s="6">
        <v>315319</v>
      </c>
      <c r="AJ503" s="3" t="s">
        <v>8199</v>
      </c>
      <c r="AK503" t="s">
        <v>8199</v>
      </c>
      <c r="AL503" s="29"/>
      <c r="AM503" s="6" t="s">
        <v>5101</v>
      </c>
      <c r="AN503" t="s">
        <v>6313</v>
      </c>
      <c r="AV503"/>
      <c r="AX503"/>
      <c r="AZ503" t="str">
        <f t="shared" si="149"/>
        <v/>
      </c>
      <c r="BA503" t="str">
        <f t="shared" si="148"/>
        <v/>
      </c>
    </row>
    <row r="504" spans="1:53" ht="13.5">
      <c r="A504" s="135" t="str">
        <f t="shared" si="150"/>
        <v/>
      </c>
      <c r="B504" s="19" t="str">
        <f t="shared" si="151"/>
        <v/>
      </c>
      <c r="C504" s="19" t="str">
        <f t="shared" si="152"/>
        <v/>
      </c>
      <c r="D504" s="19" t="str">
        <f t="shared" si="153"/>
        <v/>
      </c>
      <c r="E504" s="5" t="str">
        <f t="shared" si="137"/>
        <v/>
      </c>
      <c r="F504" s="12" t="str">
        <f t="shared" si="138"/>
        <v/>
      </c>
      <c r="K504" s="9" t="str">
        <f t="shared" si="139"/>
        <v/>
      </c>
      <c r="L504" s="6">
        <f t="shared" si="154"/>
        <v>0</v>
      </c>
      <c r="M504" s="6">
        <f t="shared" si="155"/>
        <v>0</v>
      </c>
      <c r="N504" s="94" t="str">
        <f t="shared" si="156"/>
        <v/>
      </c>
      <c r="O504" s="6"/>
      <c r="P504" s="6"/>
      <c r="Q504" s="6"/>
      <c r="R504" s="6"/>
      <c r="T504" s="136" t="str">
        <f t="shared" si="143"/>
        <v/>
      </c>
      <c r="U504" s="137" t="str">
        <f t="shared" si="144"/>
        <v/>
      </c>
      <c r="V504" s="1"/>
      <c r="Y504" s="90" t="str">
        <f t="shared" si="145"/>
        <v/>
      </c>
      <c r="AC504" s="6" t="s">
        <v>2687</v>
      </c>
      <c r="AD504" s="6" t="s">
        <v>7036</v>
      </c>
      <c r="AE504" s="158" t="s">
        <v>59</v>
      </c>
      <c r="AF504" s="159" t="s">
        <v>8299</v>
      </c>
      <c r="AG504" s="160">
        <v>856355</v>
      </c>
      <c r="AH504" s="194" t="s">
        <v>679</v>
      </c>
      <c r="AI504" s="6">
        <v>315320</v>
      </c>
      <c r="AJ504" s="3" t="s">
        <v>8219</v>
      </c>
      <c r="AK504" t="s">
        <v>8219</v>
      </c>
      <c r="AL504" s="29"/>
      <c r="AM504" s="6" t="s">
        <v>5064</v>
      </c>
      <c r="AN504" t="s">
        <v>6314</v>
      </c>
      <c r="AV504"/>
      <c r="AX504"/>
      <c r="AZ504" t="str">
        <f t="shared" si="149"/>
        <v/>
      </c>
      <c r="BA504" t="str">
        <f t="shared" si="148"/>
        <v/>
      </c>
    </row>
    <row r="505" spans="1:53" ht="13.5">
      <c r="A505" s="135" t="str">
        <f t="shared" si="150"/>
        <v/>
      </c>
      <c r="B505" s="19" t="str">
        <f t="shared" si="151"/>
        <v/>
      </c>
      <c r="C505" s="19" t="str">
        <f t="shared" si="152"/>
        <v/>
      </c>
      <c r="D505" s="19" t="str">
        <f t="shared" si="153"/>
        <v/>
      </c>
      <c r="E505" s="5" t="str">
        <f t="shared" si="137"/>
        <v/>
      </c>
      <c r="F505" s="12" t="str">
        <f t="shared" si="138"/>
        <v/>
      </c>
      <c r="K505" s="9" t="str">
        <f t="shared" si="139"/>
        <v/>
      </c>
      <c r="L505" s="6">
        <f t="shared" si="154"/>
        <v>0</v>
      </c>
      <c r="M505" s="6">
        <f t="shared" si="155"/>
        <v>0</v>
      </c>
      <c r="N505" s="94" t="str">
        <f t="shared" si="156"/>
        <v/>
      </c>
      <c r="O505" s="6"/>
      <c r="P505" s="6"/>
      <c r="Q505" s="6"/>
      <c r="R505" s="6"/>
      <c r="T505" s="136" t="str">
        <f t="shared" si="143"/>
        <v/>
      </c>
      <c r="U505" s="137" t="str">
        <f t="shared" si="144"/>
        <v/>
      </c>
      <c r="V505" s="1"/>
      <c r="Y505" s="90" t="str">
        <f t="shared" si="145"/>
        <v/>
      </c>
      <c r="AC505" s="6">
        <v>996470</v>
      </c>
      <c r="AD505" s="6" t="s">
        <v>7041</v>
      </c>
      <c r="AE505" s="158" t="s">
        <v>3761</v>
      </c>
      <c r="AF505" s="159" t="s">
        <v>8339</v>
      </c>
      <c r="AG505" s="160">
        <v>876393</v>
      </c>
      <c r="AH505" s="194" t="s">
        <v>1314</v>
      </c>
      <c r="AI505" s="6" t="s">
        <v>2134</v>
      </c>
      <c r="AJ505" s="3" t="s">
        <v>8248</v>
      </c>
      <c r="AK505" t="s">
        <v>8248</v>
      </c>
      <c r="AL505" s="29"/>
      <c r="AM505" s="6" t="s">
        <v>5184</v>
      </c>
      <c r="AN505" t="s">
        <v>6315</v>
      </c>
      <c r="AV505"/>
      <c r="AX505"/>
      <c r="AZ505" t="str">
        <f t="shared" si="149"/>
        <v/>
      </c>
      <c r="BA505" t="str">
        <f t="shared" si="148"/>
        <v/>
      </c>
    </row>
    <row r="506" spans="1:53" ht="13.5">
      <c r="A506" s="135" t="str">
        <f t="shared" si="150"/>
        <v/>
      </c>
      <c r="B506" s="19" t="str">
        <f t="shared" si="151"/>
        <v/>
      </c>
      <c r="C506" s="19" t="str">
        <f t="shared" si="152"/>
        <v/>
      </c>
      <c r="D506" s="19" t="str">
        <f t="shared" si="153"/>
        <v/>
      </c>
      <c r="E506" s="5" t="str">
        <f t="shared" si="137"/>
        <v/>
      </c>
      <c r="F506" s="12" t="str">
        <f t="shared" si="138"/>
        <v/>
      </c>
      <c r="K506" s="9" t="str">
        <f t="shared" si="139"/>
        <v/>
      </c>
      <c r="L506" s="6">
        <f t="shared" si="154"/>
        <v>0</v>
      </c>
      <c r="M506" s="6">
        <f t="shared" si="155"/>
        <v>0</v>
      </c>
      <c r="N506" s="94" t="str">
        <f t="shared" si="156"/>
        <v/>
      </c>
      <c r="O506" s="6"/>
      <c r="P506" s="6"/>
      <c r="Q506" s="6"/>
      <c r="R506" s="6"/>
      <c r="T506" s="136" t="str">
        <f t="shared" si="143"/>
        <v/>
      </c>
      <c r="U506" s="137" t="str">
        <f t="shared" si="144"/>
        <v/>
      </c>
      <c r="V506" s="1"/>
      <c r="Y506" s="90" t="str">
        <f t="shared" si="145"/>
        <v/>
      </c>
      <c r="AC506" s="6">
        <v>135613</v>
      </c>
      <c r="AD506" s="6" t="s">
        <v>7012</v>
      </c>
      <c r="AE506" s="158" t="s">
        <v>3762</v>
      </c>
      <c r="AF506" s="159" t="s">
        <v>8299</v>
      </c>
      <c r="AG506" s="160">
        <v>876394</v>
      </c>
      <c r="AH506" s="194" t="s">
        <v>1314</v>
      </c>
      <c r="AI506" s="6" t="s">
        <v>2757</v>
      </c>
      <c r="AJ506" s="3" t="s">
        <v>8226</v>
      </c>
      <c r="AK506" t="s">
        <v>8671</v>
      </c>
      <c r="AL506" s="29"/>
      <c r="AM506" s="6" t="s">
        <v>5032</v>
      </c>
      <c r="AN506" t="s">
        <v>6316</v>
      </c>
      <c r="AV506"/>
      <c r="AX506"/>
      <c r="AZ506" t="str">
        <f t="shared" si="149"/>
        <v/>
      </c>
      <c r="BA506" t="str">
        <f t="shared" si="148"/>
        <v/>
      </c>
    </row>
    <row r="507" spans="1:53" ht="13.5">
      <c r="A507" s="135" t="str">
        <f t="shared" si="150"/>
        <v/>
      </c>
      <c r="B507" s="19" t="str">
        <f t="shared" si="151"/>
        <v/>
      </c>
      <c r="C507" s="19" t="str">
        <f t="shared" si="152"/>
        <v/>
      </c>
      <c r="D507" s="19" t="str">
        <f t="shared" si="153"/>
        <v/>
      </c>
      <c r="E507" s="5" t="str">
        <f t="shared" si="137"/>
        <v/>
      </c>
      <c r="F507" s="12" t="str">
        <f t="shared" si="138"/>
        <v/>
      </c>
      <c r="K507" s="9" t="str">
        <f t="shared" si="139"/>
        <v/>
      </c>
      <c r="L507" s="6">
        <f t="shared" si="154"/>
        <v>0</v>
      </c>
      <c r="M507" s="6">
        <f t="shared" si="155"/>
        <v>0</v>
      </c>
      <c r="N507" s="94" t="str">
        <f t="shared" si="156"/>
        <v/>
      </c>
      <c r="O507" s="6"/>
      <c r="P507" s="6"/>
      <c r="Q507" s="6"/>
      <c r="R507" s="6"/>
      <c r="T507" s="136" t="str">
        <f t="shared" si="143"/>
        <v/>
      </c>
      <c r="U507" s="137" t="str">
        <f t="shared" si="144"/>
        <v/>
      </c>
      <c r="V507" s="1"/>
      <c r="Y507" s="90" t="str">
        <f t="shared" si="145"/>
        <v/>
      </c>
      <c r="AC507" s="6" t="s">
        <v>4231</v>
      </c>
      <c r="AD507" s="6" t="s">
        <v>7042</v>
      </c>
      <c r="AE507" s="158" t="s">
        <v>3763</v>
      </c>
      <c r="AF507" s="159" t="s">
        <v>8339</v>
      </c>
      <c r="AG507" s="160">
        <v>876396</v>
      </c>
      <c r="AH507" s="194" t="s">
        <v>679</v>
      </c>
      <c r="AI507" s="6" t="s">
        <v>2758</v>
      </c>
      <c r="AJ507" s="3" t="s">
        <v>8226</v>
      </c>
      <c r="AK507" t="s">
        <v>8671</v>
      </c>
      <c r="AL507" s="29"/>
      <c r="AM507" s="6" t="s">
        <v>5123</v>
      </c>
      <c r="AN507" t="s">
        <v>6317</v>
      </c>
      <c r="AV507"/>
      <c r="AX507"/>
      <c r="AZ507" t="str">
        <f t="shared" si="149"/>
        <v/>
      </c>
      <c r="BA507" t="str">
        <f t="shared" si="148"/>
        <v/>
      </c>
    </row>
    <row r="508" spans="1:53" ht="13.5">
      <c r="A508" s="135" t="str">
        <f t="shared" si="150"/>
        <v/>
      </c>
      <c r="B508" s="19" t="str">
        <f t="shared" si="151"/>
        <v/>
      </c>
      <c r="C508" s="19" t="str">
        <f t="shared" si="152"/>
        <v/>
      </c>
      <c r="D508" s="19" t="str">
        <f t="shared" si="153"/>
        <v/>
      </c>
      <c r="E508" s="5" t="str">
        <f t="shared" si="137"/>
        <v/>
      </c>
      <c r="F508" s="12" t="str">
        <f t="shared" si="138"/>
        <v/>
      </c>
      <c r="K508" s="9" t="str">
        <f t="shared" si="139"/>
        <v/>
      </c>
      <c r="L508" s="6">
        <f t="shared" si="154"/>
        <v>0</v>
      </c>
      <c r="M508" s="6">
        <f t="shared" si="155"/>
        <v>0</v>
      </c>
      <c r="N508" s="94" t="str">
        <f t="shared" si="156"/>
        <v/>
      </c>
      <c r="O508" s="6"/>
      <c r="P508" s="6"/>
      <c r="Q508" s="6"/>
      <c r="R508" s="6"/>
      <c r="T508" s="136" t="str">
        <f t="shared" si="143"/>
        <v/>
      </c>
      <c r="U508" s="137" t="str">
        <f t="shared" si="144"/>
        <v/>
      </c>
      <c r="V508" s="1"/>
      <c r="Y508" s="90" t="str">
        <f t="shared" si="145"/>
        <v/>
      </c>
      <c r="AC508" s="6">
        <v>946437</v>
      </c>
      <c r="AD508" s="6" t="s">
        <v>7043</v>
      </c>
      <c r="AE508" s="158" t="s">
        <v>3764</v>
      </c>
      <c r="AF508" s="159" t="s">
        <v>8339</v>
      </c>
      <c r="AG508" s="160">
        <v>876397</v>
      </c>
      <c r="AH508" s="194" t="s">
        <v>679</v>
      </c>
      <c r="AI508" s="6" t="s">
        <v>2759</v>
      </c>
      <c r="AJ508" s="3" t="s">
        <v>8226</v>
      </c>
      <c r="AK508" t="s">
        <v>8671</v>
      </c>
      <c r="AL508" s="29"/>
      <c r="AM508" s="6" t="s">
        <v>5181</v>
      </c>
      <c r="AN508" t="s">
        <v>6318</v>
      </c>
      <c r="AV508"/>
      <c r="AX508"/>
      <c r="AZ508" t="str">
        <f t="shared" si="149"/>
        <v/>
      </c>
      <c r="BA508" t="str">
        <f t="shared" si="148"/>
        <v/>
      </c>
    </row>
    <row r="509" spans="1:53" ht="13.5">
      <c r="A509" s="135" t="str">
        <f t="shared" si="150"/>
        <v/>
      </c>
      <c r="B509" s="19" t="str">
        <f t="shared" si="151"/>
        <v/>
      </c>
      <c r="C509" s="19" t="str">
        <f t="shared" si="152"/>
        <v/>
      </c>
      <c r="D509" s="19" t="str">
        <f t="shared" si="153"/>
        <v/>
      </c>
      <c r="E509" s="5" t="str">
        <f t="shared" si="137"/>
        <v/>
      </c>
      <c r="F509" s="12" t="str">
        <f t="shared" si="138"/>
        <v/>
      </c>
      <c r="K509" s="9" t="str">
        <f t="shared" si="139"/>
        <v/>
      </c>
      <c r="L509" s="6">
        <f t="shared" si="154"/>
        <v>0</v>
      </c>
      <c r="M509" s="6">
        <f t="shared" si="155"/>
        <v>0</v>
      </c>
      <c r="N509" s="94" t="str">
        <f t="shared" si="156"/>
        <v/>
      </c>
      <c r="O509" s="6"/>
      <c r="P509" s="6"/>
      <c r="Q509" s="6"/>
      <c r="R509" s="6"/>
      <c r="T509" s="136" t="str">
        <f t="shared" si="143"/>
        <v/>
      </c>
      <c r="U509" s="137" t="str">
        <f t="shared" si="144"/>
        <v/>
      </c>
      <c r="V509" s="1"/>
      <c r="Y509" s="90" t="str">
        <f t="shared" si="145"/>
        <v/>
      </c>
      <c r="AC509" s="6" t="s">
        <v>4389</v>
      </c>
      <c r="AD509" s="6" t="s">
        <v>7020</v>
      </c>
      <c r="AE509" s="158" t="s">
        <v>3765</v>
      </c>
      <c r="AF509" s="159" t="s">
        <v>8339</v>
      </c>
      <c r="AG509" s="160">
        <v>876398</v>
      </c>
      <c r="AH509" s="194" t="s">
        <v>679</v>
      </c>
      <c r="AI509" s="6" t="s">
        <v>2760</v>
      </c>
      <c r="AJ509" s="3" t="s">
        <v>8226</v>
      </c>
      <c r="AK509" t="s">
        <v>8671</v>
      </c>
      <c r="AL509" s="29"/>
      <c r="AM509" s="6" t="s">
        <v>5133</v>
      </c>
      <c r="AN509" t="s">
        <v>6319</v>
      </c>
      <c r="AV509"/>
      <c r="AX509"/>
      <c r="AZ509" t="str">
        <f t="shared" si="149"/>
        <v/>
      </c>
      <c r="BA509" t="str">
        <f t="shared" si="148"/>
        <v/>
      </c>
    </row>
    <row r="510" spans="1:53" ht="13.5">
      <c r="A510" s="135" t="str">
        <f t="shared" si="150"/>
        <v/>
      </c>
      <c r="B510" s="19" t="str">
        <f t="shared" si="151"/>
        <v/>
      </c>
      <c r="C510" s="19" t="str">
        <f t="shared" si="152"/>
        <v/>
      </c>
      <c r="D510" s="19" t="str">
        <f t="shared" si="153"/>
        <v/>
      </c>
      <c r="E510" s="5" t="str">
        <f t="shared" si="137"/>
        <v/>
      </c>
      <c r="F510" s="12" t="str">
        <f t="shared" si="138"/>
        <v/>
      </c>
      <c r="K510" s="9" t="str">
        <f t="shared" si="139"/>
        <v/>
      </c>
      <c r="L510" s="6">
        <f t="shared" si="154"/>
        <v>0</v>
      </c>
      <c r="M510" s="6">
        <f t="shared" si="155"/>
        <v>0</v>
      </c>
      <c r="N510" s="94" t="str">
        <f t="shared" si="156"/>
        <v/>
      </c>
      <c r="O510" s="6"/>
      <c r="P510" s="6"/>
      <c r="Q510" s="6"/>
      <c r="R510" s="6"/>
      <c r="T510" s="136" t="str">
        <f t="shared" si="143"/>
        <v/>
      </c>
      <c r="U510" s="137" t="str">
        <f t="shared" si="144"/>
        <v/>
      </c>
      <c r="V510" s="1"/>
      <c r="Y510" s="90" t="str">
        <f t="shared" si="145"/>
        <v/>
      </c>
      <c r="AC510" s="6" t="s">
        <v>3630</v>
      </c>
      <c r="AD510" s="6" t="s">
        <v>7044</v>
      </c>
      <c r="AE510" s="158" t="s">
        <v>3766</v>
      </c>
      <c r="AF510" s="159" t="s">
        <v>8339</v>
      </c>
      <c r="AG510" s="160">
        <v>876399</v>
      </c>
      <c r="AH510" s="194" t="s">
        <v>1314</v>
      </c>
      <c r="AI510" s="6" t="s">
        <v>2762</v>
      </c>
      <c r="AJ510" s="3" t="s">
        <v>8226</v>
      </c>
      <c r="AK510" t="s">
        <v>8671</v>
      </c>
      <c r="AL510" s="29"/>
      <c r="AM510" s="6" t="s">
        <v>5134</v>
      </c>
      <c r="AN510" t="s">
        <v>6320</v>
      </c>
      <c r="AV510"/>
      <c r="AX510"/>
      <c r="AZ510" t="str">
        <f t="shared" si="149"/>
        <v/>
      </c>
      <c r="BA510" t="str">
        <f t="shared" si="148"/>
        <v/>
      </c>
    </row>
    <row r="511" spans="1:53" ht="13.5">
      <c r="A511" s="135" t="str">
        <f t="shared" si="150"/>
        <v/>
      </c>
      <c r="B511" s="19" t="str">
        <f t="shared" si="151"/>
        <v/>
      </c>
      <c r="C511" s="19" t="str">
        <f t="shared" si="152"/>
        <v/>
      </c>
      <c r="D511" s="19" t="str">
        <f t="shared" si="153"/>
        <v/>
      </c>
      <c r="E511" s="5" t="str">
        <f t="shared" si="137"/>
        <v/>
      </c>
      <c r="F511" s="12" t="str">
        <f t="shared" si="138"/>
        <v/>
      </c>
      <c r="K511" s="9" t="str">
        <f t="shared" si="139"/>
        <v/>
      </c>
      <c r="L511" s="6">
        <f t="shared" si="154"/>
        <v>0</v>
      </c>
      <c r="M511" s="6">
        <f t="shared" si="155"/>
        <v>0</v>
      </c>
      <c r="N511" s="94" t="str">
        <f t="shared" si="156"/>
        <v/>
      </c>
      <c r="O511" s="6"/>
      <c r="P511" s="6"/>
      <c r="Q511" s="6"/>
      <c r="R511" s="6"/>
      <c r="T511" s="136" t="str">
        <f t="shared" si="143"/>
        <v/>
      </c>
      <c r="U511" s="137" t="str">
        <f t="shared" si="144"/>
        <v/>
      </c>
      <c r="V511" s="1"/>
      <c r="Y511" s="90" t="str">
        <f t="shared" si="145"/>
        <v/>
      </c>
      <c r="AC511" s="6" t="s">
        <v>3912</v>
      </c>
      <c r="AD511" s="6" t="s">
        <v>7045</v>
      </c>
      <c r="AE511" s="158" t="s">
        <v>3767</v>
      </c>
      <c r="AF511" s="159" t="s">
        <v>8339</v>
      </c>
      <c r="AG511" s="160">
        <v>886401</v>
      </c>
      <c r="AH511" s="194" t="s">
        <v>679</v>
      </c>
      <c r="AI511" s="6">
        <v>493631</v>
      </c>
      <c r="AJ511" s="3" t="s">
        <v>8223</v>
      </c>
      <c r="AK511" t="s">
        <v>8223</v>
      </c>
      <c r="AL511" s="29"/>
      <c r="AM511" s="6" t="s">
        <v>5078</v>
      </c>
      <c r="AN511" t="s">
        <v>6321</v>
      </c>
      <c r="AV511"/>
      <c r="AX511"/>
      <c r="AZ511" t="str">
        <f t="shared" si="149"/>
        <v/>
      </c>
      <c r="BA511" t="str">
        <f t="shared" si="148"/>
        <v/>
      </c>
    </row>
    <row r="512" spans="1:53" ht="13.5">
      <c r="A512" s="135" t="str">
        <f t="shared" si="150"/>
        <v/>
      </c>
      <c r="B512" s="19" t="str">
        <f t="shared" si="151"/>
        <v/>
      </c>
      <c r="C512" s="19" t="str">
        <f t="shared" si="152"/>
        <v/>
      </c>
      <c r="D512" s="19" t="str">
        <f t="shared" si="153"/>
        <v/>
      </c>
      <c r="E512" s="5" t="str">
        <f t="shared" si="137"/>
        <v/>
      </c>
      <c r="F512" s="12" t="str">
        <f t="shared" si="138"/>
        <v/>
      </c>
      <c r="K512" s="9" t="str">
        <f t="shared" si="139"/>
        <v/>
      </c>
      <c r="L512" s="6">
        <f t="shared" si="154"/>
        <v>0</v>
      </c>
      <c r="M512" s="6">
        <f t="shared" si="155"/>
        <v>0</v>
      </c>
      <c r="N512" s="94" t="str">
        <f t="shared" si="156"/>
        <v/>
      </c>
      <c r="O512" s="6"/>
      <c r="P512" s="6"/>
      <c r="Q512" s="6"/>
      <c r="R512" s="6"/>
      <c r="T512" s="136" t="str">
        <f t="shared" si="143"/>
        <v/>
      </c>
      <c r="U512" s="137" t="str">
        <f t="shared" si="144"/>
        <v/>
      </c>
      <c r="V512" s="1"/>
      <c r="Y512" s="90" t="str">
        <f t="shared" si="145"/>
        <v/>
      </c>
      <c r="AC512" s="6" t="s">
        <v>3849</v>
      </c>
      <c r="AD512" s="6" t="s">
        <v>7020</v>
      </c>
      <c r="AE512" s="158" t="s">
        <v>3768</v>
      </c>
      <c r="AF512" s="159" t="s">
        <v>8351</v>
      </c>
      <c r="AG512" s="160">
        <v>886402</v>
      </c>
      <c r="AH512" s="194" t="s">
        <v>679</v>
      </c>
      <c r="AI512" s="6" t="s">
        <v>4733</v>
      </c>
      <c r="AJ512" s="3" t="s">
        <v>8206</v>
      </c>
      <c r="AK512" t="s">
        <v>8206</v>
      </c>
      <c r="AL512" s="29"/>
      <c r="AM512" s="6" t="s">
        <v>5257</v>
      </c>
      <c r="AN512" t="s">
        <v>6322</v>
      </c>
      <c r="AV512"/>
      <c r="AX512"/>
      <c r="AZ512" t="str">
        <f t="shared" si="149"/>
        <v/>
      </c>
      <c r="BA512" t="str">
        <f t="shared" si="148"/>
        <v/>
      </c>
    </row>
    <row r="513" spans="1:53" ht="13.5">
      <c r="A513" s="135" t="str">
        <f t="shared" si="150"/>
        <v/>
      </c>
      <c r="B513" s="19" t="str">
        <f t="shared" si="151"/>
        <v/>
      </c>
      <c r="C513" s="19" t="str">
        <f t="shared" si="152"/>
        <v/>
      </c>
      <c r="D513" s="19" t="str">
        <f t="shared" si="153"/>
        <v/>
      </c>
      <c r="E513" s="5" t="str">
        <f t="shared" si="137"/>
        <v/>
      </c>
      <c r="F513" s="12" t="str">
        <f t="shared" si="138"/>
        <v/>
      </c>
      <c r="K513" s="9" t="str">
        <f t="shared" si="139"/>
        <v/>
      </c>
      <c r="L513" s="6">
        <f t="shared" si="154"/>
        <v>0</v>
      </c>
      <c r="M513" s="6">
        <f t="shared" si="155"/>
        <v>0</v>
      </c>
      <c r="N513" s="94" t="str">
        <f t="shared" si="156"/>
        <v/>
      </c>
      <c r="O513" s="6"/>
      <c r="P513" s="6"/>
      <c r="Q513" s="6"/>
      <c r="R513" s="6"/>
      <c r="T513" s="136" t="str">
        <f t="shared" si="143"/>
        <v/>
      </c>
      <c r="U513" s="137" t="str">
        <f t="shared" si="144"/>
        <v/>
      </c>
      <c r="V513" s="1"/>
      <c r="Y513" s="90" t="str">
        <f t="shared" si="145"/>
        <v/>
      </c>
      <c r="AC513" s="6" t="s">
        <v>4388</v>
      </c>
      <c r="AD513" s="6" t="s">
        <v>7046</v>
      </c>
      <c r="AE513" s="158" t="s">
        <v>3769</v>
      </c>
      <c r="AF513" s="159" t="s">
        <v>8299</v>
      </c>
      <c r="AG513" s="160">
        <v>886403</v>
      </c>
      <c r="AH513" s="194" t="s">
        <v>679</v>
      </c>
      <c r="AI513" s="6" t="s">
        <v>4707</v>
      </c>
      <c r="AJ513" s="3" t="s">
        <v>8206</v>
      </c>
      <c r="AK513" t="s">
        <v>8206</v>
      </c>
      <c r="AL513" s="29"/>
      <c r="AM513" s="6" t="s">
        <v>5139</v>
      </c>
      <c r="AN513" t="s">
        <v>6323</v>
      </c>
      <c r="AV513"/>
      <c r="AX513"/>
      <c r="AZ513" t="str">
        <f t="shared" si="149"/>
        <v/>
      </c>
      <c r="BA513" t="str">
        <f t="shared" si="148"/>
        <v/>
      </c>
    </row>
    <row r="514" spans="1:53" ht="13.5">
      <c r="A514" s="135" t="str">
        <f t="shared" si="150"/>
        <v/>
      </c>
      <c r="B514" s="19" t="str">
        <f t="shared" si="151"/>
        <v/>
      </c>
      <c r="C514" s="19" t="str">
        <f t="shared" si="152"/>
        <v/>
      </c>
      <c r="D514" s="19" t="str">
        <f t="shared" si="153"/>
        <v/>
      </c>
      <c r="E514" s="5" t="str">
        <f t="shared" si="137"/>
        <v/>
      </c>
      <c r="F514" s="12" t="str">
        <f t="shared" si="138"/>
        <v/>
      </c>
      <c r="K514" s="9" t="str">
        <f t="shared" si="139"/>
        <v/>
      </c>
      <c r="L514" s="6">
        <f t="shared" si="154"/>
        <v>0</v>
      </c>
      <c r="M514" s="6">
        <f t="shared" si="155"/>
        <v>0</v>
      </c>
      <c r="N514" s="94" t="str">
        <f t="shared" si="156"/>
        <v/>
      </c>
      <c r="O514" s="6"/>
      <c r="P514" s="6"/>
      <c r="Q514" s="6"/>
      <c r="R514" s="6"/>
      <c r="T514" s="136" t="str">
        <f t="shared" si="143"/>
        <v/>
      </c>
      <c r="U514" s="137" t="str">
        <f t="shared" si="144"/>
        <v/>
      </c>
      <c r="V514" s="1"/>
      <c r="Y514" s="90" t="str">
        <f t="shared" si="145"/>
        <v/>
      </c>
      <c r="AC514" s="6" t="s">
        <v>3848</v>
      </c>
      <c r="AD514" s="6" t="s">
        <v>7020</v>
      </c>
      <c r="AE514" s="158" t="s">
        <v>3952</v>
      </c>
      <c r="AF514" s="159" t="s">
        <v>8309</v>
      </c>
      <c r="AG514" s="160">
        <v>886404</v>
      </c>
      <c r="AH514" s="194" t="s">
        <v>679</v>
      </c>
      <c r="AI514" s="6">
        <v>525365</v>
      </c>
      <c r="AJ514" s="3" t="s">
        <v>8202</v>
      </c>
      <c r="AK514" t="s">
        <v>8202</v>
      </c>
      <c r="AL514" s="29"/>
      <c r="AM514" s="6" t="s">
        <v>5244</v>
      </c>
      <c r="AN514" t="s">
        <v>6324</v>
      </c>
      <c r="AV514"/>
      <c r="AX514"/>
      <c r="AZ514" t="str">
        <f t="shared" si="149"/>
        <v/>
      </c>
      <c r="BA514" t="str">
        <f t="shared" si="148"/>
        <v/>
      </c>
    </row>
    <row r="515" spans="1:53" ht="13.5">
      <c r="A515" s="135" t="str">
        <f t="shared" si="150"/>
        <v/>
      </c>
      <c r="B515" s="19" t="str">
        <f t="shared" si="151"/>
        <v/>
      </c>
      <c r="C515" s="19" t="str">
        <f t="shared" si="152"/>
        <v/>
      </c>
      <c r="D515" s="19" t="str">
        <f t="shared" si="153"/>
        <v/>
      </c>
      <c r="E515" s="5" t="str">
        <f t="shared" si="137"/>
        <v/>
      </c>
      <c r="F515" s="12" t="str">
        <f t="shared" si="138"/>
        <v/>
      </c>
      <c r="K515" s="9" t="str">
        <f t="shared" si="139"/>
        <v/>
      </c>
      <c r="L515" s="6">
        <f t="shared" si="154"/>
        <v>0</v>
      </c>
      <c r="M515" s="6">
        <f t="shared" si="155"/>
        <v>0</v>
      </c>
      <c r="N515" s="94" t="str">
        <f t="shared" si="156"/>
        <v/>
      </c>
      <c r="O515" s="6"/>
      <c r="P515" s="6"/>
      <c r="Q515" s="6"/>
      <c r="R515" s="6"/>
      <c r="T515" s="136" t="str">
        <f t="shared" si="143"/>
        <v/>
      </c>
      <c r="U515" s="137" t="str">
        <f t="shared" si="144"/>
        <v/>
      </c>
      <c r="V515" s="1"/>
      <c r="Y515" s="90" t="str">
        <f t="shared" si="145"/>
        <v/>
      </c>
      <c r="AC515" s="6">
        <v>376356</v>
      </c>
      <c r="AD515" s="6" t="s">
        <v>7026</v>
      </c>
      <c r="AE515" s="158" t="s">
        <v>3770</v>
      </c>
      <c r="AF515" s="159" t="s">
        <v>8299</v>
      </c>
      <c r="AG515" s="160">
        <v>886406</v>
      </c>
      <c r="AH515" s="194" t="s">
        <v>679</v>
      </c>
      <c r="AI515" s="6">
        <v>575386</v>
      </c>
      <c r="AJ515" s="3" t="s">
        <v>8215</v>
      </c>
      <c r="AK515" t="s">
        <v>8215</v>
      </c>
      <c r="AL515" s="29"/>
      <c r="AM515" s="6" t="s">
        <v>5174</v>
      </c>
      <c r="AN515" t="s">
        <v>6325</v>
      </c>
      <c r="AV515"/>
      <c r="AX515"/>
      <c r="AZ515" t="str">
        <f t="shared" si="149"/>
        <v/>
      </c>
      <c r="BA515" t="str">
        <f t="shared" si="148"/>
        <v/>
      </c>
    </row>
    <row r="516" spans="1:53" ht="13.5">
      <c r="A516" s="135" t="str">
        <f t="shared" si="150"/>
        <v/>
      </c>
      <c r="B516" s="19" t="str">
        <f t="shared" si="151"/>
        <v/>
      </c>
      <c r="C516" s="19" t="str">
        <f t="shared" si="152"/>
        <v/>
      </c>
      <c r="D516" s="19" t="str">
        <f t="shared" si="153"/>
        <v/>
      </c>
      <c r="E516" s="5" t="str">
        <f t="shared" si="137"/>
        <v/>
      </c>
      <c r="F516" s="12" t="str">
        <f t="shared" si="138"/>
        <v/>
      </c>
      <c r="K516" s="9" t="str">
        <f t="shared" si="139"/>
        <v/>
      </c>
      <c r="L516" s="6">
        <f t="shared" si="154"/>
        <v>0</v>
      </c>
      <c r="M516" s="6">
        <f t="shared" si="155"/>
        <v>0</v>
      </c>
      <c r="N516" s="94" t="str">
        <f t="shared" si="156"/>
        <v/>
      </c>
      <c r="O516" s="6"/>
      <c r="P516" s="6"/>
      <c r="Q516" s="6"/>
      <c r="R516" s="6"/>
      <c r="T516" s="136" t="str">
        <f t="shared" si="143"/>
        <v/>
      </c>
      <c r="U516" s="137" t="str">
        <f t="shared" si="144"/>
        <v/>
      </c>
      <c r="V516" s="1"/>
      <c r="Y516" s="90" t="str">
        <f t="shared" si="145"/>
        <v/>
      </c>
      <c r="AC516" s="6" t="s">
        <v>3847</v>
      </c>
      <c r="AD516" s="6" t="s">
        <v>7020</v>
      </c>
      <c r="AE516" s="158" t="s">
        <v>3771</v>
      </c>
      <c r="AF516" s="159" t="s">
        <v>8339</v>
      </c>
      <c r="AG516" s="160">
        <v>886407</v>
      </c>
      <c r="AH516" s="194" t="s">
        <v>679</v>
      </c>
      <c r="AI516" s="6">
        <v>635425</v>
      </c>
      <c r="AJ516" s="3" t="s">
        <v>8222</v>
      </c>
      <c r="AK516" t="s">
        <v>8670</v>
      </c>
      <c r="AL516" s="29"/>
      <c r="AM516" s="6" t="s">
        <v>5250</v>
      </c>
      <c r="AN516" t="s">
        <v>6326</v>
      </c>
      <c r="AV516"/>
      <c r="AX516"/>
      <c r="AZ516" t="str">
        <f t="shared" si="149"/>
        <v/>
      </c>
      <c r="BA516" t="str">
        <f t="shared" si="148"/>
        <v/>
      </c>
    </row>
    <row r="517" spans="1:53" ht="13.5">
      <c r="A517" s="135" t="str">
        <f t="shared" si="150"/>
        <v/>
      </c>
      <c r="B517" s="19" t="str">
        <f t="shared" si="151"/>
        <v/>
      </c>
      <c r="C517" s="19" t="str">
        <f t="shared" si="152"/>
        <v/>
      </c>
      <c r="D517" s="19" t="str">
        <f t="shared" si="153"/>
        <v/>
      </c>
      <c r="E517" s="5" t="str">
        <f t="shared" si="137"/>
        <v/>
      </c>
      <c r="F517" s="12" t="str">
        <f t="shared" si="138"/>
        <v/>
      </c>
      <c r="K517" s="9" t="str">
        <f t="shared" si="139"/>
        <v/>
      </c>
      <c r="L517" s="6">
        <f t="shared" si="154"/>
        <v>0</v>
      </c>
      <c r="M517" s="6">
        <f t="shared" si="155"/>
        <v>0</v>
      </c>
      <c r="N517" s="94" t="str">
        <f t="shared" si="156"/>
        <v/>
      </c>
      <c r="O517" s="6"/>
      <c r="P517" s="6"/>
      <c r="Q517" s="6"/>
      <c r="R517" s="6"/>
      <c r="T517" s="136" t="str">
        <f t="shared" si="143"/>
        <v/>
      </c>
      <c r="U517" s="137" t="str">
        <f t="shared" si="144"/>
        <v/>
      </c>
      <c r="V517" s="1"/>
      <c r="Y517" s="90" t="str">
        <f t="shared" si="145"/>
        <v/>
      </c>
      <c r="AC517" s="6" t="s">
        <v>4220</v>
      </c>
      <c r="AD517" s="6" t="s">
        <v>7047</v>
      </c>
      <c r="AE517" s="158" t="s">
        <v>3772</v>
      </c>
      <c r="AF517" s="159" t="s">
        <v>8353</v>
      </c>
      <c r="AG517" s="160">
        <v>886408</v>
      </c>
      <c r="AH517" s="194" t="s">
        <v>679</v>
      </c>
      <c r="AI517" s="6">
        <v>644322</v>
      </c>
      <c r="AJ517" s="3" t="s">
        <v>8222</v>
      </c>
      <c r="AK517" t="s">
        <v>8670</v>
      </c>
      <c r="AL517" s="29"/>
      <c r="AM517" s="6" t="s">
        <v>5112</v>
      </c>
      <c r="AN517" t="s">
        <v>6327</v>
      </c>
      <c r="AV517"/>
      <c r="AX517"/>
      <c r="AZ517" t="str">
        <f t="shared" si="149"/>
        <v/>
      </c>
      <c r="BA517" t="str">
        <f t="shared" si="148"/>
        <v/>
      </c>
    </row>
    <row r="518" spans="1:53" ht="13.5">
      <c r="A518" s="135" t="str">
        <f t="shared" si="150"/>
        <v/>
      </c>
      <c r="B518" s="19" t="str">
        <f t="shared" si="151"/>
        <v/>
      </c>
      <c r="C518" s="19" t="str">
        <f t="shared" si="152"/>
        <v/>
      </c>
      <c r="D518" s="19" t="str">
        <f t="shared" si="153"/>
        <v/>
      </c>
      <c r="E518" s="5" t="str">
        <f t="shared" ref="E518:E581" si="157">IF(ISNA(VLOOKUP(I518,AI:AK,2,FALSE)),"",VLOOKUP(I518,AI:AK,2,FALSE))</f>
        <v/>
      </c>
      <c r="F518" s="12" t="str">
        <f t="shared" ref="F518:F581" si="158">IF(ISNA(VLOOKUP(I518,AI:AK,3,FALSE)),"",VLOOKUP(I518,AI:AK,3,FALSE))</f>
        <v/>
      </c>
      <c r="K518" s="9" t="str">
        <f t="shared" ref="K518:K581" si="159">IF(AND(LEFT(L518,3)&lt;&gt;"IB0",LEFT(L518,3)&lt;&gt;"ME0",LEFT(L518,3)&lt;&gt;"PS0",LEFT(L518,3)&lt;&gt;"RY0",LEFT(L518,3)&lt;&gt;"BU0",LEFT(L518,3)&lt;&gt;"IS0",LEFT(L518,3)&lt;&gt;"KA0",LEFT(L518,3)&lt;&gt;"FB0",LEFT(L518,3)&lt;&gt;"MB0",LEFT(L518,3)&lt;&gt;"LH0",LEFT(L518,3)&lt;&gt;"MU0",LEFT(L518,3)&lt;&gt;"AB0"),"",L518)</f>
        <v/>
      </c>
      <c r="L518" s="6">
        <f t="shared" ref="L518:L581" si="160">IF(ISNA(VLOOKUP(I518,$S$5:$S$900,1,FALSE)),I518,"")</f>
        <v>0</v>
      </c>
      <c r="M518" s="6">
        <f t="shared" ref="M518:M581" si="161">IF(OR(LEFT(L518,3)="IB0",LEFT(L518,3)="ME0",LEFT(L518,3)="PS0",LEFT(L518,3)="RY0",LEFT(L518,3)="BU0",LEFT(L518,3)="IS0",LEFT(L518,3)="KA0",LEFT(L518,3)="FB0",LEFT(L518,3)="MB0",LEFT(L518,3)="LH0",LEFT(L518,3)="MU0",LEFT(L518,3)="AB0",),"",L518)</f>
        <v>0</v>
      </c>
      <c r="N518" s="94" t="str">
        <f t="shared" ref="N518:N581" si="162">IF(I518="","",(IF(ISNA(VLOOKUP(M518,$AJ$4:$AK$4000,2,FALSE)),M518,VLOOKUP(M518,$AJ$4:$AK$4000,2,FALSE))))</f>
        <v/>
      </c>
      <c r="O518" s="6"/>
      <c r="P518" s="6"/>
      <c r="Q518" s="6"/>
      <c r="R518" s="6"/>
      <c r="T518" s="136" t="str">
        <f t="shared" ref="T518:T581" si="163">IF(ISNA(VLOOKUP(S518,$I$5:$I$900,1,FALSE)),IF(ISBLANK(S518),"","up"),"")</f>
        <v/>
      </c>
      <c r="U518" s="137" t="str">
        <f t="shared" ref="U518:U581" si="164">IF(T518="up",(IF(ISNA(VLOOKUP(S518,$AV$1:$AX$1200,3,FALSE)),"",VLOOKUP(S518,$AV$1:$AX$1200,3,FALSE))),"")</f>
        <v/>
      </c>
      <c r="V518" s="1"/>
      <c r="Y518" s="90" t="str">
        <f t="shared" ref="Y518:Y581" si="165">IFERROR(VLOOKUP(S518,$AV$1:$BA$1200,6,0),"")</f>
        <v/>
      </c>
      <c r="AC518" s="6" t="s">
        <v>1297</v>
      </c>
      <c r="AD518" s="6" t="s">
        <v>7048</v>
      </c>
      <c r="AE518" s="158" t="s">
        <v>3773</v>
      </c>
      <c r="AF518" s="159" t="s">
        <v>8354</v>
      </c>
      <c r="AG518" s="160">
        <v>886409</v>
      </c>
      <c r="AH518" s="194" t="s">
        <v>679</v>
      </c>
      <c r="AI518" s="6">
        <v>645426</v>
      </c>
      <c r="AJ518" s="3" t="s">
        <v>8222</v>
      </c>
      <c r="AK518" t="s">
        <v>8670</v>
      </c>
      <c r="AL518" s="29"/>
      <c r="AM518" s="6" t="s">
        <v>5107</v>
      </c>
      <c r="AN518" t="s">
        <v>6328</v>
      </c>
      <c r="AV518"/>
      <c r="AX518"/>
      <c r="AZ518" t="str">
        <f t="shared" ref="AZ518:AZ581" si="166">IF(ISBLANK(AW518),"",CONCATENATE("(",RIGHT(AW518,5),"-",TEXT(AX518,"h:mm;@"),")"))</f>
        <v/>
      </c>
      <c r="BA518" t="str">
        <f t="shared" ref="BA518:BA581" si="167">IF(AV534=AV518,"",CONCATENATE(IF(AV533=AV518,BA533,""),IF(AV532=AV518,BA532,""),IF(AV531=AV518,BA531,""),IF(AV530=AV518,BA530,""),IF(AV529=AV518,BA529,""),IF(AV528=AV518,BA528,""),IF(AV527=AV518,BA527,""),IF(AV526=AV518,BA526,""),IF(AV525=AV518,BA525,""),IF(AV524=AV518,BA524,""),IF(AV523=AV518,BA523,""),IF(AV522=AV518,BA522,""),IF(AV521=AV518,BA521,""),IF(AV520=AV518,BA520,""),IF(AV519=AV518,BA519,""),IF(AV517=AV518,BA517,""),BA518))</f>
        <v/>
      </c>
    </row>
    <row r="519" spans="1:53" ht="13.5">
      <c r="A519" s="135" t="str">
        <f t="shared" si="150"/>
        <v/>
      </c>
      <c r="B519" s="19" t="str">
        <f t="shared" si="151"/>
        <v/>
      </c>
      <c r="C519" s="19" t="str">
        <f t="shared" si="152"/>
        <v/>
      </c>
      <c r="D519" s="19" t="str">
        <f t="shared" si="153"/>
        <v/>
      </c>
      <c r="E519" s="5" t="str">
        <f t="shared" si="157"/>
        <v/>
      </c>
      <c r="F519" s="12" t="str">
        <f t="shared" si="158"/>
        <v/>
      </c>
      <c r="K519" s="9" t="str">
        <f t="shared" si="159"/>
        <v/>
      </c>
      <c r="L519" s="6">
        <f t="shared" si="160"/>
        <v>0</v>
      </c>
      <c r="M519" s="6">
        <f t="shared" si="161"/>
        <v>0</v>
      </c>
      <c r="N519" s="94" t="str">
        <f t="shared" si="162"/>
        <v/>
      </c>
      <c r="O519" s="6"/>
      <c r="P519" s="6"/>
      <c r="Q519" s="6"/>
      <c r="R519" s="6"/>
      <c r="T519" s="136" t="str">
        <f t="shared" si="163"/>
        <v/>
      </c>
      <c r="U519" s="137" t="str">
        <f t="shared" si="164"/>
        <v/>
      </c>
      <c r="V519" s="1"/>
      <c r="Y519" s="90" t="str">
        <f t="shared" si="165"/>
        <v/>
      </c>
      <c r="AC519" s="6">
        <v>936435</v>
      </c>
      <c r="AD519" s="6" t="s">
        <v>7049</v>
      </c>
      <c r="AE519" s="158" t="s">
        <v>3774</v>
      </c>
      <c r="AF519" s="159" t="s">
        <v>8299</v>
      </c>
      <c r="AG519" s="160">
        <v>886410</v>
      </c>
      <c r="AH519" s="194" t="s">
        <v>679</v>
      </c>
      <c r="AI519" s="6">
        <v>645428</v>
      </c>
      <c r="AJ519" s="3" t="s">
        <v>8231</v>
      </c>
      <c r="AK519" t="s">
        <v>8238</v>
      </c>
      <c r="AL519" s="29"/>
      <c r="AM519" s="6" t="s">
        <v>5182</v>
      </c>
      <c r="AN519" t="s">
        <v>6329</v>
      </c>
      <c r="AV519"/>
      <c r="AX519"/>
      <c r="AZ519" t="str">
        <f t="shared" si="166"/>
        <v/>
      </c>
      <c r="BA519" t="str">
        <f t="shared" si="167"/>
        <v/>
      </c>
    </row>
    <row r="520" spans="1:53" ht="13.5">
      <c r="A520" s="135" t="str">
        <f t="shared" si="150"/>
        <v/>
      </c>
      <c r="B520" s="19" t="str">
        <f t="shared" si="151"/>
        <v/>
      </c>
      <c r="C520" s="19" t="str">
        <f t="shared" si="152"/>
        <v/>
      </c>
      <c r="D520" s="19" t="str">
        <f t="shared" si="153"/>
        <v/>
      </c>
      <c r="E520" s="5" t="str">
        <f t="shared" si="157"/>
        <v/>
      </c>
      <c r="F520" s="12" t="str">
        <f t="shared" si="158"/>
        <v/>
      </c>
      <c r="K520" s="9" t="str">
        <f t="shared" si="159"/>
        <v/>
      </c>
      <c r="L520" s="6">
        <f t="shared" si="160"/>
        <v>0</v>
      </c>
      <c r="M520" s="6">
        <f t="shared" si="161"/>
        <v>0</v>
      </c>
      <c r="N520" s="94" t="str">
        <f t="shared" si="162"/>
        <v/>
      </c>
      <c r="O520" s="6"/>
      <c r="P520" s="6"/>
      <c r="Q520" s="6"/>
      <c r="R520" s="6"/>
      <c r="T520" s="136" t="str">
        <f t="shared" si="163"/>
        <v/>
      </c>
      <c r="U520" s="137" t="str">
        <f t="shared" si="164"/>
        <v/>
      </c>
      <c r="V520" s="1"/>
      <c r="Y520" s="90" t="str">
        <f t="shared" si="165"/>
        <v/>
      </c>
      <c r="AC520" s="6">
        <v>946438</v>
      </c>
      <c r="AD520" s="6" t="s">
        <v>7043</v>
      </c>
      <c r="AE520" s="158" t="s">
        <v>3775</v>
      </c>
      <c r="AF520" s="159" t="s">
        <v>8299</v>
      </c>
      <c r="AG520" s="160">
        <v>886411</v>
      </c>
      <c r="AH520" s="194" t="s">
        <v>679</v>
      </c>
      <c r="AI520" s="6">
        <v>645429</v>
      </c>
      <c r="AJ520" s="3" t="s">
        <v>8231</v>
      </c>
      <c r="AK520" t="s">
        <v>8238</v>
      </c>
      <c r="AL520" s="29"/>
      <c r="AM520" s="6" t="s">
        <v>5240</v>
      </c>
      <c r="AN520" t="s">
        <v>6330</v>
      </c>
      <c r="AV520"/>
      <c r="AX520"/>
      <c r="AZ520" t="str">
        <f t="shared" si="166"/>
        <v/>
      </c>
      <c r="BA520" t="str">
        <f t="shared" si="167"/>
        <v/>
      </c>
    </row>
    <row r="521" spans="1:53" ht="13.5">
      <c r="A521" s="135" t="str">
        <f t="shared" si="150"/>
        <v/>
      </c>
      <c r="B521" s="19" t="str">
        <f t="shared" si="151"/>
        <v/>
      </c>
      <c r="C521" s="19" t="str">
        <f t="shared" si="152"/>
        <v/>
      </c>
      <c r="D521" s="19" t="str">
        <f t="shared" si="153"/>
        <v/>
      </c>
      <c r="E521" s="5" t="str">
        <f t="shared" si="157"/>
        <v/>
      </c>
      <c r="F521" s="12" t="str">
        <f t="shared" si="158"/>
        <v/>
      </c>
      <c r="K521" s="9" t="str">
        <f t="shared" si="159"/>
        <v/>
      </c>
      <c r="L521" s="6">
        <f t="shared" si="160"/>
        <v>0</v>
      </c>
      <c r="M521" s="6">
        <f t="shared" si="161"/>
        <v>0</v>
      </c>
      <c r="N521" s="94" t="str">
        <f t="shared" si="162"/>
        <v/>
      </c>
      <c r="O521" s="6"/>
      <c r="P521" s="6"/>
      <c r="Q521" s="6"/>
      <c r="R521" s="6"/>
      <c r="T521" s="136" t="str">
        <f t="shared" si="163"/>
        <v/>
      </c>
      <c r="U521" s="137" t="str">
        <f t="shared" si="164"/>
        <v/>
      </c>
      <c r="V521" s="1"/>
      <c r="Y521" s="90" t="str">
        <f t="shared" si="165"/>
        <v/>
      </c>
      <c r="AC521" s="6" t="s">
        <v>3875</v>
      </c>
      <c r="AD521" s="6" t="s">
        <v>7050</v>
      </c>
      <c r="AE521" s="158" t="s">
        <v>3776</v>
      </c>
      <c r="AF521" s="159" t="s">
        <v>8339</v>
      </c>
      <c r="AG521" s="160">
        <v>896412</v>
      </c>
      <c r="AH521" s="194" t="s">
        <v>1314</v>
      </c>
      <c r="AI521" s="6">
        <v>665433</v>
      </c>
      <c r="AJ521" s="3" t="s">
        <v>8231</v>
      </c>
      <c r="AK521" t="s">
        <v>8238</v>
      </c>
      <c r="AL521" s="29"/>
      <c r="AM521" s="6" t="s">
        <v>5128</v>
      </c>
      <c r="AN521" t="s">
        <v>6331</v>
      </c>
      <c r="AV521"/>
      <c r="AX521"/>
      <c r="AZ521" t="str">
        <f t="shared" si="166"/>
        <v/>
      </c>
      <c r="BA521" t="str">
        <f t="shared" si="167"/>
        <v/>
      </c>
    </row>
    <row r="522" spans="1:53" ht="13.5">
      <c r="A522" s="135" t="str">
        <f t="shared" si="150"/>
        <v/>
      </c>
      <c r="B522" s="19" t="str">
        <f t="shared" si="151"/>
        <v/>
      </c>
      <c r="C522" s="19" t="str">
        <f t="shared" si="152"/>
        <v/>
      </c>
      <c r="D522" s="19" t="str">
        <f t="shared" si="153"/>
        <v/>
      </c>
      <c r="E522" s="5" t="str">
        <f t="shared" si="157"/>
        <v/>
      </c>
      <c r="F522" s="12" t="str">
        <f t="shared" si="158"/>
        <v/>
      </c>
      <c r="K522" s="9" t="str">
        <f t="shared" si="159"/>
        <v/>
      </c>
      <c r="L522" s="6">
        <f t="shared" si="160"/>
        <v>0</v>
      </c>
      <c r="M522" s="6">
        <f t="shared" si="161"/>
        <v>0</v>
      </c>
      <c r="N522" s="94" t="str">
        <f t="shared" si="162"/>
        <v/>
      </c>
      <c r="O522" s="6"/>
      <c r="P522" s="6"/>
      <c r="Q522" s="6"/>
      <c r="R522" s="6"/>
      <c r="T522" s="136" t="str">
        <f t="shared" si="163"/>
        <v/>
      </c>
      <c r="U522" s="137" t="str">
        <f t="shared" si="164"/>
        <v/>
      </c>
      <c r="V522" s="1"/>
      <c r="Y522" s="90" t="str">
        <f t="shared" si="165"/>
        <v/>
      </c>
      <c r="AC522" s="6" t="s">
        <v>3874</v>
      </c>
      <c r="AD522" s="6" t="s">
        <v>7051</v>
      </c>
      <c r="AE522" s="158" t="s">
        <v>3777</v>
      </c>
      <c r="AF522" s="159" t="s">
        <v>8309</v>
      </c>
      <c r="AG522" s="160">
        <v>896413</v>
      </c>
      <c r="AH522" s="194" t="s">
        <v>1314</v>
      </c>
      <c r="AI522" s="6">
        <v>665435</v>
      </c>
      <c r="AJ522" s="3" t="s">
        <v>8231</v>
      </c>
      <c r="AK522" t="s">
        <v>8238</v>
      </c>
      <c r="AL522" s="29"/>
      <c r="AM522" s="6" t="s">
        <v>5049</v>
      </c>
      <c r="AN522" t="s">
        <v>6332</v>
      </c>
      <c r="AV522"/>
      <c r="AX522"/>
      <c r="AZ522" t="str">
        <f t="shared" si="166"/>
        <v/>
      </c>
      <c r="BA522" t="str">
        <f t="shared" si="167"/>
        <v/>
      </c>
    </row>
    <row r="523" spans="1:53" ht="13.5">
      <c r="A523" s="135" t="str">
        <f t="shared" si="150"/>
        <v/>
      </c>
      <c r="B523" s="19" t="str">
        <f t="shared" si="151"/>
        <v/>
      </c>
      <c r="C523" s="19" t="str">
        <f t="shared" si="152"/>
        <v/>
      </c>
      <c r="D523" s="19" t="str">
        <f t="shared" si="153"/>
        <v/>
      </c>
      <c r="E523" s="5" t="str">
        <f t="shared" si="157"/>
        <v/>
      </c>
      <c r="F523" s="12" t="str">
        <f t="shared" si="158"/>
        <v/>
      </c>
      <c r="K523" s="9" t="str">
        <f t="shared" si="159"/>
        <v/>
      </c>
      <c r="L523" s="6">
        <f t="shared" si="160"/>
        <v>0</v>
      </c>
      <c r="M523" s="6">
        <f t="shared" si="161"/>
        <v>0</v>
      </c>
      <c r="N523" s="94" t="str">
        <f t="shared" si="162"/>
        <v/>
      </c>
      <c r="O523" s="6"/>
      <c r="P523" s="6"/>
      <c r="Q523" s="6"/>
      <c r="R523" s="6"/>
      <c r="T523" s="136" t="str">
        <f t="shared" si="163"/>
        <v/>
      </c>
      <c r="U523" s="137" t="str">
        <f t="shared" si="164"/>
        <v/>
      </c>
      <c r="V523" s="1"/>
      <c r="Y523" s="90" t="str">
        <f t="shared" si="165"/>
        <v/>
      </c>
      <c r="AC523" s="6" t="s">
        <v>3631</v>
      </c>
      <c r="AD523" s="6" t="s">
        <v>7044</v>
      </c>
      <c r="AE523" s="158" t="s">
        <v>3778</v>
      </c>
      <c r="AF523" s="159" t="s">
        <v>8339</v>
      </c>
      <c r="AG523" s="160">
        <v>896414</v>
      </c>
      <c r="AH523" s="194" t="s">
        <v>1314</v>
      </c>
      <c r="AI523" s="6">
        <v>675438</v>
      </c>
      <c r="AJ523" s="3" t="s">
        <v>8221</v>
      </c>
      <c r="AK523" t="s">
        <v>8669</v>
      </c>
      <c r="AL523" s="29"/>
      <c r="AM523" s="6" t="s">
        <v>5173</v>
      </c>
      <c r="AN523" t="s">
        <v>6333</v>
      </c>
      <c r="AV523"/>
      <c r="AX523"/>
      <c r="AZ523" t="str">
        <f t="shared" si="166"/>
        <v/>
      </c>
      <c r="BA523" t="str">
        <f t="shared" si="167"/>
        <v/>
      </c>
    </row>
    <row r="524" spans="1:53" ht="13.5">
      <c r="A524" s="135" t="str">
        <f t="shared" si="150"/>
        <v/>
      </c>
      <c r="B524" s="19" t="str">
        <f t="shared" si="151"/>
        <v/>
      </c>
      <c r="C524" s="19" t="str">
        <f t="shared" si="152"/>
        <v/>
      </c>
      <c r="D524" s="19" t="str">
        <f t="shared" si="153"/>
        <v/>
      </c>
      <c r="E524" s="5" t="str">
        <f t="shared" si="157"/>
        <v/>
      </c>
      <c r="F524" s="12" t="str">
        <f t="shared" si="158"/>
        <v/>
      </c>
      <c r="K524" s="9" t="str">
        <f t="shared" si="159"/>
        <v/>
      </c>
      <c r="L524" s="6">
        <f t="shared" si="160"/>
        <v>0</v>
      </c>
      <c r="M524" s="6">
        <f t="shared" si="161"/>
        <v>0</v>
      </c>
      <c r="N524" s="94" t="str">
        <f t="shared" si="162"/>
        <v/>
      </c>
      <c r="O524" s="6"/>
      <c r="P524" s="6"/>
      <c r="Q524" s="6"/>
      <c r="R524" s="6"/>
      <c r="T524" s="136" t="str">
        <f t="shared" si="163"/>
        <v/>
      </c>
      <c r="U524" s="137" t="str">
        <f t="shared" si="164"/>
        <v/>
      </c>
      <c r="V524" s="1"/>
      <c r="Y524" s="90" t="str">
        <f t="shared" si="165"/>
        <v/>
      </c>
      <c r="AC524" s="6">
        <v>105580</v>
      </c>
      <c r="AD524" s="6" t="s">
        <v>7052</v>
      </c>
      <c r="AE524" s="158" t="s">
        <v>3779</v>
      </c>
      <c r="AF524" s="159" t="s">
        <v>8355</v>
      </c>
      <c r="AG524" s="160">
        <v>896415</v>
      </c>
      <c r="AH524" s="194" t="s">
        <v>679</v>
      </c>
      <c r="AI524" s="6" t="s">
        <v>5716</v>
      </c>
      <c r="AJ524" s="3" t="s">
        <v>8206</v>
      </c>
      <c r="AK524" t="s">
        <v>8206</v>
      </c>
      <c r="AL524" s="29"/>
      <c r="AM524" s="6" t="s">
        <v>5141</v>
      </c>
      <c r="AN524" t="s">
        <v>6334</v>
      </c>
      <c r="AV524"/>
      <c r="AX524"/>
      <c r="AZ524" t="str">
        <f t="shared" si="166"/>
        <v/>
      </c>
      <c r="BA524" t="str">
        <f t="shared" si="167"/>
        <v/>
      </c>
    </row>
    <row r="525" spans="1:53" ht="13.5">
      <c r="A525" s="135" t="str">
        <f t="shared" si="150"/>
        <v/>
      </c>
      <c r="B525" s="19" t="str">
        <f t="shared" si="151"/>
        <v/>
      </c>
      <c r="C525" s="19" t="str">
        <f t="shared" si="152"/>
        <v/>
      </c>
      <c r="D525" s="19" t="str">
        <f t="shared" si="153"/>
        <v/>
      </c>
      <c r="E525" s="5" t="str">
        <f t="shared" si="157"/>
        <v/>
      </c>
      <c r="F525" s="12" t="str">
        <f t="shared" si="158"/>
        <v/>
      </c>
      <c r="K525" s="9" t="str">
        <f t="shared" si="159"/>
        <v/>
      </c>
      <c r="L525" s="6">
        <f t="shared" si="160"/>
        <v>0</v>
      </c>
      <c r="M525" s="6">
        <f t="shared" si="161"/>
        <v>0</v>
      </c>
      <c r="N525" s="94" t="str">
        <f t="shared" si="162"/>
        <v/>
      </c>
      <c r="O525" s="6"/>
      <c r="P525" s="6"/>
      <c r="Q525" s="6"/>
      <c r="R525" s="6"/>
      <c r="T525" s="136" t="str">
        <f t="shared" si="163"/>
        <v/>
      </c>
      <c r="U525" s="137" t="str">
        <f t="shared" si="164"/>
        <v/>
      </c>
      <c r="V525" s="1"/>
      <c r="Y525" s="90" t="str">
        <f t="shared" si="165"/>
        <v/>
      </c>
      <c r="AC525" s="6" t="s">
        <v>3844</v>
      </c>
      <c r="AD525" s="6" t="s">
        <v>7053</v>
      </c>
      <c r="AE525" s="158" t="s">
        <v>3780</v>
      </c>
      <c r="AF525" s="159" t="s">
        <v>8339</v>
      </c>
      <c r="AG525" s="160">
        <v>906417</v>
      </c>
      <c r="AH525" s="194" t="s">
        <v>679</v>
      </c>
      <c r="AI525" s="6" t="s">
        <v>5545</v>
      </c>
      <c r="AJ525" s="3" t="s">
        <v>8234</v>
      </c>
      <c r="AK525" t="s">
        <v>8234</v>
      </c>
      <c r="AL525" s="29"/>
      <c r="AM525" s="6" t="s">
        <v>5065</v>
      </c>
      <c r="AN525" t="s">
        <v>6335</v>
      </c>
      <c r="AV525"/>
      <c r="AX525"/>
      <c r="AZ525" t="str">
        <f t="shared" si="166"/>
        <v/>
      </c>
      <c r="BA525" t="str">
        <f t="shared" si="167"/>
        <v/>
      </c>
    </row>
    <row r="526" spans="1:53" ht="13.5">
      <c r="A526" s="135" t="str">
        <f t="shared" si="150"/>
        <v/>
      </c>
      <c r="B526" s="19" t="str">
        <f t="shared" si="151"/>
        <v/>
      </c>
      <c r="C526" s="19" t="str">
        <f t="shared" si="152"/>
        <v/>
      </c>
      <c r="D526" s="19" t="str">
        <f t="shared" si="153"/>
        <v/>
      </c>
      <c r="E526" s="5" t="str">
        <f t="shared" si="157"/>
        <v/>
      </c>
      <c r="F526" s="12" t="str">
        <f t="shared" si="158"/>
        <v/>
      </c>
      <c r="K526" s="9" t="str">
        <f t="shared" si="159"/>
        <v/>
      </c>
      <c r="L526" s="6">
        <f t="shared" si="160"/>
        <v>0</v>
      </c>
      <c r="M526" s="6">
        <f t="shared" si="161"/>
        <v>0</v>
      </c>
      <c r="N526" s="94" t="str">
        <f t="shared" si="162"/>
        <v/>
      </c>
      <c r="O526" s="6"/>
      <c r="P526" s="6"/>
      <c r="Q526" s="6"/>
      <c r="R526" s="6"/>
      <c r="T526" s="136" t="str">
        <f t="shared" si="163"/>
        <v/>
      </c>
      <c r="U526" s="137" t="str">
        <f t="shared" si="164"/>
        <v/>
      </c>
      <c r="V526" s="1"/>
      <c r="Y526" s="90" t="str">
        <f t="shared" si="165"/>
        <v/>
      </c>
      <c r="AC526" s="6">
        <v>105572</v>
      </c>
      <c r="AD526" s="6" t="s">
        <v>7054</v>
      </c>
      <c r="AE526" s="158" t="s">
        <v>3781</v>
      </c>
      <c r="AF526" s="159" t="s">
        <v>8299</v>
      </c>
      <c r="AG526" s="160">
        <v>916421</v>
      </c>
      <c r="AH526" s="194" t="s">
        <v>1314</v>
      </c>
      <c r="AI526" s="6" t="s">
        <v>4453</v>
      </c>
      <c r="AJ526" s="3" t="s">
        <v>8208</v>
      </c>
      <c r="AK526" t="s">
        <v>8667</v>
      </c>
      <c r="AL526" s="29"/>
      <c r="AM526" s="6" t="s">
        <v>5177</v>
      </c>
      <c r="AN526" t="s">
        <v>6336</v>
      </c>
      <c r="AV526"/>
      <c r="AX526"/>
      <c r="AZ526" t="str">
        <f t="shared" si="166"/>
        <v/>
      </c>
      <c r="BA526" t="str">
        <f t="shared" si="167"/>
        <v/>
      </c>
    </row>
    <row r="527" spans="1:53" ht="13.5">
      <c r="A527" s="135" t="str">
        <f t="shared" si="150"/>
        <v/>
      </c>
      <c r="B527" s="19" t="str">
        <f t="shared" si="151"/>
        <v/>
      </c>
      <c r="C527" s="19" t="str">
        <f t="shared" si="152"/>
        <v/>
      </c>
      <c r="D527" s="19" t="str">
        <f t="shared" si="153"/>
        <v/>
      </c>
      <c r="E527" s="5" t="str">
        <f t="shared" si="157"/>
        <v/>
      </c>
      <c r="F527" s="12" t="str">
        <f t="shared" si="158"/>
        <v/>
      </c>
      <c r="K527" s="9" t="str">
        <f t="shared" si="159"/>
        <v/>
      </c>
      <c r="L527" s="6">
        <f t="shared" si="160"/>
        <v>0</v>
      </c>
      <c r="M527" s="6">
        <f t="shared" si="161"/>
        <v>0</v>
      </c>
      <c r="N527" s="94" t="str">
        <f t="shared" si="162"/>
        <v/>
      </c>
      <c r="O527" s="6"/>
      <c r="P527" s="6"/>
      <c r="Q527" s="6"/>
      <c r="R527" s="6"/>
      <c r="T527" s="136" t="str">
        <f t="shared" si="163"/>
        <v/>
      </c>
      <c r="U527" s="137" t="str">
        <f t="shared" si="164"/>
        <v/>
      </c>
      <c r="V527" s="1"/>
      <c r="Y527" s="90" t="str">
        <f t="shared" si="165"/>
        <v/>
      </c>
      <c r="AC527" s="6">
        <v>165819</v>
      </c>
      <c r="AD527" s="6" t="s">
        <v>6990</v>
      </c>
      <c r="AE527" s="158" t="s">
        <v>3782</v>
      </c>
      <c r="AF527" s="159" t="s">
        <v>8299</v>
      </c>
      <c r="AG527" s="160">
        <v>916422</v>
      </c>
      <c r="AH527" s="194" t="s">
        <v>679</v>
      </c>
      <c r="AI527" s="6" t="s">
        <v>434</v>
      </c>
      <c r="AJ527" s="3" t="s">
        <v>8201</v>
      </c>
      <c r="AK527" t="s">
        <v>8666</v>
      </c>
      <c r="AL527" s="29"/>
      <c r="AM527" s="6" t="s">
        <v>5095</v>
      </c>
      <c r="AN527" t="s">
        <v>6337</v>
      </c>
      <c r="AV527"/>
      <c r="AX527"/>
      <c r="AZ527" t="str">
        <f t="shared" si="166"/>
        <v/>
      </c>
      <c r="BA527" t="str">
        <f t="shared" si="167"/>
        <v/>
      </c>
    </row>
    <row r="528" spans="1:53" ht="13.5">
      <c r="A528" s="135" t="str">
        <f t="shared" si="150"/>
        <v/>
      </c>
      <c r="B528" s="19" t="str">
        <f t="shared" si="151"/>
        <v/>
      </c>
      <c r="C528" s="19" t="str">
        <f t="shared" si="152"/>
        <v/>
      </c>
      <c r="D528" s="19" t="str">
        <f t="shared" si="153"/>
        <v/>
      </c>
      <c r="E528" s="5" t="str">
        <f t="shared" si="157"/>
        <v/>
      </c>
      <c r="F528" s="12" t="str">
        <f t="shared" si="158"/>
        <v/>
      </c>
      <c r="K528" s="9" t="str">
        <f t="shared" si="159"/>
        <v/>
      </c>
      <c r="L528" s="6">
        <f t="shared" si="160"/>
        <v>0</v>
      </c>
      <c r="M528" s="6">
        <f t="shared" si="161"/>
        <v>0</v>
      </c>
      <c r="N528" s="94" t="str">
        <f t="shared" si="162"/>
        <v/>
      </c>
      <c r="O528" s="6"/>
      <c r="P528" s="6"/>
      <c r="Q528" s="6"/>
      <c r="R528" s="6"/>
      <c r="T528" s="136" t="str">
        <f t="shared" si="163"/>
        <v/>
      </c>
      <c r="U528" s="137" t="str">
        <f t="shared" si="164"/>
        <v/>
      </c>
      <c r="V528" s="1"/>
      <c r="Y528" s="90" t="str">
        <f t="shared" si="165"/>
        <v/>
      </c>
      <c r="AC528" s="6">
        <v>796325</v>
      </c>
      <c r="AD528" s="6" t="s">
        <v>6999</v>
      </c>
      <c r="AE528" s="158" t="s">
        <v>3783</v>
      </c>
      <c r="AF528" s="159" t="s">
        <v>8299</v>
      </c>
      <c r="AG528" s="160">
        <v>916423</v>
      </c>
      <c r="AH528" s="194" t="s">
        <v>1314</v>
      </c>
      <c r="AI528" s="6" t="s">
        <v>4819</v>
      </c>
      <c r="AJ528" s="3" t="s">
        <v>8220</v>
      </c>
      <c r="AK528" t="s">
        <v>8220</v>
      </c>
      <c r="AL528" s="29"/>
      <c r="AM528" s="6" t="s">
        <v>5041</v>
      </c>
      <c r="AN528" t="s">
        <v>6338</v>
      </c>
      <c r="AV528"/>
      <c r="AX528"/>
      <c r="AZ528" t="str">
        <f t="shared" si="166"/>
        <v/>
      </c>
      <c r="BA528" t="str">
        <f t="shared" si="167"/>
        <v/>
      </c>
    </row>
    <row r="529" spans="1:53" ht="13.5">
      <c r="A529" s="135" t="str">
        <f t="shared" si="150"/>
        <v/>
      </c>
      <c r="B529" s="19" t="str">
        <f t="shared" si="151"/>
        <v/>
      </c>
      <c r="C529" s="19" t="str">
        <f t="shared" si="152"/>
        <v/>
      </c>
      <c r="D529" s="19" t="str">
        <f t="shared" si="153"/>
        <v/>
      </c>
      <c r="E529" s="5" t="str">
        <f t="shared" si="157"/>
        <v/>
      </c>
      <c r="F529" s="12" t="str">
        <f t="shared" si="158"/>
        <v/>
      </c>
      <c r="K529" s="9" t="str">
        <f t="shared" si="159"/>
        <v/>
      </c>
      <c r="L529" s="6">
        <f t="shared" si="160"/>
        <v>0</v>
      </c>
      <c r="M529" s="6">
        <f t="shared" si="161"/>
        <v>0</v>
      </c>
      <c r="N529" s="94" t="str">
        <f t="shared" si="162"/>
        <v/>
      </c>
      <c r="O529" s="6"/>
      <c r="P529" s="6"/>
      <c r="Q529" s="6"/>
      <c r="R529" s="6"/>
      <c r="T529" s="136" t="str">
        <f t="shared" si="163"/>
        <v/>
      </c>
      <c r="U529" s="137" t="str">
        <f t="shared" si="164"/>
        <v/>
      </c>
      <c r="V529" s="1"/>
      <c r="Y529" s="90" t="str">
        <f t="shared" si="165"/>
        <v/>
      </c>
      <c r="AC529" s="6" t="s">
        <v>3590</v>
      </c>
      <c r="AD529" s="6" t="s">
        <v>7046</v>
      </c>
      <c r="AE529" s="158" t="s">
        <v>3784</v>
      </c>
      <c r="AF529" s="159" t="s">
        <v>8311</v>
      </c>
      <c r="AG529" s="160">
        <v>926427</v>
      </c>
      <c r="AH529" s="194" t="s">
        <v>679</v>
      </c>
      <c r="AI529" s="6" t="s">
        <v>5706</v>
      </c>
      <c r="AJ529" s="3" t="s">
        <v>8241</v>
      </c>
      <c r="AK529" t="s">
        <v>8675</v>
      </c>
      <c r="AL529" s="29"/>
      <c r="AM529" s="6" t="s">
        <v>5269</v>
      </c>
      <c r="AN529" t="s">
        <v>6339</v>
      </c>
      <c r="AV529"/>
      <c r="AX529"/>
      <c r="AZ529" t="str">
        <f t="shared" si="166"/>
        <v/>
      </c>
      <c r="BA529" t="str">
        <f t="shared" si="167"/>
        <v/>
      </c>
    </row>
    <row r="530" spans="1:53" ht="13.5">
      <c r="A530" s="135" t="str">
        <f t="shared" si="150"/>
        <v/>
      </c>
      <c r="B530" s="19" t="str">
        <f t="shared" si="151"/>
        <v/>
      </c>
      <c r="C530" s="19" t="str">
        <f t="shared" si="152"/>
        <v/>
      </c>
      <c r="D530" s="19" t="str">
        <f t="shared" si="153"/>
        <v/>
      </c>
      <c r="E530" s="5" t="str">
        <f t="shared" si="157"/>
        <v/>
      </c>
      <c r="F530" s="12" t="str">
        <f t="shared" si="158"/>
        <v/>
      </c>
      <c r="K530" s="9" t="str">
        <f t="shared" si="159"/>
        <v/>
      </c>
      <c r="L530" s="6">
        <f t="shared" si="160"/>
        <v>0</v>
      </c>
      <c r="M530" s="6">
        <f t="shared" si="161"/>
        <v>0</v>
      </c>
      <c r="N530" s="94" t="str">
        <f t="shared" si="162"/>
        <v/>
      </c>
      <c r="O530" s="6"/>
      <c r="P530" s="6"/>
      <c r="Q530" s="6"/>
      <c r="R530" s="6"/>
      <c r="T530" s="136" t="str">
        <f t="shared" si="163"/>
        <v/>
      </c>
      <c r="U530" s="137" t="str">
        <f t="shared" si="164"/>
        <v/>
      </c>
      <c r="V530" s="1"/>
      <c r="Y530" s="90" t="str">
        <f t="shared" si="165"/>
        <v/>
      </c>
      <c r="AC530" s="6" t="s">
        <v>3843</v>
      </c>
      <c r="AD530" s="6" t="s">
        <v>7053</v>
      </c>
      <c r="AE530" s="158" t="s">
        <v>3785</v>
      </c>
      <c r="AF530" s="159" t="s">
        <v>8339</v>
      </c>
      <c r="AG530" s="160">
        <v>926428</v>
      </c>
      <c r="AH530" s="194" t="s">
        <v>679</v>
      </c>
      <c r="AI530" s="6" t="s">
        <v>2777</v>
      </c>
      <c r="AJ530" s="3" t="s">
        <v>8251</v>
      </c>
      <c r="AK530" t="s">
        <v>8251</v>
      </c>
      <c r="AL530" s="29"/>
      <c r="AM530" s="6" t="s">
        <v>5145</v>
      </c>
      <c r="AN530" t="s">
        <v>6340</v>
      </c>
      <c r="AV530"/>
      <c r="AX530"/>
      <c r="AZ530" t="str">
        <f t="shared" si="166"/>
        <v/>
      </c>
      <c r="BA530" t="str">
        <f t="shared" si="167"/>
        <v/>
      </c>
    </row>
    <row r="531" spans="1:53" ht="13.5">
      <c r="A531" s="135" t="str">
        <f t="shared" si="150"/>
        <v/>
      </c>
      <c r="B531" s="19" t="str">
        <f t="shared" si="151"/>
        <v/>
      </c>
      <c r="C531" s="19" t="str">
        <f t="shared" si="152"/>
        <v/>
      </c>
      <c r="D531" s="19" t="str">
        <f t="shared" si="153"/>
        <v/>
      </c>
      <c r="E531" s="5" t="str">
        <f t="shared" si="157"/>
        <v/>
      </c>
      <c r="F531" s="12" t="str">
        <f t="shared" si="158"/>
        <v/>
      </c>
      <c r="K531" s="9" t="str">
        <f t="shared" si="159"/>
        <v/>
      </c>
      <c r="L531" s="6">
        <f t="shared" si="160"/>
        <v>0</v>
      </c>
      <c r="M531" s="6">
        <f t="shared" si="161"/>
        <v>0</v>
      </c>
      <c r="N531" s="94" t="str">
        <f t="shared" si="162"/>
        <v/>
      </c>
      <c r="O531" s="6"/>
      <c r="P531" s="6"/>
      <c r="Q531" s="6"/>
      <c r="R531" s="6"/>
      <c r="T531" s="136" t="str">
        <f t="shared" si="163"/>
        <v/>
      </c>
      <c r="U531" s="137" t="str">
        <f t="shared" si="164"/>
        <v/>
      </c>
      <c r="V531" s="1"/>
      <c r="Y531" s="90" t="str">
        <f t="shared" si="165"/>
        <v/>
      </c>
      <c r="AC531" s="6" t="s">
        <v>3839</v>
      </c>
      <c r="AD531" s="6" t="s">
        <v>7055</v>
      </c>
      <c r="AE531" s="158" t="s">
        <v>3786</v>
      </c>
      <c r="AF531" s="159" t="s">
        <v>8309</v>
      </c>
      <c r="AG531" s="160">
        <v>926429</v>
      </c>
      <c r="AH531" s="194" t="s">
        <v>679</v>
      </c>
      <c r="AI531" s="6" t="s">
        <v>1305</v>
      </c>
      <c r="AJ531" s="3" t="s">
        <v>8256</v>
      </c>
      <c r="AK531" t="s">
        <v>8256</v>
      </c>
      <c r="AL531" s="29"/>
      <c r="AM531" s="6" t="s">
        <v>5106</v>
      </c>
      <c r="AN531" t="s">
        <v>6341</v>
      </c>
      <c r="AV531"/>
      <c r="AX531"/>
      <c r="AZ531" t="str">
        <f t="shared" si="166"/>
        <v/>
      </c>
      <c r="BA531" t="str">
        <f t="shared" si="167"/>
        <v/>
      </c>
    </row>
    <row r="532" spans="1:53" ht="13.5">
      <c r="A532" s="135" t="str">
        <f t="shared" si="150"/>
        <v/>
      </c>
      <c r="B532" s="19" t="str">
        <f t="shared" si="151"/>
        <v/>
      </c>
      <c r="C532" s="19" t="str">
        <f t="shared" si="152"/>
        <v/>
      </c>
      <c r="D532" s="19" t="str">
        <f t="shared" si="153"/>
        <v/>
      </c>
      <c r="E532" s="5" t="str">
        <f t="shared" si="157"/>
        <v/>
      </c>
      <c r="F532" s="12" t="str">
        <f t="shared" si="158"/>
        <v/>
      </c>
      <c r="K532" s="9" t="str">
        <f t="shared" si="159"/>
        <v/>
      </c>
      <c r="L532" s="6">
        <f t="shared" si="160"/>
        <v>0</v>
      </c>
      <c r="M532" s="6">
        <f t="shared" si="161"/>
        <v>0</v>
      </c>
      <c r="N532" s="94" t="str">
        <f t="shared" si="162"/>
        <v/>
      </c>
      <c r="O532" s="6"/>
      <c r="P532" s="6"/>
      <c r="Q532" s="6"/>
      <c r="R532" s="6"/>
      <c r="T532" s="136" t="str">
        <f t="shared" si="163"/>
        <v/>
      </c>
      <c r="U532" s="137" t="str">
        <f t="shared" si="164"/>
        <v/>
      </c>
      <c r="V532" s="1"/>
      <c r="Y532" s="90" t="str">
        <f t="shared" si="165"/>
        <v/>
      </c>
      <c r="AC532" s="6" t="s">
        <v>3840</v>
      </c>
      <c r="AD532" s="6" t="s">
        <v>7055</v>
      </c>
      <c r="AE532" s="158" t="s">
        <v>3787</v>
      </c>
      <c r="AF532" s="159" t="s">
        <v>8299</v>
      </c>
      <c r="AG532" s="160">
        <v>936430</v>
      </c>
      <c r="AH532" s="194" t="s">
        <v>679</v>
      </c>
      <c r="AI532" s="6" t="s">
        <v>4838</v>
      </c>
      <c r="AJ532" s="3" t="s">
        <v>8206</v>
      </c>
      <c r="AK532" t="s">
        <v>8206</v>
      </c>
      <c r="AL532" s="29"/>
      <c r="AM532" s="6" t="s">
        <v>5099</v>
      </c>
      <c r="AN532" t="s">
        <v>6342</v>
      </c>
      <c r="AV532"/>
      <c r="AX532"/>
      <c r="AZ532" t="str">
        <f t="shared" si="166"/>
        <v/>
      </c>
      <c r="BA532" t="str">
        <f t="shared" si="167"/>
        <v/>
      </c>
    </row>
    <row r="533" spans="1:53" ht="13.5">
      <c r="A533" s="135" t="str">
        <f t="shared" si="150"/>
        <v/>
      </c>
      <c r="B533" s="19" t="str">
        <f t="shared" si="151"/>
        <v/>
      </c>
      <c r="C533" s="19" t="str">
        <f t="shared" si="152"/>
        <v/>
      </c>
      <c r="D533" s="19" t="str">
        <f t="shared" si="153"/>
        <v/>
      </c>
      <c r="E533" s="5" t="str">
        <f t="shared" si="157"/>
        <v/>
      </c>
      <c r="F533" s="12" t="str">
        <f t="shared" si="158"/>
        <v/>
      </c>
      <c r="K533" s="9" t="str">
        <f t="shared" si="159"/>
        <v/>
      </c>
      <c r="L533" s="6">
        <f t="shared" si="160"/>
        <v>0</v>
      </c>
      <c r="M533" s="6">
        <f t="shared" si="161"/>
        <v>0</v>
      </c>
      <c r="N533" s="94" t="str">
        <f t="shared" si="162"/>
        <v/>
      </c>
      <c r="O533" s="6"/>
      <c r="P533" s="6"/>
      <c r="Q533" s="6"/>
      <c r="R533" s="6"/>
      <c r="T533" s="136" t="str">
        <f t="shared" si="163"/>
        <v/>
      </c>
      <c r="U533" s="137" t="str">
        <f t="shared" si="164"/>
        <v/>
      </c>
      <c r="V533" s="1"/>
      <c r="Y533" s="90" t="str">
        <f t="shared" si="165"/>
        <v/>
      </c>
      <c r="AC533" s="6">
        <v>946439</v>
      </c>
      <c r="AD533" s="6" t="s">
        <v>7043</v>
      </c>
      <c r="AE533" s="158" t="s">
        <v>3788</v>
      </c>
      <c r="AF533" s="159" t="s">
        <v>8356</v>
      </c>
      <c r="AG533" s="160">
        <v>936431</v>
      </c>
      <c r="AH533" s="194" t="s">
        <v>679</v>
      </c>
      <c r="AI533" s="6" t="s">
        <v>1239</v>
      </c>
      <c r="AJ533" s="3" t="s">
        <v>8206</v>
      </c>
      <c r="AK533" t="s">
        <v>8206</v>
      </c>
      <c r="AL533" s="29"/>
      <c r="AM533" s="6" t="s">
        <v>5185</v>
      </c>
      <c r="AN533" t="s">
        <v>6343</v>
      </c>
      <c r="AV533"/>
      <c r="AX533"/>
      <c r="AZ533" t="str">
        <f t="shared" si="166"/>
        <v/>
      </c>
      <c r="BA533" t="str">
        <f t="shared" si="167"/>
        <v/>
      </c>
    </row>
    <row r="534" spans="1:53" ht="13.5">
      <c r="A534" s="135" t="str">
        <f t="shared" si="150"/>
        <v/>
      </c>
      <c r="B534" s="19" t="str">
        <f t="shared" si="151"/>
        <v/>
      </c>
      <c r="C534" s="19" t="str">
        <f t="shared" si="152"/>
        <v/>
      </c>
      <c r="D534" s="19" t="str">
        <f t="shared" si="153"/>
        <v/>
      </c>
      <c r="E534" s="5" t="str">
        <f t="shared" si="157"/>
        <v/>
      </c>
      <c r="F534" s="12" t="str">
        <f t="shared" si="158"/>
        <v/>
      </c>
      <c r="K534" s="9" t="str">
        <f t="shared" si="159"/>
        <v/>
      </c>
      <c r="L534" s="6">
        <f t="shared" si="160"/>
        <v>0</v>
      </c>
      <c r="M534" s="6">
        <f t="shared" si="161"/>
        <v>0</v>
      </c>
      <c r="N534" s="94" t="str">
        <f t="shared" si="162"/>
        <v/>
      </c>
      <c r="O534" s="6"/>
      <c r="P534" s="6"/>
      <c r="Q534" s="6"/>
      <c r="R534" s="6"/>
      <c r="T534" s="136" t="str">
        <f t="shared" si="163"/>
        <v/>
      </c>
      <c r="U534" s="137" t="str">
        <f t="shared" si="164"/>
        <v/>
      </c>
      <c r="V534" s="1"/>
      <c r="Y534" s="90" t="str">
        <f t="shared" si="165"/>
        <v/>
      </c>
      <c r="AC534" s="6" t="s">
        <v>3838</v>
      </c>
      <c r="AD534" s="6" t="s">
        <v>7056</v>
      </c>
      <c r="AE534" s="158" t="s">
        <v>3789</v>
      </c>
      <c r="AF534" s="159" t="s">
        <v>8299</v>
      </c>
      <c r="AG534" s="160">
        <v>936432</v>
      </c>
      <c r="AH534" s="194" t="s">
        <v>679</v>
      </c>
      <c r="AI534" s="6">
        <v>425709</v>
      </c>
      <c r="AJ534" s="3" t="s">
        <v>8251</v>
      </c>
      <c r="AK534" t="s">
        <v>8251</v>
      </c>
      <c r="AL534" s="29"/>
      <c r="AM534" s="6" t="s">
        <v>5258</v>
      </c>
      <c r="AN534" t="s">
        <v>6344</v>
      </c>
      <c r="AV534"/>
      <c r="AX534"/>
      <c r="AZ534" t="str">
        <f t="shared" si="166"/>
        <v/>
      </c>
      <c r="BA534" t="str">
        <f t="shared" si="167"/>
        <v/>
      </c>
    </row>
    <row r="535" spans="1:53" ht="13.5">
      <c r="A535" s="135" t="str">
        <f t="shared" si="150"/>
        <v/>
      </c>
      <c r="B535" s="19" t="str">
        <f t="shared" si="151"/>
        <v/>
      </c>
      <c r="C535" s="19" t="str">
        <f t="shared" si="152"/>
        <v/>
      </c>
      <c r="D535" s="19" t="str">
        <f t="shared" si="153"/>
        <v/>
      </c>
      <c r="E535" s="5" t="str">
        <f t="shared" si="157"/>
        <v/>
      </c>
      <c r="F535" s="12" t="str">
        <f t="shared" si="158"/>
        <v/>
      </c>
      <c r="K535" s="9" t="str">
        <f t="shared" si="159"/>
        <v/>
      </c>
      <c r="L535" s="6">
        <f t="shared" si="160"/>
        <v>0</v>
      </c>
      <c r="M535" s="6">
        <f t="shared" si="161"/>
        <v>0</v>
      </c>
      <c r="N535" s="94" t="str">
        <f t="shared" si="162"/>
        <v/>
      </c>
      <c r="O535" s="6"/>
      <c r="P535" s="6"/>
      <c r="Q535" s="6"/>
      <c r="R535" s="6"/>
      <c r="T535" s="136" t="str">
        <f t="shared" si="163"/>
        <v/>
      </c>
      <c r="U535" s="137" t="str">
        <f t="shared" si="164"/>
        <v/>
      </c>
      <c r="V535" s="1"/>
      <c r="Y535" s="90" t="str">
        <f t="shared" si="165"/>
        <v/>
      </c>
      <c r="AC535" s="6" t="s">
        <v>4202</v>
      </c>
      <c r="AD535" s="6" t="s">
        <v>7057</v>
      </c>
      <c r="AE535" s="158" t="s">
        <v>3790</v>
      </c>
      <c r="AF535" s="159" t="s">
        <v>8299</v>
      </c>
      <c r="AG535" s="160">
        <v>936433</v>
      </c>
      <c r="AH535" s="194" t="s">
        <v>679</v>
      </c>
      <c r="AI535" s="6" t="s">
        <v>5552</v>
      </c>
      <c r="AJ535" s="3" t="s">
        <v>8257</v>
      </c>
      <c r="AK535" t="s">
        <v>8257</v>
      </c>
      <c r="AL535" s="29"/>
      <c r="AM535" s="6" t="s">
        <v>5051</v>
      </c>
      <c r="AN535" t="s">
        <v>6345</v>
      </c>
      <c r="AV535"/>
      <c r="AX535"/>
      <c r="AZ535" t="str">
        <f t="shared" si="166"/>
        <v/>
      </c>
      <c r="BA535" t="str">
        <f t="shared" si="167"/>
        <v/>
      </c>
    </row>
    <row r="536" spans="1:53" ht="13.5">
      <c r="A536" s="135" t="str">
        <f t="shared" si="150"/>
        <v/>
      </c>
      <c r="B536" s="19" t="str">
        <f t="shared" si="151"/>
        <v/>
      </c>
      <c r="C536" s="19" t="str">
        <f t="shared" si="152"/>
        <v/>
      </c>
      <c r="D536" s="19" t="str">
        <f t="shared" si="153"/>
        <v/>
      </c>
      <c r="E536" s="5" t="str">
        <f t="shared" si="157"/>
        <v/>
      </c>
      <c r="F536" s="12" t="str">
        <f t="shared" si="158"/>
        <v/>
      </c>
      <c r="K536" s="9" t="str">
        <f t="shared" si="159"/>
        <v/>
      </c>
      <c r="L536" s="6">
        <f t="shared" si="160"/>
        <v>0</v>
      </c>
      <c r="M536" s="6">
        <f t="shared" si="161"/>
        <v>0</v>
      </c>
      <c r="N536" s="94" t="str">
        <f t="shared" si="162"/>
        <v/>
      </c>
      <c r="O536" s="6"/>
      <c r="P536" s="6"/>
      <c r="Q536" s="6"/>
      <c r="R536" s="6"/>
      <c r="T536" s="136" t="str">
        <f t="shared" si="163"/>
        <v/>
      </c>
      <c r="U536" s="137" t="str">
        <f t="shared" si="164"/>
        <v/>
      </c>
      <c r="V536" s="1"/>
      <c r="Y536" s="90" t="str">
        <f t="shared" si="165"/>
        <v/>
      </c>
      <c r="AC536" s="6" t="s">
        <v>3627</v>
      </c>
      <c r="AD536" s="6" t="s">
        <v>7044</v>
      </c>
      <c r="AE536" s="158" t="s">
        <v>3791</v>
      </c>
      <c r="AF536" s="159" t="s">
        <v>8339</v>
      </c>
      <c r="AG536" s="160">
        <v>936434</v>
      </c>
      <c r="AH536" s="194" t="s">
        <v>679</v>
      </c>
      <c r="AI536" s="6" t="s">
        <v>4496</v>
      </c>
      <c r="AJ536" s="3" t="s">
        <v>8217</v>
      </c>
      <c r="AK536" t="s">
        <v>8668</v>
      </c>
      <c r="AL536" s="29"/>
      <c r="AM536" s="6" t="s">
        <v>5251</v>
      </c>
      <c r="AN536" t="s">
        <v>6346</v>
      </c>
      <c r="AV536"/>
      <c r="AX536"/>
      <c r="AZ536" t="str">
        <f t="shared" si="166"/>
        <v/>
      </c>
      <c r="BA536" t="str">
        <f t="shared" si="167"/>
        <v/>
      </c>
    </row>
    <row r="537" spans="1:53" ht="13.5">
      <c r="A537" s="135" t="str">
        <f t="shared" si="150"/>
        <v/>
      </c>
      <c r="B537" s="19" t="str">
        <f t="shared" si="151"/>
        <v/>
      </c>
      <c r="C537" s="19" t="str">
        <f t="shared" si="152"/>
        <v/>
      </c>
      <c r="D537" s="19" t="str">
        <f t="shared" si="153"/>
        <v/>
      </c>
      <c r="E537" s="5" t="str">
        <f t="shared" si="157"/>
        <v/>
      </c>
      <c r="F537" s="12" t="str">
        <f t="shared" si="158"/>
        <v/>
      </c>
      <c r="K537" s="9" t="str">
        <f t="shared" si="159"/>
        <v/>
      </c>
      <c r="L537" s="6">
        <f t="shared" si="160"/>
        <v>0</v>
      </c>
      <c r="M537" s="6">
        <f t="shared" si="161"/>
        <v>0</v>
      </c>
      <c r="N537" s="94" t="str">
        <f t="shared" si="162"/>
        <v/>
      </c>
      <c r="O537" s="6"/>
      <c r="P537" s="6"/>
      <c r="Q537" s="6"/>
      <c r="R537" s="6"/>
      <c r="T537" s="136" t="str">
        <f t="shared" si="163"/>
        <v/>
      </c>
      <c r="U537" s="137" t="str">
        <f t="shared" si="164"/>
        <v/>
      </c>
      <c r="V537" s="1"/>
      <c r="Y537" s="90" t="str">
        <f t="shared" si="165"/>
        <v/>
      </c>
      <c r="AC537" s="6">
        <v>996469</v>
      </c>
      <c r="AD537" s="6" t="s">
        <v>7041</v>
      </c>
      <c r="AE537" s="158" t="s">
        <v>3792</v>
      </c>
      <c r="AF537" s="159" t="s">
        <v>8347</v>
      </c>
      <c r="AG537" s="160">
        <v>936435</v>
      </c>
      <c r="AH537" s="194" t="s">
        <v>1314</v>
      </c>
      <c r="AI537" s="6" t="s">
        <v>1282</v>
      </c>
      <c r="AJ537" s="3" t="s">
        <v>8227</v>
      </c>
      <c r="AK537" t="s">
        <v>8227</v>
      </c>
      <c r="AL537" s="29"/>
      <c r="AM537" s="6" t="s">
        <v>5256</v>
      </c>
      <c r="AN537" t="s">
        <v>6347</v>
      </c>
      <c r="AV537"/>
      <c r="AX537"/>
      <c r="AZ537" t="str">
        <f t="shared" si="166"/>
        <v/>
      </c>
      <c r="BA537" t="str">
        <f t="shared" si="167"/>
        <v/>
      </c>
    </row>
    <row r="538" spans="1:53" ht="13.5">
      <c r="A538" s="135" t="str">
        <f t="shared" si="150"/>
        <v/>
      </c>
      <c r="B538" s="19" t="str">
        <f t="shared" si="151"/>
        <v/>
      </c>
      <c r="C538" s="19" t="str">
        <f t="shared" si="152"/>
        <v/>
      </c>
      <c r="D538" s="19" t="str">
        <f t="shared" si="153"/>
        <v/>
      </c>
      <c r="E538" s="5" t="str">
        <f t="shared" si="157"/>
        <v/>
      </c>
      <c r="F538" s="12" t="str">
        <f t="shared" si="158"/>
        <v/>
      </c>
      <c r="K538" s="9" t="str">
        <f t="shared" si="159"/>
        <v/>
      </c>
      <c r="L538" s="6">
        <f t="shared" si="160"/>
        <v>0</v>
      </c>
      <c r="M538" s="6">
        <f t="shared" si="161"/>
        <v>0</v>
      </c>
      <c r="N538" s="94" t="str">
        <f t="shared" si="162"/>
        <v/>
      </c>
      <c r="O538" s="6"/>
      <c r="P538" s="6"/>
      <c r="Q538" s="6"/>
      <c r="R538" s="6"/>
      <c r="T538" s="136" t="str">
        <f t="shared" si="163"/>
        <v/>
      </c>
      <c r="U538" s="137" t="str">
        <f t="shared" si="164"/>
        <v/>
      </c>
      <c r="V538" s="1"/>
      <c r="Y538" s="90" t="str">
        <f t="shared" si="165"/>
        <v/>
      </c>
      <c r="AC538" s="6" t="s">
        <v>4208</v>
      </c>
      <c r="AD538" s="6" t="s">
        <v>7058</v>
      </c>
      <c r="AE538" s="158" t="s">
        <v>3793</v>
      </c>
      <c r="AF538" s="159" t="s">
        <v>8299</v>
      </c>
      <c r="AG538" s="160">
        <v>946437</v>
      </c>
      <c r="AH538" s="194" t="s">
        <v>1314</v>
      </c>
      <c r="AI538" s="6" t="s">
        <v>5101</v>
      </c>
      <c r="AJ538" s="3" t="s">
        <v>8227</v>
      </c>
      <c r="AK538" t="s">
        <v>8227</v>
      </c>
      <c r="AL538" s="29"/>
      <c r="AM538" s="6" t="s">
        <v>5265</v>
      </c>
      <c r="AN538" t="s">
        <v>6348</v>
      </c>
      <c r="AV538"/>
      <c r="AX538"/>
      <c r="AZ538" t="str">
        <f t="shared" si="166"/>
        <v/>
      </c>
      <c r="BA538" t="str">
        <f t="shared" si="167"/>
        <v/>
      </c>
    </row>
    <row r="539" spans="1:53" ht="13.5">
      <c r="A539" s="135" t="str">
        <f t="shared" si="150"/>
        <v/>
      </c>
      <c r="B539" s="19" t="str">
        <f t="shared" si="151"/>
        <v/>
      </c>
      <c r="C539" s="19" t="str">
        <f t="shared" si="152"/>
        <v/>
      </c>
      <c r="D539" s="19" t="str">
        <f t="shared" si="153"/>
        <v/>
      </c>
      <c r="E539" s="5" t="str">
        <f t="shared" si="157"/>
        <v/>
      </c>
      <c r="F539" s="12" t="str">
        <f t="shared" si="158"/>
        <v/>
      </c>
      <c r="K539" s="9" t="str">
        <f t="shared" si="159"/>
        <v/>
      </c>
      <c r="L539" s="6">
        <f t="shared" si="160"/>
        <v>0</v>
      </c>
      <c r="M539" s="6">
        <f t="shared" si="161"/>
        <v>0</v>
      </c>
      <c r="N539" s="94" t="str">
        <f t="shared" si="162"/>
        <v/>
      </c>
      <c r="O539" s="6"/>
      <c r="P539" s="6"/>
      <c r="Q539" s="6"/>
      <c r="R539" s="6"/>
      <c r="T539" s="136" t="str">
        <f t="shared" si="163"/>
        <v/>
      </c>
      <c r="U539" s="137" t="str">
        <f t="shared" si="164"/>
        <v/>
      </c>
      <c r="V539" s="1"/>
      <c r="Y539" s="90" t="str">
        <f t="shared" si="165"/>
        <v/>
      </c>
      <c r="AC539" s="6">
        <v>106332</v>
      </c>
      <c r="AD539" s="6" t="s">
        <v>7008</v>
      </c>
      <c r="AE539" s="158" t="s">
        <v>3794</v>
      </c>
      <c r="AF539" s="159" t="s">
        <v>8299</v>
      </c>
      <c r="AG539" s="160">
        <v>946438</v>
      </c>
      <c r="AH539" s="194" t="s">
        <v>1314</v>
      </c>
      <c r="AI539" s="6" t="s">
        <v>1243</v>
      </c>
      <c r="AJ539" s="3" t="s">
        <v>8232</v>
      </c>
      <c r="AK539" t="s">
        <v>8232</v>
      </c>
      <c r="AL539" s="29"/>
      <c r="AM539" s="6" t="s">
        <v>5261</v>
      </c>
      <c r="AN539" t="s">
        <v>6349</v>
      </c>
      <c r="AV539"/>
      <c r="AX539"/>
      <c r="AZ539" t="str">
        <f t="shared" si="166"/>
        <v/>
      </c>
      <c r="BA539" t="str">
        <f t="shared" si="167"/>
        <v/>
      </c>
    </row>
    <row r="540" spans="1:53" ht="13.5">
      <c r="A540" s="135" t="str">
        <f t="shared" si="150"/>
        <v/>
      </c>
      <c r="B540" s="19" t="str">
        <f t="shared" si="151"/>
        <v/>
      </c>
      <c r="C540" s="19" t="str">
        <f t="shared" si="152"/>
        <v/>
      </c>
      <c r="D540" s="19" t="str">
        <f t="shared" si="153"/>
        <v/>
      </c>
      <c r="E540" s="5" t="str">
        <f t="shared" si="157"/>
        <v/>
      </c>
      <c r="F540" s="12" t="str">
        <f t="shared" si="158"/>
        <v/>
      </c>
      <c r="K540" s="9" t="str">
        <f t="shared" si="159"/>
        <v/>
      </c>
      <c r="L540" s="6">
        <f t="shared" si="160"/>
        <v>0</v>
      </c>
      <c r="M540" s="6">
        <f t="shared" si="161"/>
        <v>0</v>
      </c>
      <c r="N540" s="94" t="str">
        <f t="shared" si="162"/>
        <v/>
      </c>
      <c r="O540" s="6"/>
      <c r="P540" s="6"/>
      <c r="Q540" s="6"/>
      <c r="R540" s="6"/>
      <c r="T540" s="136" t="str">
        <f t="shared" si="163"/>
        <v/>
      </c>
      <c r="U540" s="137" t="str">
        <f t="shared" si="164"/>
        <v/>
      </c>
      <c r="V540" s="1"/>
      <c r="Y540" s="90" t="str">
        <f t="shared" si="165"/>
        <v/>
      </c>
      <c r="AC540" s="6" t="s">
        <v>4477</v>
      </c>
      <c r="AD540" s="6" t="s">
        <v>6994</v>
      </c>
      <c r="AE540" s="158" t="s">
        <v>3795</v>
      </c>
      <c r="AF540" s="159" t="s">
        <v>8299</v>
      </c>
      <c r="AG540" s="160">
        <v>946439</v>
      </c>
      <c r="AH540" s="194" t="s">
        <v>1314</v>
      </c>
      <c r="AI540" s="6" t="s">
        <v>2162</v>
      </c>
      <c r="AJ540" s="3" t="s">
        <v>8248</v>
      </c>
      <c r="AK540" t="s">
        <v>8248</v>
      </c>
      <c r="AL540" s="29"/>
      <c r="AM540" s="6" t="s">
        <v>5194</v>
      </c>
      <c r="AN540" t="s">
        <v>6350</v>
      </c>
      <c r="AV540"/>
      <c r="AX540"/>
      <c r="AZ540" t="str">
        <f t="shared" si="166"/>
        <v/>
      </c>
      <c r="BA540" t="str">
        <f t="shared" si="167"/>
        <v/>
      </c>
    </row>
    <row r="541" spans="1:53" ht="13.5">
      <c r="A541" s="135" t="str">
        <f t="shared" si="150"/>
        <v/>
      </c>
      <c r="B541" s="19" t="str">
        <f t="shared" si="151"/>
        <v/>
      </c>
      <c r="C541" s="19" t="str">
        <f t="shared" si="152"/>
        <v/>
      </c>
      <c r="D541" s="19" t="str">
        <f t="shared" si="153"/>
        <v/>
      </c>
      <c r="E541" s="5" t="str">
        <f t="shared" si="157"/>
        <v/>
      </c>
      <c r="F541" s="12" t="str">
        <f t="shared" si="158"/>
        <v/>
      </c>
      <c r="K541" s="9" t="str">
        <f t="shared" si="159"/>
        <v/>
      </c>
      <c r="L541" s="6">
        <f t="shared" si="160"/>
        <v>0</v>
      </c>
      <c r="M541" s="6">
        <f t="shared" si="161"/>
        <v>0</v>
      </c>
      <c r="N541" s="94" t="str">
        <f t="shared" si="162"/>
        <v/>
      </c>
      <c r="O541" s="6"/>
      <c r="P541" s="6"/>
      <c r="Q541" s="6"/>
      <c r="R541" s="6"/>
      <c r="T541" s="136" t="str">
        <f t="shared" si="163"/>
        <v/>
      </c>
      <c r="U541" s="137" t="str">
        <f t="shared" si="164"/>
        <v/>
      </c>
      <c r="V541" s="1"/>
      <c r="Y541" s="90" t="str">
        <f t="shared" si="165"/>
        <v/>
      </c>
      <c r="AC541" s="6">
        <v>105579</v>
      </c>
      <c r="AD541" s="6" t="s">
        <v>7052</v>
      </c>
      <c r="AE541" s="158" t="s">
        <v>3796</v>
      </c>
      <c r="AF541" s="159" t="s">
        <v>8340</v>
      </c>
      <c r="AG541" s="160">
        <v>946440</v>
      </c>
      <c r="AH541" s="194" t="s">
        <v>1314</v>
      </c>
      <c r="AI541" s="6" t="s">
        <v>5230</v>
      </c>
      <c r="AJ541" s="3" t="s">
        <v>8248</v>
      </c>
      <c r="AK541" t="s">
        <v>8248</v>
      </c>
      <c r="AL541" s="29"/>
      <c r="AM541" s="6" t="s">
        <v>5169</v>
      </c>
      <c r="AN541" t="s">
        <v>6351</v>
      </c>
      <c r="AV541"/>
      <c r="AX541"/>
      <c r="AZ541" t="str">
        <f t="shared" si="166"/>
        <v/>
      </c>
      <c r="BA541" t="str">
        <f t="shared" si="167"/>
        <v/>
      </c>
    </row>
    <row r="542" spans="1:53" ht="13.5">
      <c r="A542" s="135" t="str">
        <f t="shared" si="150"/>
        <v/>
      </c>
      <c r="B542" s="19" t="str">
        <f t="shared" si="151"/>
        <v/>
      </c>
      <c r="C542" s="19" t="str">
        <f t="shared" si="152"/>
        <v/>
      </c>
      <c r="D542" s="19" t="str">
        <f t="shared" si="153"/>
        <v/>
      </c>
      <c r="E542" s="5" t="str">
        <f t="shared" si="157"/>
        <v/>
      </c>
      <c r="F542" s="12" t="str">
        <f t="shared" si="158"/>
        <v/>
      </c>
      <c r="K542" s="9" t="str">
        <f t="shared" si="159"/>
        <v/>
      </c>
      <c r="L542" s="6">
        <f t="shared" si="160"/>
        <v>0</v>
      </c>
      <c r="M542" s="6">
        <f t="shared" si="161"/>
        <v>0</v>
      </c>
      <c r="N542" s="94" t="str">
        <f t="shared" si="162"/>
        <v/>
      </c>
      <c r="O542" s="6"/>
      <c r="P542" s="6"/>
      <c r="Q542" s="6"/>
      <c r="R542" s="6"/>
      <c r="T542" s="136" t="str">
        <f t="shared" si="163"/>
        <v/>
      </c>
      <c r="U542" s="137" t="str">
        <f t="shared" si="164"/>
        <v/>
      </c>
      <c r="V542" s="1"/>
      <c r="Y542" s="90" t="str">
        <f t="shared" si="165"/>
        <v/>
      </c>
      <c r="AC542" s="6" t="s">
        <v>3841</v>
      </c>
      <c r="AD542" s="6" t="s">
        <v>7055</v>
      </c>
      <c r="AE542" s="158" t="s">
        <v>1006</v>
      </c>
      <c r="AF542" s="159" t="s">
        <v>8299</v>
      </c>
      <c r="AG542" s="161">
        <v>956441</v>
      </c>
      <c r="AH542" s="194" t="s">
        <v>679</v>
      </c>
      <c r="AI542" s="6" t="s">
        <v>4498</v>
      </c>
      <c r="AJ542" s="3" t="s">
        <v>8234</v>
      </c>
      <c r="AK542" t="s">
        <v>8234</v>
      </c>
      <c r="AL542" s="29"/>
      <c r="AM542" s="6" t="s">
        <v>5034</v>
      </c>
      <c r="AN542" t="s">
        <v>6352</v>
      </c>
      <c r="AV542"/>
      <c r="AX542"/>
      <c r="AZ542" t="str">
        <f t="shared" si="166"/>
        <v/>
      </c>
      <c r="BA542" t="str">
        <f t="shared" si="167"/>
        <v/>
      </c>
    </row>
    <row r="543" spans="1:53" ht="13.5">
      <c r="A543" s="135" t="str">
        <f t="shared" si="150"/>
        <v/>
      </c>
      <c r="B543" s="19" t="str">
        <f t="shared" si="151"/>
        <v/>
      </c>
      <c r="C543" s="19" t="str">
        <f t="shared" si="152"/>
        <v/>
      </c>
      <c r="D543" s="19" t="str">
        <f t="shared" si="153"/>
        <v/>
      </c>
      <c r="E543" s="5" t="str">
        <f t="shared" si="157"/>
        <v/>
      </c>
      <c r="F543" s="12" t="str">
        <f t="shared" si="158"/>
        <v/>
      </c>
      <c r="K543" s="9" t="str">
        <f t="shared" si="159"/>
        <v/>
      </c>
      <c r="L543" s="6">
        <f t="shared" si="160"/>
        <v>0</v>
      </c>
      <c r="M543" s="6">
        <f t="shared" si="161"/>
        <v>0</v>
      </c>
      <c r="N543" s="94" t="str">
        <f t="shared" si="162"/>
        <v/>
      </c>
      <c r="O543" s="6"/>
      <c r="P543" s="6"/>
      <c r="Q543" s="6"/>
      <c r="R543" s="6"/>
      <c r="T543" s="136" t="str">
        <f t="shared" si="163"/>
        <v/>
      </c>
      <c r="U543" s="137" t="str">
        <f t="shared" si="164"/>
        <v/>
      </c>
      <c r="V543" s="1"/>
      <c r="Y543" s="90" t="str">
        <f t="shared" si="165"/>
        <v/>
      </c>
      <c r="AC543" s="6">
        <v>836350</v>
      </c>
      <c r="AD543" s="6" t="s">
        <v>7059</v>
      </c>
      <c r="AE543" s="158" t="s">
        <v>3797</v>
      </c>
      <c r="AF543" s="159" t="s">
        <v>8299</v>
      </c>
      <c r="AG543" s="160">
        <v>956442</v>
      </c>
      <c r="AH543" s="194" t="s">
        <v>679</v>
      </c>
      <c r="AI543" s="6" t="s">
        <v>5199</v>
      </c>
      <c r="AJ543" s="3" t="s">
        <v>8235</v>
      </c>
      <c r="AK543" t="s">
        <v>8672</v>
      </c>
      <c r="AL543" s="29"/>
      <c r="AM543" s="6" t="s">
        <v>5260</v>
      </c>
      <c r="AN543" t="s">
        <v>6353</v>
      </c>
      <c r="AV543"/>
      <c r="AX543"/>
      <c r="AZ543" t="str">
        <f t="shared" si="166"/>
        <v/>
      </c>
      <c r="BA543" t="str">
        <f t="shared" si="167"/>
        <v/>
      </c>
    </row>
    <row r="544" spans="1:53" ht="13.5">
      <c r="A544" s="135" t="str">
        <f t="shared" si="150"/>
        <v/>
      </c>
      <c r="B544" s="19" t="str">
        <f t="shared" si="151"/>
        <v/>
      </c>
      <c r="C544" s="19" t="str">
        <f t="shared" si="152"/>
        <v/>
      </c>
      <c r="D544" s="19" t="str">
        <f t="shared" si="153"/>
        <v/>
      </c>
      <c r="E544" s="5" t="str">
        <f t="shared" si="157"/>
        <v/>
      </c>
      <c r="F544" s="12" t="str">
        <f t="shared" si="158"/>
        <v/>
      </c>
      <c r="K544" s="9" t="str">
        <f t="shared" si="159"/>
        <v/>
      </c>
      <c r="L544" s="6">
        <f t="shared" si="160"/>
        <v>0</v>
      </c>
      <c r="M544" s="6">
        <f t="shared" si="161"/>
        <v>0</v>
      </c>
      <c r="N544" s="94" t="str">
        <f t="shared" si="162"/>
        <v/>
      </c>
      <c r="O544" s="6"/>
      <c r="P544" s="6"/>
      <c r="Q544" s="6"/>
      <c r="R544" s="6"/>
      <c r="T544" s="136" t="str">
        <f t="shared" si="163"/>
        <v/>
      </c>
      <c r="U544" s="137" t="str">
        <f t="shared" si="164"/>
        <v/>
      </c>
      <c r="V544" s="1"/>
      <c r="Y544" s="90" t="str">
        <f t="shared" si="165"/>
        <v/>
      </c>
      <c r="AC544" s="6">
        <v>165815</v>
      </c>
      <c r="AD544" s="6" t="s">
        <v>7060</v>
      </c>
      <c r="AE544" s="158" t="s">
        <v>3798</v>
      </c>
      <c r="AF544" s="159" t="s">
        <v>8299</v>
      </c>
      <c r="AG544" s="160">
        <v>966444</v>
      </c>
      <c r="AH544" s="194" t="s">
        <v>1314</v>
      </c>
      <c r="AI544" s="6" t="s">
        <v>4499</v>
      </c>
      <c r="AJ544" s="3" t="s">
        <v>8235</v>
      </c>
      <c r="AK544" t="s">
        <v>8672</v>
      </c>
      <c r="AL544" s="29"/>
      <c r="AM544" s="6" t="s">
        <v>5125</v>
      </c>
      <c r="AN544" t="s">
        <v>6354</v>
      </c>
      <c r="AV544"/>
      <c r="AX544"/>
      <c r="AZ544" t="str">
        <f t="shared" si="166"/>
        <v/>
      </c>
      <c r="BA544" t="str">
        <f t="shared" si="167"/>
        <v/>
      </c>
    </row>
    <row r="545" spans="1:53" ht="13.5">
      <c r="A545" s="135" t="str">
        <f t="shared" si="150"/>
        <v/>
      </c>
      <c r="B545" s="19" t="str">
        <f t="shared" si="151"/>
        <v/>
      </c>
      <c r="C545" s="19" t="str">
        <f t="shared" si="152"/>
        <v/>
      </c>
      <c r="D545" s="19" t="str">
        <f t="shared" si="153"/>
        <v/>
      </c>
      <c r="E545" s="5" t="str">
        <f t="shared" si="157"/>
        <v/>
      </c>
      <c r="F545" s="12" t="str">
        <f t="shared" si="158"/>
        <v/>
      </c>
      <c r="K545" s="9" t="str">
        <f t="shared" si="159"/>
        <v/>
      </c>
      <c r="L545" s="6">
        <f t="shared" si="160"/>
        <v>0</v>
      </c>
      <c r="M545" s="6">
        <f t="shared" si="161"/>
        <v>0</v>
      </c>
      <c r="N545" s="94" t="str">
        <f t="shared" si="162"/>
        <v/>
      </c>
      <c r="O545" s="6"/>
      <c r="P545" s="6"/>
      <c r="Q545" s="6"/>
      <c r="R545" s="6"/>
      <c r="T545" s="136" t="str">
        <f t="shared" si="163"/>
        <v/>
      </c>
      <c r="U545" s="137" t="str">
        <f t="shared" si="164"/>
        <v/>
      </c>
      <c r="V545" s="1"/>
      <c r="Y545" s="90" t="str">
        <f t="shared" si="165"/>
        <v/>
      </c>
      <c r="AC545" s="6" t="s">
        <v>4221</v>
      </c>
      <c r="AD545" s="6" t="s">
        <v>7047</v>
      </c>
      <c r="AE545" s="158" t="s">
        <v>3799</v>
      </c>
      <c r="AF545" s="159" t="s">
        <v>8299</v>
      </c>
      <c r="AG545" s="160">
        <v>966446</v>
      </c>
      <c r="AH545" s="194" t="s">
        <v>1314</v>
      </c>
      <c r="AI545" s="6" t="s">
        <v>5100</v>
      </c>
      <c r="AJ545" s="3" t="s">
        <v>8238</v>
      </c>
      <c r="AK545" t="s">
        <v>8673</v>
      </c>
      <c r="AL545" s="29"/>
      <c r="AM545" s="6" t="s">
        <v>5279</v>
      </c>
      <c r="AN545" t="s">
        <v>6355</v>
      </c>
      <c r="AV545"/>
      <c r="AX545"/>
      <c r="AZ545" t="str">
        <f t="shared" si="166"/>
        <v/>
      </c>
      <c r="BA545" t="str">
        <f t="shared" si="167"/>
        <v/>
      </c>
    </row>
    <row r="546" spans="1:53" ht="13.5">
      <c r="A546" s="135" t="str">
        <f t="shared" si="150"/>
        <v/>
      </c>
      <c r="B546" s="19" t="str">
        <f t="shared" si="151"/>
        <v/>
      </c>
      <c r="C546" s="19" t="str">
        <f t="shared" si="152"/>
        <v/>
      </c>
      <c r="D546" s="19" t="str">
        <f t="shared" si="153"/>
        <v/>
      </c>
      <c r="E546" s="5" t="str">
        <f t="shared" si="157"/>
        <v/>
      </c>
      <c r="F546" s="12" t="str">
        <f t="shared" si="158"/>
        <v/>
      </c>
      <c r="K546" s="9" t="str">
        <f t="shared" si="159"/>
        <v/>
      </c>
      <c r="L546" s="6">
        <f t="shared" si="160"/>
        <v>0</v>
      </c>
      <c r="M546" s="6">
        <f t="shared" si="161"/>
        <v>0</v>
      </c>
      <c r="N546" s="94" t="str">
        <f t="shared" si="162"/>
        <v/>
      </c>
      <c r="O546" s="6"/>
      <c r="P546" s="6"/>
      <c r="Q546" s="6"/>
      <c r="R546" s="6"/>
      <c r="T546" s="136" t="str">
        <f t="shared" si="163"/>
        <v/>
      </c>
      <c r="U546" s="137" t="str">
        <f t="shared" si="164"/>
        <v/>
      </c>
      <c r="V546" s="1"/>
      <c r="Y546" s="90" t="str">
        <f t="shared" si="165"/>
        <v/>
      </c>
      <c r="AC546" s="6">
        <v>105574</v>
      </c>
      <c r="AD546" s="6" t="s">
        <v>7061</v>
      </c>
      <c r="AE546" s="158" t="s">
        <v>3800</v>
      </c>
      <c r="AF546" s="159" t="s">
        <v>8309</v>
      </c>
      <c r="AG546" s="160">
        <v>966447</v>
      </c>
      <c r="AH546" s="194" t="s">
        <v>679</v>
      </c>
      <c r="AI546" s="6" t="s">
        <v>5492</v>
      </c>
      <c r="AJ546" s="3" t="s">
        <v>8258</v>
      </c>
      <c r="AK546" t="s">
        <v>8258</v>
      </c>
      <c r="AL546" s="29"/>
      <c r="AM546" s="6" t="s">
        <v>5152</v>
      </c>
      <c r="AN546" t="s">
        <v>6356</v>
      </c>
      <c r="AV546"/>
      <c r="AX546"/>
      <c r="AZ546" t="str">
        <f t="shared" si="166"/>
        <v/>
      </c>
      <c r="BA546" t="str">
        <f t="shared" si="167"/>
        <v/>
      </c>
    </row>
    <row r="547" spans="1:53" ht="13.5">
      <c r="A547" s="135" t="str">
        <f t="shared" si="150"/>
        <v/>
      </c>
      <c r="B547" s="19" t="str">
        <f t="shared" si="151"/>
        <v/>
      </c>
      <c r="C547" s="19" t="str">
        <f t="shared" si="152"/>
        <v/>
      </c>
      <c r="D547" s="19" t="str">
        <f t="shared" si="153"/>
        <v/>
      </c>
      <c r="E547" s="5" t="str">
        <f t="shared" si="157"/>
        <v/>
      </c>
      <c r="F547" s="12" t="str">
        <f t="shared" si="158"/>
        <v/>
      </c>
      <c r="K547" s="9" t="str">
        <f t="shared" si="159"/>
        <v/>
      </c>
      <c r="L547" s="6">
        <f t="shared" si="160"/>
        <v>0</v>
      </c>
      <c r="M547" s="6">
        <f t="shared" si="161"/>
        <v>0</v>
      </c>
      <c r="N547" s="94" t="str">
        <f t="shared" si="162"/>
        <v/>
      </c>
      <c r="O547" s="6"/>
      <c r="P547" s="6"/>
      <c r="Q547" s="6"/>
      <c r="R547" s="6"/>
      <c r="T547" s="136" t="str">
        <f t="shared" si="163"/>
        <v/>
      </c>
      <c r="U547" s="137" t="str">
        <f t="shared" si="164"/>
        <v/>
      </c>
      <c r="V547" s="1"/>
      <c r="Y547" s="90" t="str">
        <f t="shared" si="165"/>
        <v/>
      </c>
      <c r="AC547" s="6">
        <v>936434</v>
      </c>
      <c r="AD547" s="6" t="s">
        <v>7062</v>
      </c>
      <c r="AE547" s="158" t="s">
        <v>3801</v>
      </c>
      <c r="AF547" s="159" t="s">
        <v>8299</v>
      </c>
      <c r="AG547" s="160">
        <v>966448</v>
      </c>
      <c r="AH547" s="194" t="s">
        <v>679</v>
      </c>
      <c r="AI547" s="6" t="s">
        <v>2</v>
      </c>
      <c r="AJ547" s="3" t="s">
        <v>8248</v>
      </c>
      <c r="AK547" t="s">
        <v>8248</v>
      </c>
      <c r="AL547" s="29"/>
      <c r="AM547" s="6" t="s">
        <v>5178</v>
      </c>
      <c r="AN547" t="s">
        <v>6357</v>
      </c>
      <c r="AV547"/>
      <c r="AX547"/>
      <c r="AZ547" t="str">
        <f t="shared" si="166"/>
        <v/>
      </c>
      <c r="BA547" t="str">
        <f t="shared" si="167"/>
        <v/>
      </c>
    </row>
    <row r="548" spans="1:53" ht="13.5">
      <c r="A548" s="135" t="str">
        <f t="shared" si="150"/>
        <v/>
      </c>
      <c r="B548" s="19" t="str">
        <f t="shared" si="151"/>
        <v/>
      </c>
      <c r="C548" s="19" t="str">
        <f t="shared" si="152"/>
        <v/>
      </c>
      <c r="D548" s="19" t="str">
        <f t="shared" si="153"/>
        <v/>
      </c>
      <c r="E548" s="5" t="str">
        <f t="shared" si="157"/>
        <v/>
      </c>
      <c r="F548" s="12" t="str">
        <f t="shared" si="158"/>
        <v/>
      </c>
      <c r="K548" s="9" t="str">
        <f t="shared" si="159"/>
        <v/>
      </c>
      <c r="L548" s="6">
        <f t="shared" si="160"/>
        <v>0</v>
      </c>
      <c r="M548" s="6">
        <f t="shared" si="161"/>
        <v>0</v>
      </c>
      <c r="N548" s="94" t="str">
        <f t="shared" si="162"/>
        <v/>
      </c>
      <c r="O548" s="6"/>
      <c r="P548" s="6"/>
      <c r="Q548" s="6"/>
      <c r="R548" s="6"/>
      <c r="T548" s="136" t="str">
        <f t="shared" si="163"/>
        <v/>
      </c>
      <c r="U548" s="137" t="str">
        <f t="shared" si="164"/>
        <v/>
      </c>
      <c r="V548" s="1"/>
      <c r="Y548" s="90" t="str">
        <f t="shared" si="165"/>
        <v/>
      </c>
      <c r="AC548" s="6" t="s">
        <v>5076</v>
      </c>
      <c r="AD548" s="6" t="s">
        <v>7063</v>
      </c>
      <c r="AE548" s="158" t="s">
        <v>3802</v>
      </c>
      <c r="AF548" s="159" t="s">
        <v>8299</v>
      </c>
      <c r="AG548" s="160">
        <v>976449</v>
      </c>
      <c r="AH548" s="194" t="s">
        <v>679</v>
      </c>
      <c r="AI548" s="6" t="s">
        <v>5102</v>
      </c>
      <c r="AJ548" s="3" t="s">
        <v>8248</v>
      </c>
      <c r="AK548" t="s">
        <v>8248</v>
      </c>
      <c r="AL548" s="29"/>
      <c r="AM548" s="6" t="s">
        <v>5104</v>
      </c>
      <c r="AN548" t="s">
        <v>6358</v>
      </c>
      <c r="AV548"/>
      <c r="AX548"/>
      <c r="AZ548" t="str">
        <f t="shared" si="166"/>
        <v/>
      </c>
      <c r="BA548" t="str">
        <f t="shared" si="167"/>
        <v/>
      </c>
    </row>
    <row r="549" spans="1:53" ht="13.5">
      <c r="A549" s="135" t="str">
        <f t="shared" si="150"/>
        <v/>
      </c>
      <c r="B549" s="19" t="str">
        <f t="shared" si="151"/>
        <v/>
      </c>
      <c r="C549" s="19" t="str">
        <f t="shared" si="152"/>
        <v/>
      </c>
      <c r="D549" s="19" t="str">
        <f t="shared" si="153"/>
        <v/>
      </c>
      <c r="E549" s="5" t="str">
        <f t="shared" si="157"/>
        <v/>
      </c>
      <c r="F549" s="12" t="str">
        <f t="shared" si="158"/>
        <v/>
      </c>
      <c r="K549" s="9" t="str">
        <f t="shared" si="159"/>
        <v/>
      </c>
      <c r="L549" s="6">
        <f t="shared" si="160"/>
        <v>0</v>
      </c>
      <c r="M549" s="6">
        <f t="shared" si="161"/>
        <v>0</v>
      </c>
      <c r="N549" s="94" t="str">
        <f t="shared" si="162"/>
        <v/>
      </c>
      <c r="O549" s="6"/>
      <c r="P549" s="6"/>
      <c r="Q549" s="6"/>
      <c r="R549" s="6"/>
      <c r="T549" s="136" t="str">
        <f t="shared" si="163"/>
        <v/>
      </c>
      <c r="U549" s="137" t="str">
        <f t="shared" si="164"/>
        <v/>
      </c>
      <c r="V549" s="1"/>
      <c r="Y549" s="90" t="str">
        <f t="shared" si="165"/>
        <v/>
      </c>
      <c r="AC549" s="6" t="s">
        <v>3850</v>
      </c>
      <c r="AD549" s="6" t="s">
        <v>7020</v>
      </c>
      <c r="AE549" s="158" t="s">
        <v>3803</v>
      </c>
      <c r="AF549" s="159" t="s">
        <v>8299</v>
      </c>
      <c r="AG549" s="160">
        <v>976451</v>
      </c>
      <c r="AH549" s="194" t="s">
        <v>1314</v>
      </c>
      <c r="AI549" s="6" t="s">
        <v>5099</v>
      </c>
      <c r="AJ549" s="3" t="s">
        <v>8238</v>
      </c>
      <c r="AK549" t="s">
        <v>8673</v>
      </c>
      <c r="AL549" s="29"/>
      <c r="AM549" s="6" t="s">
        <v>5234</v>
      </c>
      <c r="AN549" t="s">
        <v>6359</v>
      </c>
      <c r="AV549"/>
      <c r="AX549"/>
      <c r="AZ549" t="str">
        <f t="shared" si="166"/>
        <v/>
      </c>
      <c r="BA549" t="str">
        <f t="shared" si="167"/>
        <v/>
      </c>
    </row>
    <row r="550" spans="1:53" ht="13.5">
      <c r="A550" s="135" t="str">
        <f t="shared" si="150"/>
        <v/>
      </c>
      <c r="B550" s="19" t="str">
        <f t="shared" si="151"/>
        <v/>
      </c>
      <c r="C550" s="19" t="str">
        <f t="shared" si="152"/>
        <v/>
      </c>
      <c r="D550" s="19" t="str">
        <f t="shared" si="153"/>
        <v/>
      </c>
      <c r="E550" s="5" t="str">
        <f t="shared" si="157"/>
        <v/>
      </c>
      <c r="F550" s="12" t="str">
        <f t="shared" si="158"/>
        <v/>
      </c>
      <c r="K550" s="9" t="str">
        <f t="shared" si="159"/>
        <v/>
      </c>
      <c r="L550" s="6">
        <f t="shared" si="160"/>
        <v>0</v>
      </c>
      <c r="M550" s="6">
        <f t="shared" si="161"/>
        <v>0</v>
      </c>
      <c r="N550" s="94" t="str">
        <f t="shared" si="162"/>
        <v/>
      </c>
      <c r="O550" s="6"/>
      <c r="P550" s="6"/>
      <c r="Q550" s="6"/>
      <c r="R550" s="6"/>
      <c r="T550" s="136" t="str">
        <f t="shared" si="163"/>
        <v/>
      </c>
      <c r="U550" s="137" t="str">
        <f t="shared" si="164"/>
        <v/>
      </c>
      <c r="V550" s="1"/>
      <c r="Y550" s="90" t="str">
        <f t="shared" si="165"/>
        <v/>
      </c>
      <c r="AC550" s="6" t="s">
        <v>4191</v>
      </c>
      <c r="AD550" s="6" t="s">
        <v>7010</v>
      </c>
      <c r="AE550" s="158" t="s">
        <v>3804</v>
      </c>
      <c r="AF550" s="159" t="s">
        <v>8339</v>
      </c>
      <c r="AG550" s="160">
        <v>976452</v>
      </c>
      <c r="AH550" s="194" t="s">
        <v>1314</v>
      </c>
      <c r="AI550" s="6" t="s">
        <v>5173</v>
      </c>
      <c r="AJ550" s="3" t="s">
        <v>8238</v>
      </c>
      <c r="AK550" t="s">
        <v>8673</v>
      </c>
      <c r="AL550" s="29"/>
      <c r="AM550" s="6" t="s">
        <v>5155</v>
      </c>
      <c r="AN550" t="s">
        <v>6360</v>
      </c>
      <c r="AV550"/>
      <c r="AX550"/>
      <c r="AZ550" t="str">
        <f t="shared" si="166"/>
        <v/>
      </c>
      <c r="BA550" t="str">
        <f t="shared" si="167"/>
        <v/>
      </c>
    </row>
    <row r="551" spans="1:53" ht="13.5">
      <c r="A551" s="135" t="str">
        <f t="shared" si="150"/>
        <v/>
      </c>
      <c r="B551" s="19" t="str">
        <f t="shared" si="151"/>
        <v/>
      </c>
      <c r="C551" s="19" t="str">
        <f t="shared" si="152"/>
        <v/>
      </c>
      <c r="D551" s="19" t="str">
        <f t="shared" si="153"/>
        <v/>
      </c>
      <c r="E551" s="5" t="str">
        <f t="shared" si="157"/>
        <v/>
      </c>
      <c r="F551" s="12" t="str">
        <f t="shared" si="158"/>
        <v/>
      </c>
      <c r="K551" s="9" t="str">
        <f t="shared" si="159"/>
        <v/>
      </c>
      <c r="L551" s="6">
        <f t="shared" si="160"/>
        <v>0</v>
      </c>
      <c r="M551" s="6">
        <f t="shared" si="161"/>
        <v>0</v>
      </c>
      <c r="N551" s="94" t="str">
        <f t="shared" si="162"/>
        <v/>
      </c>
      <c r="O551" s="6"/>
      <c r="P551" s="6"/>
      <c r="Q551" s="6"/>
      <c r="R551" s="6"/>
      <c r="T551" s="136" t="str">
        <f t="shared" si="163"/>
        <v/>
      </c>
      <c r="U551" s="137" t="str">
        <f t="shared" si="164"/>
        <v/>
      </c>
      <c r="V551" s="1"/>
      <c r="Y551" s="90" t="str">
        <f t="shared" si="165"/>
        <v/>
      </c>
      <c r="AC551" s="6">
        <v>946440</v>
      </c>
      <c r="AD551" s="6" t="s">
        <v>7064</v>
      </c>
      <c r="AE551" s="158" t="s">
        <v>3805</v>
      </c>
      <c r="AF551" s="159" t="s">
        <v>8299</v>
      </c>
      <c r="AG551" s="160">
        <v>976453</v>
      </c>
      <c r="AH551" s="194" t="s">
        <v>679</v>
      </c>
      <c r="AI551" s="6" t="s">
        <v>4497</v>
      </c>
      <c r="AJ551" s="3" t="s">
        <v>8224</v>
      </c>
      <c r="AK551" t="s">
        <v>8224</v>
      </c>
      <c r="AL551" s="29"/>
      <c r="AM551" s="6" t="s">
        <v>5227</v>
      </c>
      <c r="AN551" t="s">
        <v>6361</v>
      </c>
      <c r="AV551"/>
      <c r="AX551"/>
      <c r="AZ551" t="str">
        <f t="shared" si="166"/>
        <v/>
      </c>
      <c r="BA551" t="str">
        <f t="shared" si="167"/>
        <v/>
      </c>
    </row>
    <row r="552" spans="1:53" ht="13.5">
      <c r="A552" s="135" t="str">
        <f t="shared" ref="A552:A615" si="168">IF(ISNA(VLOOKUP(I552,AC:AD,2,FALSE)),"",VLOOKUP(I552,AC:AD,2,FALSE))</f>
        <v/>
      </c>
      <c r="B552" s="19" t="str">
        <f t="shared" ref="B552:B615" si="169">IF(ISNA(VLOOKUP(I552,AE:AF,2,FALSE)),"",VLOOKUP(I552,AE:AF,2,FALSE))</f>
        <v/>
      </c>
      <c r="C552" s="19" t="str">
        <f t="shared" ref="C552:C615" si="170">IF(ISNA(VLOOKUP(I552,AM:AN,2,FALSE)),"",VLOOKUP(I552,AM:AN,2,FALSE))</f>
        <v/>
      </c>
      <c r="D552" s="19" t="str">
        <f t="shared" ref="D552:D615" si="171">IF(ISNA(VLOOKUP(I552,AG:AH,2,FALSE)),"",VLOOKUP(I552,AG:AH,2,FALSE))</f>
        <v/>
      </c>
      <c r="E552" s="5" t="str">
        <f t="shared" si="157"/>
        <v/>
      </c>
      <c r="F552" s="12" t="str">
        <f t="shared" si="158"/>
        <v/>
      </c>
      <c r="K552" s="9" t="str">
        <f t="shared" si="159"/>
        <v/>
      </c>
      <c r="L552" s="6">
        <f t="shared" si="160"/>
        <v>0</v>
      </c>
      <c r="M552" s="6">
        <f t="shared" si="161"/>
        <v>0</v>
      </c>
      <c r="N552" s="94" t="str">
        <f t="shared" si="162"/>
        <v/>
      </c>
      <c r="O552" s="6"/>
      <c r="P552" s="6"/>
      <c r="Q552" s="6"/>
      <c r="R552" s="6"/>
      <c r="T552" s="136" t="str">
        <f t="shared" si="163"/>
        <v/>
      </c>
      <c r="U552" s="137" t="str">
        <f t="shared" si="164"/>
        <v/>
      </c>
      <c r="V552" s="1"/>
      <c r="Y552" s="90" t="str">
        <f t="shared" si="165"/>
        <v/>
      </c>
      <c r="AC552" s="6">
        <v>165818</v>
      </c>
      <c r="AD552" s="6" t="s">
        <v>7065</v>
      </c>
      <c r="AE552" s="158" t="s">
        <v>3806</v>
      </c>
      <c r="AF552" s="159" t="s">
        <v>8299</v>
      </c>
      <c r="AG552" s="160">
        <v>976454</v>
      </c>
      <c r="AH552" s="194" t="s">
        <v>1314</v>
      </c>
      <c r="AI552" s="6" t="s">
        <v>5097</v>
      </c>
      <c r="AJ552" s="3" t="s">
        <v>8198</v>
      </c>
      <c r="AK552" t="s">
        <v>8198</v>
      </c>
      <c r="AL552" s="29"/>
      <c r="AM552" s="6" t="s">
        <v>5132</v>
      </c>
      <c r="AN552" t="s">
        <v>6362</v>
      </c>
      <c r="AV552"/>
      <c r="AX552"/>
      <c r="AZ552" t="str">
        <f t="shared" si="166"/>
        <v/>
      </c>
      <c r="BA552" t="str">
        <f t="shared" si="167"/>
        <v/>
      </c>
    </row>
    <row r="553" spans="1:53" ht="13.5">
      <c r="A553" s="135" t="str">
        <f t="shared" si="168"/>
        <v/>
      </c>
      <c r="B553" s="19" t="str">
        <f t="shared" si="169"/>
        <v/>
      </c>
      <c r="C553" s="19" t="str">
        <f t="shared" si="170"/>
        <v/>
      </c>
      <c r="D553" s="19" t="str">
        <f t="shared" si="171"/>
        <v/>
      </c>
      <c r="E553" s="5" t="str">
        <f t="shared" si="157"/>
        <v/>
      </c>
      <c r="F553" s="12" t="str">
        <f t="shared" si="158"/>
        <v/>
      </c>
      <c r="K553" s="9" t="str">
        <f t="shared" si="159"/>
        <v/>
      </c>
      <c r="L553" s="6">
        <f t="shared" si="160"/>
        <v>0</v>
      </c>
      <c r="M553" s="6">
        <f t="shared" si="161"/>
        <v>0</v>
      </c>
      <c r="N553" s="94" t="str">
        <f t="shared" si="162"/>
        <v/>
      </c>
      <c r="O553" s="6"/>
      <c r="P553" s="6"/>
      <c r="Q553" s="6"/>
      <c r="R553" s="6"/>
      <c r="T553" s="136" t="str">
        <f t="shared" si="163"/>
        <v/>
      </c>
      <c r="U553" s="137" t="str">
        <f t="shared" si="164"/>
        <v/>
      </c>
      <c r="V553" s="1"/>
      <c r="Y553" s="90" t="str">
        <f t="shared" si="165"/>
        <v/>
      </c>
      <c r="AC553" s="6">
        <v>135849</v>
      </c>
      <c r="AD553" s="6" t="s">
        <v>7066</v>
      </c>
      <c r="AE553" s="158" t="s">
        <v>3807</v>
      </c>
      <c r="AF553" s="159" t="s">
        <v>8299</v>
      </c>
      <c r="AG553" s="161">
        <v>986456</v>
      </c>
      <c r="AH553" s="194" t="s">
        <v>1314</v>
      </c>
      <c r="AI553" s="6" t="s">
        <v>5106</v>
      </c>
      <c r="AJ553" s="3" t="s">
        <v>8197</v>
      </c>
      <c r="AK553" t="s">
        <v>8197</v>
      </c>
      <c r="AL553" s="29"/>
      <c r="AM553" s="6" t="s">
        <v>5242</v>
      </c>
      <c r="AN553" t="s">
        <v>6363</v>
      </c>
      <c r="AV553"/>
      <c r="AX553"/>
      <c r="AZ553" t="str">
        <f t="shared" si="166"/>
        <v/>
      </c>
      <c r="BA553" t="str">
        <f t="shared" si="167"/>
        <v/>
      </c>
    </row>
    <row r="554" spans="1:53" ht="13.5">
      <c r="A554" s="135" t="str">
        <f t="shared" si="168"/>
        <v/>
      </c>
      <c r="B554" s="19" t="str">
        <f t="shared" si="169"/>
        <v/>
      </c>
      <c r="C554" s="19" t="str">
        <f t="shared" si="170"/>
        <v/>
      </c>
      <c r="D554" s="19" t="str">
        <f t="shared" si="171"/>
        <v/>
      </c>
      <c r="E554" s="5" t="str">
        <f t="shared" si="157"/>
        <v/>
      </c>
      <c r="F554" s="12" t="str">
        <f t="shared" si="158"/>
        <v/>
      </c>
      <c r="K554" s="9" t="str">
        <f t="shared" si="159"/>
        <v/>
      </c>
      <c r="L554" s="6">
        <f t="shared" si="160"/>
        <v>0</v>
      </c>
      <c r="M554" s="6">
        <f t="shared" si="161"/>
        <v>0</v>
      </c>
      <c r="N554" s="94" t="str">
        <f t="shared" si="162"/>
        <v/>
      </c>
      <c r="O554" s="6"/>
      <c r="P554" s="6"/>
      <c r="Q554" s="6"/>
      <c r="R554" s="6"/>
      <c r="T554" s="136" t="str">
        <f t="shared" si="163"/>
        <v/>
      </c>
      <c r="U554" s="137" t="str">
        <f t="shared" si="164"/>
        <v/>
      </c>
      <c r="V554" s="1"/>
      <c r="Y554" s="90" t="str">
        <f t="shared" si="165"/>
        <v/>
      </c>
      <c r="AC554" s="6" t="s">
        <v>2669</v>
      </c>
      <c r="AD554" s="6" t="s">
        <v>7067</v>
      </c>
      <c r="AE554" s="158" t="s">
        <v>3808</v>
      </c>
      <c r="AF554" s="159" t="s">
        <v>8299</v>
      </c>
      <c r="AG554" s="160">
        <v>986457</v>
      </c>
      <c r="AH554" s="194" t="s">
        <v>679</v>
      </c>
      <c r="AI554" s="6" t="s">
        <v>5049</v>
      </c>
      <c r="AJ554" s="3" t="s">
        <v>8210</v>
      </c>
      <c r="AK554" t="s">
        <v>8210</v>
      </c>
      <c r="AL554" s="29"/>
      <c r="AM554" s="6" t="s">
        <v>5085</v>
      </c>
      <c r="AN554" t="s">
        <v>6364</v>
      </c>
      <c r="AV554"/>
      <c r="AX554"/>
      <c r="AZ554" t="str">
        <f t="shared" si="166"/>
        <v/>
      </c>
      <c r="BA554" t="str">
        <f t="shared" si="167"/>
        <v/>
      </c>
    </row>
    <row r="555" spans="1:53" ht="13.5">
      <c r="A555" s="135" t="str">
        <f t="shared" si="168"/>
        <v/>
      </c>
      <c r="B555" s="19" t="str">
        <f t="shared" si="169"/>
        <v/>
      </c>
      <c r="C555" s="19" t="str">
        <f t="shared" si="170"/>
        <v/>
      </c>
      <c r="D555" s="19" t="str">
        <f t="shared" si="171"/>
        <v/>
      </c>
      <c r="E555" s="5" t="str">
        <f t="shared" si="157"/>
        <v/>
      </c>
      <c r="F555" s="12" t="str">
        <f t="shared" si="158"/>
        <v/>
      </c>
      <c r="K555" s="9" t="str">
        <f t="shared" si="159"/>
        <v/>
      </c>
      <c r="L555" s="6">
        <f t="shared" si="160"/>
        <v>0</v>
      </c>
      <c r="M555" s="6">
        <f t="shared" si="161"/>
        <v>0</v>
      </c>
      <c r="N555" s="94" t="str">
        <f t="shared" si="162"/>
        <v/>
      </c>
      <c r="O555" s="6"/>
      <c r="P555" s="6"/>
      <c r="Q555" s="6"/>
      <c r="R555" s="6"/>
      <c r="T555" s="136" t="str">
        <f t="shared" si="163"/>
        <v/>
      </c>
      <c r="U555" s="137" t="str">
        <f t="shared" si="164"/>
        <v/>
      </c>
      <c r="V555" s="1"/>
      <c r="Y555" s="90" t="str">
        <f t="shared" si="165"/>
        <v/>
      </c>
      <c r="AC555" s="6" t="s">
        <v>3624</v>
      </c>
      <c r="AD555" s="6" t="s">
        <v>7044</v>
      </c>
      <c r="AE555" s="158" t="s">
        <v>3809</v>
      </c>
      <c r="AF555" s="159" t="s">
        <v>8339</v>
      </c>
      <c r="AG555" s="160">
        <v>986459</v>
      </c>
      <c r="AH555" s="194" t="s">
        <v>1314</v>
      </c>
      <c r="AI555" s="6" t="s">
        <v>1666</v>
      </c>
      <c r="AJ555" s="3" t="s">
        <v>8210</v>
      </c>
      <c r="AK555" t="s">
        <v>8210</v>
      </c>
      <c r="AL555" s="29"/>
      <c r="AM555" s="6" t="s">
        <v>5226</v>
      </c>
      <c r="AN555" t="s">
        <v>6365</v>
      </c>
      <c r="AV555"/>
      <c r="AX555"/>
      <c r="AZ555" t="str">
        <f t="shared" si="166"/>
        <v/>
      </c>
      <c r="BA555" t="str">
        <f t="shared" si="167"/>
        <v/>
      </c>
    </row>
    <row r="556" spans="1:53" ht="13.5">
      <c r="A556" s="135" t="str">
        <f t="shared" si="168"/>
        <v/>
      </c>
      <c r="B556" s="19" t="str">
        <f t="shared" si="169"/>
        <v/>
      </c>
      <c r="C556" s="19" t="str">
        <f t="shared" si="170"/>
        <v/>
      </c>
      <c r="D556" s="19" t="str">
        <f t="shared" si="171"/>
        <v/>
      </c>
      <c r="E556" s="5" t="str">
        <f t="shared" si="157"/>
        <v/>
      </c>
      <c r="F556" s="12" t="str">
        <f t="shared" si="158"/>
        <v/>
      </c>
      <c r="K556" s="9" t="str">
        <f t="shared" si="159"/>
        <v/>
      </c>
      <c r="L556" s="6">
        <f t="shared" si="160"/>
        <v>0</v>
      </c>
      <c r="M556" s="6">
        <f t="shared" si="161"/>
        <v>0</v>
      </c>
      <c r="N556" s="94" t="str">
        <f t="shared" si="162"/>
        <v/>
      </c>
      <c r="O556" s="6"/>
      <c r="P556" s="6"/>
      <c r="Q556" s="6"/>
      <c r="R556" s="6"/>
      <c r="T556" s="136" t="str">
        <f t="shared" si="163"/>
        <v/>
      </c>
      <c r="U556" s="137" t="str">
        <f t="shared" si="164"/>
        <v/>
      </c>
      <c r="V556" s="1"/>
      <c r="Y556" s="90" t="str">
        <f t="shared" si="165"/>
        <v/>
      </c>
      <c r="AC556" s="6" t="s">
        <v>3625</v>
      </c>
      <c r="AD556" s="6" t="s">
        <v>7044</v>
      </c>
      <c r="AE556" s="158" t="s">
        <v>3810</v>
      </c>
      <c r="AF556" s="159" t="s">
        <v>8299</v>
      </c>
      <c r="AG556" s="160">
        <v>986460</v>
      </c>
      <c r="AH556" s="194" t="s">
        <v>679</v>
      </c>
      <c r="AI556" s="6" t="s">
        <v>5238</v>
      </c>
      <c r="AJ556" s="3" t="s">
        <v>8202</v>
      </c>
      <c r="AK556" t="s">
        <v>8202</v>
      </c>
      <c r="AL556" s="29"/>
      <c r="AM556" s="6" t="s">
        <v>5811</v>
      </c>
      <c r="AN556" t="s">
        <v>6366</v>
      </c>
      <c r="AV556"/>
      <c r="AX556"/>
      <c r="AZ556" t="str">
        <f t="shared" si="166"/>
        <v/>
      </c>
      <c r="BA556" t="str">
        <f t="shared" si="167"/>
        <v/>
      </c>
    </row>
    <row r="557" spans="1:53" ht="13.5">
      <c r="A557" s="135" t="str">
        <f t="shared" si="168"/>
        <v/>
      </c>
      <c r="B557" s="19" t="str">
        <f t="shared" si="169"/>
        <v/>
      </c>
      <c r="C557" s="19" t="str">
        <f t="shared" si="170"/>
        <v/>
      </c>
      <c r="D557" s="19" t="str">
        <f t="shared" si="171"/>
        <v/>
      </c>
      <c r="E557" s="5" t="str">
        <f t="shared" si="157"/>
        <v/>
      </c>
      <c r="F557" s="12" t="str">
        <f t="shared" si="158"/>
        <v/>
      </c>
      <c r="K557" s="9" t="str">
        <f t="shared" si="159"/>
        <v/>
      </c>
      <c r="L557" s="6">
        <f t="shared" si="160"/>
        <v>0</v>
      </c>
      <c r="M557" s="6">
        <f t="shared" si="161"/>
        <v>0</v>
      </c>
      <c r="N557" s="94" t="str">
        <f t="shared" si="162"/>
        <v/>
      </c>
      <c r="O557" s="6"/>
      <c r="P557" s="6"/>
      <c r="Q557" s="6"/>
      <c r="R557" s="6"/>
      <c r="T557" s="136" t="str">
        <f t="shared" si="163"/>
        <v/>
      </c>
      <c r="U557" s="137" t="str">
        <f t="shared" si="164"/>
        <v/>
      </c>
      <c r="V557" s="1"/>
      <c r="Y557" s="90" t="str">
        <f t="shared" si="165"/>
        <v/>
      </c>
      <c r="AC557" s="6" t="s">
        <v>3997</v>
      </c>
      <c r="AD557" s="6" t="s">
        <v>7019</v>
      </c>
      <c r="AE557" s="158" t="s">
        <v>3811</v>
      </c>
      <c r="AF557" s="159" t="s">
        <v>8339</v>
      </c>
      <c r="AG557" s="160">
        <v>986461</v>
      </c>
      <c r="AH557" s="194" t="s">
        <v>679</v>
      </c>
      <c r="AI557" s="6" t="s">
        <v>5174</v>
      </c>
      <c r="AJ557" s="3" t="s">
        <v>8207</v>
      </c>
      <c r="AK557" t="s">
        <v>8207</v>
      </c>
      <c r="AL557" s="29"/>
      <c r="AM557" s="6" t="s">
        <v>5151</v>
      </c>
      <c r="AN557" t="s">
        <v>6367</v>
      </c>
      <c r="AV557"/>
      <c r="AX557"/>
      <c r="AZ557" t="str">
        <f t="shared" si="166"/>
        <v/>
      </c>
      <c r="BA557" t="str">
        <f t="shared" si="167"/>
        <v/>
      </c>
    </row>
    <row r="558" spans="1:53" ht="13.5">
      <c r="A558" s="135" t="str">
        <f t="shared" si="168"/>
        <v/>
      </c>
      <c r="B558" s="19" t="str">
        <f t="shared" si="169"/>
        <v/>
      </c>
      <c r="C558" s="19" t="str">
        <f t="shared" si="170"/>
        <v/>
      </c>
      <c r="D558" s="19" t="str">
        <f t="shared" si="171"/>
        <v/>
      </c>
      <c r="E558" s="5" t="str">
        <f t="shared" si="157"/>
        <v/>
      </c>
      <c r="F558" s="12" t="str">
        <f t="shared" si="158"/>
        <v/>
      </c>
      <c r="K558" s="9" t="str">
        <f t="shared" si="159"/>
        <v/>
      </c>
      <c r="L558" s="6">
        <f t="shared" si="160"/>
        <v>0</v>
      </c>
      <c r="M558" s="6">
        <f t="shared" si="161"/>
        <v>0</v>
      </c>
      <c r="N558" s="94" t="str">
        <f t="shared" si="162"/>
        <v/>
      </c>
      <c r="O558" s="6"/>
      <c r="P558" s="6"/>
      <c r="Q558" s="6"/>
      <c r="R558" s="6"/>
      <c r="T558" s="136" t="str">
        <f t="shared" si="163"/>
        <v/>
      </c>
      <c r="U558" s="137" t="str">
        <f t="shared" si="164"/>
        <v/>
      </c>
      <c r="V558" s="1"/>
      <c r="Y558" s="90" t="str">
        <f t="shared" si="165"/>
        <v/>
      </c>
      <c r="AC558" s="6" t="s">
        <v>2670</v>
      </c>
      <c r="AD558" s="6" t="s">
        <v>7067</v>
      </c>
      <c r="AE558" s="158" t="s">
        <v>3812</v>
      </c>
      <c r="AF558" s="159" t="s">
        <v>8357</v>
      </c>
      <c r="AG558" s="160">
        <v>986462</v>
      </c>
      <c r="AH558" s="194" t="s">
        <v>1314</v>
      </c>
      <c r="AI558" s="6" t="s">
        <v>5208</v>
      </c>
      <c r="AJ558" s="3" t="s">
        <v>8224</v>
      </c>
      <c r="AK558" t="s">
        <v>8224</v>
      </c>
      <c r="AL558" s="29"/>
      <c r="AM558" s="6" t="s">
        <v>5124</v>
      </c>
      <c r="AN558" t="s">
        <v>6368</v>
      </c>
      <c r="AV558"/>
      <c r="AX558"/>
      <c r="AZ558" t="str">
        <f t="shared" si="166"/>
        <v/>
      </c>
      <c r="BA558" t="str">
        <f t="shared" si="167"/>
        <v/>
      </c>
    </row>
    <row r="559" spans="1:53" ht="13.5">
      <c r="A559" s="135" t="str">
        <f t="shared" si="168"/>
        <v/>
      </c>
      <c r="B559" s="19" t="str">
        <f t="shared" si="169"/>
        <v/>
      </c>
      <c r="C559" s="19" t="str">
        <f t="shared" si="170"/>
        <v/>
      </c>
      <c r="D559" s="19" t="str">
        <f t="shared" si="171"/>
        <v/>
      </c>
      <c r="E559" s="5" t="str">
        <f t="shared" si="157"/>
        <v/>
      </c>
      <c r="F559" s="12" t="str">
        <f t="shared" si="158"/>
        <v/>
      </c>
      <c r="K559" s="9" t="str">
        <f t="shared" si="159"/>
        <v/>
      </c>
      <c r="L559" s="6">
        <f t="shared" si="160"/>
        <v>0</v>
      </c>
      <c r="M559" s="6">
        <f t="shared" si="161"/>
        <v>0</v>
      </c>
      <c r="N559" s="94" t="str">
        <f t="shared" si="162"/>
        <v/>
      </c>
      <c r="O559" s="6"/>
      <c r="P559" s="6"/>
      <c r="Q559" s="6"/>
      <c r="R559" s="6"/>
      <c r="T559" s="136" t="str">
        <f t="shared" si="163"/>
        <v/>
      </c>
      <c r="U559" s="137" t="str">
        <f t="shared" si="164"/>
        <v/>
      </c>
      <c r="V559" s="1"/>
      <c r="Y559" s="90" t="str">
        <f t="shared" si="165"/>
        <v/>
      </c>
      <c r="AC559" s="6">
        <v>856354</v>
      </c>
      <c r="AD559" s="6" t="s">
        <v>7068</v>
      </c>
      <c r="AE559" s="158" t="s">
        <v>3813</v>
      </c>
      <c r="AF559" s="159" t="s">
        <v>8299</v>
      </c>
      <c r="AG559" s="160">
        <v>986464</v>
      </c>
      <c r="AH559" s="194" t="s">
        <v>1314</v>
      </c>
      <c r="AI559" s="6" t="s">
        <v>5480</v>
      </c>
      <c r="AJ559" s="3" t="s">
        <v>8198</v>
      </c>
      <c r="AK559" t="s">
        <v>8198</v>
      </c>
      <c r="AL559" s="29"/>
      <c r="AM559" s="6" t="s">
        <v>5298</v>
      </c>
      <c r="AN559" t="s">
        <v>6369</v>
      </c>
      <c r="AV559"/>
      <c r="AX559"/>
      <c r="AZ559" t="str">
        <f t="shared" si="166"/>
        <v/>
      </c>
      <c r="BA559" t="str">
        <f t="shared" si="167"/>
        <v/>
      </c>
    </row>
    <row r="560" spans="1:53" ht="13.5">
      <c r="A560" s="135" t="str">
        <f t="shared" si="168"/>
        <v/>
      </c>
      <c r="B560" s="19" t="str">
        <f t="shared" si="169"/>
        <v/>
      </c>
      <c r="C560" s="19" t="str">
        <f t="shared" si="170"/>
        <v/>
      </c>
      <c r="D560" s="19" t="str">
        <f t="shared" si="171"/>
        <v/>
      </c>
      <c r="E560" s="5" t="str">
        <f t="shared" si="157"/>
        <v/>
      </c>
      <c r="F560" s="12" t="str">
        <f t="shared" si="158"/>
        <v/>
      </c>
      <c r="K560" s="9" t="str">
        <f t="shared" si="159"/>
        <v/>
      </c>
      <c r="L560" s="6">
        <f t="shared" si="160"/>
        <v>0</v>
      </c>
      <c r="M560" s="6">
        <f t="shared" si="161"/>
        <v>0</v>
      </c>
      <c r="N560" s="94" t="str">
        <f t="shared" si="162"/>
        <v/>
      </c>
      <c r="O560" s="6"/>
      <c r="P560" s="6"/>
      <c r="Q560" s="6"/>
      <c r="R560" s="6"/>
      <c r="T560" s="136" t="str">
        <f t="shared" si="163"/>
        <v/>
      </c>
      <c r="U560" s="137" t="str">
        <f t="shared" si="164"/>
        <v/>
      </c>
      <c r="V560" s="1"/>
      <c r="Y560" s="90" t="str">
        <f t="shared" si="165"/>
        <v/>
      </c>
      <c r="AC560" s="6" t="s">
        <v>3999</v>
      </c>
      <c r="AD560" s="6" t="s">
        <v>7019</v>
      </c>
      <c r="AE560" s="158" t="s">
        <v>3814</v>
      </c>
      <c r="AF560" s="159" t="s">
        <v>8299</v>
      </c>
      <c r="AG560" s="160">
        <v>986465</v>
      </c>
      <c r="AH560" s="194" t="s">
        <v>1314</v>
      </c>
      <c r="AI560" s="6" t="s">
        <v>5134</v>
      </c>
      <c r="AJ560" s="3" t="s">
        <v>8207</v>
      </c>
      <c r="AK560" t="s">
        <v>8207</v>
      </c>
      <c r="AL560" s="29"/>
      <c r="AM560" s="6" t="s">
        <v>5109</v>
      </c>
      <c r="AN560" t="s">
        <v>6370</v>
      </c>
      <c r="AV560"/>
      <c r="AX560"/>
      <c r="AZ560" t="str">
        <f t="shared" si="166"/>
        <v/>
      </c>
      <c r="BA560" t="str">
        <f t="shared" si="167"/>
        <v/>
      </c>
    </row>
    <row r="561" spans="1:53" ht="13.5">
      <c r="A561" s="135" t="str">
        <f t="shared" si="168"/>
        <v/>
      </c>
      <c r="B561" s="19" t="str">
        <f t="shared" si="169"/>
        <v/>
      </c>
      <c r="C561" s="19" t="str">
        <f t="shared" si="170"/>
        <v/>
      </c>
      <c r="D561" s="19" t="str">
        <f t="shared" si="171"/>
        <v/>
      </c>
      <c r="E561" s="5" t="str">
        <f t="shared" si="157"/>
        <v/>
      </c>
      <c r="F561" s="12" t="str">
        <f t="shared" si="158"/>
        <v/>
      </c>
      <c r="K561" s="9" t="str">
        <f t="shared" si="159"/>
        <v/>
      </c>
      <c r="L561" s="6">
        <f t="shared" si="160"/>
        <v>0</v>
      </c>
      <c r="M561" s="6">
        <f t="shared" si="161"/>
        <v>0</v>
      </c>
      <c r="N561" s="94" t="str">
        <f t="shared" si="162"/>
        <v/>
      </c>
      <c r="O561" s="6"/>
      <c r="P561" s="6"/>
      <c r="Q561" s="6"/>
      <c r="R561" s="6"/>
      <c r="T561" s="136" t="str">
        <f t="shared" si="163"/>
        <v/>
      </c>
      <c r="U561" s="137" t="str">
        <f t="shared" si="164"/>
        <v/>
      </c>
      <c r="V561" s="1"/>
      <c r="Y561" s="90" t="str">
        <f t="shared" si="165"/>
        <v/>
      </c>
      <c r="AC561" s="6" t="s">
        <v>1294</v>
      </c>
      <c r="AD561" s="6" t="s">
        <v>7069</v>
      </c>
      <c r="AE561" s="158" t="s">
        <v>3815</v>
      </c>
      <c r="AF561" s="159" t="s">
        <v>8299</v>
      </c>
      <c r="AG561" s="160">
        <v>996467</v>
      </c>
      <c r="AH561" s="194" t="s">
        <v>1314</v>
      </c>
      <c r="AI561" s="6" t="s">
        <v>5177</v>
      </c>
      <c r="AJ561" s="3" t="s">
        <v>8219</v>
      </c>
      <c r="AK561" t="s">
        <v>8219</v>
      </c>
      <c r="AL561" s="29"/>
      <c r="AM561" s="6" t="s">
        <v>5047</v>
      </c>
      <c r="AN561" t="s">
        <v>6371</v>
      </c>
      <c r="AV561"/>
      <c r="AX561"/>
      <c r="AZ561" t="str">
        <f t="shared" si="166"/>
        <v/>
      </c>
      <c r="BA561" t="str">
        <f t="shared" si="167"/>
        <v/>
      </c>
    </row>
    <row r="562" spans="1:53" ht="13.5">
      <c r="A562" s="135" t="str">
        <f t="shared" si="168"/>
        <v/>
      </c>
      <c r="B562" s="19" t="str">
        <f t="shared" si="169"/>
        <v/>
      </c>
      <c r="C562" s="19" t="str">
        <f t="shared" si="170"/>
        <v/>
      </c>
      <c r="D562" s="19" t="str">
        <f t="shared" si="171"/>
        <v/>
      </c>
      <c r="E562" s="5" t="str">
        <f t="shared" si="157"/>
        <v/>
      </c>
      <c r="F562" s="12" t="str">
        <f t="shared" si="158"/>
        <v/>
      </c>
      <c r="K562" s="9" t="str">
        <f t="shared" si="159"/>
        <v/>
      </c>
      <c r="L562" s="6">
        <f t="shared" si="160"/>
        <v>0</v>
      </c>
      <c r="M562" s="6">
        <f t="shared" si="161"/>
        <v>0</v>
      </c>
      <c r="N562" s="94" t="str">
        <f t="shared" si="162"/>
        <v/>
      </c>
      <c r="O562" s="6"/>
      <c r="P562" s="6"/>
      <c r="Q562" s="6"/>
      <c r="R562" s="6"/>
      <c r="T562" s="136" t="str">
        <f t="shared" si="163"/>
        <v/>
      </c>
      <c r="U562" s="137" t="str">
        <f t="shared" si="164"/>
        <v/>
      </c>
      <c r="V562" s="1"/>
      <c r="Y562" s="90" t="str">
        <f t="shared" si="165"/>
        <v/>
      </c>
      <c r="AC562" s="6" t="s">
        <v>3623</v>
      </c>
      <c r="AD562" s="6" t="s">
        <v>7044</v>
      </c>
      <c r="AE562" s="158" t="s">
        <v>3816</v>
      </c>
      <c r="AF562" s="159" t="s">
        <v>8299</v>
      </c>
      <c r="AG562" s="160">
        <v>996468</v>
      </c>
      <c r="AH562" s="194" t="s">
        <v>1314</v>
      </c>
      <c r="AI562" s="6" t="s">
        <v>5223</v>
      </c>
      <c r="AJ562" s="3" t="s">
        <v>8217</v>
      </c>
      <c r="AK562" t="s">
        <v>8668</v>
      </c>
      <c r="AL562" s="29"/>
      <c r="AM562" s="6" t="s">
        <v>5220</v>
      </c>
      <c r="AN562" t="s">
        <v>6372</v>
      </c>
      <c r="AV562"/>
      <c r="AX562"/>
      <c r="AZ562" t="str">
        <f t="shared" si="166"/>
        <v/>
      </c>
      <c r="BA562" t="str">
        <f t="shared" si="167"/>
        <v/>
      </c>
    </row>
    <row r="563" spans="1:53" ht="13.5">
      <c r="A563" s="135" t="str">
        <f t="shared" si="168"/>
        <v/>
      </c>
      <c r="B563" s="19" t="str">
        <f t="shared" si="169"/>
        <v/>
      </c>
      <c r="C563" s="19" t="str">
        <f t="shared" si="170"/>
        <v/>
      </c>
      <c r="D563" s="19" t="str">
        <f t="shared" si="171"/>
        <v/>
      </c>
      <c r="E563" s="5" t="str">
        <f t="shared" si="157"/>
        <v/>
      </c>
      <c r="F563" s="12" t="str">
        <f t="shared" si="158"/>
        <v/>
      </c>
      <c r="K563" s="9" t="str">
        <f t="shared" si="159"/>
        <v/>
      </c>
      <c r="L563" s="6">
        <f t="shared" si="160"/>
        <v>0</v>
      </c>
      <c r="M563" s="6">
        <f t="shared" si="161"/>
        <v>0</v>
      </c>
      <c r="N563" s="94" t="str">
        <f t="shared" si="162"/>
        <v/>
      </c>
      <c r="O563" s="6"/>
      <c r="P563" s="6"/>
      <c r="Q563" s="6"/>
      <c r="R563" s="6"/>
      <c r="T563" s="136" t="str">
        <f t="shared" si="163"/>
        <v/>
      </c>
      <c r="U563" s="137" t="str">
        <f t="shared" si="164"/>
        <v/>
      </c>
      <c r="V563" s="1"/>
      <c r="Y563" s="90" t="str">
        <f t="shared" si="165"/>
        <v/>
      </c>
      <c r="AC563" s="6" t="s">
        <v>3959</v>
      </c>
      <c r="AD563" s="6" t="s">
        <v>7070</v>
      </c>
      <c r="AE563" s="158" t="s">
        <v>3817</v>
      </c>
      <c r="AF563" s="159" t="s">
        <v>8342</v>
      </c>
      <c r="AG563" s="160">
        <v>996469</v>
      </c>
      <c r="AH563" s="194" t="s">
        <v>1314</v>
      </c>
      <c r="AI563" s="6" t="s">
        <v>4833</v>
      </c>
      <c r="AJ563" s="3" t="s">
        <v>8219</v>
      </c>
      <c r="AK563" t="s">
        <v>8219</v>
      </c>
      <c r="AL563" s="29"/>
      <c r="AM563" s="6" t="s">
        <v>5167</v>
      </c>
      <c r="AN563" t="s">
        <v>6373</v>
      </c>
      <c r="AV563"/>
      <c r="AX563"/>
      <c r="AZ563" t="str">
        <f t="shared" si="166"/>
        <v/>
      </c>
      <c r="BA563" t="str">
        <f t="shared" si="167"/>
        <v/>
      </c>
    </row>
    <row r="564" spans="1:53" ht="13.5">
      <c r="A564" s="135" t="str">
        <f t="shared" si="168"/>
        <v/>
      </c>
      <c r="B564" s="19" t="str">
        <f t="shared" si="169"/>
        <v/>
      </c>
      <c r="C564" s="19" t="str">
        <f t="shared" si="170"/>
        <v/>
      </c>
      <c r="D564" s="19" t="str">
        <f t="shared" si="171"/>
        <v/>
      </c>
      <c r="E564" s="5" t="str">
        <f t="shared" si="157"/>
        <v/>
      </c>
      <c r="F564" s="12" t="str">
        <f t="shared" si="158"/>
        <v/>
      </c>
      <c r="K564" s="9" t="str">
        <f t="shared" si="159"/>
        <v/>
      </c>
      <c r="L564" s="6">
        <f t="shared" si="160"/>
        <v>0</v>
      </c>
      <c r="M564" s="6">
        <f t="shared" si="161"/>
        <v>0</v>
      </c>
      <c r="N564" s="94" t="str">
        <f t="shared" si="162"/>
        <v/>
      </c>
      <c r="O564" s="6"/>
      <c r="P564" s="6"/>
      <c r="Q564" s="6"/>
      <c r="R564" s="6"/>
      <c r="T564" s="136" t="str">
        <f t="shared" si="163"/>
        <v/>
      </c>
      <c r="U564" s="137" t="str">
        <f t="shared" si="164"/>
        <v/>
      </c>
      <c r="V564" s="1"/>
      <c r="Y564" s="90" t="str">
        <f t="shared" si="165"/>
        <v/>
      </c>
      <c r="AC564" s="6" t="s">
        <v>3998</v>
      </c>
      <c r="AD564" s="6" t="s">
        <v>7019</v>
      </c>
      <c r="AE564" s="158" t="s">
        <v>3818</v>
      </c>
      <c r="AF564" s="159" t="s">
        <v>8299</v>
      </c>
      <c r="AG564" s="160">
        <v>996470</v>
      </c>
      <c r="AH564" s="194" t="s">
        <v>679</v>
      </c>
      <c r="AI564" s="6" t="s">
        <v>5143</v>
      </c>
      <c r="AJ564" s="3" t="s">
        <v>8197</v>
      </c>
      <c r="AK564" t="s">
        <v>8197</v>
      </c>
      <c r="AL564" s="29"/>
      <c r="AM564" s="6" t="s">
        <v>5117</v>
      </c>
      <c r="AN564" t="s">
        <v>6374</v>
      </c>
      <c r="AV564"/>
      <c r="AX564"/>
      <c r="AZ564" t="str">
        <f t="shared" si="166"/>
        <v/>
      </c>
      <c r="BA564" t="str">
        <f t="shared" si="167"/>
        <v/>
      </c>
    </row>
    <row r="565" spans="1:53" ht="13.5">
      <c r="A565" s="135" t="str">
        <f t="shared" si="168"/>
        <v/>
      </c>
      <c r="B565" s="19" t="str">
        <f t="shared" si="169"/>
        <v/>
      </c>
      <c r="C565" s="19" t="str">
        <f t="shared" si="170"/>
        <v/>
      </c>
      <c r="D565" s="19" t="str">
        <f t="shared" si="171"/>
        <v/>
      </c>
      <c r="E565" s="5" t="str">
        <f t="shared" si="157"/>
        <v/>
      </c>
      <c r="F565" s="12" t="str">
        <f t="shared" si="158"/>
        <v/>
      </c>
      <c r="K565" s="9" t="str">
        <f t="shared" si="159"/>
        <v/>
      </c>
      <c r="L565" s="6">
        <f t="shared" si="160"/>
        <v>0</v>
      </c>
      <c r="M565" s="6">
        <f t="shared" si="161"/>
        <v>0</v>
      </c>
      <c r="N565" s="94" t="str">
        <f t="shared" si="162"/>
        <v/>
      </c>
      <c r="O565" s="6"/>
      <c r="P565" s="6"/>
      <c r="Q565" s="6"/>
      <c r="R565" s="6"/>
      <c r="T565" s="136" t="str">
        <f t="shared" si="163"/>
        <v/>
      </c>
      <c r="U565" s="137" t="str">
        <f t="shared" si="164"/>
        <v/>
      </c>
      <c r="V565" s="1"/>
      <c r="Y565" s="90" t="str">
        <f t="shared" si="165"/>
        <v/>
      </c>
      <c r="AC565" s="6">
        <v>796324</v>
      </c>
      <c r="AD565" s="6" t="s">
        <v>6999</v>
      </c>
      <c r="AE565" s="158" t="s">
        <v>3819</v>
      </c>
      <c r="AF565" s="159" t="s">
        <v>8299</v>
      </c>
      <c r="AG565" s="160">
        <v>996471</v>
      </c>
      <c r="AH565" s="194" t="s">
        <v>1314</v>
      </c>
      <c r="AI565" s="6" t="s">
        <v>4448</v>
      </c>
      <c r="AJ565" s="3" t="s">
        <v>8197</v>
      </c>
      <c r="AK565" t="s">
        <v>8197</v>
      </c>
      <c r="AL565" s="29"/>
      <c r="AM565" s="6" t="s">
        <v>5187</v>
      </c>
      <c r="AN565" t="s">
        <v>6375</v>
      </c>
      <c r="AV565"/>
      <c r="AX565"/>
      <c r="AZ565" t="str">
        <f t="shared" si="166"/>
        <v/>
      </c>
      <c r="BA565" t="str">
        <f t="shared" si="167"/>
        <v/>
      </c>
    </row>
    <row r="566" spans="1:53" ht="13.5">
      <c r="A566" s="135" t="str">
        <f t="shared" si="168"/>
        <v/>
      </c>
      <c r="B566" s="19" t="str">
        <f t="shared" si="169"/>
        <v/>
      </c>
      <c r="C566" s="19" t="str">
        <f t="shared" si="170"/>
        <v/>
      </c>
      <c r="D566" s="19" t="str">
        <f t="shared" si="171"/>
        <v/>
      </c>
      <c r="E566" s="5" t="str">
        <f t="shared" si="157"/>
        <v/>
      </c>
      <c r="F566" s="12" t="str">
        <f t="shared" si="158"/>
        <v/>
      </c>
      <c r="K566" s="9" t="str">
        <f t="shared" si="159"/>
        <v/>
      </c>
      <c r="L566" s="6">
        <f t="shared" si="160"/>
        <v>0</v>
      </c>
      <c r="M566" s="6">
        <f t="shared" si="161"/>
        <v>0</v>
      </c>
      <c r="N566" s="94" t="str">
        <f t="shared" si="162"/>
        <v/>
      </c>
      <c r="O566" s="6"/>
      <c r="P566" s="6"/>
      <c r="Q566" s="6"/>
      <c r="R566" s="6"/>
      <c r="T566" s="136" t="str">
        <f t="shared" si="163"/>
        <v/>
      </c>
      <c r="U566" s="137" t="str">
        <f t="shared" si="164"/>
        <v/>
      </c>
      <c r="V566" s="1"/>
      <c r="Y566" s="90" t="str">
        <f t="shared" si="165"/>
        <v/>
      </c>
      <c r="AC566" s="6" t="s">
        <v>4207</v>
      </c>
      <c r="AD566" s="6" t="s">
        <v>7071</v>
      </c>
      <c r="AE566" s="158" t="s">
        <v>3820</v>
      </c>
      <c r="AF566" s="159" t="s">
        <v>8311</v>
      </c>
      <c r="AG566" s="160" t="s">
        <v>4245</v>
      </c>
      <c r="AH566" s="194" t="s">
        <v>679</v>
      </c>
      <c r="AI566" s="6" t="s">
        <v>5560</v>
      </c>
      <c r="AJ566" s="3" t="s">
        <v>8238</v>
      </c>
      <c r="AK566" t="s">
        <v>8673</v>
      </c>
      <c r="AL566" s="29"/>
      <c r="AM566" s="6" t="s">
        <v>5154</v>
      </c>
      <c r="AN566" t="s">
        <v>6376</v>
      </c>
      <c r="AV566"/>
      <c r="AX566"/>
      <c r="AZ566" t="str">
        <f t="shared" si="166"/>
        <v/>
      </c>
      <c r="BA566" t="str">
        <f t="shared" si="167"/>
        <v/>
      </c>
    </row>
    <row r="567" spans="1:53" ht="13.5">
      <c r="A567" s="135" t="str">
        <f t="shared" si="168"/>
        <v/>
      </c>
      <c r="B567" s="19" t="str">
        <f t="shared" si="169"/>
        <v/>
      </c>
      <c r="C567" s="19" t="str">
        <f t="shared" si="170"/>
        <v/>
      </c>
      <c r="D567" s="19" t="str">
        <f t="shared" si="171"/>
        <v/>
      </c>
      <c r="E567" s="5" t="str">
        <f t="shared" si="157"/>
        <v/>
      </c>
      <c r="F567" s="12" t="str">
        <f t="shared" si="158"/>
        <v/>
      </c>
      <c r="K567" s="9" t="str">
        <f t="shared" si="159"/>
        <v/>
      </c>
      <c r="L567" s="6">
        <f t="shared" si="160"/>
        <v>0</v>
      </c>
      <c r="M567" s="6">
        <f t="shared" si="161"/>
        <v>0</v>
      </c>
      <c r="N567" s="94" t="str">
        <f t="shared" si="162"/>
        <v/>
      </c>
      <c r="O567" s="6"/>
      <c r="P567" s="6"/>
      <c r="Q567" s="6"/>
      <c r="R567" s="6"/>
      <c r="T567" s="136" t="str">
        <f t="shared" si="163"/>
        <v/>
      </c>
      <c r="U567" s="137" t="str">
        <f t="shared" si="164"/>
        <v/>
      </c>
      <c r="V567" s="1"/>
      <c r="Y567" s="90" t="str">
        <f t="shared" si="165"/>
        <v/>
      </c>
      <c r="AC567" s="6" t="s">
        <v>2668</v>
      </c>
      <c r="AD567" s="6" t="s">
        <v>7067</v>
      </c>
      <c r="AE567" s="158" t="s">
        <v>3821</v>
      </c>
      <c r="AF567" s="159" t="s">
        <v>8346</v>
      </c>
      <c r="AG567" s="160" t="s">
        <v>4246</v>
      </c>
      <c r="AH567" s="194" t="s">
        <v>1314</v>
      </c>
      <c r="AI567" s="6" t="s">
        <v>4837</v>
      </c>
      <c r="AJ567" s="3" t="s">
        <v>8249</v>
      </c>
      <c r="AK567" t="s">
        <v>8249</v>
      </c>
      <c r="AL567" s="29"/>
      <c r="AM567" s="6" t="s">
        <v>5096</v>
      </c>
      <c r="AN567" t="s">
        <v>6377</v>
      </c>
      <c r="AV567"/>
      <c r="AX567"/>
      <c r="AZ567" t="str">
        <f t="shared" si="166"/>
        <v/>
      </c>
      <c r="BA567" t="str">
        <f t="shared" si="167"/>
        <v/>
      </c>
    </row>
    <row r="568" spans="1:53" ht="13.5">
      <c r="A568" s="135" t="str">
        <f t="shared" si="168"/>
        <v/>
      </c>
      <c r="B568" s="19" t="str">
        <f t="shared" si="169"/>
        <v/>
      </c>
      <c r="C568" s="19" t="str">
        <f t="shared" si="170"/>
        <v/>
      </c>
      <c r="D568" s="19" t="str">
        <f t="shared" si="171"/>
        <v/>
      </c>
      <c r="E568" s="5" t="str">
        <f t="shared" si="157"/>
        <v/>
      </c>
      <c r="F568" s="12" t="str">
        <f t="shared" si="158"/>
        <v/>
      </c>
      <c r="K568" s="9" t="str">
        <f t="shared" si="159"/>
        <v/>
      </c>
      <c r="L568" s="6">
        <f t="shared" si="160"/>
        <v>0</v>
      </c>
      <c r="M568" s="6">
        <f t="shared" si="161"/>
        <v>0</v>
      </c>
      <c r="N568" s="94" t="str">
        <f t="shared" si="162"/>
        <v/>
      </c>
      <c r="O568" s="6"/>
      <c r="P568" s="6"/>
      <c r="Q568" s="6"/>
      <c r="R568" s="6"/>
      <c r="T568" s="136" t="str">
        <f t="shared" si="163"/>
        <v/>
      </c>
      <c r="U568" s="137" t="str">
        <f t="shared" si="164"/>
        <v/>
      </c>
      <c r="V568" s="1"/>
      <c r="Y568" s="90" t="str">
        <f t="shared" si="165"/>
        <v/>
      </c>
      <c r="AC568" s="6">
        <v>115603</v>
      </c>
      <c r="AD568" s="6" t="s">
        <v>7072</v>
      </c>
      <c r="AE568" s="158" t="s">
        <v>3822</v>
      </c>
      <c r="AF568" s="159" t="s">
        <v>8353</v>
      </c>
      <c r="AG568" s="160" t="s">
        <v>4247</v>
      </c>
      <c r="AH568" s="194" t="s">
        <v>1314</v>
      </c>
      <c r="AI568" s="6" t="s">
        <v>1210</v>
      </c>
      <c r="AJ568" s="3" t="s">
        <v>8250</v>
      </c>
      <c r="AK568" t="s">
        <v>8250</v>
      </c>
      <c r="AL568" s="29"/>
      <c r="AM568" s="6" t="s">
        <v>5208</v>
      </c>
      <c r="AN568" t="s">
        <v>6378</v>
      </c>
      <c r="AV568"/>
      <c r="AX568"/>
      <c r="AZ568" t="str">
        <f t="shared" si="166"/>
        <v/>
      </c>
      <c r="BA568" t="str">
        <f t="shared" si="167"/>
        <v/>
      </c>
    </row>
    <row r="569" spans="1:53" ht="13.5">
      <c r="A569" s="135" t="str">
        <f t="shared" si="168"/>
        <v/>
      </c>
      <c r="B569" s="19" t="str">
        <f t="shared" si="169"/>
        <v/>
      </c>
      <c r="C569" s="19" t="str">
        <f t="shared" si="170"/>
        <v/>
      </c>
      <c r="D569" s="19" t="str">
        <f t="shared" si="171"/>
        <v/>
      </c>
      <c r="E569" s="5" t="str">
        <f t="shared" si="157"/>
        <v/>
      </c>
      <c r="F569" s="12" t="str">
        <f t="shared" si="158"/>
        <v/>
      </c>
      <c r="K569" s="9" t="str">
        <f t="shared" si="159"/>
        <v/>
      </c>
      <c r="L569" s="6">
        <f t="shared" si="160"/>
        <v>0</v>
      </c>
      <c r="M569" s="6">
        <f t="shared" si="161"/>
        <v>0</v>
      </c>
      <c r="N569" s="94" t="str">
        <f t="shared" si="162"/>
        <v/>
      </c>
      <c r="O569" s="6"/>
      <c r="P569" s="6"/>
      <c r="Q569" s="6"/>
      <c r="R569" s="6"/>
      <c r="T569" s="136" t="str">
        <f t="shared" si="163"/>
        <v/>
      </c>
      <c r="U569" s="137" t="str">
        <f t="shared" si="164"/>
        <v/>
      </c>
      <c r="V569" s="1"/>
      <c r="Y569" s="90" t="str">
        <f t="shared" si="165"/>
        <v/>
      </c>
      <c r="AC569" s="6">
        <v>996468</v>
      </c>
      <c r="AD569" s="6" t="s">
        <v>7041</v>
      </c>
      <c r="AE569" s="158" t="s">
        <v>3823</v>
      </c>
      <c r="AF569" s="159" t="s">
        <v>8312</v>
      </c>
      <c r="AG569" s="160" t="s">
        <v>4248</v>
      </c>
      <c r="AH569" s="194" t="s">
        <v>1314</v>
      </c>
      <c r="AI569" s="6" t="s">
        <v>5039</v>
      </c>
      <c r="AJ569" s="3" t="s">
        <v>8259</v>
      </c>
      <c r="AK569" t="s">
        <v>8677</v>
      </c>
      <c r="AL569" s="29"/>
      <c r="AM569" s="6" t="s">
        <v>5232</v>
      </c>
      <c r="AN569" t="s">
        <v>6379</v>
      </c>
      <c r="AV569"/>
      <c r="AX569"/>
      <c r="AZ569" t="str">
        <f t="shared" si="166"/>
        <v/>
      </c>
      <c r="BA569" t="str">
        <f t="shared" si="167"/>
        <v/>
      </c>
    </row>
    <row r="570" spans="1:53" ht="13.5">
      <c r="A570" s="135" t="str">
        <f t="shared" si="168"/>
        <v/>
      </c>
      <c r="B570" s="19" t="str">
        <f t="shared" si="169"/>
        <v/>
      </c>
      <c r="C570" s="19" t="str">
        <f t="shared" si="170"/>
        <v/>
      </c>
      <c r="D570" s="19" t="str">
        <f t="shared" si="171"/>
        <v/>
      </c>
      <c r="E570" s="5" t="str">
        <f t="shared" si="157"/>
        <v/>
      </c>
      <c r="F570" s="12" t="str">
        <f t="shared" si="158"/>
        <v/>
      </c>
      <c r="K570" s="9" t="str">
        <f t="shared" si="159"/>
        <v/>
      </c>
      <c r="L570" s="6">
        <f t="shared" si="160"/>
        <v>0</v>
      </c>
      <c r="M570" s="6">
        <f t="shared" si="161"/>
        <v>0</v>
      </c>
      <c r="N570" s="94" t="str">
        <f t="shared" si="162"/>
        <v/>
      </c>
      <c r="O570" s="6"/>
      <c r="P570" s="6"/>
      <c r="Q570" s="6"/>
      <c r="R570" s="6"/>
      <c r="T570" s="136" t="str">
        <f t="shared" si="163"/>
        <v/>
      </c>
      <c r="U570" s="137" t="str">
        <f t="shared" si="164"/>
        <v/>
      </c>
      <c r="V570" s="1"/>
      <c r="Y570" s="90" t="str">
        <f t="shared" si="165"/>
        <v/>
      </c>
      <c r="AC570" s="6">
        <v>836349</v>
      </c>
      <c r="AD570" s="6" t="s">
        <v>7073</v>
      </c>
      <c r="AE570" s="158" t="s">
        <v>3824</v>
      </c>
      <c r="AF570" s="159" t="s">
        <v>8358</v>
      </c>
      <c r="AG570" s="160" t="s">
        <v>4249</v>
      </c>
      <c r="AH570" s="194" t="s">
        <v>679</v>
      </c>
      <c r="AI570" s="6" t="s">
        <v>1292</v>
      </c>
      <c r="AJ570" s="3" t="s">
        <v>8260</v>
      </c>
      <c r="AK570" t="s">
        <v>8678</v>
      </c>
      <c r="AL570" s="29"/>
      <c r="AM570" s="6" t="s">
        <v>5229</v>
      </c>
      <c r="AN570" t="s">
        <v>6380</v>
      </c>
      <c r="AV570"/>
      <c r="AX570"/>
      <c r="AZ570" t="str">
        <f t="shared" si="166"/>
        <v/>
      </c>
      <c r="BA570" t="str">
        <f t="shared" si="167"/>
        <v/>
      </c>
    </row>
    <row r="571" spans="1:53" ht="13.5">
      <c r="A571" s="135" t="str">
        <f t="shared" si="168"/>
        <v/>
      </c>
      <c r="B571" s="19" t="str">
        <f t="shared" si="169"/>
        <v/>
      </c>
      <c r="C571" s="19" t="str">
        <f t="shared" si="170"/>
        <v/>
      </c>
      <c r="D571" s="19" t="str">
        <f t="shared" si="171"/>
        <v/>
      </c>
      <c r="E571" s="5" t="str">
        <f t="shared" si="157"/>
        <v/>
      </c>
      <c r="F571" s="12" t="str">
        <f t="shared" si="158"/>
        <v/>
      </c>
      <c r="K571" s="9" t="str">
        <f t="shared" si="159"/>
        <v/>
      </c>
      <c r="L571" s="6">
        <f t="shared" si="160"/>
        <v>0</v>
      </c>
      <c r="M571" s="6">
        <f t="shared" si="161"/>
        <v>0</v>
      </c>
      <c r="N571" s="94" t="str">
        <f t="shared" si="162"/>
        <v/>
      </c>
      <c r="O571" s="6"/>
      <c r="P571" s="6"/>
      <c r="Q571" s="6"/>
      <c r="R571" s="6"/>
      <c r="T571" s="136" t="str">
        <f t="shared" si="163"/>
        <v/>
      </c>
      <c r="U571" s="137" t="str">
        <f t="shared" si="164"/>
        <v/>
      </c>
      <c r="V571" s="1"/>
      <c r="Y571" s="90" t="str">
        <f t="shared" si="165"/>
        <v/>
      </c>
      <c r="AC571" s="6" t="s">
        <v>4239</v>
      </c>
      <c r="AD571" s="6" t="s">
        <v>7063</v>
      </c>
      <c r="AE571" s="158" t="s">
        <v>3825</v>
      </c>
      <c r="AF571" s="159" t="s">
        <v>8299</v>
      </c>
      <c r="AG571" s="160" t="s">
        <v>4250</v>
      </c>
      <c r="AH571" s="194" t="s">
        <v>679</v>
      </c>
      <c r="AI571" s="6" t="s">
        <v>1298</v>
      </c>
      <c r="AJ571" s="3" t="s">
        <v>8259</v>
      </c>
      <c r="AK571" t="s">
        <v>8677</v>
      </c>
      <c r="AL571" s="29"/>
      <c r="AM571" s="6" t="s">
        <v>5080</v>
      </c>
      <c r="AN571" t="s">
        <v>6381</v>
      </c>
      <c r="AV571"/>
      <c r="AX571"/>
      <c r="AZ571" t="str">
        <f t="shared" si="166"/>
        <v/>
      </c>
      <c r="BA571" t="str">
        <f t="shared" si="167"/>
        <v/>
      </c>
    </row>
    <row r="572" spans="1:53" ht="13.5">
      <c r="A572" s="135" t="str">
        <f t="shared" si="168"/>
        <v/>
      </c>
      <c r="B572" s="19" t="str">
        <f t="shared" si="169"/>
        <v/>
      </c>
      <c r="C572" s="19" t="str">
        <f t="shared" si="170"/>
        <v/>
      </c>
      <c r="D572" s="19" t="str">
        <f t="shared" si="171"/>
        <v/>
      </c>
      <c r="E572" s="5" t="str">
        <f t="shared" si="157"/>
        <v/>
      </c>
      <c r="F572" s="12" t="str">
        <f t="shared" si="158"/>
        <v/>
      </c>
      <c r="K572" s="9" t="str">
        <f t="shared" si="159"/>
        <v/>
      </c>
      <c r="L572" s="6">
        <f t="shared" si="160"/>
        <v>0</v>
      </c>
      <c r="M572" s="6">
        <f t="shared" si="161"/>
        <v>0</v>
      </c>
      <c r="N572" s="94" t="str">
        <f t="shared" si="162"/>
        <v/>
      </c>
      <c r="O572" s="6"/>
      <c r="P572" s="6"/>
      <c r="Q572" s="6"/>
      <c r="R572" s="6"/>
      <c r="T572" s="136" t="str">
        <f t="shared" si="163"/>
        <v/>
      </c>
      <c r="U572" s="137" t="str">
        <f t="shared" si="164"/>
        <v/>
      </c>
      <c r="V572" s="1"/>
      <c r="Y572" s="90" t="str">
        <f t="shared" si="165"/>
        <v/>
      </c>
      <c r="AC572" s="6" t="s">
        <v>5089</v>
      </c>
      <c r="AD572" s="6" t="s">
        <v>7063</v>
      </c>
      <c r="AE572" s="158" t="s">
        <v>3826</v>
      </c>
      <c r="AF572" s="159" t="s">
        <v>8345</v>
      </c>
      <c r="AG572" s="160" t="s">
        <v>4251</v>
      </c>
      <c r="AH572" s="194" t="s">
        <v>679</v>
      </c>
      <c r="AI572" s="6" t="s">
        <v>968</v>
      </c>
      <c r="AJ572" s="3" t="s">
        <v>8199</v>
      </c>
      <c r="AK572" t="s">
        <v>8199</v>
      </c>
      <c r="AL572" s="29"/>
      <c r="AM572" s="6" t="s">
        <v>5246</v>
      </c>
      <c r="AN572" t="s">
        <v>6382</v>
      </c>
      <c r="AV572"/>
      <c r="AX572"/>
      <c r="AZ572" t="str">
        <f t="shared" si="166"/>
        <v/>
      </c>
      <c r="BA572" t="str">
        <f t="shared" si="167"/>
        <v/>
      </c>
    </row>
    <row r="573" spans="1:53" ht="13.5">
      <c r="A573" s="135" t="str">
        <f t="shared" si="168"/>
        <v/>
      </c>
      <c r="B573" s="19" t="str">
        <f t="shared" si="169"/>
        <v/>
      </c>
      <c r="C573" s="19" t="str">
        <f t="shared" si="170"/>
        <v/>
      </c>
      <c r="D573" s="19" t="str">
        <f t="shared" si="171"/>
        <v/>
      </c>
      <c r="E573" s="5" t="str">
        <f t="shared" si="157"/>
        <v/>
      </c>
      <c r="F573" s="12" t="str">
        <f t="shared" si="158"/>
        <v/>
      </c>
      <c r="K573" s="9" t="str">
        <f t="shared" si="159"/>
        <v/>
      </c>
      <c r="L573" s="6">
        <f t="shared" si="160"/>
        <v>0</v>
      </c>
      <c r="M573" s="6">
        <f t="shared" si="161"/>
        <v>0</v>
      </c>
      <c r="N573" s="94" t="str">
        <f t="shared" si="162"/>
        <v/>
      </c>
      <c r="O573" s="6"/>
      <c r="P573" s="6"/>
      <c r="Q573" s="6"/>
      <c r="R573" s="6"/>
      <c r="T573" s="136" t="str">
        <f t="shared" si="163"/>
        <v/>
      </c>
      <c r="U573" s="137" t="str">
        <f t="shared" si="164"/>
        <v/>
      </c>
      <c r="V573" s="1"/>
      <c r="Y573" s="90" t="str">
        <f t="shared" si="165"/>
        <v/>
      </c>
      <c r="AC573" s="6">
        <v>165817</v>
      </c>
      <c r="AD573" s="6" t="s">
        <v>7060</v>
      </c>
      <c r="AE573" s="158" t="s">
        <v>4075</v>
      </c>
      <c r="AF573" s="159" t="s">
        <v>8300</v>
      </c>
      <c r="AG573" s="160" t="s">
        <v>4252</v>
      </c>
      <c r="AH573" s="194" t="s">
        <v>679</v>
      </c>
      <c r="AI573" s="6" t="s">
        <v>4464</v>
      </c>
      <c r="AJ573" s="3" t="s">
        <v>8199</v>
      </c>
      <c r="AK573" t="s">
        <v>8199</v>
      </c>
      <c r="AL573" s="29"/>
      <c r="AM573" s="6" t="s">
        <v>5216</v>
      </c>
      <c r="AN573" t="s">
        <v>6383</v>
      </c>
      <c r="AV573"/>
      <c r="AX573"/>
      <c r="AZ573" t="str">
        <f t="shared" si="166"/>
        <v/>
      </c>
      <c r="BA573" t="str">
        <f t="shared" si="167"/>
        <v/>
      </c>
    </row>
    <row r="574" spans="1:53" ht="13.5">
      <c r="A574" s="135" t="str">
        <f t="shared" si="168"/>
        <v/>
      </c>
      <c r="B574" s="19" t="str">
        <f t="shared" si="169"/>
        <v/>
      </c>
      <c r="C574" s="19" t="str">
        <f t="shared" si="170"/>
        <v/>
      </c>
      <c r="D574" s="19" t="str">
        <f t="shared" si="171"/>
        <v/>
      </c>
      <c r="E574" s="5" t="str">
        <f t="shared" si="157"/>
        <v/>
      </c>
      <c r="F574" s="12" t="str">
        <f t="shared" si="158"/>
        <v/>
      </c>
      <c r="K574" s="9" t="str">
        <f t="shared" si="159"/>
        <v/>
      </c>
      <c r="L574" s="6">
        <f t="shared" si="160"/>
        <v>0</v>
      </c>
      <c r="M574" s="6">
        <f t="shared" si="161"/>
        <v>0</v>
      </c>
      <c r="N574" s="94" t="str">
        <f t="shared" si="162"/>
        <v/>
      </c>
      <c r="O574" s="6"/>
      <c r="P574" s="6"/>
      <c r="Q574" s="6"/>
      <c r="R574" s="6"/>
      <c r="T574" s="136" t="str">
        <f t="shared" si="163"/>
        <v/>
      </c>
      <c r="U574" s="137" t="str">
        <f t="shared" si="164"/>
        <v/>
      </c>
      <c r="V574" s="1"/>
      <c r="Y574" s="90" t="str">
        <f t="shared" si="165"/>
        <v/>
      </c>
      <c r="AC574" s="6" t="s">
        <v>3673</v>
      </c>
      <c r="AD574" s="6" t="s">
        <v>7074</v>
      </c>
      <c r="AE574" s="158" t="s">
        <v>3680</v>
      </c>
      <c r="AF574" s="159" t="s">
        <v>8299</v>
      </c>
      <c r="AG574" s="160" t="s">
        <v>4253</v>
      </c>
      <c r="AH574" s="194" t="s">
        <v>679</v>
      </c>
      <c r="AI574" s="6" t="s">
        <v>5111</v>
      </c>
      <c r="AJ574" s="3" t="s">
        <v>8253</v>
      </c>
      <c r="AK574" t="s">
        <v>8253</v>
      </c>
      <c r="AL574" s="29"/>
      <c r="AM574" s="6" t="s">
        <v>5197</v>
      </c>
      <c r="AN574" t="s">
        <v>6384</v>
      </c>
      <c r="AV574"/>
      <c r="AX574"/>
      <c r="AZ574" t="str">
        <f t="shared" si="166"/>
        <v/>
      </c>
      <c r="BA574" t="str">
        <f t="shared" si="167"/>
        <v/>
      </c>
    </row>
    <row r="575" spans="1:53" ht="13.5">
      <c r="A575" s="135" t="str">
        <f t="shared" si="168"/>
        <v/>
      </c>
      <c r="B575" s="19" t="str">
        <f t="shared" si="169"/>
        <v/>
      </c>
      <c r="C575" s="19" t="str">
        <f t="shared" si="170"/>
        <v/>
      </c>
      <c r="D575" s="19" t="str">
        <f t="shared" si="171"/>
        <v/>
      </c>
      <c r="E575" s="5" t="str">
        <f t="shared" si="157"/>
        <v/>
      </c>
      <c r="F575" s="12" t="str">
        <f t="shared" si="158"/>
        <v/>
      </c>
      <c r="K575" s="9" t="str">
        <f t="shared" si="159"/>
        <v/>
      </c>
      <c r="L575" s="6">
        <f t="shared" si="160"/>
        <v>0</v>
      </c>
      <c r="M575" s="6">
        <f t="shared" si="161"/>
        <v>0</v>
      </c>
      <c r="N575" s="94" t="str">
        <f t="shared" si="162"/>
        <v/>
      </c>
      <c r="O575" s="6"/>
      <c r="P575" s="6"/>
      <c r="Q575" s="6"/>
      <c r="R575" s="6"/>
      <c r="T575" s="136" t="str">
        <f t="shared" si="163"/>
        <v/>
      </c>
      <c r="U575" s="137" t="str">
        <f t="shared" si="164"/>
        <v/>
      </c>
      <c r="V575" s="1"/>
      <c r="Y575" s="90" t="str">
        <f t="shared" si="165"/>
        <v/>
      </c>
      <c r="AC575" s="6">
        <v>956441</v>
      </c>
      <c r="AD575" s="6" t="s">
        <v>7075</v>
      </c>
      <c r="AE575" s="158" t="s">
        <v>968</v>
      </c>
      <c r="AF575" s="159" t="s">
        <v>8299</v>
      </c>
      <c r="AG575" s="160" t="s">
        <v>4254</v>
      </c>
      <c r="AH575" s="194" t="s">
        <v>1314</v>
      </c>
      <c r="AI575" s="6" t="s">
        <v>5178</v>
      </c>
      <c r="AJ575" s="3" t="s">
        <v>8261</v>
      </c>
      <c r="AK575" t="s">
        <v>8261</v>
      </c>
      <c r="AL575" s="29"/>
      <c r="AM575" s="6" t="s">
        <v>5225</v>
      </c>
      <c r="AN575" t="s">
        <v>6385</v>
      </c>
      <c r="AV575"/>
      <c r="AX575"/>
      <c r="AZ575" t="str">
        <f t="shared" si="166"/>
        <v/>
      </c>
      <c r="BA575" t="str">
        <f t="shared" si="167"/>
        <v/>
      </c>
    </row>
    <row r="576" spans="1:53" ht="13.5">
      <c r="A576" s="135" t="str">
        <f t="shared" si="168"/>
        <v/>
      </c>
      <c r="B576" s="19" t="str">
        <f t="shared" si="169"/>
        <v/>
      </c>
      <c r="C576" s="19" t="str">
        <f t="shared" si="170"/>
        <v/>
      </c>
      <c r="D576" s="19" t="str">
        <f t="shared" si="171"/>
        <v/>
      </c>
      <c r="E576" s="5" t="str">
        <f t="shared" si="157"/>
        <v/>
      </c>
      <c r="F576" s="12" t="str">
        <f t="shared" si="158"/>
        <v/>
      </c>
      <c r="K576" s="9" t="str">
        <f t="shared" si="159"/>
        <v/>
      </c>
      <c r="L576" s="6">
        <f t="shared" si="160"/>
        <v>0</v>
      </c>
      <c r="M576" s="6">
        <f t="shared" si="161"/>
        <v>0</v>
      </c>
      <c r="N576" s="94" t="str">
        <f t="shared" si="162"/>
        <v/>
      </c>
      <c r="O576" s="6"/>
      <c r="P576" s="6"/>
      <c r="Q576" s="6"/>
      <c r="R576" s="6"/>
      <c r="T576" s="136" t="str">
        <f t="shared" si="163"/>
        <v/>
      </c>
      <c r="U576" s="137" t="str">
        <f t="shared" si="164"/>
        <v/>
      </c>
      <c r="V576" s="1"/>
      <c r="Y576" s="90" t="str">
        <f t="shared" si="165"/>
        <v/>
      </c>
      <c r="AC576" s="6">
        <v>115602</v>
      </c>
      <c r="AD576" s="6" t="s">
        <v>7072</v>
      </c>
      <c r="AE576" s="158" t="s">
        <v>56</v>
      </c>
      <c r="AF576" s="159" t="s">
        <v>8299</v>
      </c>
      <c r="AG576" s="160" t="s">
        <v>4255</v>
      </c>
      <c r="AH576" s="194" t="s">
        <v>1314</v>
      </c>
      <c r="AI576" s="6" t="s">
        <v>5242</v>
      </c>
      <c r="AJ576" s="3" t="s">
        <v>8244</v>
      </c>
      <c r="AK576" t="s">
        <v>8244</v>
      </c>
      <c r="AL576" s="29"/>
      <c r="AM576" s="6" t="s">
        <v>5149</v>
      </c>
      <c r="AN576" t="s">
        <v>6386</v>
      </c>
      <c r="AV576"/>
      <c r="AX576"/>
      <c r="AZ576" t="str">
        <f t="shared" si="166"/>
        <v/>
      </c>
      <c r="BA576" t="str">
        <f t="shared" si="167"/>
        <v/>
      </c>
    </row>
    <row r="577" spans="1:53" ht="13.5">
      <c r="A577" s="135" t="str">
        <f t="shared" si="168"/>
        <v/>
      </c>
      <c r="B577" s="19" t="str">
        <f t="shared" si="169"/>
        <v/>
      </c>
      <c r="C577" s="19" t="str">
        <f t="shared" si="170"/>
        <v/>
      </c>
      <c r="D577" s="19" t="str">
        <f t="shared" si="171"/>
        <v/>
      </c>
      <c r="E577" s="5" t="str">
        <f t="shared" si="157"/>
        <v/>
      </c>
      <c r="F577" s="12" t="str">
        <f t="shared" si="158"/>
        <v/>
      </c>
      <c r="K577" s="9" t="str">
        <f t="shared" si="159"/>
        <v/>
      </c>
      <c r="L577" s="6">
        <f t="shared" si="160"/>
        <v>0</v>
      </c>
      <c r="M577" s="6">
        <f t="shared" si="161"/>
        <v>0</v>
      </c>
      <c r="N577" s="94" t="str">
        <f t="shared" si="162"/>
        <v/>
      </c>
      <c r="O577" s="6"/>
      <c r="P577" s="6"/>
      <c r="Q577" s="6"/>
      <c r="R577" s="6"/>
      <c r="T577" s="136" t="str">
        <f t="shared" si="163"/>
        <v/>
      </c>
      <c r="U577" s="137" t="str">
        <f t="shared" si="164"/>
        <v/>
      </c>
      <c r="V577" s="1"/>
      <c r="Y577" s="90" t="str">
        <f t="shared" si="165"/>
        <v/>
      </c>
      <c r="AC577" s="6">
        <v>105584</v>
      </c>
      <c r="AD577" s="6" t="s">
        <v>7076</v>
      </c>
      <c r="AE577" s="158" t="s">
        <v>964</v>
      </c>
      <c r="AF577" s="159" t="s">
        <v>8299</v>
      </c>
      <c r="AG577" s="160" t="s">
        <v>4256</v>
      </c>
      <c r="AH577" s="194" t="s">
        <v>1314</v>
      </c>
      <c r="AI577" s="6" t="s">
        <v>5255</v>
      </c>
      <c r="AJ577" s="3" t="s">
        <v>8261</v>
      </c>
      <c r="AK577" t="s">
        <v>8261</v>
      </c>
      <c r="AL577" s="29"/>
      <c r="AM577" s="6" t="s">
        <v>5233</v>
      </c>
      <c r="AN577" t="s">
        <v>6387</v>
      </c>
      <c r="AV577"/>
      <c r="AX577"/>
      <c r="AZ577" t="str">
        <f t="shared" si="166"/>
        <v/>
      </c>
      <c r="BA577" t="str">
        <f t="shared" si="167"/>
        <v/>
      </c>
    </row>
    <row r="578" spans="1:53" ht="13.5">
      <c r="A578" s="135" t="str">
        <f t="shared" si="168"/>
        <v/>
      </c>
      <c r="B578" s="19" t="str">
        <f t="shared" si="169"/>
        <v/>
      </c>
      <c r="C578" s="19" t="str">
        <f t="shared" si="170"/>
        <v/>
      </c>
      <c r="D578" s="19" t="str">
        <f t="shared" si="171"/>
        <v/>
      </c>
      <c r="E578" s="5" t="str">
        <f t="shared" si="157"/>
        <v/>
      </c>
      <c r="F578" s="12" t="str">
        <f t="shared" si="158"/>
        <v/>
      </c>
      <c r="K578" s="9" t="str">
        <f t="shared" si="159"/>
        <v/>
      </c>
      <c r="L578" s="6">
        <f t="shared" si="160"/>
        <v>0</v>
      </c>
      <c r="M578" s="6">
        <f t="shared" si="161"/>
        <v>0</v>
      </c>
      <c r="N578" s="94" t="str">
        <f t="shared" si="162"/>
        <v/>
      </c>
      <c r="O578" s="6"/>
      <c r="P578" s="6"/>
      <c r="Q578" s="6"/>
      <c r="R578" s="6"/>
      <c r="T578" s="136" t="str">
        <f t="shared" si="163"/>
        <v/>
      </c>
      <c r="U578" s="137" t="str">
        <f t="shared" si="164"/>
        <v/>
      </c>
      <c r="V578" s="1"/>
      <c r="Y578" s="90" t="str">
        <f t="shared" si="165"/>
        <v/>
      </c>
      <c r="AC578" s="6">
        <v>936433</v>
      </c>
      <c r="AD578" s="6" t="s">
        <v>7049</v>
      </c>
      <c r="AE578" s="158" t="s">
        <v>1122</v>
      </c>
      <c r="AF578" s="159" t="s">
        <v>8299</v>
      </c>
      <c r="AG578" s="160" t="s">
        <v>110</v>
      </c>
      <c r="AH578" s="194" t="s">
        <v>679</v>
      </c>
      <c r="AI578" s="6" t="s">
        <v>5157</v>
      </c>
      <c r="AJ578" s="3" t="s">
        <v>8253</v>
      </c>
      <c r="AK578" t="s">
        <v>8253</v>
      </c>
      <c r="AL578" s="29"/>
      <c r="AM578" s="6" t="s">
        <v>5142</v>
      </c>
      <c r="AN578" t="s">
        <v>6388</v>
      </c>
      <c r="AV578"/>
      <c r="AX578"/>
      <c r="AZ578" t="str">
        <f t="shared" si="166"/>
        <v/>
      </c>
      <c r="BA578" t="str">
        <f t="shared" si="167"/>
        <v/>
      </c>
    </row>
    <row r="579" spans="1:53" ht="13.5">
      <c r="A579" s="135" t="str">
        <f t="shared" si="168"/>
        <v/>
      </c>
      <c r="B579" s="19" t="str">
        <f t="shared" si="169"/>
        <v/>
      </c>
      <c r="C579" s="19" t="str">
        <f t="shared" si="170"/>
        <v/>
      </c>
      <c r="D579" s="19" t="str">
        <f t="shared" si="171"/>
        <v/>
      </c>
      <c r="E579" s="5" t="str">
        <f t="shared" si="157"/>
        <v/>
      </c>
      <c r="F579" s="12" t="str">
        <f t="shared" si="158"/>
        <v/>
      </c>
      <c r="K579" s="9" t="str">
        <f t="shared" si="159"/>
        <v/>
      </c>
      <c r="L579" s="6">
        <f t="shared" si="160"/>
        <v>0</v>
      </c>
      <c r="M579" s="6">
        <f t="shared" si="161"/>
        <v>0</v>
      </c>
      <c r="N579" s="94" t="str">
        <f t="shared" si="162"/>
        <v/>
      </c>
      <c r="O579" s="6"/>
      <c r="P579" s="6"/>
      <c r="Q579" s="6"/>
      <c r="R579" s="6"/>
      <c r="T579" s="136" t="str">
        <f t="shared" si="163"/>
        <v/>
      </c>
      <c r="U579" s="137" t="str">
        <f t="shared" si="164"/>
        <v/>
      </c>
      <c r="V579" s="1"/>
      <c r="Y579" s="90" t="str">
        <f t="shared" si="165"/>
        <v/>
      </c>
      <c r="AC579" s="6" t="s">
        <v>3626</v>
      </c>
      <c r="AD579" s="6" t="s">
        <v>7044</v>
      </c>
      <c r="AE579" s="158" t="s">
        <v>1007</v>
      </c>
      <c r="AF579" s="159" t="s">
        <v>8299</v>
      </c>
      <c r="AG579" s="160" t="s">
        <v>17</v>
      </c>
      <c r="AH579" s="194" t="s">
        <v>679</v>
      </c>
      <c r="AI579" s="6" t="s">
        <v>3414</v>
      </c>
      <c r="AJ579" s="3" t="s">
        <v>8193</v>
      </c>
      <c r="AK579" t="s">
        <v>8205</v>
      </c>
      <c r="AL579" s="29"/>
      <c r="AM579" s="6" t="s">
        <v>5188</v>
      </c>
      <c r="AN579" t="s">
        <v>6389</v>
      </c>
      <c r="AV579"/>
      <c r="AX579"/>
      <c r="AZ579" t="str">
        <f t="shared" si="166"/>
        <v/>
      </c>
      <c r="BA579" t="str">
        <f t="shared" si="167"/>
        <v/>
      </c>
    </row>
    <row r="580" spans="1:53" ht="13.5">
      <c r="A580" s="135" t="str">
        <f t="shared" si="168"/>
        <v/>
      </c>
      <c r="B580" s="19" t="str">
        <f t="shared" si="169"/>
        <v/>
      </c>
      <c r="C580" s="19" t="str">
        <f t="shared" si="170"/>
        <v/>
      </c>
      <c r="D580" s="19" t="str">
        <f t="shared" si="171"/>
        <v/>
      </c>
      <c r="E580" s="5" t="str">
        <f t="shared" si="157"/>
        <v/>
      </c>
      <c r="F580" s="12" t="str">
        <f t="shared" si="158"/>
        <v/>
      </c>
      <c r="K580" s="9" t="str">
        <f t="shared" si="159"/>
        <v/>
      </c>
      <c r="L580" s="6">
        <f t="shared" si="160"/>
        <v>0</v>
      </c>
      <c r="M580" s="6">
        <f t="shared" si="161"/>
        <v>0</v>
      </c>
      <c r="N580" s="94" t="str">
        <f t="shared" si="162"/>
        <v/>
      </c>
      <c r="O580" s="6"/>
      <c r="P580" s="6"/>
      <c r="Q580" s="6"/>
      <c r="R580" s="6"/>
      <c r="T580" s="136" t="str">
        <f t="shared" si="163"/>
        <v/>
      </c>
      <c r="U580" s="137" t="str">
        <f t="shared" si="164"/>
        <v/>
      </c>
      <c r="V580" s="1"/>
      <c r="Y580" s="90" t="str">
        <f t="shared" si="165"/>
        <v/>
      </c>
      <c r="AC580" s="6">
        <v>135616</v>
      </c>
      <c r="AD580" s="6" t="s">
        <v>7012</v>
      </c>
      <c r="AE580" s="158" t="s">
        <v>55</v>
      </c>
      <c r="AF580" s="159" t="s">
        <v>8309</v>
      </c>
      <c r="AG580" s="160" t="s">
        <v>111</v>
      </c>
      <c r="AH580" s="194" t="s">
        <v>679</v>
      </c>
      <c r="AI580" s="6" t="s">
        <v>5171</v>
      </c>
      <c r="AJ580" s="3" t="s">
        <v>8262</v>
      </c>
      <c r="AK580" t="s">
        <v>8262</v>
      </c>
      <c r="AL580" s="29"/>
      <c r="AM580" s="6" t="s">
        <v>5215</v>
      </c>
      <c r="AN580" t="s">
        <v>6390</v>
      </c>
      <c r="AV580"/>
      <c r="AX580"/>
      <c r="AZ580" t="str">
        <f t="shared" si="166"/>
        <v/>
      </c>
      <c r="BA580" t="str">
        <f t="shared" si="167"/>
        <v/>
      </c>
    </row>
    <row r="581" spans="1:53" ht="13.5">
      <c r="A581" s="135" t="str">
        <f t="shared" si="168"/>
        <v/>
      </c>
      <c r="B581" s="19" t="str">
        <f t="shared" si="169"/>
        <v/>
      </c>
      <c r="C581" s="19" t="str">
        <f t="shared" si="170"/>
        <v/>
      </c>
      <c r="D581" s="19" t="str">
        <f t="shared" si="171"/>
        <v/>
      </c>
      <c r="E581" s="5" t="str">
        <f t="shared" si="157"/>
        <v/>
      </c>
      <c r="F581" s="12" t="str">
        <f t="shared" si="158"/>
        <v/>
      </c>
      <c r="K581" s="9" t="str">
        <f t="shared" si="159"/>
        <v/>
      </c>
      <c r="L581" s="6">
        <f t="shared" si="160"/>
        <v>0</v>
      </c>
      <c r="M581" s="6">
        <f t="shared" si="161"/>
        <v>0</v>
      </c>
      <c r="N581" s="94" t="str">
        <f t="shared" si="162"/>
        <v/>
      </c>
      <c r="O581" s="6"/>
      <c r="P581" s="6"/>
      <c r="Q581" s="6"/>
      <c r="R581" s="6"/>
      <c r="T581" s="136" t="str">
        <f t="shared" si="163"/>
        <v/>
      </c>
      <c r="U581" s="137" t="str">
        <f t="shared" si="164"/>
        <v/>
      </c>
      <c r="V581" s="1"/>
      <c r="Y581" s="90" t="str">
        <f t="shared" si="165"/>
        <v/>
      </c>
      <c r="AC581" s="6" t="s">
        <v>3675</v>
      </c>
      <c r="AD581" s="6" t="s">
        <v>7077</v>
      </c>
      <c r="AE581" s="158" t="s">
        <v>4354</v>
      </c>
      <c r="AF581" s="159" t="s">
        <v>8297</v>
      </c>
      <c r="AG581" s="160" t="s">
        <v>112</v>
      </c>
      <c r="AH581" s="194" t="s">
        <v>679</v>
      </c>
      <c r="AI581" s="6" t="s">
        <v>1193</v>
      </c>
      <c r="AJ581" s="3" t="s">
        <v>8209</v>
      </c>
      <c r="AK581" t="s">
        <v>8209</v>
      </c>
      <c r="AL581" s="29"/>
      <c r="AM581" s="6" t="s">
        <v>5222</v>
      </c>
      <c r="AN581" t="s">
        <v>6391</v>
      </c>
      <c r="AV581"/>
      <c r="AX581"/>
      <c r="AZ581" t="str">
        <f t="shared" si="166"/>
        <v/>
      </c>
      <c r="BA581" t="str">
        <f t="shared" si="167"/>
        <v/>
      </c>
    </row>
    <row r="582" spans="1:53" ht="13.5">
      <c r="A582" s="135" t="str">
        <f t="shared" si="168"/>
        <v/>
      </c>
      <c r="B582" s="19" t="str">
        <f t="shared" si="169"/>
        <v/>
      </c>
      <c r="C582" s="19" t="str">
        <f t="shared" si="170"/>
        <v/>
      </c>
      <c r="D582" s="19" t="str">
        <f t="shared" si="171"/>
        <v/>
      </c>
      <c r="E582" s="5" t="str">
        <f t="shared" ref="E582:E645" si="172">IF(ISNA(VLOOKUP(I582,AI:AK,2,FALSE)),"",VLOOKUP(I582,AI:AK,2,FALSE))</f>
        <v/>
      </c>
      <c r="F582" s="12" t="str">
        <f t="shared" ref="F582:F645" si="173">IF(ISNA(VLOOKUP(I582,AI:AK,3,FALSE)),"",VLOOKUP(I582,AI:AK,3,FALSE))</f>
        <v/>
      </c>
      <c r="K582" s="9" t="str">
        <f t="shared" ref="K582:K645" si="174">IF(AND(LEFT(L582,3)&lt;&gt;"IB0",LEFT(L582,3)&lt;&gt;"ME0",LEFT(L582,3)&lt;&gt;"PS0",LEFT(L582,3)&lt;&gt;"RY0",LEFT(L582,3)&lt;&gt;"BU0",LEFT(L582,3)&lt;&gt;"IS0",LEFT(L582,3)&lt;&gt;"KA0",LEFT(L582,3)&lt;&gt;"FB0",LEFT(L582,3)&lt;&gt;"MB0",LEFT(L582,3)&lt;&gt;"LH0",LEFT(L582,3)&lt;&gt;"MU0",LEFT(L582,3)&lt;&gt;"AB0"),"",L582)</f>
        <v/>
      </c>
      <c r="L582" s="6">
        <f t="shared" ref="L582:L645" si="175">IF(ISNA(VLOOKUP(I582,$S$5:$S$900,1,FALSE)),I582,"")</f>
        <v>0</v>
      </c>
      <c r="M582" s="6">
        <f t="shared" ref="M582:M645" si="176">IF(OR(LEFT(L582,3)="IB0",LEFT(L582,3)="ME0",LEFT(L582,3)="PS0",LEFT(L582,3)="RY0",LEFT(L582,3)="BU0",LEFT(L582,3)="IS0",LEFT(L582,3)="KA0",LEFT(L582,3)="FB0",LEFT(L582,3)="MB0",LEFT(L582,3)="LH0",LEFT(L582,3)="MU0",LEFT(L582,3)="AB0",),"",L582)</f>
        <v>0</v>
      </c>
      <c r="N582" s="94" t="str">
        <f t="shared" ref="N582:N645" si="177">IF(I582="","",(IF(ISNA(VLOOKUP(M582,$AJ$4:$AK$4000,2,FALSE)),M582,VLOOKUP(M582,$AJ$4:$AK$4000,2,FALSE))))</f>
        <v/>
      </c>
      <c r="O582" s="6"/>
      <c r="P582" s="6"/>
      <c r="Q582" s="6"/>
      <c r="R582" s="6"/>
      <c r="T582" s="136" t="str">
        <f t="shared" ref="T582:T645" si="178">IF(ISNA(VLOOKUP(S582,$I$5:$I$900,1,FALSE)),IF(ISBLANK(S582),"","up"),"")</f>
        <v/>
      </c>
      <c r="U582" s="137" t="str">
        <f t="shared" ref="U582:U645" si="179">IF(T582="up",(IF(ISNA(VLOOKUP(S582,$AV$1:$AX$1200,3,FALSE)),"",VLOOKUP(S582,$AV$1:$AX$1200,3,FALSE))),"")</f>
        <v/>
      </c>
      <c r="V582" s="1"/>
      <c r="Y582" s="90" t="str">
        <f t="shared" ref="Y582:Y645" si="180">IFERROR(VLOOKUP(S582,$AV$1:$BA$1200,6,0),"")</f>
        <v/>
      </c>
      <c r="AC582" s="6" t="s">
        <v>4174</v>
      </c>
      <c r="AD582" s="6" t="s">
        <v>7078</v>
      </c>
      <c r="AE582" s="158" t="s">
        <v>4121</v>
      </c>
      <c r="AF582" s="159" t="s">
        <v>8299</v>
      </c>
      <c r="AG582" s="160" t="s">
        <v>113</v>
      </c>
      <c r="AH582" s="194" t="s">
        <v>679</v>
      </c>
      <c r="AI582" s="6" t="s">
        <v>5783</v>
      </c>
      <c r="AJ582" s="3" t="s">
        <v>8228</v>
      </c>
      <c r="AK582" t="s">
        <v>8228</v>
      </c>
      <c r="AL582" s="29"/>
      <c r="AM582" s="6" t="s">
        <v>5156</v>
      </c>
      <c r="AN582" t="s">
        <v>6392</v>
      </c>
      <c r="AV582"/>
      <c r="AX582"/>
      <c r="AZ582" t="str">
        <f t="shared" ref="AZ582:AZ645" si="181">IF(ISBLANK(AW582),"",CONCATENATE("(",RIGHT(AW582,5),"-",TEXT(AX582,"h:mm;@"),")"))</f>
        <v/>
      </c>
      <c r="BA582" t="str">
        <f t="shared" ref="BA582:BA645" si="182">IF(AV598=AV582,"",CONCATENATE(IF(AV597=AV582,BA597,""),IF(AV596=AV582,BA596,""),IF(AV595=AV582,BA595,""),IF(AV594=AV582,BA594,""),IF(AV593=AV582,BA593,""),IF(AV592=AV582,BA592,""),IF(AV591=AV582,BA591,""),IF(AV590=AV582,BA590,""),IF(AV589=AV582,BA589,""),IF(AV588=AV582,BA588,""),IF(AV587=AV582,BA587,""),IF(AV586=AV582,BA586,""),IF(AV585=AV582,BA585,""),IF(AV584=AV582,BA584,""),IF(AV583=AV582,BA583,""),IF(AV581=AV582,BA581,""),BA582))</f>
        <v/>
      </c>
    </row>
    <row r="583" spans="1:53" ht="13.5">
      <c r="A583" s="135" t="str">
        <f t="shared" si="168"/>
        <v/>
      </c>
      <c r="B583" s="19" t="str">
        <f t="shared" si="169"/>
        <v/>
      </c>
      <c r="C583" s="19" t="str">
        <f t="shared" si="170"/>
        <v/>
      </c>
      <c r="D583" s="19" t="str">
        <f t="shared" si="171"/>
        <v/>
      </c>
      <c r="E583" s="5" t="str">
        <f t="shared" si="172"/>
        <v/>
      </c>
      <c r="F583" s="12" t="str">
        <f t="shared" si="173"/>
        <v/>
      </c>
      <c r="K583" s="9" t="str">
        <f t="shared" si="174"/>
        <v/>
      </c>
      <c r="L583" s="6">
        <f t="shared" si="175"/>
        <v>0</v>
      </c>
      <c r="M583" s="6">
        <f t="shared" si="176"/>
        <v>0</v>
      </c>
      <c r="N583" s="94" t="str">
        <f t="shared" si="177"/>
        <v/>
      </c>
      <c r="O583" s="6"/>
      <c r="P583" s="6"/>
      <c r="Q583" s="6"/>
      <c r="R583" s="6"/>
      <c r="T583" s="136" t="str">
        <f t="shared" si="178"/>
        <v/>
      </c>
      <c r="U583" s="137" t="str">
        <f t="shared" si="179"/>
        <v/>
      </c>
      <c r="V583" s="1"/>
      <c r="Y583" s="90" t="str">
        <f t="shared" si="180"/>
        <v/>
      </c>
      <c r="AC583" s="6" t="s">
        <v>4135</v>
      </c>
      <c r="AD583" s="6" t="s">
        <v>7038</v>
      </c>
      <c r="AE583" s="158" t="s">
        <v>3828</v>
      </c>
      <c r="AF583" s="159" t="s">
        <v>8299</v>
      </c>
      <c r="AG583" s="160" t="s">
        <v>114</v>
      </c>
      <c r="AH583" s="194" t="s">
        <v>679</v>
      </c>
      <c r="AI583" s="6" t="s">
        <v>4451</v>
      </c>
      <c r="AJ583" s="3" t="s">
        <v>8212</v>
      </c>
      <c r="AK583" t="s">
        <v>8212</v>
      </c>
      <c r="AL583" s="29"/>
      <c r="AM583" s="6" t="s">
        <v>5189</v>
      </c>
      <c r="AN583" t="s">
        <v>6393</v>
      </c>
      <c r="AV583"/>
      <c r="AX583"/>
      <c r="AZ583" t="str">
        <f t="shared" si="181"/>
        <v/>
      </c>
      <c r="BA583" t="str">
        <f t="shared" si="182"/>
        <v/>
      </c>
    </row>
    <row r="584" spans="1:53" ht="13.5">
      <c r="A584" s="135" t="str">
        <f t="shared" si="168"/>
        <v/>
      </c>
      <c r="B584" s="19" t="str">
        <f t="shared" si="169"/>
        <v/>
      </c>
      <c r="C584" s="19" t="str">
        <f t="shared" si="170"/>
        <v/>
      </c>
      <c r="D584" s="19" t="str">
        <f t="shared" si="171"/>
        <v/>
      </c>
      <c r="E584" s="5" t="str">
        <f t="shared" si="172"/>
        <v/>
      </c>
      <c r="F584" s="12" t="str">
        <f t="shared" si="173"/>
        <v/>
      </c>
      <c r="K584" s="9" t="str">
        <f t="shared" si="174"/>
        <v/>
      </c>
      <c r="L584" s="6">
        <f t="shared" si="175"/>
        <v>0</v>
      </c>
      <c r="M584" s="6">
        <f t="shared" si="176"/>
        <v>0</v>
      </c>
      <c r="N584" s="94" t="str">
        <f t="shared" si="177"/>
        <v/>
      </c>
      <c r="O584" s="6"/>
      <c r="P584" s="6"/>
      <c r="Q584" s="6"/>
      <c r="R584" s="6"/>
      <c r="T584" s="136" t="str">
        <f t="shared" si="178"/>
        <v/>
      </c>
      <c r="U584" s="137" t="str">
        <f t="shared" si="179"/>
        <v/>
      </c>
      <c r="V584" s="1"/>
      <c r="Y584" s="90" t="str">
        <f t="shared" si="180"/>
        <v/>
      </c>
      <c r="AC584" s="6" t="s">
        <v>4134</v>
      </c>
      <c r="AD584" s="6" t="s">
        <v>7038</v>
      </c>
      <c r="AE584" s="158" t="s">
        <v>4122</v>
      </c>
      <c r="AF584" s="159" t="s">
        <v>8299</v>
      </c>
      <c r="AG584" s="160" t="s">
        <v>115</v>
      </c>
      <c r="AH584" s="194" t="s">
        <v>679</v>
      </c>
      <c r="AI584" s="6" t="s">
        <v>4449</v>
      </c>
      <c r="AJ584" s="3" t="s">
        <v>8233</v>
      </c>
      <c r="AK584" t="s">
        <v>8233</v>
      </c>
      <c r="AL584" s="29"/>
      <c r="AM584" s="6" t="s">
        <v>5207</v>
      </c>
      <c r="AN584" t="s">
        <v>6394</v>
      </c>
      <c r="AV584"/>
      <c r="AX584"/>
      <c r="AZ584" t="str">
        <f t="shared" si="181"/>
        <v/>
      </c>
      <c r="BA584" t="str">
        <f t="shared" si="182"/>
        <v/>
      </c>
    </row>
    <row r="585" spans="1:53" ht="13.5">
      <c r="A585" s="135" t="str">
        <f t="shared" si="168"/>
        <v/>
      </c>
      <c r="B585" s="19" t="str">
        <f t="shared" si="169"/>
        <v/>
      </c>
      <c r="C585" s="19" t="str">
        <f t="shared" si="170"/>
        <v/>
      </c>
      <c r="D585" s="19" t="str">
        <f t="shared" si="171"/>
        <v/>
      </c>
      <c r="E585" s="5" t="str">
        <f t="shared" si="172"/>
        <v/>
      </c>
      <c r="F585" s="12" t="str">
        <f t="shared" si="173"/>
        <v/>
      </c>
      <c r="K585" s="9" t="str">
        <f t="shared" si="174"/>
        <v/>
      </c>
      <c r="L585" s="6">
        <f t="shared" si="175"/>
        <v>0</v>
      </c>
      <c r="M585" s="6">
        <f t="shared" si="176"/>
        <v>0</v>
      </c>
      <c r="N585" s="94" t="str">
        <f t="shared" si="177"/>
        <v/>
      </c>
      <c r="O585" s="6"/>
      <c r="P585" s="6"/>
      <c r="Q585" s="6"/>
      <c r="R585" s="6"/>
      <c r="T585" s="136" t="str">
        <f t="shared" si="178"/>
        <v/>
      </c>
      <c r="U585" s="137" t="str">
        <f t="shared" si="179"/>
        <v/>
      </c>
      <c r="V585" s="1"/>
      <c r="Y585" s="90" t="str">
        <f t="shared" si="180"/>
        <v/>
      </c>
      <c r="AC585" s="6" t="s">
        <v>3879</v>
      </c>
      <c r="AD585" s="6" t="s">
        <v>7079</v>
      </c>
      <c r="AE585" s="158" t="s">
        <v>4123</v>
      </c>
      <c r="AF585" s="159" t="s">
        <v>8359</v>
      </c>
      <c r="AG585" s="160" t="s">
        <v>116</v>
      </c>
      <c r="AH585" s="194" t="s">
        <v>679</v>
      </c>
      <c r="AI585" s="6" t="s">
        <v>4436</v>
      </c>
      <c r="AJ585" s="3" t="s">
        <v>8223</v>
      </c>
      <c r="AK585" t="s">
        <v>8223</v>
      </c>
      <c r="AL585" s="29"/>
      <c r="AM585" s="6" t="s">
        <v>5218</v>
      </c>
      <c r="AN585" t="s">
        <v>6395</v>
      </c>
      <c r="AV585"/>
      <c r="AX585"/>
      <c r="AZ585" t="str">
        <f t="shared" si="181"/>
        <v/>
      </c>
      <c r="BA585" t="str">
        <f t="shared" si="182"/>
        <v/>
      </c>
    </row>
    <row r="586" spans="1:53" ht="13.5">
      <c r="A586" s="135" t="str">
        <f t="shared" si="168"/>
        <v/>
      </c>
      <c r="B586" s="19" t="str">
        <f t="shared" si="169"/>
        <v/>
      </c>
      <c r="C586" s="19" t="str">
        <f t="shared" si="170"/>
        <v/>
      </c>
      <c r="D586" s="19" t="str">
        <f t="shared" si="171"/>
        <v/>
      </c>
      <c r="E586" s="5" t="str">
        <f t="shared" si="172"/>
        <v/>
      </c>
      <c r="F586" s="12" t="str">
        <f t="shared" si="173"/>
        <v/>
      </c>
      <c r="K586" s="9" t="str">
        <f t="shared" si="174"/>
        <v/>
      </c>
      <c r="L586" s="6">
        <f t="shared" si="175"/>
        <v>0</v>
      </c>
      <c r="M586" s="6">
        <f t="shared" si="176"/>
        <v>0</v>
      </c>
      <c r="N586" s="94" t="str">
        <f t="shared" si="177"/>
        <v/>
      </c>
      <c r="O586" s="6"/>
      <c r="P586" s="6"/>
      <c r="Q586" s="6"/>
      <c r="R586" s="6"/>
      <c r="T586" s="136" t="str">
        <f t="shared" si="178"/>
        <v/>
      </c>
      <c r="U586" s="137" t="str">
        <f t="shared" si="179"/>
        <v/>
      </c>
      <c r="V586" s="1"/>
      <c r="Y586" s="90" t="str">
        <f t="shared" si="180"/>
        <v/>
      </c>
      <c r="AC586" s="6" t="s">
        <v>3674</v>
      </c>
      <c r="AD586" s="6" t="s">
        <v>7080</v>
      </c>
      <c r="AE586" s="158" t="s">
        <v>4124</v>
      </c>
      <c r="AF586" s="159" t="s">
        <v>8359</v>
      </c>
      <c r="AG586" s="160" t="s">
        <v>117</v>
      </c>
      <c r="AH586" s="194" t="s">
        <v>679</v>
      </c>
      <c r="AI586" s="6" t="s">
        <v>5459</v>
      </c>
      <c r="AJ586" s="3" t="s">
        <v>8202</v>
      </c>
      <c r="AK586" t="s">
        <v>8202</v>
      </c>
      <c r="AL586" s="29"/>
      <c r="AM586" s="6" t="s">
        <v>5086</v>
      </c>
      <c r="AN586" t="s">
        <v>6396</v>
      </c>
      <c r="AV586"/>
      <c r="AX586"/>
      <c r="AZ586" t="str">
        <f t="shared" si="181"/>
        <v/>
      </c>
      <c r="BA586" t="str">
        <f t="shared" si="182"/>
        <v/>
      </c>
    </row>
    <row r="587" spans="1:53" ht="13.5">
      <c r="A587" s="135" t="str">
        <f t="shared" si="168"/>
        <v/>
      </c>
      <c r="B587" s="19" t="str">
        <f t="shared" si="169"/>
        <v/>
      </c>
      <c r="C587" s="19" t="str">
        <f t="shared" si="170"/>
        <v/>
      </c>
      <c r="D587" s="19" t="str">
        <f t="shared" si="171"/>
        <v/>
      </c>
      <c r="E587" s="5" t="str">
        <f t="shared" si="172"/>
        <v/>
      </c>
      <c r="F587" s="12" t="str">
        <f t="shared" si="173"/>
        <v/>
      </c>
      <c r="K587" s="9" t="str">
        <f t="shared" si="174"/>
        <v/>
      </c>
      <c r="L587" s="6">
        <f t="shared" si="175"/>
        <v>0</v>
      </c>
      <c r="M587" s="6">
        <f t="shared" si="176"/>
        <v>0</v>
      </c>
      <c r="N587" s="94" t="str">
        <f t="shared" si="177"/>
        <v/>
      </c>
      <c r="O587" s="6"/>
      <c r="P587" s="6"/>
      <c r="Q587" s="6"/>
      <c r="R587" s="6"/>
      <c r="T587" s="136" t="str">
        <f t="shared" si="178"/>
        <v/>
      </c>
      <c r="U587" s="137" t="str">
        <f t="shared" si="179"/>
        <v/>
      </c>
      <c r="V587" s="1"/>
      <c r="Y587" s="90" t="str">
        <f t="shared" si="180"/>
        <v/>
      </c>
      <c r="AC587" s="6" t="s">
        <v>4203</v>
      </c>
      <c r="AD587" s="6" t="s">
        <v>7081</v>
      </c>
      <c r="AE587" s="158" t="s">
        <v>4125</v>
      </c>
      <c r="AF587" s="159" t="s">
        <v>8360</v>
      </c>
      <c r="AG587" s="160" t="s">
        <v>4257</v>
      </c>
      <c r="AH587" s="194" t="s">
        <v>1314</v>
      </c>
      <c r="AI587" s="6" t="s">
        <v>4444</v>
      </c>
      <c r="AJ587" s="3" t="s">
        <v>8210</v>
      </c>
      <c r="AK587" t="s">
        <v>8210</v>
      </c>
      <c r="AL587" s="29"/>
      <c r="AM587" s="6" t="s">
        <v>5048</v>
      </c>
      <c r="AN587" t="s">
        <v>6397</v>
      </c>
      <c r="AV587"/>
      <c r="AX587"/>
      <c r="AZ587" t="str">
        <f t="shared" si="181"/>
        <v/>
      </c>
      <c r="BA587" t="str">
        <f t="shared" si="182"/>
        <v/>
      </c>
    </row>
    <row r="588" spans="1:53" ht="13.5">
      <c r="A588" s="135" t="str">
        <f t="shared" si="168"/>
        <v/>
      </c>
      <c r="B588" s="19" t="str">
        <f t="shared" si="169"/>
        <v/>
      </c>
      <c r="C588" s="19" t="str">
        <f t="shared" si="170"/>
        <v/>
      </c>
      <c r="D588" s="19" t="str">
        <f t="shared" si="171"/>
        <v/>
      </c>
      <c r="E588" s="5" t="str">
        <f t="shared" si="172"/>
        <v/>
      </c>
      <c r="F588" s="12" t="str">
        <f t="shared" si="173"/>
        <v/>
      </c>
      <c r="K588" s="9" t="str">
        <f t="shared" si="174"/>
        <v/>
      </c>
      <c r="L588" s="6">
        <f t="shared" si="175"/>
        <v>0</v>
      </c>
      <c r="M588" s="6">
        <f t="shared" si="176"/>
        <v>0</v>
      </c>
      <c r="N588" s="94" t="str">
        <f t="shared" si="177"/>
        <v/>
      </c>
      <c r="O588" s="6"/>
      <c r="P588" s="6"/>
      <c r="Q588" s="6"/>
      <c r="R588" s="6"/>
      <c r="T588" s="136" t="str">
        <f t="shared" si="178"/>
        <v/>
      </c>
      <c r="U588" s="137" t="str">
        <f t="shared" si="179"/>
        <v/>
      </c>
      <c r="V588" s="1"/>
      <c r="Y588" s="90" t="str">
        <f t="shared" si="180"/>
        <v/>
      </c>
      <c r="AC588" s="6" t="s">
        <v>3845</v>
      </c>
      <c r="AD588" s="6" t="s">
        <v>7082</v>
      </c>
      <c r="AE588" s="158" t="s">
        <v>4126</v>
      </c>
      <c r="AF588" s="159" t="s">
        <v>8361</v>
      </c>
      <c r="AG588" s="160" t="s">
        <v>4258</v>
      </c>
      <c r="AH588" s="194" t="s">
        <v>1314</v>
      </c>
      <c r="AI588" s="6" t="s">
        <v>5460</v>
      </c>
      <c r="AJ588" s="3" t="s">
        <v>8202</v>
      </c>
      <c r="AK588" t="s">
        <v>8202</v>
      </c>
      <c r="AL588" s="29"/>
      <c r="AM588" s="6" t="s">
        <v>5254</v>
      </c>
      <c r="AN588" t="s">
        <v>6398</v>
      </c>
      <c r="AV588"/>
      <c r="AX588"/>
      <c r="AZ588" t="str">
        <f t="shared" si="181"/>
        <v/>
      </c>
      <c r="BA588" t="str">
        <f t="shared" si="182"/>
        <v/>
      </c>
    </row>
    <row r="589" spans="1:53" ht="13.5">
      <c r="A589" s="135" t="str">
        <f t="shared" si="168"/>
        <v/>
      </c>
      <c r="B589" s="19" t="str">
        <f t="shared" si="169"/>
        <v/>
      </c>
      <c r="C589" s="19" t="str">
        <f t="shared" si="170"/>
        <v/>
      </c>
      <c r="D589" s="19" t="str">
        <f t="shared" si="171"/>
        <v/>
      </c>
      <c r="E589" s="5" t="str">
        <f t="shared" si="172"/>
        <v/>
      </c>
      <c r="F589" s="12" t="str">
        <f t="shared" si="173"/>
        <v/>
      </c>
      <c r="K589" s="9" t="str">
        <f t="shared" si="174"/>
        <v/>
      </c>
      <c r="L589" s="6">
        <f t="shared" si="175"/>
        <v>0</v>
      </c>
      <c r="M589" s="6">
        <f t="shared" si="176"/>
        <v>0</v>
      </c>
      <c r="N589" s="94" t="str">
        <f t="shared" si="177"/>
        <v/>
      </c>
      <c r="O589" s="6"/>
      <c r="P589" s="6"/>
      <c r="Q589" s="6"/>
      <c r="R589" s="6"/>
      <c r="T589" s="136" t="str">
        <f t="shared" si="178"/>
        <v/>
      </c>
      <c r="U589" s="137" t="str">
        <f t="shared" si="179"/>
        <v/>
      </c>
      <c r="V589" s="1"/>
      <c r="Y589" s="90" t="str">
        <f t="shared" si="180"/>
        <v/>
      </c>
      <c r="AC589" s="6">
        <v>105573</v>
      </c>
      <c r="AD589" s="6" t="s">
        <v>7061</v>
      </c>
      <c r="AE589" s="158" t="s">
        <v>4127</v>
      </c>
      <c r="AF589" s="159" t="s">
        <v>8320</v>
      </c>
      <c r="AG589" s="160" t="s">
        <v>4259</v>
      </c>
      <c r="AH589" s="194" t="s">
        <v>1314</v>
      </c>
      <c r="AI589" s="6" t="s">
        <v>5104</v>
      </c>
      <c r="AJ589" s="3" t="s">
        <v>8210</v>
      </c>
      <c r="AK589" t="s">
        <v>8210</v>
      </c>
      <c r="AL589" s="29"/>
      <c r="AM589" s="6" t="s">
        <v>5259</v>
      </c>
      <c r="AN589" t="s">
        <v>6399</v>
      </c>
      <c r="AV589"/>
      <c r="AX589"/>
      <c r="AZ589" t="str">
        <f t="shared" si="181"/>
        <v/>
      </c>
      <c r="BA589" t="str">
        <f t="shared" si="182"/>
        <v/>
      </c>
    </row>
    <row r="590" spans="1:53" ht="13.5">
      <c r="A590" s="135" t="str">
        <f t="shared" si="168"/>
        <v/>
      </c>
      <c r="B590" s="19" t="str">
        <f t="shared" si="169"/>
        <v/>
      </c>
      <c r="C590" s="19" t="str">
        <f t="shared" si="170"/>
        <v/>
      </c>
      <c r="D590" s="19" t="str">
        <f t="shared" si="171"/>
        <v/>
      </c>
      <c r="E590" s="5" t="str">
        <f t="shared" si="172"/>
        <v/>
      </c>
      <c r="F590" s="12" t="str">
        <f t="shared" si="173"/>
        <v/>
      </c>
      <c r="K590" s="9" t="str">
        <f t="shared" si="174"/>
        <v/>
      </c>
      <c r="L590" s="6">
        <f t="shared" si="175"/>
        <v>0</v>
      </c>
      <c r="M590" s="6">
        <f t="shared" si="176"/>
        <v>0</v>
      </c>
      <c r="N590" s="94" t="str">
        <f t="shared" si="177"/>
        <v/>
      </c>
      <c r="O590" s="6"/>
      <c r="P590" s="6"/>
      <c r="Q590" s="6"/>
      <c r="R590" s="6"/>
      <c r="T590" s="136" t="str">
        <f t="shared" si="178"/>
        <v/>
      </c>
      <c r="U590" s="137" t="str">
        <f t="shared" si="179"/>
        <v/>
      </c>
      <c r="V590" s="1"/>
      <c r="Y590" s="90" t="str">
        <f t="shared" si="180"/>
        <v/>
      </c>
      <c r="AC590" s="6" t="s">
        <v>4177</v>
      </c>
      <c r="AD590" s="6" t="s">
        <v>7083</v>
      </c>
      <c r="AE590" s="158" t="s">
        <v>4128</v>
      </c>
      <c r="AF590" s="159" t="s">
        <v>8333</v>
      </c>
      <c r="AG590" s="160" t="s">
        <v>4260</v>
      </c>
      <c r="AH590" s="194" t="s">
        <v>1314</v>
      </c>
      <c r="AI590" s="6" t="s">
        <v>5105</v>
      </c>
      <c r="AJ590" s="3" t="s">
        <v>8210</v>
      </c>
      <c r="AK590" t="s">
        <v>8210</v>
      </c>
      <c r="AL590" s="29"/>
      <c r="AM590" s="6" t="s">
        <v>5063</v>
      </c>
      <c r="AN590" t="s">
        <v>6400</v>
      </c>
      <c r="AV590"/>
      <c r="AX590"/>
      <c r="AZ590" t="str">
        <f t="shared" si="181"/>
        <v/>
      </c>
      <c r="BA590" t="str">
        <f t="shared" si="182"/>
        <v/>
      </c>
    </row>
    <row r="591" spans="1:53" ht="13.5">
      <c r="A591" s="135" t="str">
        <f t="shared" si="168"/>
        <v/>
      </c>
      <c r="B591" s="19" t="str">
        <f t="shared" si="169"/>
        <v/>
      </c>
      <c r="C591" s="19" t="str">
        <f t="shared" si="170"/>
        <v/>
      </c>
      <c r="D591" s="19" t="str">
        <f t="shared" si="171"/>
        <v/>
      </c>
      <c r="E591" s="5" t="str">
        <f t="shared" si="172"/>
        <v/>
      </c>
      <c r="F591" s="12" t="str">
        <f t="shared" si="173"/>
        <v/>
      </c>
      <c r="K591" s="9" t="str">
        <f t="shared" si="174"/>
        <v/>
      </c>
      <c r="L591" s="6">
        <f t="shared" si="175"/>
        <v>0</v>
      </c>
      <c r="M591" s="6">
        <f t="shared" si="176"/>
        <v>0</v>
      </c>
      <c r="N591" s="94" t="str">
        <f t="shared" si="177"/>
        <v/>
      </c>
      <c r="O591" s="6"/>
      <c r="P591" s="6"/>
      <c r="Q591" s="6"/>
      <c r="R591" s="6"/>
      <c r="T591" s="136" t="str">
        <f t="shared" si="178"/>
        <v/>
      </c>
      <c r="U591" s="137" t="str">
        <f t="shared" si="179"/>
        <v/>
      </c>
      <c r="V591" s="1"/>
      <c r="Y591" s="90" t="str">
        <f t="shared" si="180"/>
        <v/>
      </c>
      <c r="AC591" s="6" t="s">
        <v>4201</v>
      </c>
      <c r="AD591" s="6" t="s">
        <v>7063</v>
      </c>
      <c r="AE591" s="158" t="s">
        <v>4129</v>
      </c>
      <c r="AF591" s="159" t="s">
        <v>8299</v>
      </c>
      <c r="AG591" s="160" t="s">
        <v>4261</v>
      </c>
      <c r="AH591" s="194" t="s">
        <v>1314</v>
      </c>
      <c r="AI591" s="6" t="s">
        <v>5380</v>
      </c>
      <c r="AJ591" s="3" t="s">
        <v>8224</v>
      </c>
      <c r="AK591" t="s">
        <v>8224</v>
      </c>
      <c r="AL591" s="29"/>
      <c r="AM591" s="6" t="s">
        <v>5255</v>
      </c>
      <c r="AN591" t="s">
        <v>6401</v>
      </c>
      <c r="AV591"/>
      <c r="AX591"/>
      <c r="AZ591" t="str">
        <f t="shared" si="181"/>
        <v/>
      </c>
      <c r="BA591" t="str">
        <f t="shared" si="182"/>
        <v/>
      </c>
    </row>
    <row r="592" spans="1:53" ht="13.5">
      <c r="A592" s="135" t="str">
        <f t="shared" si="168"/>
        <v/>
      </c>
      <c r="B592" s="19" t="str">
        <f t="shared" si="169"/>
        <v/>
      </c>
      <c r="C592" s="19" t="str">
        <f t="shared" si="170"/>
        <v/>
      </c>
      <c r="D592" s="19" t="str">
        <f t="shared" si="171"/>
        <v/>
      </c>
      <c r="E592" s="5" t="str">
        <f t="shared" si="172"/>
        <v/>
      </c>
      <c r="F592" s="12" t="str">
        <f t="shared" si="173"/>
        <v/>
      </c>
      <c r="K592" s="9" t="str">
        <f t="shared" si="174"/>
        <v/>
      </c>
      <c r="L592" s="6">
        <f t="shared" si="175"/>
        <v>0</v>
      </c>
      <c r="M592" s="6">
        <f t="shared" si="176"/>
        <v>0</v>
      </c>
      <c r="N592" s="94" t="str">
        <f t="shared" si="177"/>
        <v/>
      </c>
      <c r="O592" s="6"/>
      <c r="P592" s="6"/>
      <c r="Q592" s="6"/>
      <c r="R592" s="6"/>
      <c r="T592" s="136" t="str">
        <f t="shared" si="178"/>
        <v/>
      </c>
      <c r="U592" s="137" t="str">
        <f t="shared" si="179"/>
        <v/>
      </c>
      <c r="V592" s="1"/>
      <c r="Y592" s="90" t="str">
        <f t="shared" si="180"/>
        <v/>
      </c>
      <c r="AC592" s="6" t="s">
        <v>3677</v>
      </c>
      <c r="AD592" s="6" t="s">
        <v>7084</v>
      </c>
      <c r="AE592" s="158" t="s">
        <v>4130</v>
      </c>
      <c r="AF592" s="159" t="s">
        <v>8299</v>
      </c>
      <c r="AG592" s="160" t="s">
        <v>4262</v>
      </c>
      <c r="AH592" s="194" t="s">
        <v>1314</v>
      </c>
      <c r="AI592" s="6" t="s">
        <v>4455</v>
      </c>
      <c r="AJ592" s="3" t="s">
        <v>8198</v>
      </c>
      <c r="AK592" t="s">
        <v>8198</v>
      </c>
      <c r="AL592" s="29"/>
      <c r="AM592" s="6" t="s">
        <v>5070</v>
      </c>
      <c r="AN592" t="s">
        <v>6402</v>
      </c>
      <c r="AV592"/>
      <c r="AX592"/>
      <c r="AZ592" t="str">
        <f t="shared" si="181"/>
        <v/>
      </c>
      <c r="BA592" t="str">
        <f t="shared" si="182"/>
        <v/>
      </c>
    </row>
    <row r="593" spans="1:53" ht="13.5">
      <c r="A593" s="135" t="str">
        <f t="shared" si="168"/>
        <v/>
      </c>
      <c r="B593" s="19" t="str">
        <f t="shared" si="169"/>
        <v/>
      </c>
      <c r="C593" s="19" t="str">
        <f t="shared" si="170"/>
        <v/>
      </c>
      <c r="D593" s="19" t="str">
        <f t="shared" si="171"/>
        <v/>
      </c>
      <c r="E593" s="5" t="str">
        <f t="shared" si="172"/>
        <v/>
      </c>
      <c r="F593" s="12" t="str">
        <f t="shared" si="173"/>
        <v/>
      </c>
      <c r="K593" s="9" t="str">
        <f t="shared" si="174"/>
        <v/>
      </c>
      <c r="L593" s="6">
        <f t="shared" si="175"/>
        <v>0</v>
      </c>
      <c r="M593" s="6">
        <f t="shared" si="176"/>
        <v>0</v>
      </c>
      <c r="N593" s="94" t="str">
        <f t="shared" si="177"/>
        <v/>
      </c>
      <c r="O593" s="6"/>
      <c r="P593" s="6"/>
      <c r="Q593" s="6"/>
      <c r="R593" s="6"/>
      <c r="T593" s="136" t="str">
        <f t="shared" si="178"/>
        <v/>
      </c>
      <c r="U593" s="137" t="str">
        <f t="shared" si="179"/>
        <v/>
      </c>
      <c r="V593" s="1"/>
      <c r="Y593" s="90" t="str">
        <f t="shared" si="180"/>
        <v/>
      </c>
      <c r="AC593" s="6">
        <v>135617</v>
      </c>
      <c r="AD593" s="6" t="s">
        <v>7012</v>
      </c>
      <c r="AE593" s="158" t="s">
        <v>4131</v>
      </c>
      <c r="AF593" s="159" t="s">
        <v>8339</v>
      </c>
      <c r="AG593" s="160" t="s">
        <v>4263</v>
      </c>
      <c r="AH593" s="194" t="s">
        <v>1314</v>
      </c>
      <c r="AI593" s="6" t="s">
        <v>1018</v>
      </c>
      <c r="AJ593" s="3" t="s">
        <v>8263</v>
      </c>
      <c r="AK593" t="s">
        <v>8263</v>
      </c>
      <c r="AL593" s="29"/>
      <c r="AM593" s="6" t="s">
        <v>5195</v>
      </c>
      <c r="AN593" t="s">
        <v>6403</v>
      </c>
      <c r="AV593"/>
      <c r="AX593"/>
      <c r="AZ593" t="str">
        <f t="shared" si="181"/>
        <v/>
      </c>
      <c r="BA593" t="str">
        <f t="shared" si="182"/>
        <v/>
      </c>
    </row>
    <row r="594" spans="1:53" ht="13.5">
      <c r="A594" s="135" t="str">
        <f t="shared" si="168"/>
        <v/>
      </c>
      <c r="B594" s="19" t="str">
        <f t="shared" si="169"/>
        <v/>
      </c>
      <c r="C594" s="19" t="str">
        <f t="shared" si="170"/>
        <v/>
      </c>
      <c r="D594" s="19" t="str">
        <f t="shared" si="171"/>
        <v/>
      </c>
      <c r="E594" s="5" t="str">
        <f t="shared" si="172"/>
        <v/>
      </c>
      <c r="F594" s="12" t="str">
        <f t="shared" si="173"/>
        <v/>
      </c>
      <c r="K594" s="9" t="str">
        <f t="shared" si="174"/>
        <v/>
      </c>
      <c r="L594" s="6">
        <f t="shared" si="175"/>
        <v>0</v>
      </c>
      <c r="M594" s="6">
        <f t="shared" si="176"/>
        <v>0</v>
      </c>
      <c r="N594" s="94" t="str">
        <f t="shared" si="177"/>
        <v/>
      </c>
      <c r="O594" s="6"/>
      <c r="P594" s="6"/>
      <c r="Q594" s="6"/>
      <c r="R594" s="6"/>
      <c r="T594" s="136" t="str">
        <f t="shared" si="178"/>
        <v/>
      </c>
      <c r="U594" s="137" t="str">
        <f t="shared" si="179"/>
        <v/>
      </c>
      <c r="V594" s="1"/>
      <c r="Y594" s="90" t="str">
        <f t="shared" si="180"/>
        <v/>
      </c>
      <c r="AC594" s="6">
        <v>796323</v>
      </c>
      <c r="AD594" s="6" t="s">
        <v>6999</v>
      </c>
      <c r="AE594" s="158" t="s">
        <v>4132</v>
      </c>
      <c r="AF594" s="159" t="s">
        <v>8339</v>
      </c>
      <c r="AG594" s="160" t="s">
        <v>4264</v>
      </c>
      <c r="AH594" s="194" t="s">
        <v>679</v>
      </c>
      <c r="AI594" s="6" t="s">
        <v>814</v>
      </c>
      <c r="AJ594" s="3" t="s">
        <v>8234</v>
      </c>
      <c r="AK594" t="s">
        <v>8234</v>
      </c>
      <c r="AL594" s="29"/>
      <c r="AM594" s="6" t="s">
        <v>5082</v>
      </c>
      <c r="AN594" t="s">
        <v>6404</v>
      </c>
      <c r="AV594"/>
      <c r="AX594"/>
      <c r="AZ594" t="str">
        <f t="shared" si="181"/>
        <v/>
      </c>
      <c r="BA594" t="str">
        <f t="shared" si="182"/>
        <v/>
      </c>
    </row>
    <row r="595" spans="1:53" ht="13.5">
      <c r="A595" s="135" t="str">
        <f t="shared" si="168"/>
        <v/>
      </c>
      <c r="B595" s="19" t="str">
        <f t="shared" si="169"/>
        <v/>
      </c>
      <c r="C595" s="19" t="str">
        <f t="shared" si="170"/>
        <v/>
      </c>
      <c r="D595" s="19" t="str">
        <f t="shared" si="171"/>
        <v/>
      </c>
      <c r="E595" s="5" t="str">
        <f t="shared" si="172"/>
        <v/>
      </c>
      <c r="F595" s="12" t="str">
        <f t="shared" si="173"/>
        <v/>
      </c>
      <c r="K595" s="9" t="str">
        <f t="shared" si="174"/>
        <v/>
      </c>
      <c r="L595" s="6">
        <f t="shared" si="175"/>
        <v>0</v>
      </c>
      <c r="M595" s="6">
        <f t="shared" si="176"/>
        <v>0</v>
      </c>
      <c r="N595" s="94" t="str">
        <f t="shared" si="177"/>
        <v/>
      </c>
      <c r="O595" s="6"/>
      <c r="P595" s="6"/>
      <c r="Q595" s="6"/>
      <c r="R595" s="6"/>
      <c r="T595" s="136" t="str">
        <f t="shared" si="178"/>
        <v/>
      </c>
      <c r="U595" s="137" t="str">
        <f t="shared" si="179"/>
        <v/>
      </c>
      <c r="V595" s="1"/>
      <c r="Y595" s="90" t="str">
        <f t="shared" si="180"/>
        <v/>
      </c>
      <c r="AC595" s="6" t="s">
        <v>3913</v>
      </c>
      <c r="AD595" s="6" t="s">
        <v>7085</v>
      </c>
      <c r="AE595" s="158" t="s">
        <v>4158</v>
      </c>
      <c r="AF595" s="159" t="s">
        <v>8362</v>
      </c>
      <c r="AG595" s="160" t="s">
        <v>4265</v>
      </c>
      <c r="AH595" s="194" t="s">
        <v>679</v>
      </c>
      <c r="AI595" s="6" t="s">
        <v>1254</v>
      </c>
      <c r="AJ595" s="3" t="s">
        <v>8234</v>
      </c>
      <c r="AK595" t="s">
        <v>8234</v>
      </c>
      <c r="AL595" s="29"/>
      <c r="AM595" s="6" t="s">
        <v>5087</v>
      </c>
      <c r="AN595" t="s">
        <v>6405</v>
      </c>
      <c r="AV595"/>
      <c r="AX595"/>
      <c r="AZ595" t="str">
        <f t="shared" si="181"/>
        <v/>
      </c>
      <c r="BA595" t="str">
        <f t="shared" si="182"/>
        <v/>
      </c>
    </row>
    <row r="596" spans="1:53" ht="13.5">
      <c r="A596" s="135" t="str">
        <f t="shared" si="168"/>
        <v/>
      </c>
      <c r="B596" s="19" t="str">
        <f t="shared" si="169"/>
        <v/>
      </c>
      <c r="C596" s="19" t="str">
        <f t="shared" si="170"/>
        <v/>
      </c>
      <c r="D596" s="19" t="str">
        <f t="shared" si="171"/>
        <v/>
      </c>
      <c r="E596" s="5" t="str">
        <f t="shared" si="172"/>
        <v/>
      </c>
      <c r="F596" s="12" t="str">
        <f t="shared" si="173"/>
        <v/>
      </c>
      <c r="K596" s="9" t="str">
        <f t="shared" si="174"/>
        <v/>
      </c>
      <c r="L596" s="6">
        <f t="shared" si="175"/>
        <v>0</v>
      </c>
      <c r="M596" s="6">
        <f t="shared" si="176"/>
        <v>0</v>
      </c>
      <c r="N596" s="94" t="str">
        <f t="shared" si="177"/>
        <v/>
      </c>
      <c r="O596" s="6"/>
      <c r="P596" s="6"/>
      <c r="Q596" s="6"/>
      <c r="R596" s="6"/>
      <c r="T596" s="136" t="str">
        <f t="shared" si="178"/>
        <v/>
      </c>
      <c r="U596" s="137" t="str">
        <f t="shared" si="179"/>
        <v/>
      </c>
      <c r="V596" s="1"/>
      <c r="Y596" s="90" t="str">
        <f t="shared" si="180"/>
        <v/>
      </c>
      <c r="AC596" s="6" t="s">
        <v>4236</v>
      </c>
      <c r="AD596" s="6" t="s">
        <v>7086</v>
      </c>
      <c r="AE596" s="158" t="s">
        <v>4159</v>
      </c>
      <c r="AF596" s="159" t="s">
        <v>8299</v>
      </c>
      <c r="AG596" s="160" t="s">
        <v>4266</v>
      </c>
      <c r="AH596" s="194" t="s">
        <v>679</v>
      </c>
      <c r="AI596" s="6" t="s">
        <v>1257</v>
      </c>
      <c r="AJ596" s="3" t="s">
        <v>8234</v>
      </c>
      <c r="AK596" t="s">
        <v>8234</v>
      </c>
      <c r="AL596" s="29"/>
      <c r="AM596" s="6" t="s">
        <v>5087</v>
      </c>
      <c r="AN596" t="s">
        <v>6406</v>
      </c>
      <c r="AV596"/>
      <c r="AX596"/>
      <c r="AZ596" t="str">
        <f t="shared" si="181"/>
        <v/>
      </c>
      <c r="BA596" t="str">
        <f t="shared" si="182"/>
        <v/>
      </c>
    </row>
    <row r="597" spans="1:53" ht="13.5">
      <c r="A597" s="135" t="str">
        <f t="shared" si="168"/>
        <v/>
      </c>
      <c r="B597" s="19" t="str">
        <f t="shared" si="169"/>
        <v/>
      </c>
      <c r="C597" s="19" t="str">
        <f t="shared" si="170"/>
        <v/>
      </c>
      <c r="D597" s="19" t="str">
        <f t="shared" si="171"/>
        <v/>
      </c>
      <c r="E597" s="5" t="str">
        <f t="shared" si="172"/>
        <v/>
      </c>
      <c r="F597" s="12" t="str">
        <f t="shared" si="173"/>
        <v/>
      </c>
      <c r="K597" s="9" t="str">
        <f t="shared" si="174"/>
        <v/>
      </c>
      <c r="L597" s="6">
        <f t="shared" si="175"/>
        <v>0</v>
      </c>
      <c r="M597" s="6">
        <f t="shared" si="176"/>
        <v>0</v>
      </c>
      <c r="N597" s="94" t="str">
        <f t="shared" si="177"/>
        <v/>
      </c>
      <c r="O597" s="6"/>
      <c r="P597" s="6"/>
      <c r="Q597" s="6"/>
      <c r="R597" s="6"/>
      <c r="T597" s="136" t="str">
        <f t="shared" si="178"/>
        <v/>
      </c>
      <c r="U597" s="137" t="str">
        <f t="shared" si="179"/>
        <v/>
      </c>
      <c r="V597" s="1"/>
      <c r="Y597" s="90" t="str">
        <f t="shared" si="180"/>
        <v/>
      </c>
      <c r="AC597" s="6" t="s">
        <v>3914</v>
      </c>
      <c r="AD597" s="6" t="s">
        <v>7085</v>
      </c>
      <c r="AE597" s="158" t="s">
        <v>4160</v>
      </c>
      <c r="AF597" s="159" t="s">
        <v>8299</v>
      </c>
      <c r="AG597" s="160" t="s">
        <v>3549</v>
      </c>
      <c r="AH597" s="194" t="s">
        <v>1314</v>
      </c>
      <c r="AI597" s="6" t="s">
        <v>5109</v>
      </c>
      <c r="AJ597" s="3" t="s">
        <v>8222</v>
      </c>
      <c r="AK597" t="s">
        <v>8670</v>
      </c>
      <c r="AL597" s="29"/>
      <c r="AM597" s="6" t="s">
        <v>5120</v>
      </c>
      <c r="AN597" t="s">
        <v>6407</v>
      </c>
      <c r="AV597"/>
      <c r="AX597"/>
      <c r="AZ597" t="str">
        <f t="shared" si="181"/>
        <v/>
      </c>
      <c r="BA597" t="str">
        <f t="shared" si="182"/>
        <v/>
      </c>
    </row>
    <row r="598" spans="1:53" ht="13.5">
      <c r="A598" s="135" t="str">
        <f t="shared" si="168"/>
        <v/>
      </c>
      <c r="B598" s="19" t="str">
        <f t="shared" si="169"/>
        <v/>
      </c>
      <c r="C598" s="19" t="str">
        <f t="shared" si="170"/>
        <v/>
      </c>
      <c r="D598" s="19" t="str">
        <f t="shared" si="171"/>
        <v/>
      </c>
      <c r="E598" s="5" t="str">
        <f t="shared" si="172"/>
        <v/>
      </c>
      <c r="F598" s="12" t="str">
        <f t="shared" si="173"/>
        <v/>
      </c>
      <c r="K598" s="9" t="str">
        <f t="shared" si="174"/>
        <v/>
      </c>
      <c r="L598" s="6">
        <f t="shared" si="175"/>
        <v>0</v>
      </c>
      <c r="M598" s="6">
        <f t="shared" si="176"/>
        <v>0</v>
      </c>
      <c r="N598" s="94" t="str">
        <f t="shared" si="177"/>
        <v/>
      </c>
      <c r="O598" s="6"/>
      <c r="P598" s="6"/>
      <c r="Q598" s="6"/>
      <c r="R598" s="6"/>
      <c r="T598" s="136" t="str">
        <f t="shared" si="178"/>
        <v/>
      </c>
      <c r="U598" s="137" t="str">
        <f t="shared" si="179"/>
        <v/>
      </c>
      <c r="V598" s="1"/>
      <c r="Y598" s="90" t="str">
        <f t="shared" si="180"/>
        <v/>
      </c>
      <c r="AC598" s="6" t="s">
        <v>4399</v>
      </c>
      <c r="AD598" s="6" t="s">
        <v>7087</v>
      </c>
      <c r="AE598" s="158" t="s">
        <v>4161</v>
      </c>
      <c r="AF598" s="159" t="s">
        <v>8339</v>
      </c>
      <c r="AG598" s="160" t="s">
        <v>3548</v>
      </c>
      <c r="AH598" s="194" t="s">
        <v>1314</v>
      </c>
      <c r="AI598" s="6" t="s">
        <v>712</v>
      </c>
      <c r="AJ598" s="3" t="s">
        <v>8263</v>
      </c>
      <c r="AK598" t="s">
        <v>8263</v>
      </c>
      <c r="AL598" s="29"/>
      <c r="AM598" s="6" t="s">
        <v>5209</v>
      </c>
      <c r="AN598" t="s">
        <v>6408</v>
      </c>
      <c r="AV598"/>
      <c r="AX598"/>
      <c r="AZ598" t="str">
        <f t="shared" si="181"/>
        <v/>
      </c>
      <c r="BA598" t="str">
        <f t="shared" si="182"/>
        <v/>
      </c>
    </row>
    <row r="599" spans="1:53" ht="13.5">
      <c r="A599" s="135" t="str">
        <f t="shared" si="168"/>
        <v/>
      </c>
      <c r="B599" s="19" t="str">
        <f t="shared" si="169"/>
        <v/>
      </c>
      <c r="C599" s="19" t="str">
        <f t="shared" si="170"/>
        <v/>
      </c>
      <c r="D599" s="19" t="str">
        <f t="shared" si="171"/>
        <v/>
      </c>
      <c r="E599" s="5" t="str">
        <f t="shared" si="172"/>
        <v/>
      </c>
      <c r="F599" s="12" t="str">
        <f t="shared" si="173"/>
        <v/>
      </c>
      <c r="K599" s="9" t="str">
        <f t="shared" si="174"/>
        <v/>
      </c>
      <c r="L599" s="6">
        <f t="shared" si="175"/>
        <v>0</v>
      </c>
      <c r="M599" s="6">
        <f t="shared" si="176"/>
        <v>0</v>
      </c>
      <c r="N599" s="94" t="str">
        <f t="shared" si="177"/>
        <v/>
      </c>
      <c r="O599" s="6"/>
      <c r="P599" s="6"/>
      <c r="Q599" s="6"/>
      <c r="R599" s="6"/>
      <c r="T599" s="136" t="str">
        <f t="shared" si="178"/>
        <v/>
      </c>
      <c r="U599" s="137" t="str">
        <f t="shared" si="179"/>
        <v/>
      </c>
      <c r="V599" s="1"/>
      <c r="Y599" s="90" t="str">
        <f t="shared" si="180"/>
        <v/>
      </c>
      <c r="AC599" s="6">
        <v>996471</v>
      </c>
      <c r="AD599" s="6" t="s">
        <v>7041</v>
      </c>
      <c r="AE599" s="158" t="s">
        <v>4162</v>
      </c>
      <c r="AF599" s="159" t="s">
        <v>8299</v>
      </c>
      <c r="AG599" s="160" t="s">
        <v>4267</v>
      </c>
      <c r="AH599" s="194" t="s">
        <v>679</v>
      </c>
      <c r="AI599" s="6" t="s">
        <v>1283</v>
      </c>
      <c r="AJ599" s="3" t="s">
        <v>8248</v>
      </c>
      <c r="AK599" t="s">
        <v>8248</v>
      </c>
      <c r="AL599" s="29"/>
      <c r="AM599" s="6" t="s">
        <v>5043</v>
      </c>
      <c r="AN599" t="s">
        <v>6409</v>
      </c>
      <c r="AV599"/>
      <c r="AX599"/>
      <c r="AZ599" t="str">
        <f t="shared" si="181"/>
        <v/>
      </c>
      <c r="BA599" t="str">
        <f t="shared" si="182"/>
        <v/>
      </c>
    </row>
    <row r="600" spans="1:53" ht="13.5">
      <c r="A600" s="135" t="str">
        <f t="shared" si="168"/>
        <v/>
      </c>
      <c r="B600" s="19" t="str">
        <f t="shared" si="169"/>
        <v/>
      </c>
      <c r="C600" s="19" t="str">
        <f t="shared" si="170"/>
        <v/>
      </c>
      <c r="D600" s="19" t="str">
        <f t="shared" si="171"/>
        <v/>
      </c>
      <c r="E600" s="5" t="str">
        <f t="shared" si="172"/>
        <v/>
      </c>
      <c r="F600" s="12" t="str">
        <f t="shared" si="173"/>
        <v/>
      </c>
      <c r="K600" s="9" t="str">
        <f t="shared" si="174"/>
        <v/>
      </c>
      <c r="L600" s="6">
        <f t="shared" si="175"/>
        <v>0</v>
      </c>
      <c r="M600" s="6">
        <f t="shared" si="176"/>
        <v>0</v>
      </c>
      <c r="N600" s="94" t="str">
        <f t="shared" si="177"/>
        <v/>
      </c>
      <c r="O600" s="6"/>
      <c r="P600" s="6"/>
      <c r="Q600" s="6"/>
      <c r="R600" s="6"/>
      <c r="T600" s="136" t="str">
        <f t="shared" si="178"/>
        <v/>
      </c>
      <c r="U600" s="137" t="str">
        <f t="shared" si="179"/>
        <v/>
      </c>
      <c r="V600" s="1"/>
      <c r="Y600" s="90" t="str">
        <f t="shared" si="180"/>
        <v/>
      </c>
      <c r="AC600" s="6" t="s">
        <v>4176</v>
      </c>
      <c r="AD600" s="6" t="s">
        <v>7078</v>
      </c>
      <c r="AE600" s="158" t="s">
        <v>1289</v>
      </c>
      <c r="AF600" s="159" t="s">
        <v>8299</v>
      </c>
      <c r="AG600" s="160" t="s">
        <v>4268</v>
      </c>
      <c r="AH600" s="194" t="s">
        <v>1314</v>
      </c>
      <c r="AI600" s="6" t="s">
        <v>2038</v>
      </c>
      <c r="AJ600" s="3" t="s">
        <v>8239</v>
      </c>
      <c r="AK600" t="s">
        <v>8674</v>
      </c>
      <c r="AL600" s="29"/>
      <c r="AM600" s="6" t="s">
        <v>5157</v>
      </c>
      <c r="AN600" t="s">
        <v>6410</v>
      </c>
      <c r="AV600"/>
      <c r="AX600"/>
      <c r="AZ600" t="str">
        <f t="shared" si="181"/>
        <v/>
      </c>
      <c r="BA600" t="str">
        <f t="shared" si="182"/>
        <v/>
      </c>
    </row>
    <row r="601" spans="1:53" ht="13.5">
      <c r="A601" s="135" t="str">
        <f t="shared" si="168"/>
        <v/>
      </c>
      <c r="B601" s="19" t="str">
        <f t="shared" si="169"/>
        <v/>
      </c>
      <c r="C601" s="19" t="str">
        <f t="shared" si="170"/>
        <v/>
      </c>
      <c r="D601" s="19" t="str">
        <f t="shared" si="171"/>
        <v/>
      </c>
      <c r="E601" s="5" t="str">
        <f t="shared" si="172"/>
        <v/>
      </c>
      <c r="F601" s="12" t="str">
        <f t="shared" si="173"/>
        <v/>
      </c>
      <c r="K601" s="9" t="str">
        <f t="shared" si="174"/>
        <v/>
      </c>
      <c r="L601" s="6">
        <f t="shared" si="175"/>
        <v>0</v>
      </c>
      <c r="M601" s="6">
        <f t="shared" si="176"/>
        <v>0</v>
      </c>
      <c r="N601" s="94" t="str">
        <f t="shared" si="177"/>
        <v/>
      </c>
      <c r="O601" s="6"/>
      <c r="P601" s="6"/>
      <c r="Q601" s="6"/>
      <c r="R601" s="6"/>
      <c r="T601" s="136" t="str">
        <f t="shared" si="178"/>
        <v/>
      </c>
      <c r="U601" s="137" t="str">
        <f t="shared" si="179"/>
        <v/>
      </c>
      <c r="V601" s="1"/>
      <c r="Y601" s="90" t="str">
        <f t="shared" si="180"/>
        <v/>
      </c>
      <c r="AC601" s="6">
        <v>936432</v>
      </c>
      <c r="AD601" s="6" t="s">
        <v>7049</v>
      </c>
      <c r="AE601" s="158" t="s">
        <v>4163</v>
      </c>
      <c r="AF601" s="159" t="s">
        <v>8299</v>
      </c>
      <c r="AG601" s="160" t="s">
        <v>4269</v>
      </c>
      <c r="AH601" s="194" t="s">
        <v>679</v>
      </c>
      <c r="AI601" s="6" t="s">
        <v>3896</v>
      </c>
      <c r="AJ601" s="3" t="s">
        <v>8203</v>
      </c>
      <c r="AK601" t="s">
        <v>8203</v>
      </c>
      <c r="AL601" s="29"/>
      <c r="AM601" s="6" t="s">
        <v>5235</v>
      </c>
      <c r="AN601" t="s">
        <v>6411</v>
      </c>
      <c r="AV601"/>
      <c r="AX601"/>
      <c r="AZ601" t="str">
        <f t="shared" si="181"/>
        <v/>
      </c>
      <c r="BA601" t="str">
        <f t="shared" si="182"/>
        <v/>
      </c>
    </row>
    <row r="602" spans="1:53" ht="13.5">
      <c r="A602" s="135" t="str">
        <f t="shared" si="168"/>
        <v/>
      </c>
      <c r="B602" s="19" t="str">
        <f t="shared" si="169"/>
        <v/>
      </c>
      <c r="C602" s="19" t="str">
        <f t="shared" si="170"/>
        <v/>
      </c>
      <c r="D602" s="19" t="str">
        <f t="shared" si="171"/>
        <v/>
      </c>
      <c r="E602" s="5" t="str">
        <f t="shared" si="172"/>
        <v/>
      </c>
      <c r="F602" s="12" t="str">
        <f t="shared" si="173"/>
        <v/>
      </c>
      <c r="K602" s="9" t="str">
        <f t="shared" si="174"/>
        <v/>
      </c>
      <c r="L602" s="6">
        <f t="shared" si="175"/>
        <v>0</v>
      </c>
      <c r="M602" s="6">
        <f t="shared" si="176"/>
        <v>0</v>
      </c>
      <c r="N602" s="94" t="str">
        <f t="shared" si="177"/>
        <v/>
      </c>
      <c r="O602" s="6"/>
      <c r="P602" s="6"/>
      <c r="Q602" s="6"/>
      <c r="R602" s="6"/>
      <c r="T602" s="136" t="str">
        <f t="shared" si="178"/>
        <v/>
      </c>
      <c r="U602" s="137" t="str">
        <f t="shared" si="179"/>
        <v/>
      </c>
      <c r="V602" s="1"/>
      <c r="Y602" s="90" t="str">
        <f t="shared" si="180"/>
        <v/>
      </c>
      <c r="AC602" s="6" t="s">
        <v>4398</v>
      </c>
      <c r="AD602" s="6" t="s">
        <v>7088</v>
      </c>
      <c r="AE602" s="158" t="s">
        <v>3995</v>
      </c>
      <c r="AF602" s="159" t="s">
        <v>8320</v>
      </c>
      <c r="AG602" s="160" t="s">
        <v>4270</v>
      </c>
      <c r="AH602" s="194" t="s">
        <v>679</v>
      </c>
      <c r="AI602" s="6" t="s">
        <v>1220</v>
      </c>
      <c r="AJ602" s="3" t="s">
        <v>8240</v>
      </c>
      <c r="AK602" t="s">
        <v>8240</v>
      </c>
      <c r="AL602" s="29"/>
      <c r="AM602" s="6" t="s">
        <v>5238</v>
      </c>
      <c r="AN602" t="s">
        <v>6412</v>
      </c>
      <c r="AV602"/>
      <c r="AX602"/>
      <c r="AZ602" t="str">
        <f t="shared" si="181"/>
        <v/>
      </c>
      <c r="BA602" t="str">
        <f t="shared" si="182"/>
        <v/>
      </c>
    </row>
    <row r="603" spans="1:53" ht="13.5">
      <c r="A603" s="135" t="str">
        <f t="shared" si="168"/>
        <v/>
      </c>
      <c r="B603" s="19" t="str">
        <f t="shared" si="169"/>
        <v/>
      </c>
      <c r="C603" s="19" t="str">
        <f t="shared" si="170"/>
        <v/>
      </c>
      <c r="D603" s="19" t="str">
        <f t="shared" si="171"/>
        <v/>
      </c>
      <c r="E603" s="5" t="str">
        <f t="shared" si="172"/>
        <v/>
      </c>
      <c r="F603" s="12" t="str">
        <f t="shared" si="173"/>
        <v/>
      </c>
      <c r="K603" s="9" t="str">
        <f t="shared" si="174"/>
        <v/>
      </c>
      <c r="L603" s="6">
        <f t="shared" si="175"/>
        <v>0</v>
      </c>
      <c r="M603" s="6">
        <f t="shared" si="176"/>
        <v>0</v>
      </c>
      <c r="N603" s="94" t="str">
        <f t="shared" si="177"/>
        <v/>
      </c>
      <c r="O603" s="6"/>
      <c r="P603" s="6"/>
      <c r="Q603" s="6"/>
      <c r="R603" s="6"/>
      <c r="T603" s="136" t="str">
        <f t="shared" si="178"/>
        <v/>
      </c>
      <c r="U603" s="137" t="str">
        <f t="shared" si="179"/>
        <v/>
      </c>
      <c r="V603" s="1"/>
      <c r="Y603" s="90" t="str">
        <f t="shared" si="180"/>
        <v/>
      </c>
      <c r="AC603" s="6" t="s">
        <v>3882</v>
      </c>
      <c r="AD603" s="6" t="s">
        <v>7089</v>
      </c>
      <c r="AE603" s="158" t="s">
        <v>4355</v>
      </c>
      <c r="AF603" s="159" t="s">
        <v>8311</v>
      </c>
      <c r="AG603" s="160" t="s">
        <v>4271</v>
      </c>
      <c r="AH603" s="194" t="s">
        <v>679</v>
      </c>
      <c r="AI603" s="6" t="s">
        <v>1271</v>
      </c>
      <c r="AJ603" s="3" t="s">
        <v>8247</v>
      </c>
      <c r="AK603" t="s">
        <v>8247</v>
      </c>
      <c r="AL603" s="29"/>
      <c r="AM603" s="6" t="s">
        <v>5431</v>
      </c>
      <c r="AN603" t="s">
        <v>6413</v>
      </c>
      <c r="AV603"/>
      <c r="AX603"/>
      <c r="AZ603" t="str">
        <f t="shared" si="181"/>
        <v/>
      </c>
      <c r="BA603" t="str">
        <f t="shared" si="182"/>
        <v/>
      </c>
    </row>
    <row r="604" spans="1:53" ht="13.5">
      <c r="A604" s="135" t="str">
        <f t="shared" si="168"/>
        <v/>
      </c>
      <c r="B604" s="19" t="str">
        <f t="shared" si="169"/>
        <v/>
      </c>
      <c r="C604" s="19" t="str">
        <f t="shared" si="170"/>
        <v/>
      </c>
      <c r="D604" s="19" t="str">
        <f t="shared" si="171"/>
        <v/>
      </c>
      <c r="E604" s="5" t="str">
        <f t="shared" si="172"/>
        <v/>
      </c>
      <c r="F604" s="12" t="str">
        <f t="shared" si="173"/>
        <v/>
      </c>
      <c r="K604" s="9" t="str">
        <f t="shared" si="174"/>
        <v/>
      </c>
      <c r="L604" s="6">
        <f t="shared" si="175"/>
        <v>0</v>
      </c>
      <c r="M604" s="6">
        <f t="shared" si="176"/>
        <v>0</v>
      </c>
      <c r="N604" s="94" t="str">
        <f t="shared" si="177"/>
        <v/>
      </c>
      <c r="O604" s="6"/>
      <c r="P604" s="6"/>
      <c r="Q604" s="6"/>
      <c r="R604" s="6"/>
      <c r="T604" s="136" t="str">
        <f t="shared" si="178"/>
        <v/>
      </c>
      <c r="U604" s="137" t="str">
        <f t="shared" si="179"/>
        <v/>
      </c>
      <c r="V604" s="1"/>
      <c r="Y604" s="90" t="str">
        <f t="shared" si="180"/>
        <v/>
      </c>
      <c r="AC604" s="6">
        <v>836348</v>
      </c>
      <c r="AD604" s="6" t="s">
        <v>7090</v>
      </c>
      <c r="AE604" s="158" t="s">
        <v>3682</v>
      </c>
      <c r="AF604" s="159" t="s">
        <v>8309</v>
      </c>
      <c r="AG604" s="160" t="s">
        <v>118</v>
      </c>
      <c r="AH604" s="194" t="s">
        <v>679</v>
      </c>
      <c r="AI604" s="6" t="s">
        <v>4426</v>
      </c>
      <c r="AJ604" s="3" t="s">
        <v>8240</v>
      </c>
      <c r="AK604" t="s">
        <v>8240</v>
      </c>
      <c r="AL604" s="29"/>
      <c r="AM604" s="6" t="s">
        <v>5239</v>
      </c>
      <c r="AN604" t="s">
        <v>6414</v>
      </c>
      <c r="AV604"/>
      <c r="AX604"/>
      <c r="AZ604" t="str">
        <f t="shared" si="181"/>
        <v/>
      </c>
      <c r="BA604" t="str">
        <f t="shared" si="182"/>
        <v/>
      </c>
    </row>
    <row r="605" spans="1:53" ht="13.5">
      <c r="A605" s="135" t="str">
        <f t="shared" si="168"/>
        <v/>
      </c>
      <c r="B605" s="19" t="str">
        <f t="shared" si="169"/>
        <v/>
      </c>
      <c r="C605" s="19" t="str">
        <f t="shared" si="170"/>
        <v/>
      </c>
      <c r="D605" s="19" t="str">
        <f t="shared" si="171"/>
        <v/>
      </c>
      <c r="E605" s="5" t="str">
        <f t="shared" si="172"/>
        <v/>
      </c>
      <c r="F605" s="12" t="str">
        <f t="shared" si="173"/>
        <v/>
      </c>
      <c r="K605" s="9" t="str">
        <f t="shared" si="174"/>
        <v/>
      </c>
      <c r="L605" s="6">
        <f t="shared" si="175"/>
        <v>0</v>
      </c>
      <c r="M605" s="6">
        <f t="shared" si="176"/>
        <v>0</v>
      </c>
      <c r="N605" s="94" t="str">
        <f t="shared" si="177"/>
        <v/>
      </c>
      <c r="O605" s="6"/>
      <c r="P605" s="6"/>
      <c r="Q605" s="6"/>
      <c r="R605" s="6"/>
      <c r="T605" s="136" t="str">
        <f t="shared" si="178"/>
        <v/>
      </c>
      <c r="U605" s="137" t="str">
        <f t="shared" si="179"/>
        <v/>
      </c>
      <c r="V605" s="1"/>
      <c r="Y605" s="90" t="str">
        <f t="shared" si="180"/>
        <v/>
      </c>
      <c r="AC605" s="6" t="s">
        <v>4034</v>
      </c>
      <c r="AD605" s="6" t="s">
        <v>7091</v>
      </c>
      <c r="AE605" s="158" t="s">
        <v>3683</v>
      </c>
      <c r="AF605" s="159" t="s">
        <v>8299</v>
      </c>
      <c r="AG605" s="160" t="s">
        <v>4272</v>
      </c>
      <c r="AH605" s="194" t="s">
        <v>679</v>
      </c>
      <c r="AI605" s="6" t="s">
        <v>3413</v>
      </c>
      <c r="AJ605" s="3" t="s">
        <v>8264</v>
      </c>
      <c r="AK605" t="s">
        <v>8264</v>
      </c>
      <c r="AL605" s="29"/>
      <c r="AM605" s="6" t="s">
        <v>5475</v>
      </c>
      <c r="AN605" t="s">
        <v>6415</v>
      </c>
      <c r="AV605"/>
      <c r="AX605"/>
      <c r="AZ605" t="str">
        <f t="shared" si="181"/>
        <v/>
      </c>
      <c r="BA605" t="str">
        <f t="shared" si="182"/>
        <v/>
      </c>
    </row>
    <row r="606" spans="1:53" ht="13.5">
      <c r="A606" s="135" t="str">
        <f t="shared" si="168"/>
        <v/>
      </c>
      <c r="B606" s="19" t="str">
        <f t="shared" si="169"/>
        <v/>
      </c>
      <c r="C606" s="19" t="str">
        <f t="shared" si="170"/>
        <v/>
      </c>
      <c r="D606" s="19" t="str">
        <f t="shared" si="171"/>
        <v/>
      </c>
      <c r="E606" s="5" t="str">
        <f t="shared" si="172"/>
        <v/>
      </c>
      <c r="F606" s="12" t="str">
        <f t="shared" si="173"/>
        <v/>
      </c>
      <c r="K606" s="9" t="str">
        <f t="shared" si="174"/>
        <v/>
      </c>
      <c r="L606" s="6">
        <f t="shared" si="175"/>
        <v>0</v>
      </c>
      <c r="M606" s="6">
        <f t="shared" si="176"/>
        <v>0</v>
      </c>
      <c r="N606" s="94" t="str">
        <f t="shared" si="177"/>
        <v/>
      </c>
      <c r="O606" s="6"/>
      <c r="P606" s="6"/>
      <c r="Q606" s="6"/>
      <c r="R606" s="6"/>
      <c r="T606" s="136" t="str">
        <f t="shared" si="178"/>
        <v/>
      </c>
      <c r="U606" s="137" t="str">
        <f t="shared" si="179"/>
        <v/>
      </c>
      <c r="V606" s="1"/>
      <c r="Y606" s="90" t="str">
        <f t="shared" si="180"/>
        <v/>
      </c>
      <c r="AC606" s="6">
        <v>956442</v>
      </c>
      <c r="AD606" s="6" t="s">
        <v>7075</v>
      </c>
      <c r="AE606" s="158" t="s">
        <v>3684</v>
      </c>
      <c r="AF606" s="159" t="s">
        <v>8299</v>
      </c>
      <c r="AG606" s="160" t="s">
        <v>4273</v>
      </c>
      <c r="AH606" s="194" t="s">
        <v>679</v>
      </c>
      <c r="AI606" s="6" t="s">
        <v>3446</v>
      </c>
      <c r="AJ606" s="3" t="s">
        <v>8247</v>
      </c>
      <c r="AK606" t="s">
        <v>8247</v>
      </c>
      <c r="AL606" s="29"/>
      <c r="AM606" s="6" t="s">
        <v>5205</v>
      </c>
      <c r="AN606" t="s">
        <v>6416</v>
      </c>
      <c r="AV606"/>
      <c r="AX606"/>
      <c r="AZ606" t="str">
        <f t="shared" si="181"/>
        <v/>
      </c>
      <c r="BA606" t="str">
        <f t="shared" si="182"/>
        <v/>
      </c>
    </row>
    <row r="607" spans="1:53" ht="13.5">
      <c r="A607" s="135" t="str">
        <f t="shared" si="168"/>
        <v/>
      </c>
      <c r="B607" s="19" t="str">
        <f t="shared" si="169"/>
        <v/>
      </c>
      <c r="C607" s="19" t="str">
        <f t="shared" si="170"/>
        <v/>
      </c>
      <c r="D607" s="19" t="str">
        <f t="shared" si="171"/>
        <v/>
      </c>
      <c r="E607" s="5" t="str">
        <f t="shared" si="172"/>
        <v/>
      </c>
      <c r="F607" s="12" t="str">
        <f t="shared" si="173"/>
        <v/>
      </c>
      <c r="K607" s="9" t="str">
        <f t="shared" si="174"/>
        <v/>
      </c>
      <c r="L607" s="6">
        <f t="shared" si="175"/>
        <v>0</v>
      </c>
      <c r="M607" s="6">
        <f t="shared" si="176"/>
        <v>0</v>
      </c>
      <c r="N607" s="94" t="str">
        <f t="shared" si="177"/>
        <v/>
      </c>
      <c r="O607" s="6"/>
      <c r="P607" s="6"/>
      <c r="Q607" s="6"/>
      <c r="R607" s="6"/>
      <c r="T607" s="136" t="str">
        <f t="shared" si="178"/>
        <v/>
      </c>
      <c r="U607" s="137" t="str">
        <f t="shared" si="179"/>
        <v/>
      </c>
      <c r="V607" s="1"/>
      <c r="Y607" s="90" t="str">
        <f t="shared" si="180"/>
        <v/>
      </c>
      <c r="AC607" s="6">
        <v>856355</v>
      </c>
      <c r="AD607" s="6" t="s">
        <v>7092</v>
      </c>
      <c r="AE607" s="158" t="s">
        <v>4356</v>
      </c>
      <c r="AF607" s="159" t="s">
        <v>8340</v>
      </c>
      <c r="AG607" s="160" t="s">
        <v>4274</v>
      </c>
      <c r="AH607" s="194" t="s">
        <v>679</v>
      </c>
      <c r="AI607" s="6" t="s">
        <v>4834</v>
      </c>
      <c r="AJ607" s="3" t="s">
        <v>8256</v>
      </c>
      <c r="AK607" t="s">
        <v>8256</v>
      </c>
      <c r="AL607" s="29"/>
      <c r="AM607" s="6" t="s">
        <v>5350</v>
      </c>
      <c r="AN607" t="s">
        <v>6417</v>
      </c>
      <c r="AV607"/>
      <c r="AX607"/>
      <c r="AZ607" t="str">
        <f t="shared" si="181"/>
        <v/>
      </c>
      <c r="BA607" t="str">
        <f t="shared" si="182"/>
        <v/>
      </c>
    </row>
    <row r="608" spans="1:53" ht="13.5">
      <c r="A608" s="135" t="str">
        <f t="shared" si="168"/>
        <v/>
      </c>
      <c r="B608" s="19" t="str">
        <f t="shared" si="169"/>
        <v/>
      </c>
      <c r="C608" s="19" t="str">
        <f t="shared" si="170"/>
        <v/>
      </c>
      <c r="D608" s="19" t="str">
        <f t="shared" si="171"/>
        <v/>
      </c>
      <c r="E608" s="5" t="str">
        <f t="shared" si="172"/>
        <v/>
      </c>
      <c r="F608" s="12" t="str">
        <f t="shared" si="173"/>
        <v/>
      </c>
      <c r="K608" s="9" t="str">
        <f t="shared" si="174"/>
        <v/>
      </c>
      <c r="L608" s="6">
        <f t="shared" si="175"/>
        <v>0</v>
      </c>
      <c r="M608" s="6">
        <f t="shared" si="176"/>
        <v>0</v>
      </c>
      <c r="N608" s="94" t="str">
        <f t="shared" si="177"/>
        <v/>
      </c>
      <c r="O608" s="6"/>
      <c r="P608" s="6"/>
      <c r="Q608" s="6"/>
      <c r="R608" s="6"/>
      <c r="T608" s="136" t="str">
        <f t="shared" si="178"/>
        <v/>
      </c>
      <c r="U608" s="137" t="str">
        <f t="shared" si="179"/>
        <v/>
      </c>
      <c r="V608" s="1"/>
      <c r="Y608" s="90" t="str">
        <f t="shared" si="180"/>
        <v/>
      </c>
      <c r="AC608" s="6" t="s">
        <v>3881</v>
      </c>
      <c r="AD608" s="6" t="s">
        <v>7093</v>
      </c>
      <c r="AE608" s="158">
        <v>195218</v>
      </c>
      <c r="AF608" s="159" t="s">
        <v>8311</v>
      </c>
      <c r="AG608" s="160" t="s">
        <v>4275</v>
      </c>
      <c r="AH608" s="194" t="s">
        <v>679</v>
      </c>
      <c r="AI608" s="6" t="s">
        <v>5270</v>
      </c>
      <c r="AJ608" s="3" t="s">
        <v>8227</v>
      </c>
      <c r="AK608" t="s">
        <v>8227</v>
      </c>
      <c r="AL608" s="29"/>
      <c r="AM608" s="6" t="s">
        <v>5219</v>
      </c>
      <c r="AN608" t="s">
        <v>6418</v>
      </c>
      <c r="AV608"/>
      <c r="AX608"/>
      <c r="AZ608" t="str">
        <f t="shared" si="181"/>
        <v/>
      </c>
      <c r="BA608" t="str">
        <f t="shared" si="182"/>
        <v/>
      </c>
    </row>
    <row r="609" spans="1:53" ht="13.5">
      <c r="A609" s="135" t="str">
        <f t="shared" si="168"/>
        <v/>
      </c>
      <c r="B609" s="19" t="str">
        <f t="shared" si="169"/>
        <v/>
      </c>
      <c r="C609" s="19" t="str">
        <f t="shared" si="170"/>
        <v/>
      </c>
      <c r="D609" s="19" t="str">
        <f t="shared" si="171"/>
        <v/>
      </c>
      <c r="E609" s="5" t="str">
        <f t="shared" si="172"/>
        <v/>
      </c>
      <c r="F609" s="12" t="str">
        <f t="shared" si="173"/>
        <v/>
      </c>
      <c r="K609" s="9" t="str">
        <f t="shared" si="174"/>
        <v/>
      </c>
      <c r="L609" s="6">
        <f t="shared" si="175"/>
        <v>0</v>
      </c>
      <c r="M609" s="6">
        <f t="shared" si="176"/>
        <v>0</v>
      </c>
      <c r="N609" s="94" t="str">
        <f t="shared" si="177"/>
        <v/>
      </c>
      <c r="O609" s="6"/>
      <c r="P609" s="6"/>
      <c r="Q609" s="6"/>
      <c r="R609" s="6"/>
      <c r="T609" s="136" t="str">
        <f t="shared" si="178"/>
        <v/>
      </c>
      <c r="U609" s="137" t="str">
        <f t="shared" si="179"/>
        <v/>
      </c>
      <c r="V609" s="1"/>
      <c r="Y609" s="90" t="str">
        <f t="shared" si="180"/>
        <v/>
      </c>
      <c r="AC609" s="6">
        <v>105577</v>
      </c>
      <c r="AD609" s="6" t="s">
        <v>7052</v>
      </c>
      <c r="AE609" s="158">
        <v>195219</v>
      </c>
      <c r="AF609" s="159" t="s">
        <v>8309</v>
      </c>
      <c r="AG609" s="160" t="s">
        <v>4276</v>
      </c>
      <c r="AH609" s="194" t="s">
        <v>679</v>
      </c>
      <c r="AI609" s="6" t="s">
        <v>5562</v>
      </c>
      <c r="AJ609" s="3" t="s">
        <v>8263</v>
      </c>
      <c r="AK609" t="s">
        <v>8263</v>
      </c>
      <c r="AL609" s="29"/>
      <c r="AM609" s="6" t="s">
        <v>5212</v>
      </c>
      <c r="AN609" t="s">
        <v>6419</v>
      </c>
      <c r="AV609"/>
      <c r="AX609"/>
      <c r="AZ609" t="str">
        <f t="shared" si="181"/>
        <v/>
      </c>
      <c r="BA609" t="str">
        <f t="shared" si="182"/>
        <v/>
      </c>
    </row>
    <row r="610" spans="1:53" ht="13.5">
      <c r="A610" s="135" t="str">
        <f t="shared" si="168"/>
        <v/>
      </c>
      <c r="B610" s="19" t="str">
        <f t="shared" si="169"/>
        <v/>
      </c>
      <c r="C610" s="19" t="str">
        <f t="shared" si="170"/>
        <v/>
      </c>
      <c r="D610" s="19" t="str">
        <f t="shared" si="171"/>
        <v/>
      </c>
      <c r="E610" s="5" t="str">
        <f t="shared" si="172"/>
        <v/>
      </c>
      <c r="F610" s="12" t="str">
        <f t="shared" si="173"/>
        <v/>
      </c>
      <c r="K610" s="9" t="str">
        <f t="shared" si="174"/>
        <v/>
      </c>
      <c r="L610" s="6">
        <f t="shared" si="175"/>
        <v>0</v>
      </c>
      <c r="M610" s="6">
        <f t="shared" si="176"/>
        <v>0</v>
      </c>
      <c r="N610" s="94" t="str">
        <f t="shared" si="177"/>
        <v/>
      </c>
      <c r="O610" s="6"/>
      <c r="P610" s="6"/>
      <c r="Q610" s="6"/>
      <c r="R610" s="6"/>
      <c r="T610" s="136" t="str">
        <f t="shared" si="178"/>
        <v/>
      </c>
      <c r="U610" s="137" t="str">
        <f t="shared" si="179"/>
        <v/>
      </c>
      <c r="V610" s="1"/>
      <c r="Y610" s="90" t="str">
        <f t="shared" si="180"/>
        <v/>
      </c>
      <c r="AC610" s="6">
        <v>145626</v>
      </c>
      <c r="AD610" s="6" t="s">
        <v>7094</v>
      </c>
      <c r="AE610" s="158">
        <v>195220</v>
      </c>
      <c r="AF610" s="159" t="s">
        <v>8299</v>
      </c>
      <c r="AG610" s="160" t="s">
        <v>4277</v>
      </c>
      <c r="AH610" s="194" t="s">
        <v>1314</v>
      </c>
      <c r="AI610" s="6" t="s">
        <v>5144</v>
      </c>
      <c r="AJ610" s="3" t="s">
        <v>8219</v>
      </c>
      <c r="AK610" t="s">
        <v>8219</v>
      </c>
      <c r="AL610" s="29"/>
      <c r="AM610" s="6" t="s">
        <v>5343</v>
      </c>
      <c r="AN610" t="s">
        <v>6420</v>
      </c>
      <c r="AV610"/>
      <c r="AX610"/>
      <c r="AZ610" t="str">
        <f t="shared" si="181"/>
        <v/>
      </c>
      <c r="BA610" t="str">
        <f t="shared" si="182"/>
        <v/>
      </c>
    </row>
    <row r="611" spans="1:53" ht="13.5">
      <c r="A611" s="135" t="str">
        <f t="shared" si="168"/>
        <v/>
      </c>
      <c r="B611" s="19" t="str">
        <f t="shared" si="169"/>
        <v/>
      </c>
      <c r="C611" s="19" t="str">
        <f t="shared" si="170"/>
        <v/>
      </c>
      <c r="D611" s="19" t="str">
        <f t="shared" si="171"/>
        <v/>
      </c>
      <c r="E611" s="5" t="str">
        <f t="shared" si="172"/>
        <v/>
      </c>
      <c r="F611" s="12" t="str">
        <f t="shared" si="173"/>
        <v/>
      </c>
      <c r="K611" s="9" t="str">
        <f t="shared" si="174"/>
        <v/>
      </c>
      <c r="L611" s="6">
        <f t="shared" si="175"/>
        <v>0</v>
      </c>
      <c r="M611" s="6">
        <f t="shared" si="176"/>
        <v>0</v>
      </c>
      <c r="N611" s="94" t="str">
        <f t="shared" si="177"/>
        <v/>
      </c>
      <c r="O611" s="6"/>
      <c r="P611" s="6"/>
      <c r="Q611" s="6"/>
      <c r="R611" s="6"/>
      <c r="T611" s="136" t="str">
        <f t="shared" si="178"/>
        <v/>
      </c>
      <c r="U611" s="137" t="str">
        <f t="shared" si="179"/>
        <v/>
      </c>
      <c r="V611" s="1"/>
      <c r="Y611" s="90" t="str">
        <f t="shared" si="180"/>
        <v/>
      </c>
      <c r="AC611" s="6">
        <v>343696</v>
      </c>
      <c r="AD611" s="6" t="s">
        <v>7086</v>
      </c>
      <c r="AE611" s="158">
        <v>195221</v>
      </c>
      <c r="AF611" s="159" t="s">
        <v>8309</v>
      </c>
      <c r="AG611" s="160" t="s">
        <v>4278</v>
      </c>
      <c r="AH611" s="194" t="s">
        <v>679</v>
      </c>
      <c r="AI611" s="6" t="s">
        <v>4773</v>
      </c>
      <c r="AJ611" s="3" t="s">
        <v>8213</v>
      </c>
      <c r="AK611" t="s">
        <v>8213</v>
      </c>
      <c r="AL611" s="29"/>
      <c r="AM611" s="6" t="s">
        <v>5237</v>
      </c>
      <c r="AN611" t="s">
        <v>6421</v>
      </c>
      <c r="AV611"/>
      <c r="AX611"/>
      <c r="AZ611" t="str">
        <f t="shared" si="181"/>
        <v/>
      </c>
      <c r="BA611" t="str">
        <f t="shared" si="182"/>
        <v/>
      </c>
    </row>
    <row r="612" spans="1:53" ht="13.5">
      <c r="A612" s="135" t="str">
        <f t="shared" si="168"/>
        <v/>
      </c>
      <c r="B612" s="19" t="str">
        <f t="shared" si="169"/>
        <v/>
      </c>
      <c r="C612" s="19" t="str">
        <f t="shared" si="170"/>
        <v/>
      </c>
      <c r="D612" s="19" t="str">
        <f t="shared" si="171"/>
        <v/>
      </c>
      <c r="E612" s="5" t="str">
        <f t="shared" si="172"/>
        <v/>
      </c>
      <c r="F612" s="12" t="str">
        <f t="shared" si="173"/>
        <v/>
      </c>
      <c r="K612" s="9" t="str">
        <f t="shared" si="174"/>
        <v/>
      </c>
      <c r="L612" s="6">
        <f t="shared" si="175"/>
        <v>0</v>
      </c>
      <c r="M612" s="6">
        <f t="shared" si="176"/>
        <v>0</v>
      </c>
      <c r="N612" s="94" t="str">
        <f t="shared" si="177"/>
        <v/>
      </c>
      <c r="O612" s="6"/>
      <c r="P612" s="6"/>
      <c r="Q612" s="6"/>
      <c r="R612" s="6"/>
      <c r="T612" s="136" t="str">
        <f t="shared" si="178"/>
        <v/>
      </c>
      <c r="U612" s="137" t="str">
        <f t="shared" si="179"/>
        <v/>
      </c>
      <c r="V612" s="1"/>
      <c r="Y612" s="90" t="str">
        <f t="shared" si="180"/>
        <v/>
      </c>
      <c r="AC612" s="6" t="s">
        <v>3676</v>
      </c>
      <c r="AD612" s="6" t="s">
        <v>7095</v>
      </c>
      <c r="AE612" s="158">
        <v>195222</v>
      </c>
      <c r="AF612" s="159" t="s">
        <v>8320</v>
      </c>
      <c r="AG612" s="160" t="s">
        <v>4279</v>
      </c>
      <c r="AH612" s="194" t="s">
        <v>679</v>
      </c>
      <c r="AI612" s="6" t="s">
        <v>5164</v>
      </c>
      <c r="AJ612" s="3" t="s">
        <v>8241</v>
      </c>
      <c r="AK612" t="s">
        <v>8675</v>
      </c>
      <c r="AL612" s="29"/>
      <c r="AM612" s="6" t="s">
        <v>5399</v>
      </c>
      <c r="AN612" t="s">
        <v>6422</v>
      </c>
      <c r="AV612"/>
      <c r="AX612"/>
      <c r="AZ612" t="str">
        <f t="shared" si="181"/>
        <v/>
      </c>
      <c r="BA612" t="str">
        <f t="shared" si="182"/>
        <v/>
      </c>
    </row>
    <row r="613" spans="1:53" ht="13.5">
      <c r="A613" s="135" t="str">
        <f t="shared" si="168"/>
        <v/>
      </c>
      <c r="B613" s="19" t="str">
        <f t="shared" si="169"/>
        <v/>
      </c>
      <c r="C613" s="19" t="str">
        <f t="shared" si="170"/>
        <v/>
      </c>
      <c r="D613" s="19" t="str">
        <f t="shared" si="171"/>
        <v/>
      </c>
      <c r="E613" s="5" t="str">
        <f t="shared" si="172"/>
        <v/>
      </c>
      <c r="F613" s="12" t="str">
        <f t="shared" si="173"/>
        <v/>
      </c>
      <c r="K613" s="9" t="str">
        <f t="shared" si="174"/>
        <v/>
      </c>
      <c r="L613" s="6">
        <f t="shared" si="175"/>
        <v>0</v>
      </c>
      <c r="M613" s="6">
        <f t="shared" si="176"/>
        <v>0</v>
      </c>
      <c r="N613" s="94" t="str">
        <f t="shared" si="177"/>
        <v/>
      </c>
      <c r="O613" s="6"/>
      <c r="P613" s="6"/>
      <c r="Q613" s="6"/>
      <c r="R613" s="6"/>
      <c r="T613" s="136" t="str">
        <f t="shared" si="178"/>
        <v/>
      </c>
      <c r="U613" s="137" t="str">
        <f t="shared" si="179"/>
        <v/>
      </c>
      <c r="V613" s="1"/>
      <c r="Y613" s="90" t="str">
        <f t="shared" si="180"/>
        <v/>
      </c>
      <c r="AC613" s="6">
        <v>145625</v>
      </c>
      <c r="AD613" s="6" t="s">
        <v>7094</v>
      </c>
      <c r="AE613" s="158">
        <v>195223</v>
      </c>
      <c r="AF613" s="159" t="s">
        <v>8296</v>
      </c>
      <c r="AG613" s="160" t="s">
        <v>4280</v>
      </c>
      <c r="AH613" s="194" t="s">
        <v>679</v>
      </c>
      <c r="AI613" s="6" t="s">
        <v>5366</v>
      </c>
      <c r="AJ613" s="3" t="s">
        <v>8224</v>
      </c>
      <c r="AK613" t="s">
        <v>8224</v>
      </c>
      <c r="AL613" s="29"/>
      <c r="AM613" s="6" t="s">
        <v>5114</v>
      </c>
      <c r="AN613" t="s">
        <v>6423</v>
      </c>
      <c r="AV613"/>
      <c r="AX613"/>
      <c r="AZ613" t="str">
        <f t="shared" si="181"/>
        <v/>
      </c>
      <c r="BA613" t="str">
        <f t="shared" si="182"/>
        <v/>
      </c>
    </row>
    <row r="614" spans="1:53" ht="13.5">
      <c r="A614" s="135" t="str">
        <f t="shared" si="168"/>
        <v/>
      </c>
      <c r="B614" s="19" t="str">
        <f t="shared" si="169"/>
        <v/>
      </c>
      <c r="C614" s="19" t="str">
        <f t="shared" si="170"/>
        <v/>
      </c>
      <c r="D614" s="19" t="str">
        <f t="shared" si="171"/>
        <v/>
      </c>
      <c r="E614" s="5" t="str">
        <f t="shared" si="172"/>
        <v/>
      </c>
      <c r="F614" s="12" t="str">
        <f t="shared" si="173"/>
        <v/>
      </c>
      <c r="K614" s="9" t="str">
        <f t="shared" si="174"/>
        <v/>
      </c>
      <c r="L614" s="6">
        <f t="shared" si="175"/>
        <v>0</v>
      </c>
      <c r="M614" s="6">
        <f t="shared" si="176"/>
        <v>0</v>
      </c>
      <c r="N614" s="94" t="str">
        <f t="shared" si="177"/>
        <v/>
      </c>
      <c r="O614" s="6"/>
      <c r="P614" s="6"/>
      <c r="Q614" s="6"/>
      <c r="R614" s="6"/>
      <c r="T614" s="136" t="str">
        <f t="shared" si="178"/>
        <v/>
      </c>
      <c r="U614" s="137" t="str">
        <f t="shared" si="179"/>
        <v/>
      </c>
      <c r="V614" s="1"/>
      <c r="Y614" s="90" t="str">
        <f t="shared" si="180"/>
        <v/>
      </c>
      <c r="AC614" s="6" t="s">
        <v>3589</v>
      </c>
      <c r="AD614" s="6" t="s">
        <v>7046</v>
      </c>
      <c r="AE614" s="158">
        <v>765224</v>
      </c>
      <c r="AF614" s="159" t="s">
        <v>8309</v>
      </c>
      <c r="AG614" s="160" t="s">
        <v>4281</v>
      </c>
      <c r="AH614" s="194" t="s">
        <v>1314</v>
      </c>
      <c r="AI614" s="6" t="s">
        <v>964</v>
      </c>
      <c r="AJ614" s="3" t="s">
        <v>8265</v>
      </c>
      <c r="AK614" t="s">
        <v>8265</v>
      </c>
      <c r="AL614" s="29"/>
      <c r="AM614" s="6" t="s">
        <v>5217</v>
      </c>
      <c r="AN614" t="s">
        <v>6424</v>
      </c>
      <c r="AV614"/>
      <c r="AX614"/>
      <c r="AZ614" t="str">
        <f t="shared" si="181"/>
        <v/>
      </c>
      <c r="BA614" t="str">
        <f t="shared" si="182"/>
        <v/>
      </c>
    </row>
    <row r="615" spans="1:53" ht="13.5">
      <c r="A615" s="135" t="str">
        <f t="shared" si="168"/>
        <v/>
      </c>
      <c r="B615" s="19" t="str">
        <f t="shared" si="169"/>
        <v/>
      </c>
      <c r="C615" s="19" t="str">
        <f t="shared" si="170"/>
        <v/>
      </c>
      <c r="D615" s="19" t="str">
        <f t="shared" si="171"/>
        <v/>
      </c>
      <c r="E615" s="5" t="str">
        <f t="shared" si="172"/>
        <v/>
      </c>
      <c r="F615" s="12" t="str">
        <f t="shared" si="173"/>
        <v/>
      </c>
      <c r="K615" s="9" t="str">
        <f t="shared" si="174"/>
        <v/>
      </c>
      <c r="L615" s="6">
        <f t="shared" si="175"/>
        <v>0</v>
      </c>
      <c r="M615" s="6">
        <f t="shared" si="176"/>
        <v>0</v>
      </c>
      <c r="N615" s="94" t="str">
        <f t="shared" si="177"/>
        <v/>
      </c>
      <c r="O615" s="6"/>
      <c r="P615" s="6"/>
      <c r="Q615" s="6"/>
      <c r="R615" s="6"/>
      <c r="T615" s="136" t="str">
        <f t="shared" si="178"/>
        <v/>
      </c>
      <c r="U615" s="137" t="str">
        <f t="shared" si="179"/>
        <v/>
      </c>
      <c r="V615" s="1"/>
      <c r="Y615" s="90" t="str">
        <f t="shared" si="180"/>
        <v/>
      </c>
      <c r="AC615" s="6" t="s">
        <v>3591</v>
      </c>
      <c r="AD615" s="6" t="s">
        <v>7096</v>
      </c>
      <c r="AE615" s="158">
        <v>765225</v>
      </c>
      <c r="AF615" s="159" t="s">
        <v>8299</v>
      </c>
      <c r="AG615" s="160" t="s">
        <v>4282</v>
      </c>
      <c r="AH615" s="194" t="s">
        <v>679</v>
      </c>
      <c r="AI615" s="6" t="s">
        <v>5149</v>
      </c>
      <c r="AJ615" s="3" t="s">
        <v>8224</v>
      </c>
      <c r="AK615" t="s">
        <v>8224</v>
      </c>
      <c r="AL615" s="29"/>
      <c r="AM615" s="6" t="s">
        <v>5408</v>
      </c>
      <c r="AN615" t="s">
        <v>6425</v>
      </c>
      <c r="AV615"/>
      <c r="AX615"/>
      <c r="AZ615" t="str">
        <f t="shared" si="181"/>
        <v/>
      </c>
      <c r="BA615" t="str">
        <f t="shared" si="182"/>
        <v/>
      </c>
    </row>
    <row r="616" spans="1:53" ht="13.5">
      <c r="A616" s="135" t="str">
        <f t="shared" ref="A616:A679" si="183">IF(ISNA(VLOOKUP(I616,AC:AD,2,FALSE)),"",VLOOKUP(I616,AC:AD,2,FALSE))</f>
        <v/>
      </c>
      <c r="B616" s="19" t="str">
        <f t="shared" ref="B616:B679" si="184">IF(ISNA(VLOOKUP(I616,AE:AF,2,FALSE)),"",VLOOKUP(I616,AE:AF,2,FALSE))</f>
        <v/>
      </c>
      <c r="C616" s="19" t="str">
        <f t="shared" ref="C616:C679" si="185">IF(ISNA(VLOOKUP(I616,AM:AN,2,FALSE)),"",VLOOKUP(I616,AM:AN,2,FALSE))</f>
        <v/>
      </c>
      <c r="D616" s="19" t="str">
        <f t="shared" ref="D616:D679" si="186">IF(ISNA(VLOOKUP(I616,AG:AH,2,FALSE)),"",VLOOKUP(I616,AG:AH,2,FALSE))</f>
        <v/>
      </c>
      <c r="E616" s="5" t="str">
        <f t="shared" si="172"/>
        <v/>
      </c>
      <c r="F616" s="12" t="str">
        <f t="shared" si="173"/>
        <v/>
      </c>
      <c r="K616" s="9" t="str">
        <f t="shared" si="174"/>
        <v/>
      </c>
      <c r="L616" s="6">
        <f t="shared" si="175"/>
        <v>0</v>
      </c>
      <c r="M616" s="6">
        <f t="shared" si="176"/>
        <v>0</v>
      </c>
      <c r="N616" s="94" t="str">
        <f t="shared" si="177"/>
        <v/>
      </c>
      <c r="O616" s="6"/>
      <c r="P616" s="6"/>
      <c r="Q616" s="6"/>
      <c r="R616" s="6"/>
      <c r="T616" s="136" t="str">
        <f t="shared" si="178"/>
        <v/>
      </c>
      <c r="U616" s="137" t="str">
        <f t="shared" si="179"/>
        <v/>
      </c>
      <c r="V616" s="1"/>
      <c r="Y616" s="90" t="str">
        <f t="shared" si="180"/>
        <v/>
      </c>
      <c r="AC616" s="6" t="s">
        <v>5050</v>
      </c>
      <c r="AD616" s="6" t="s">
        <v>7097</v>
      </c>
      <c r="AE616" s="158">
        <v>765226</v>
      </c>
      <c r="AF616" s="159" t="s">
        <v>8299</v>
      </c>
      <c r="AG616" s="160" t="s">
        <v>4283</v>
      </c>
      <c r="AH616" s="194" t="s">
        <v>679</v>
      </c>
      <c r="AI616" s="6" t="s">
        <v>5155</v>
      </c>
      <c r="AJ616" s="3" t="s">
        <v>8216</v>
      </c>
      <c r="AK616" t="s">
        <v>8216</v>
      </c>
      <c r="AL616" s="29"/>
      <c r="AM616" s="6" t="s">
        <v>5451</v>
      </c>
      <c r="AN616" t="s">
        <v>6426</v>
      </c>
      <c r="AV616"/>
      <c r="AX616"/>
      <c r="AZ616" t="str">
        <f t="shared" si="181"/>
        <v/>
      </c>
      <c r="BA616" t="str">
        <f t="shared" si="182"/>
        <v/>
      </c>
    </row>
    <row r="617" spans="1:53" ht="13.5">
      <c r="A617" s="135" t="str">
        <f t="shared" si="183"/>
        <v/>
      </c>
      <c r="B617" s="19" t="str">
        <f t="shared" si="184"/>
        <v/>
      </c>
      <c r="C617" s="19" t="str">
        <f t="shared" si="185"/>
        <v/>
      </c>
      <c r="D617" s="19" t="str">
        <f t="shared" si="186"/>
        <v/>
      </c>
      <c r="E617" s="5" t="str">
        <f t="shared" si="172"/>
        <v/>
      </c>
      <c r="F617" s="12" t="str">
        <f t="shared" si="173"/>
        <v/>
      </c>
      <c r="K617" s="9" t="str">
        <f t="shared" si="174"/>
        <v/>
      </c>
      <c r="L617" s="6">
        <f t="shared" si="175"/>
        <v>0</v>
      </c>
      <c r="M617" s="6">
        <f t="shared" si="176"/>
        <v>0</v>
      </c>
      <c r="N617" s="94" t="str">
        <f t="shared" si="177"/>
        <v/>
      </c>
      <c r="O617" s="6"/>
      <c r="P617" s="6"/>
      <c r="Q617" s="6"/>
      <c r="R617" s="6"/>
      <c r="T617" s="136" t="str">
        <f t="shared" si="178"/>
        <v/>
      </c>
      <c r="U617" s="137" t="str">
        <f t="shared" si="179"/>
        <v/>
      </c>
      <c r="V617" s="1"/>
      <c r="Y617" s="90" t="str">
        <f t="shared" si="180"/>
        <v/>
      </c>
      <c r="AC617" s="6" t="s">
        <v>3592</v>
      </c>
      <c r="AD617" s="6" t="s">
        <v>7046</v>
      </c>
      <c r="AE617" s="158">
        <v>765227</v>
      </c>
      <c r="AF617" s="159" t="s">
        <v>8309</v>
      </c>
      <c r="AG617" s="160" t="s">
        <v>4284</v>
      </c>
      <c r="AH617" s="194" t="s">
        <v>679</v>
      </c>
      <c r="AI617" s="6" t="s">
        <v>937</v>
      </c>
      <c r="AJ617" s="3" t="s">
        <v>8266</v>
      </c>
      <c r="AK617" t="s">
        <v>8266</v>
      </c>
      <c r="AL617" s="29"/>
      <c r="AM617" s="6" t="s">
        <v>5442</v>
      </c>
      <c r="AN617" t="s">
        <v>6427</v>
      </c>
      <c r="AV617"/>
      <c r="AX617"/>
      <c r="AZ617" t="str">
        <f t="shared" si="181"/>
        <v/>
      </c>
      <c r="BA617" t="str">
        <f t="shared" si="182"/>
        <v/>
      </c>
    </row>
    <row r="618" spans="1:53" ht="13.5">
      <c r="A618" s="135" t="str">
        <f t="shared" si="183"/>
        <v/>
      </c>
      <c r="B618" s="19" t="str">
        <f t="shared" si="184"/>
        <v/>
      </c>
      <c r="C618" s="19" t="str">
        <f t="shared" si="185"/>
        <v/>
      </c>
      <c r="D618" s="19" t="str">
        <f t="shared" si="186"/>
        <v/>
      </c>
      <c r="E618" s="5" t="str">
        <f t="shared" si="172"/>
        <v/>
      </c>
      <c r="F618" s="12" t="str">
        <f t="shared" si="173"/>
        <v/>
      </c>
      <c r="K618" s="9" t="str">
        <f t="shared" si="174"/>
        <v/>
      </c>
      <c r="L618" s="6">
        <f t="shared" si="175"/>
        <v>0</v>
      </c>
      <c r="M618" s="6">
        <f t="shared" si="176"/>
        <v>0</v>
      </c>
      <c r="N618" s="94" t="str">
        <f t="shared" si="177"/>
        <v/>
      </c>
      <c r="O618" s="6"/>
      <c r="P618" s="6"/>
      <c r="Q618" s="6"/>
      <c r="R618" s="6"/>
      <c r="T618" s="136" t="str">
        <f t="shared" si="178"/>
        <v/>
      </c>
      <c r="U618" s="137" t="str">
        <f t="shared" si="179"/>
        <v/>
      </c>
      <c r="V618" s="1"/>
      <c r="Y618" s="90" t="str">
        <f t="shared" si="180"/>
        <v/>
      </c>
      <c r="AC618" s="6" t="s">
        <v>4031</v>
      </c>
      <c r="AD618" s="6" t="s">
        <v>7098</v>
      </c>
      <c r="AE618" s="158">
        <v>45238</v>
      </c>
      <c r="AF618" s="159" t="s">
        <v>8312</v>
      </c>
      <c r="AG618" s="160" t="s">
        <v>4285</v>
      </c>
      <c r="AH618" s="194" t="s">
        <v>679</v>
      </c>
      <c r="AI618" s="6">
        <v>313677</v>
      </c>
      <c r="AJ618" s="3" t="s">
        <v>8199</v>
      </c>
      <c r="AK618" t="s">
        <v>8199</v>
      </c>
      <c r="AL618" s="29"/>
      <c r="AM618" s="6" t="s">
        <v>5180</v>
      </c>
      <c r="AN618" t="s">
        <v>6428</v>
      </c>
      <c r="AV618"/>
      <c r="AX618"/>
      <c r="AZ618" t="str">
        <f t="shared" si="181"/>
        <v/>
      </c>
      <c r="BA618" t="str">
        <f t="shared" si="182"/>
        <v/>
      </c>
    </row>
    <row r="619" spans="1:53" ht="13.5">
      <c r="A619" s="135" t="str">
        <f t="shared" si="183"/>
        <v/>
      </c>
      <c r="B619" s="19" t="str">
        <f t="shared" si="184"/>
        <v/>
      </c>
      <c r="C619" s="19" t="str">
        <f t="shared" si="185"/>
        <v/>
      </c>
      <c r="D619" s="19" t="str">
        <f t="shared" si="186"/>
        <v/>
      </c>
      <c r="E619" s="5" t="str">
        <f t="shared" si="172"/>
        <v/>
      </c>
      <c r="F619" s="12" t="str">
        <f t="shared" si="173"/>
        <v/>
      </c>
      <c r="K619" s="9" t="str">
        <f t="shared" si="174"/>
        <v/>
      </c>
      <c r="L619" s="6">
        <f t="shared" si="175"/>
        <v>0</v>
      </c>
      <c r="M619" s="6">
        <f t="shared" si="176"/>
        <v>0</v>
      </c>
      <c r="N619" s="94" t="str">
        <f t="shared" si="177"/>
        <v/>
      </c>
      <c r="O619" s="6"/>
      <c r="P619" s="6"/>
      <c r="Q619" s="6"/>
      <c r="R619" s="6"/>
      <c r="T619" s="136" t="str">
        <f t="shared" si="178"/>
        <v/>
      </c>
      <c r="U619" s="137" t="str">
        <f t="shared" si="179"/>
        <v/>
      </c>
      <c r="V619" s="1"/>
      <c r="Y619" s="90" t="str">
        <f t="shared" si="180"/>
        <v/>
      </c>
      <c r="AC619" s="6" t="s">
        <v>5116</v>
      </c>
      <c r="AD619" s="6" t="s">
        <v>7098</v>
      </c>
      <c r="AE619" s="158" t="s">
        <v>4357</v>
      </c>
      <c r="AF619" s="159" t="s">
        <v>8321</v>
      </c>
      <c r="AG619" s="160" t="s">
        <v>4286</v>
      </c>
      <c r="AH619" s="194" t="s">
        <v>679</v>
      </c>
      <c r="AI619" s="6">
        <v>271932</v>
      </c>
      <c r="AJ619" s="3" t="s">
        <v>8250</v>
      </c>
      <c r="AK619" t="s">
        <v>8250</v>
      </c>
      <c r="AL619" s="29"/>
      <c r="AM619" s="6" t="s">
        <v>5094</v>
      </c>
      <c r="AN619" t="s">
        <v>6429</v>
      </c>
      <c r="AV619"/>
      <c r="AX619"/>
      <c r="AZ619" t="str">
        <f t="shared" si="181"/>
        <v/>
      </c>
      <c r="BA619" t="str">
        <f t="shared" si="182"/>
        <v/>
      </c>
    </row>
    <row r="620" spans="1:53" ht="13.5">
      <c r="A620" s="135" t="str">
        <f t="shared" si="183"/>
        <v/>
      </c>
      <c r="B620" s="19" t="str">
        <f t="shared" si="184"/>
        <v/>
      </c>
      <c r="C620" s="19" t="str">
        <f t="shared" si="185"/>
        <v/>
      </c>
      <c r="D620" s="19" t="str">
        <f t="shared" si="186"/>
        <v/>
      </c>
      <c r="E620" s="5" t="str">
        <f t="shared" si="172"/>
        <v/>
      </c>
      <c r="F620" s="12" t="str">
        <f t="shared" si="173"/>
        <v/>
      </c>
      <c r="K620" s="9" t="str">
        <f t="shared" si="174"/>
        <v/>
      </c>
      <c r="L620" s="6">
        <f t="shared" si="175"/>
        <v>0</v>
      </c>
      <c r="M620" s="6">
        <f t="shared" si="176"/>
        <v>0</v>
      </c>
      <c r="N620" s="94" t="str">
        <f t="shared" si="177"/>
        <v/>
      </c>
      <c r="O620" s="6"/>
      <c r="P620" s="6"/>
      <c r="Q620" s="6"/>
      <c r="R620" s="6"/>
      <c r="T620" s="136" t="str">
        <f t="shared" si="178"/>
        <v/>
      </c>
      <c r="U620" s="137" t="str">
        <f t="shared" si="179"/>
        <v/>
      </c>
      <c r="V620" s="1"/>
      <c r="Y620" s="90" t="str">
        <f t="shared" si="180"/>
        <v/>
      </c>
      <c r="AC620" s="6" t="s">
        <v>5733</v>
      </c>
      <c r="AD620" s="6" t="s">
        <v>7099</v>
      </c>
      <c r="AE620" s="158">
        <v>275243</v>
      </c>
      <c r="AF620" s="159" t="s">
        <v>8299</v>
      </c>
      <c r="AG620" s="160" t="s">
        <v>4287</v>
      </c>
      <c r="AH620" s="194" t="s">
        <v>679</v>
      </c>
      <c r="AI620" s="6" t="s">
        <v>963</v>
      </c>
      <c r="AJ620" s="3" t="s">
        <v>8197</v>
      </c>
      <c r="AK620" t="s">
        <v>8197</v>
      </c>
      <c r="AL620" s="29"/>
      <c r="AM620" s="6" t="s">
        <v>5249</v>
      </c>
      <c r="AN620" t="s">
        <v>6430</v>
      </c>
      <c r="AV620"/>
      <c r="AX620"/>
      <c r="AZ620" t="str">
        <f t="shared" si="181"/>
        <v/>
      </c>
      <c r="BA620" t="str">
        <f t="shared" si="182"/>
        <v/>
      </c>
    </row>
    <row r="621" spans="1:53" ht="13.5">
      <c r="A621" s="135" t="str">
        <f t="shared" si="183"/>
        <v/>
      </c>
      <c r="B621" s="19" t="str">
        <f t="shared" si="184"/>
        <v/>
      </c>
      <c r="C621" s="19" t="str">
        <f t="shared" si="185"/>
        <v/>
      </c>
      <c r="D621" s="19" t="str">
        <f t="shared" si="186"/>
        <v/>
      </c>
      <c r="E621" s="5" t="str">
        <f t="shared" si="172"/>
        <v/>
      </c>
      <c r="F621" s="12" t="str">
        <f t="shared" si="173"/>
        <v/>
      </c>
      <c r="K621" s="9" t="str">
        <f t="shared" si="174"/>
        <v/>
      </c>
      <c r="L621" s="6">
        <f t="shared" si="175"/>
        <v>0</v>
      </c>
      <c r="M621" s="6">
        <f t="shared" si="176"/>
        <v>0</v>
      </c>
      <c r="N621" s="94" t="str">
        <f t="shared" si="177"/>
        <v/>
      </c>
      <c r="O621" s="6"/>
      <c r="P621" s="6"/>
      <c r="Q621" s="6"/>
      <c r="R621" s="6"/>
      <c r="T621" s="136" t="str">
        <f t="shared" si="178"/>
        <v/>
      </c>
      <c r="U621" s="137" t="str">
        <f t="shared" si="179"/>
        <v/>
      </c>
      <c r="V621" s="1"/>
      <c r="Y621" s="90" t="str">
        <f t="shared" si="180"/>
        <v/>
      </c>
      <c r="AC621" s="6" t="s">
        <v>3628</v>
      </c>
      <c r="AD621" s="6" t="s">
        <v>7100</v>
      </c>
      <c r="AE621" s="158">
        <v>275244</v>
      </c>
      <c r="AF621" s="159" t="s">
        <v>8331</v>
      </c>
      <c r="AG621" s="160" t="s">
        <v>4288</v>
      </c>
      <c r="AH621" s="194" t="s">
        <v>679</v>
      </c>
      <c r="AI621" s="6" t="s">
        <v>4726</v>
      </c>
      <c r="AJ621" s="3" t="s">
        <v>8197</v>
      </c>
      <c r="AK621" t="s">
        <v>8197</v>
      </c>
      <c r="AL621" s="29"/>
      <c r="AM621" s="6" t="s">
        <v>5413</v>
      </c>
      <c r="AN621" t="s">
        <v>6431</v>
      </c>
      <c r="AV621"/>
      <c r="AX621"/>
      <c r="AZ621" t="str">
        <f t="shared" si="181"/>
        <v/>
      </c>
      <c r="BA621" t="str">
        <f t="shared" si="182"/>
        <v/>
      </c>
    </row>
    <row r="622" spans="1:53" ht="13.5">
      <c r="A622" s="135" t="str">
        <f t="shared" si="183"/>
        <v/>
      </c>
      <c r="B622" s="19" t="str">
        <f t="shared" si="184"/>
        <v/>
      </c>
      <c r="C622" s="19" t="str">
        <f t="shared" si="185"/>
        <v/>
      </c>
      <c r="D622" s="19" t="str">
        <f t="shared" si="186"/>
        <v/>
      </c>
      <c r="E622" s="5" t="str">
        <f t="shared" si="172"/>
        <v/>
      </c>
      <c r="F622" s="12" t="str">
        <f t="shared" si="173"/>
        <v/>
      </c>
      <c r="K622" s="9" t="str">
        <f t="shared" si="174"/>
        <v/>
      </c>
      <c r="L622" s="6">
        <f t="shared" si="175"/>
        <v>0</v>
      </c>
      <c r="M622" s="6">
        <f t="shared" si="176"/>
        <v>0</v>
      </c>
      <c r="N622" s="94" t="str">
        <f t="shared" si="177"/>
        <v/>
      </c>
      <c r="O622" s="6"/>
      <c r="P622" s="6"/>
      <c r="Q622" s="6"/>
      <c r="R622" s="6"/>
      <c r="T622" s="136" t="str">
        <f t="shared" si="178"/>
        <v/>
      </c>
      <c r="U622" s="137" t="str">
        <f t="shared" si="179"/>
        <v/>
      </c>
      <c r="V622" s="1"/>
      <c r="Y622" s="90" t="str">
        <f t="shared" si="180"/>
        <v/>
      </c>
      <c r="AC622" s="6" t="s">
        <v>3664</v>
      </c>
      <c r="AD622" s="6" t="s">
        <v>7095</v>
      </c>
      <c r="AE622" s="158">
        <v>295247</v>
      </c>
      <c r="AF622" s="159" t="s">
        <v>8299</v>
      </c>
      <c r="AG622" s="160" t="s">
        <v>4289</v>
      </c>
      <c r="AH622" s="194" t="s">
        <v>679</v>
      </c>
      <c r="AI622" s="6" t="s">
        <v>990</v>
      </c>
      <c r="AJ622" s="3" t="s">
        <v>8197</v>
      </c>
      <c r="AK622" t="s">
        <v>8197</v>
      </c>
      <c r="AL622" s="29"/>
      <c r="AM622" s="6" t="s">
        <v>5463</v>
      </c>
      <c r="AN622" t="s">
        <v>6432</v>
      </c>
      <c r="AV622"/>
      <c r="AX622"/>
      <c r="AZ622" t="str">
        <f t="shared" si="181"/>
        <v/>
      </c>
      <c r="BA622" t="str">
        <f t="shared" si="182"/>
        <v/>
      </c>
    </row>
    <row r="623" spans="1:53" ht="13.5">
      <c r="A623" s="135" t="str">
        <f t="shared" si="183"/>
        <v/>
      </c>
      <c r="B623" s="19" t="str">
        <f t="shared" si="184"/>
        <v/>
      </c>
      <c r="C623" s="19" t="str">
        <f t="shared" si="185"/>
        <v/>
      </c>
      <c r="D623" s="19" t="str">
        <f t="shared" si="186"/>
        <v/>
      </c>
      <c r="E623" s="5" t="str">
        <f t="shared" si="172"/>
        <v/>
      </c>
      <c r="F623" s="12" t="str">
        <f t="shared" si="173"/>
        <v/>
      </c>
      <c r="K623" s="9" t="str">
        <f t="shared" si="174"/>
        <v/>
      </c>
      <c r="L623" s="6">
        <f t="shared" si="175"/>
        <v>0</v>
      </c>
      <c r="M623" s="6">
        <f t="shared" si="176"/>
        <v>0</v>
      </c>
      <c r="N623" s="94" t="str">
        <f t="shared" si="177"/>
        <v/>
      </c>
      <c r="O623" s="6"/>
      <c r="P623" s="6"/>
      <c r="Q623" s="6"/>
      <c r="R623" s="6"/>
      <c r="T623" s="136" t="str">
        <f t="shared" si="178"/>
        <v/>
      </c>
      <c r="U623" s="137" t="str">
        <f t="shared" si="179"/>
        <v/>
      </c>
      <c r="V623" s="1"/>
      <c r="Y623" s="90" t="str">
        <f t="shared" si="180"/>
        <v/>
      </c>
      <c r="AC623" s="6" t="s">
        <v>3660</v>
      </c>
      <c r="AD623" s="6" t="s">
        <v>7095</v>
      </c>
      <c r="AE623" s="158">
        <v>295248</v>
      </c>
      <c r="AF623" s="159" t="s">
        <v>8311</v>
      </c>
      <c r="AG623" s="160" t="s">
        <v>4290</v>
      </c>
      <c r="AH623" s="194" t="s">
        <v>679</v>
      </c>
      <c r="AI623" s="6" t="s">
        <v>5248</v>
      </c>
      <c r="AJ623" s="3" t="s">
        <v>8219</v>
      </c>
      <c r="AK623" t="s">
        <v>8219</v>
      </c>
      <c r="AL623" s="29"/>
      <c r="AM623" s="6" t="s">
        <v>5407</v>
      </c>
      <c r="AN623" t="s">
        <v>6433</v>
      </c>
      <c r="AV623"/>
      <c r="AX623"/>
      <c r="AZ623" t="str">
        <f t="shared" si="181"/>
        <v/>
      </c>
      <c r="BA623" t="str">
        <f t="shared" si="182"/>
        <v/>
      </c>
    </row>
    <row r="624" spans="1:53" ht="13.5">
      <c r="A624" s="135" t="str">
        <f t="shared" si="183"/>
        <v/>
      </c>
      <c r="B624" s="19" t="str">
        <f t="shared" si="184"/>
        <v/>
      </c>
      <c r="C624" s="19" t="str">
        <f t="shared" si="185"/>
        <v/>
      </c>
      <c r="D624" s="19" t="str">
        <f t="shared" si="186"/>
        <v/>
      </c>
      <c r="E624" s="5" t="str">
        <f t="shared" si="172"/>
        <v/>
      </c>
      <c r="F624" s="12" t="str">
        <f t="shared" si="173"/>
        <v/>
      </c>
      <c r="K624" s="9" t="str">
        <f t="shared" si="174"/>
        <v/>
      </c>
      <c r="L624" s="6">
        <f t="shared" si="175"/>
        <v>0</v>
      </c>
      <c r="M624" s="6">
        <f t="shared" si="176"/>
        <v>0</v>
      </c>
      <c r="N624" s="94" t="str">
        <f t="shared" si="177"/>
        <v/>
      </c>
      <c r="O624" s="6"/>
      <c r="P624" s="6"/>
      <c r="Q624" s="6"/>
      <c r="R624" s="6"/>
      <c r="T624" s="136" t="str">
        <f t="shared" si="178"/>
        <v/>
      </c>
      <c r="U624" s="137" t="str">
        <f t="shared" si="179"/>
        <v/>
      </c>
      <c r="V624" s="1"/>
      <c r="Y624" s="90" t="str">
        <f t="shared" si="180"/>
        <v/>
      </c>
      <c r="AC624" s="6" t="s">
        <v>4397</v>
      </c>
      <c r="AD624" s="6" t="s">
        <v>7088</v>
      </c>
      <c r="AE624" s="158">
        <v>25260</v>
      </c>
      <c r="AF624" s="159" t="s">
        <v>8363</v>
      </c>
      <c r="AG624" s="160" t="s">
        <v>4291</v>
      </c>
      <c r="AH624" s="194" t="s">
        <v>1314</v>
      </c>
      <c r="AI624" s="6" t="s">
        <v>5343</v>
      </c>
      <c r="AJ624" s="3" t="s">
        <v>8210</v>
      </c>
      <c r="AK624" t="s">
        <v>8210</v>
      </c>
      <c r="AL624" s="29"/>
      <c r="AM624" s="6" t="s">
        <v>5406</v>
      </c>
      <c r="AN624" t="s">
        <v>6434</v>
      </c>
      <c r="AV624"/>
      <c r="AX624"/>
      <c r="AZ624" t="str">
        <f t="shared" si="181"/>
        <v/>
      </c>
      <c r="BA624" t="str">
        <f t="shared" si="182"/>
        <v/>
      </c>
    </row>
    <row r="625" spans="1:53" ht="13.5">
      <c r="A625" s="135" t="str">
        <f t="shared" si="183"/>
        <v/>
      </c>
      <c r="B625" s="19" t="str">
        <f t="shared" si="184"/>
        <v/>
      </c>
      <c r="C625" s="19" t="str">
        <f t="shared" si="185"/>
        <v/>
      </c>
      <c r="D625" s="19" t="str">
        <f t="shared" si="186"/>
        <v/>
      </c>
      <c r="E625" s="5" t="str">
        <f t="shared" si="172"/>
        <v/>
      </c>
      <c r="F625" s="12" t="str">
        <f t="shared" si="173"/>
        <v/>
      </c>
      <c r="K625" s="9" t="str">
        <f t="shared" si="174"/>
        <v/>
      </c>
      <c r="L625" s="6">
        <f t="shared" si="175"/>
        <v>0</v>
      </c>
      <c r="M625" s="6">
        <f t="shared" si="176"/>
        <v>0</v>
      </c>
      <c r="N625" s="94" t="str">
        <f t="shared" si="177"/>
        <v/>
      </c>
      <c r="O625" s="6"/>
      <c r="P625" s="6"/>
      <c r="Q625" s="6"/>
      <c r="R625" s="6"/>
      <c r="T625" s="136" t="str">
        <f t="shared" si="178"/>
        <v/>
      </c>
      <c r="U625" s="137" t="str">
        <f t="shared" si="179"/>
        <v/>
      </c>
      <c r="V625" s="1"/>
      <c r="Y625" s="90" t="str">
        <f t="shared" si="180"/>
        <v/>
      </c>
      <c r="AC625" s="6" t="s">
        <v>1109</v>
      </c>
      <c r="AD625" s="6" t="s">
        <v>7098</v>
      </c>
      <c r="AE625" s="158">
        <v>25262</v>
      </c>
      <c r="AF625" s="159" t="s">
        <v>8299</v>
      </c>
      <c r="AG625" s="160" t="s">
        <v>4292</v>
      </c>
      <c r="AH625" s="194" t="s">
        <v>679</v>
      </c>
      <c r="AI625" s="6" t="s">
        <v>5071</v>
      </c>
      <c r="AJ625" s="3" t="s">
        <v>8248</v>
      </c>
      <c r="AK625" t="s">
        <v>8248</v>
      </c>
      <c r="AL625" s="29"/>
      <c r="AM625" s="6" t="s">
        <v>5100</v>
      </c>
      <c r="AN625" t="s">
        <v>6435</v>
      </c>
      <c r="AV625"/>
      <c r="AX625"/>
      <c r="AZ625" t="str">
        <f t="shared" si="181"/>
        <v/>
      </c>
      <c r="BA625" t="str">
        <f t="shared" si="182"/>
        <v/>
      </c>
    </row>
    <row r="626" spans="1:53" ht="13.5">
      <c r="A626" s="135" t="str">
        <f t="shared" si="183"/>
        <v/>
      </c>
      <c r="B626" s="19" t="str">
        <f t="shared" si="184"/>
        <v/>
      </c>
      <c r="C626" s="19" t="str">
        <f t="shared" si="185"/>
        <v/>
      </c>
      <c r="D626" s="19" t="str">
        <f t="shared" si="186"/>
        <v/>
      </c>
      <c r="E626" s="5" t="str">
        <f t="shared" si="172"/>
        <v/>
      </c>
      <c r="F626" s="12" t="str">
        <f t="shared" si="173"/>
        <v/>
      </c>
      <c r="K626" s="9" t="str">
        <f t="shared" si="174"/>
        <v/>
      </c>
      <c r="L626" s="6">
        <f t="shared" si="175"/>
        <v>0</v>
      </c>
      <c r="M626" s="6">
        <f t="shared" si="176"/>
        <v>0</v>
      </c>
      <c r="N626" s="94" t="str">
        <f t="shared" si="177"/>
        <v/>
      </c>
      <c r="O626" s="6"/>
      <c r="P626" s="6"/>
      <c r="Q626" s="6"/>
      <c r="R626" s="6"/>
      <c r="T626" s="136" t="str">
        <f t="shared" si="178"/>
        <v/>
      </c>
      <c r="U626" s="137" t="str">
        <f t="shared" si="179"/>
        <v/>
      </c>
      <c r="V626" s="1"/>
      <c r="Y626" s="90" t="str">
        <f t="shared" si="180"/>
        <v/>
      </c>
      <c r="AC626" s="6" t="s">
        <v>3671</v>
      </c>
      <c r="AD626" s="6" t="s">
        <v>7095</v>
      </c>
      <c r="AE626" s="158">
        <v>45269</v>
      </c>
      <c r="AF626" s="159" t="s">
        <v>8299</v>
      </c>
      <c r="AG626" s="160" t="s">
        <v>4293</v>
      </c>
      <c r="AH626" s="194" t="s">
        <v>679</v>
      </c>
      <c r="AI626" s="6" t="s">
        <v>1206</v>
      </c>
      <c r="AJ626" s="3" t="s">
        <v>8250</v>
      </c>
      <c r="AK626" t="s">
        <v>8250</v>
      </c>
      <c r="AL626" s="29"/>
      <c r="AM626" s="6" t="s">
        <v>5481</v>
      </c>
      <c r="AN626" t="s">
        <v>6436</v>
      </c>
      <c r="AV626"/>
      <c r="AX626"/>
      <c r="AZ626" t="str">
        <f t="shared" si="181"/>
        <v/>
      </c>
      <c r="BA626" t="str">
        <f t="shared" si="182"/>
        <v/>
      </c>
    </row>
    <row r="627" spans="1:53" ht="13.5">
      <c r="A627" s="135" t="str">
        <f t="shared" si="183"/>
        <v/>
      </c>
      <c r="B627" s="19" t="str">
        <f t="shared" si="184"/>
        <v/>
      </c>
      <c r="C627" s="19" t="str">
        <f t="shared" si="185"/>
        <v/>
      </c>
      <c r="D627" s="19" t="str">
        <f t="shared" si="186"/>
        <v/>
      </c>
      <c r="E627" s="5" t="str">
        <f t="shared" si="172"/>
        <v/>
      </c>
      <c r="F627" s="12" t="str">
        <f t="shared" si="173"/>
        <v/>
      </c>
      <c r="K627" s="9" t="str">
        <f t="shared" si="174"/>
        <v/>
      </c>
      <c r="L627" s="6">
        <f t="shared" si="175"/>
        <v>0</v>
      </c>
      <c r="M627" s="6">
        <f t="shared" si="176"/>
        <v>0</v>
      </c>
      <c r="N627" s="94" t="str">
        <f t="shared" si="177"/>
        <v/>
      </c>
      <c r="O627" s="6"/>
      <c r="P627" s="6"/>
      <c r="Q627" s="6"/>
      <c r="R627" s="6"/>
      <c r="T627" s="136" t="str">
        <f t="shared" si="178"/>
        <v/>
      </c>
      <c r="U627" s="137" t="str">
        <f t="shared" si="179"/>
        <v/>
      </c>
      <c r="V627" s="1"/>
      <c r="Y627" s="90" t="str">
        <f t="shared" si="180"/>
        <v/>
      </c>
      <c r="AC627" s="6" t="s">
        <v>3880</v>
      </c>
      <c r="AD627" s="6" t="s">
        <v>7079</v>
      </c>
      <c r="AE627" s="158">
        <v>365585</v>
      </c>
      <c r="AF627" s="159" t="s">
        <v>8364</v>
      </c>
      <c r="AG627" s="160" t="s">
        <v>1128</v>
      </c>
      <c r="AH627" s="194" t="s">
        <v>679</v>
      </c>
      <c r="AI627" s="6" t="s">
        <v>4472</v>
      </c>
      <c r="AJ627" s="3" t="s">
        <v>8225</v>
      </c>
      <c r="AK627" t="s">
        <v>8225</v>
      </c>
      <c r="AL627" s="29"/>
      <c r="AM627" s="6" t="s">
        <v>5213</v>
      </c>
      <c r="AN627" t="s">
        <v>6437</v>
      </c>
      <c r="AV627"/>
      <c r="AX627"/>
      <c r="AZ627" t="str">
        <f t="shared" si="181"/>
        <v/>
      </c>
      <c r="BA627" t="str">
        <f t="shared" si="182"/>
        <v/>
      </c>
    </row>
    <row r="628" spans="1:53" ht="13.5">
      <c r="A628" s="135" t="str">
        <f t="shared" si="183"/>
        <v/>
      </c>
      <c r="B628" s="19" t="str">
        <f t="shared" si="184"/>
        <v/>
      </c>
      <c r="C628" s="19" t="str">
        <f t="shared" si="185"/>
        <v/>
      </c>
      <c r="D628" s="19" t="str">
        <f t="shared" si="186"/>
        <v/>
      </c>
      <c r="E628" s="5" t="str">
        <f t="shared" si="172"/>
        <v/>
      </c>
      <c r="F628" s="12" t="str">
        <f t="shared" si="173"/>
        <v/>
      </c>
      <c r="K628" s="9" t="str">
        <f t="shared" si="174"/>
        <v/>
      </c>
      <c r="L628" s="6">
        <f t="shared" si="175"/>
        <v>0</v>
      </c>
      <c r="M628" s="6">
        <f t="shared" si="176"/>
        <v>0</v>
      </c>
      <c r="N628" s="94" t="str">
        <f t="shared" si="177"/>
        <v/>
      </c>
      <c r="O628" s="6"/>
      <c r="P628" s="6"/>
      <c r="Q628" s="6"/>
      <c r="R628" s="6"/>
      <c r="T628" s="136" t="str">
        <f t="shared" si="178"/>
        <v/>
      </c>
      <c r="U628" s="137" t="str">
        <f t="shared" si="179"/>
        <v/>
      </c>
      <c r="V628" s="1"/>
      <c r="Y628" s="90" t="str">
        <f t="shared" si="180"/>
        <v/>
      </c>
      <c r="AC628" s="6" t="s">
        <v>4178</v>
      </c>
      <c r="AD628" s="6" t="s">
        <v>7078</v>
      </c>
      <c r="AE628" s="158">
        <v>75280</v>
      </c>
      <c r="AF628" s="159" t="s">
        <v>8300</v>
      </c>
      <c r="AG628" s="160" t="s">
        <v>119</v>
      </c>
      <c r="AH628" s="194" t="s">
        <v>679</v>
      </c>
      <c r="AI628" s="6" t="s">
        <v>5217</v>
      </c>
      <c r="AJ628" s="3" t="s">
        <v>8202</v>
      </c>
      <c r="AK628" t="s">
        <v>8202</v>
      </c>
      <c r="AL628" s="29"/>
      <c r="AM628" s="6" t="s">
        <v>5230</v>
      </c>
      <c r="AN628" t="s">
        <v>6438</v>
      </c>
      <c r="AV628"/>
      <c r="AX628"/>
      <c r="AZ628" t="str">
        <f t="shared" si="181"/>
        <v/>
      </c>
      <c r="BA628" t="str">
        <f t="shared" si="182"/>
        <v/>
      </c>
    </row>
    <row r="629" spans="1:53" ht="13.5">
      <c r="A629" s="135" t="str">
        <f t="shared" si="183"/>
        <v/>
      </c>
      <c r="B629" s="19" t="str">
        <f t="shared" si="184"/>
        <v/>
      </c>
      <c r="C629" s="19" t="str">
        <f t="shared" si="185"/>
        <v/>
      </c>
      <c r="D629" s="19" t="str">
        <f t="shared" si="186"/>
        <v/>
      </c>
      <c r="E629" s="5" t="str">
        <f t="shared" si="172"/>
        <v/>
      </c>
      <c r="F629" s="12" t="str">
        <f t="shared" si="173"/>
        <v/>
      </c>
      <c r="K629" s="9" t="str">
        <f t="shared" si="174"/>
        <v/>
      </c>
      <c r="L629" s="6">
        <f t="shared" si="175"/>
        <v>0</v>
      </c>
      <c r="M629" s="6">
        <f t="shared" si="176"/>
        <v>0</v>
      </c>
      <c r="N629" s="94" t="str">
        <f t="shared" si="177"/>
        <v/>
      </c>
      <c r="O629" s="6"/>
      <c r="P629" s="6"/>
      <c r="Q629" s="6"/>
      <c r="R629" s="6"/>
      <c r="T629" s="136" t="str">
        <f t="shared" si="178"/>
        <v/>
      </c>
      <c r="U629" s="137" t="str">
        <f t="shared" si="179"/>
        <v/>
      </c>
      <c r="V629" s="1"/>
      <c r="Y629" s="90" t="str">
        <f t="shared" si="180"/>
        <v/>
      </c>
      <c r="AC629" s="6" t="s">
        <v>4173</v>
      </c>
      <c r="AD629" s="6" t="s">
        <v>7078</v>
      </c>
      <c r="AE629" s="158">
        <v>75281</v>
      </c>
      <c r="AF629" s="159" t="s">
        <v>8333</v>
      </c>
      <c r="AG629" s="160" t="s">
        <v>120</v>
      </c>
      <c r="AH629" s="194" t="s">
        <v>679</v>
      </c>
      <c r="AI629" s="6" t="s">
        <v>5096</v>
      </c>
      <c r="AJ629" s="3" t="s">
        <v>8214</v>
      </c>
      <c r="AK629" t="s">
        <v>8214</v>
      </c>
      <c r="AL629" s="29"/>
      <c r="AM629" s="6" t="s">
        <v>5231</v>
      </c>
      <c r="AN629" t="s">
        <v>6439</v>
      </c>
      <c r="AV629"/>
      <c r="AX629"/>
      <c r="AZ629" t="str">
        <f t="shared" si="181"/>
        <v/>
      </c>
      <c r="BA629" t="str">
        <f t="shared" si="182"/>
        <v/>
      </c>
    </row>
    <row r="630" spans="1:53" ht="13.5">
      <c r="A630" s="135" t="str">
        <f t="shared" si="183"/>
        <v/>
      </c>
      <c r="B630" s="19" t="str">
        <f t="shared" si="184"/>
        <v/>
      </c>
      <c r="C630" s="19" t="str">
        <f t="shared" si="185"/>
        <v/>
      </c>
      <c r="D630" s="19" t="str">
        <f t="shared" si="186"/>
        <v/>
      </c>
      <c r="E630" s="5" t="str">
        <f t="shared" si="172"/>
        <v/>
      </c>
      <c r="F630" s="12" t="str">
        <f t="shared" si="173"/>
        <v/>
      </c>
      <c r="K630" s="9" t="str">
        <f t="shared" si="174"/>
        <v/>
      </c>
      <c r="L630" s="6">
        <f t="shared" si="175"/>
        <v>0</v>
      </c>
      <c r="M630" s="6">
        <f t="shared" si="176"/>
        <v>0</v>
      </c>
      <c r="N630" s="94" t="str">
        <f t="shared" si="177"/>
        <v/>
      </c>
      <c r="O630" s="6"/>
      <c r="P630" s="6"/>
      <c r="Q630" s="6"/>
      <c r="R630" s="6"/>
      <c r="T630" s="136" t="str">
        <f t="shared" si="178"/>
        <v/>
      </c>
      <c r="U630" s="137" t="str">
        <f t="shared" si="179"/>
        <v/>
      </c>
      <c r="V630" s="1"/>
      <c r="Y630" s="90" t="str">
        <f t="shared" si="180"/>
        <v/>
      </c>
      <c r="AC630" s="6" t="s">
        <v>3453</v>
      </c>
      <c r="AD630" s="6" t="s">
        <v>7101</v>
      </c>
      <c r="AE630" s="158">
        <v>75282</v>
      </c>
      <c r="AF630" s="159" t="s">
        <v>8311</v>
      </c>
      <c r="AG630" s="160" t="s">
        <v>1129</v>
      </c>
      <c r="AH630" s="194" t="s">
        <v>679</v>
      </c>
      <c r="AI630" s="6" t="s">
        <v>1295</v>
      </c>
      <c r="AJ630" s="3" t="s">
        <v>8266</v>
      </c>
      <c r="AK630" t="s">
        <v>8266</v>
      </c>
      <c r="AL630" s="29"/>
      <c r="AM630" s="6" t="s">
        <v>5204</v>
      </c>
      <c r="AN630" t="s">
        <v>6440</v>
      </c>
      <c r="AV630"/>
      <c r="AX630"/>
      <c r="AZ630" t="str">
        <f t="shared" si="181"/>
        <v/>
      </c>
      <c r="BA630" t="str">
        <f t="shared" si="182"/>
        <v/>
      </c>
    </row>
    <row r="631" spans="1:53" ht="13.5">
      <c r="A631" s="135" t="str">
        <f t="shared" si="183"/>
        <v/>
      </c>
      <c r="B631" s="19" t="str">
        <f t="shared" si="184"/>
        <v/>
      </c>
      <c r="C631" s="19" t="str">
        <f t="shared" si="185"/>
        <v/>
      </c>
      <c r="D631" s="19" t="str">
        <f t="shared" si="186"/>
        <v/>
      </c>
      <c r="E631" s="5" t="str">
        <f t="shared" si="172"/>
        <v/>
      </c>
      <c r="F631" s="12" t="str">
        <f t="shared" si="173"/>
        <v/>
      </c>
      <c r="K631" s="9" t="str">
        <f t="shared" si="174"/>
        <v/>
      </c>
      <c r="L631" s="6">
        <f t="shared" si="175"/>
        <v>0</v>
      </c>
      <c r="M631" s="6">
        <f t="shared" si="176"/>
        <v>0</v>
      </c>
      <c r="N631" s="94" t="str">
        <f t="shared" si="177"/>
        <v/>
      </c>
      <c r="O631" s="6"/>
      <c r="P631" s="6"/>
      <c r="Q631" s="6"/>
      <c r="R631" s="6"/>
      <c r="T631" s="136" t="str">
        <f t="shared" si="178"/>
        <v/>
      </c>
      <c r="U631" s="137" t="str">
        <f t="shared" si="179"/>
        <v/>
      </c>
      <c r="V631" s="1"/>
      <c r="Y631" s="90" t="str">
        <f t="shared" si="180"/>
        <v/>
      </c>
      <c r="AC631" s="6">
        <v>105571</v>
      </c>
      <c r="AD631" s="6" t="s">
        <v>7102</v>
      </c>
      <c r="AE631" s="158">
        <v>75283</v>
      </c>
      <c r="AF631" s="159" t="s">
        <v>8356</v>
      </c>
      <c r="AG631" s="160" t="s">
        <v>1130</v>
      </c>
      <c r="AH631" s="194" t="s">
        <v>679</v>
      </c>
      <c r="AI631" s="6" t="s">
        <v>5040</v>
      </c>
      <c r="AJ631" s="3" t="s">
        <v>8260</v>
      </c>
      <c r="AK631" t="s">
        <v>8678</v>
      </c>
      <c r="AL631" s="29"/>
      <c r="AM631" s="6" t="s">
        <v>5091</v>
      </c>
      <c r="AN631" t="s">
        <v>6441</v>
      </c>
      <c r="AV631"/>
      <c r="AX631"/>
      <c r="AZ631" t="str">
        <f t="shared" si="181"/>
        <v/>
      </c>
      <c r="BA631" t="str">
        <f t="shared" si="182"/>
        <v/>
      </c>
    </row>
    <row r="632" spans="1:53" ht="13.5">
      <c r="A632" s="135" t="str">
        <f t="shared" si="183"/>
        <v/>
      </c>
      <c r="B632" s="19" t="str">
        <f t="shared" si="184"/>
        <v/>
      </c>
      <c r="C632" s="19" t="str">
        <f t="shared" si="185"/>
        <v/>
      </c>
      <c r="D632" s="19" t="str">
        <f t="shared" si="186"/>
        <v/>
      </c>
      <c r="E632" s="5" t="str">
        <f t="shared" si="172"/>
        <v/>
      </c>
      <c r="F632" s="12" t="str">
        <f t="shared" si="173"/>
        <v/>
      </c>
      <c r="K632" s="9" t="str">
        <f t="shared" si="174"/>
        <v/>
      </c>
      <c r="L632" s="6">
        <f t="shared" si="175"/>
        <v>0</v>
      </c>
      <c r="M632" s="6">
        <f t="shared" si="176"/>
        <v>0</v>
      </c>
      <c r="N632" s="94" t="str">
        <f t="shared" si="177"/>
        <v/>
      </c>
      <c r="O632" s="6"/>
      <c r="P632" s="6"/>
      <c r="Q632" s="6"/>
      <c r="R632" s="6"/>
      <c r="T632" s="136" t="str">
        <f t="shared" si="178"/>
        <v/>
      </c>
      <c r="U632" s="137" t="str">
        <f t="shared" si="179"/>
        <v/>
      </c>
      <c r="V632" s="1"/>
      <c r="Y632" s="90" t="str">
        <f t="shared" si="180"/>
        <v/>
      </c>
      <c r="AC632" s="6" t="s">
        <v>5062</v>
      </c>
      <c r="AD632" s="6" t="s">
        <v>7078</v>
      </c>
      <c r="AE632" s="158">
        <v>275289</v>
      </c>
      <c r="AF632" s="159" t="s">
        <v>8365</v>
      </c>
      <c r="AG632" s="160" t="s">
        <v>1131</v>
      </c>
      <c r="AH632" s="194" t="s">
        <v>679</v>
      </c>
      <c r="AI632" s="6" t="s">
        <v>5078</v>
      </c>
      <c r="AJ632" s="3" t="s">
        <v>8216</v>
      </c>
      <c r="AK632" t="s">
        <v>8216</v>
      </c>
      <c r="AL632" s="29"/>
      <c r="AM632" s="6" t="s">
        <v>5470</v>
      </c>
      <c r="AN632" t="s">
        <v>6442</v>
      </c>
      <c r="AV632"/>
      <c r="AX632"/>
      <c r="AZ632" t="str">
        <f t="shared" si="181"/>
        <v/>
      </c>
      <c r="BA632" t="str">
        <f t="shared" si="182"/>
        <v/>
      </c>
    </row>
    <row r="633" spans="1:53" ht="13.5">
      <c r="A633" s="135" t="str">
        <f t="shared" si="183"/>
        <v/>
      </c>
      <c r="B633" s="19" t="str">
        <f t="shared" si="184"/>
        <v/>
      </c>
      <c r="C633" s="19" t="str">
        <f t="shared" si="185"/>
        <v/>
      </c>
      <c r="D633" s="19" t="str">
        <f t="shared" si="186"/>
        <v/>
      </c>
      <c r="E633" s="5" t="str">
        <f t="shared" si="172"/>
        <v/>
      </c>
      <c r="F633" s="12" t="str">
        <f t="shared" si="173"/>
        <v/>
      </c>
      <c r="K633" s="9" t="str">
        <f t="shared" si="174"/>
        <v/>
      </c>
      <c r="L633" s="6">
        <f t="shared" si="175"/>
        <v>0</v>
      </c>
      <c r="M633" s="6">
        <f t="shared" si="176"/>
        <v>0</v>
      </c>
      <c r="N633" s="94" t="str">
        <f t="shared" si="177"/>
        <v/>
      </c>
      <c r="O633" s="6"/>
      <c r="P633" s="6"/>
      <c r="Q633" s="6"/>
      <c r="R633" s="6"/>
      <c r="T633" s="136" t="str">
        <f t="shared" si="178"/>
        <v/>
      </c>
      <c r="U633" s="137" t="str">
        <f t="shared" si="179"/>
        <v/>
      </c>
      <c r="V633" s="1"/>
      <c r="Y633" s="90" t="str">
        <f t="shared" si="180"/>
        <v/>
      </c>
      <c r="AC633" s="6" t="s">
        <v>4004</v>
      </c>
      <c r="AD633" s="6" t="s">
        <v>7098</v>
      </c>
      <c r="AE633" s="158">
        <v>275290</v>
      </c>
      <c r="AF633" s="159" t="s">
        <v>8325</v>
      </c>
      <c r="AG633" s="160" t="s">
        <v>4294</v>
      </c>
      <c r="AH633" s="194" t="s">
        <v>679</v>
      </c>
      <c r="AI633" s="6" t="s">
        <v>5089</v>
      </c>
      <c r="AJ633" s="3" t="s">
        <v>8253</v>
      </c>
      <c r="AK633" t="s">
        <v>8253</v>
      </c>
      <c r="AL633" s="29"/>
      <c r="AM633" s="6" t="s">
        <v>5452</v>
      </c>
      <c r="AN633" t="s">
        <v>6443</v>
      </c>
      <c r="AV633"/>
      <c r="AX633"/>
      <c r="AZ633" t="str">
        <f t="shared" si="181"/>
        <v/>
      </c>
      <c r="BA633" t="str">
        <f t="shared" si="182"/>
        <v/>
      </c>
    </row>
    <row r="634" spans="1:53" ht="13.5">
      <c r="A634" s="135" t="str">
        <f t="shared" si="183"/>
        <v/>
      </c>
      <c r="B634" s="19" t="str">
        <f t="shared" si="184"/>
        <v/>
      </c>
      <c r="C634" s="19" t="str">
        <f t="shared" si="185"/>
        <v/>
      </c>
      <c r="D634" s="19" t="str">
        <f t="shared" si="186"/>
        <v/>
      </c>
      <c r="E634" s="5" t="str">
        <f t="shared" si="172"/>
        <v/>
      </c>
      <c r="F634" s="12" t="str">
        <f t="shared" si="173"/>
        <v/>
      </c>
      <c r="K634" s="9" t="str">
        <f t="shared" si="174"/>
        <v/>
      </c>
      <c r="L634" s="6">
        <f t="shared" si="175"/>
        <v>0</v>
      </c>
      <c r="M634" s="6">
        <f t="shared" si="176"/>
        <v>0</v>
      </c>
      <c r="N634" s="94" t="str">
        <f t="shared" si="177"/>
        <v/>
      </c>
      <c r="O634" s="6"/>
      <c r="P634" s="6"/>
      <c r="Q634" s="6"/>
      <c r="R634" s="6"/>
      <c r="T634" s="136" t="str">
        <f t="shared" si="178"/>
        <v/>
      </c>
      <c r="U634" s="137" t="str">
        <f t="shared" si="179"/>
        <v/>
      </c>
      <c r="V634" s="1"/>
      <c r="Y634" s="90" t="str">
        <f t="shared" si="180"/>
        <v/>
      </c>
      <c r="AC634" s="6" t="s">
        <v>3669</v>
      </c>
      <c r="AD634" s="6" t="s">
        <v>7095</v>
      </c>
      <c r="AE634" s="158">
        <v>285291</v>
      </c>
      <c r="AF634" s="159" t="s">
        <v>8299</v>
      </c>
      <c r="AG634" s="160" t="s">
        <v>4295</v>
      </c>
      <c r="AH634" s="194" t="s">
        <v>679</v>
      </c>
      <c r="AI634" s="6">
        <v>246834</v>
      </c>
      <c r="AJ634" s="3" t="s">
        <v>8241</v>
      </c>
      <c r="AK634" t="s">
        <v>8675</v>
      </c>
      <c r="AL634" s="29"/>
      <c r="AM634" s="6" t="s">
        <v>5377</v>
      </c>
      <c r="AN634" t="s">
        <v>6444</v>
      </c>
      <c r="AV634"/>
      <c r="AX634"/>
      <c r="AZ634" t="str">
        <f t="shared" si="181"/>
        <v/>
      </c>
      <c r="BA634" t="str">
        <f t="shared" si="182"/>
        <v/>
      </c>
    </row>
    <row r="635" spans="1:53" ht="13.5">
      <c r="A635" s="135" t="str">
        <f t="shared" si="183"/>
        <v/>
      </c>
      <c r="B635" s="19" t="str">
        <f t="shared" si="184"/>
        <v/>
      </c>
      <c r="C635" s="19" t="str">
        <f t="shared" si="185"/>
        <v/>
      </c>
      <c r="D635" s="19" t="str">
        <f t="shared" si="186"/>
        <v/>
      </c>
      <c r="E635" s="5" t="str">
        <f t="shared" si="172"/>
        <v/>
      </c>
      <c r="F635" s="12" t="str">
        <f t="shared" si="173"/>
        <v/>
      </c>
      <c r="K635" s="9" t="str">
        <f t="shared" si="174"/>
        <v/>
      </c>
      <c r="L635" s="6">
        <f t="shared" si="175"/>
        <v>0</v>
      </c>
      <c r="M635" s="6">
        <f t="shared" si="176"/>
        <v>0</v>
      </c>
      <c r="N635" s="94" t="str">
        <f t="shared" si="177"/>
        <v/>
      </c>
      <c r="O635" s="6"/>
      <c r="P635" s="6"/>
      <c r="Q635" s="6"/>
      <c r="R635" s="6"/>
      <c r="T635" s="136" t="str">
        <f t="shared" si="178"/>
        <v/>
      </c>
      <c r="U635" s="137" t="str">
        <f t="shared" si="179"/>
        <v/>
      </c>
      <c r="V635" s="1"/>
      <c r="Y635" s="90" t="str">
        <f t="shared" si="180"/>
        <v/>
      </c>
      <c r="AC635" s="6" t="s">
        <v>4175</v>
      </c>
      <c r="AD635" s="6" t="s">
        <v>7078</v>
      </c>
      <c r="AE635" s="158">
        <v>295294</v>
      </c>
      <c r="AF635" s="159" t="s">
        <v>8300</v>
      </c>
      <c r="AG635" s="160" t="s">
        <v>4296</v>
      </c>
      <c r="AH635" s="194" t="s">
        <v>679</v>
      </c>
      <c r="AI635" s="6" t="s">
        <v>131</v>
      </c>
      <c r="AJ635" s="3" t="s">
        <v>8233</v>
      </c>
      <c r="AK635" t="s">
        <v>8233</v>
      </c>
      <c r="AL635" s="29"/>
      <c r="AM635" s="6" t="s">
        <v>5203</v>
      </c>
      <c r="AN635" t="s">
        <v>6445</v>
      </c>
      <c r="AV635"/>
      <c r="AX635"/>
      <c r="AZ635" t="str">
        <f t="shared" si="181"/>
        <v/>
      </c>
      <c r="BA635" t="str">
        <f t="shared" si="182"/>
        <v/>
      </c>
    </row>
    <row r="636" spans="1:53" ht="13.5">
      <c r="A636" s="135" t="str">
        <f t="shared" si="183"/>
        <v/>
      </c>
      <c r="B636" s="19" t="str">
        <f t="shared" si="184"/>
        <v/>
      </c>
      <c r="C636" s="19" t="str">
        <f t="shared" si="185"/>
        <v/>
      </c>
      <c r="D636" s="19" t="str">
        <f t="shared" si="186"/>
        <v/>
      </c>
      <c r="E636" s="5" t="str">
        <f t="shared" si="172"/>
        <v/>
      </c>
      <c r="F636" s="12" t="str">
        <f t="shared" si="173"/>
        <v/>
      </c>
      <c r="K636" s="9" t="str">
        <f t="shared" si="174"/>
        <v/>
      </c>
      <c r="L636" s="6">
        <f t="shared" si="175"/>
        <v>0</v>
      </c>
      <c r="M636" s="6">
        <f t="shared" si="176"/>
        <v>0</v>
      </c>
      <c r="N636" s="94" t="str">
        <f t="shared" si="177"/>
        <v/>
      </c>
      <c r="O636" s="6"/>
      <c r="P636" s="6"/>
      <c r="Q636" s="6"/>
      <c r="R636" s="6"/>
      <c r="T636" s="136" t="str">
        <f t="shared" si="178"/>
        <v/>
      </c>
      <c r="U636" s="137" t="str">
        <f t="shared" si="179"/>
        <v/>
      </c>
      <c r="V636" s="1"/>
      <c r="Y636" s="90" t="str">
        <f t="shared" si="180"/>
        <v/>
      </c>
      <c r="AC636" s="6">
        <v>116477</v>
      </c>
      <c r="AD636" s="6" t="s">
        <v>7103</v>
      </c>
      <c r="AE636" s="158">
        <v>295295</v>
      </c>
      <c r="AF636" s="159" t="s">
        <v>8320</v>
      </c>
      <c r="AG636" s="160" t="s">
        <v>1132</v>
      </c>
      <c r="AH636" s="194" t="s">
        <v>679</v>
      </c>
      <c r="AI636" s="6" t="s">
        <v>5079</v>
      </c>
      <c r="AJ636" s="3" t="s">
        <v>8219</v>
      </c>
      <c r="AK636" t="s">
        <v>8219</v>
      </c>
      <c r="AL636" s="29"/>
      <c r="AM636" s="6" t="s">
        <v>5381</v>
      </c>
      <c r="AN636" t="s">
        <v>6446</v>
      </c>
      <c r="AV636"/>
      <c r="AX636"/>
      <c r="AZ636" t="str">
        <f t="shared" si="181"/>
        <v/>
      </c>
      <c r="BA636" t="str">
        <f t="shared" si="182"/>
        <v/>
      </c>
    </row>
    <row r="637" spans="1:53" ht="13.5">
      <c r="A637" s="135" t="str">
        <f t="shared" si="183"/>
        <v/>
      </c>
      <c r="B637" s="19" t="str">
        <f t="shared" si="184"/>
        <v/>
      </c>
      <c r="C637" s="19" t="str">
        <f t="shared" si="185"/>
        <v/>
      </c>
      <c r="D637" s="19" t="str">
        <f t="shared" si="186"/>
        <v/>
      </c>
      <c r="E637" s="5" t="str">
        <f t="shared" si="172"/>
        <v/>
      </c>
      <c r="F637" s="12" t="str">
        <f t="shared" si="173"/>
        <v/>
      </c>
      <c r="K637" s="9" t="str">
        <f t="shared" si="174"/>
        <v/>
      </c>
      <c r="L637" s="6">
        <f t="shared" si="175"/>
        <v>0</v>
      </c>
      <c r="M637" s="6">
        <f t="shared" si="176"/>
        <v>0</v>
      </c>
      <c r="N637" s="94" t="str">
        <f t="shared" si="177"/>
        <v/>
      </c>
      <c r="O637" s="6"/>
      <c r="P637" s="6"/>
      <c r="Q637" s="6"/>
      <c r="R637" s="6"/>
      <c r="T637" s="136" t="str">
        <f t="shared" si="178"/>
        <v/>
      </c>
      <c r="U637" s="137" t="str">
        <f t="shared" si="179"/>
        <v/>
      </c>
      <c r="V637" s="1"/>
      <c r="Y637" s="90" t="str">
        <f t="shared" si="180"/>
        <v/>
      </c>
      <c r="AC637" s="6" t="s">
        <v>4015</v>
      </c>
      <c r="AD637" s="6" t="s">
        <v>7098</v>
      </c>
      <c r="AE637" s="158">
        <v>295296</v>
      </c>
      <c r="AF637" s="159" t="s">
        <v>8366</v>
      </c>
      <c r="AG637" s="160" t="s">
        <v>1133</v>
      </c>
      <c r="AH637" s="194" t="s">
        <v>1314</v>
      </c>
      <c r="AI637" s="6" t="s">
        <v>5107</v>
      </c>
      <c r="AJ637" s="3" t="s">
        <v>8253</v>
      </c>
      <c r="AK637" t="s">
        <v>8253</v>
      </c>
      <c r="AL637" s="29"/>
      <c r="AM637" s="6" t="s">
        <v>5148</v>
      </c>
      <c r="AN637" t="s">
        <v>6447</v>
      </c>
      <c r="AV637"/>
      <c r="AX637"/>
      <c r="AZ637" t="str">
        <f t="shared" si="181"/>
        <v/>
      </c>
      <c r="BA637" t="str">
        <f t="shared" si="182"/>
        <v/>
      </c>
    </row>
    <row r="638" spans="1:53" ht="13.5">
      <c r="A638" s="135" t="str">
        <f t="shared" si="183"/>
        <v/>
      </c>
      <c r="B638" s="19" t="str">
        <f t="shared" si="184"/>
        <v/>
      </c>
      <c r="C638" s="19" t="str">
        <f t="shared" si="185"/>
        <v/>
      </c>
      <c r="D638" s="19" t="str">
        <f t="shared" si="186"/>
        <v/>
      </c>
      <c r="E638" s="5" t="str">
        <f t="shared" si="172"/>
        <v/>
      </c>
      <c r="F638" s="12" t="str">
        <f t="shared" si="173"/>
        <v/>
      </c>
      <c r="K638" s="9" t="str">
        <f t="shared" si="174"/>
        <v/>
      </c>
      <c r="L638" s="6">
        <f t="shared" si="175"/>
        <v>0</v>
      </c>
      <c r="M638" s="6">
        <f t="shared" si="176"/>
        <v>0</v>
      </c>
      <c r="N638" s="94" t="str">
        <f t="shared" si="177"/>
        <v/>
      </c>
      <c r="O638" s="6"/>
      <c r="P638" s="6"/>
      <c r="Q638" s="6"/>
      <c r="R638" s="6"/>
      <c r="T638" s="136" t="str">
        <f t="shared" si="178"/>
        <v/>
      </c>
      <c r="U638" s="137" t="str">
        <f t="shared" si="179"/>
        <v/>
      </c>
      <c r="V638" s="1"/>
      <c r="Y638" s="90" t="str">
        <f t="shared" si="180"/>
        <v/>
      </c>
      <c r="AC638" s="6" t="s">
        <v>4020</v>
      </c>
      <c r="AD638" s="6" t="s">
        <v>7098</v>
      </c>
      <c r="AE638" s="158">
        <v>315318</v>
      </c>
      <c r="AF638" s="159" t="s">
        <v>8299</v>
      </c>
      <c r="AG638" s="160" t="s">
        <v>4297</v>
      </c>
      <c r="AH638" s="194" t="s">
        <v>1314</v>
      </c>
      <c r="AI638" s="6" t="s">
        <v>958</v>
      </c>
      <c r="AJ638" s="3" t="s">
        <v>8224</v>
      </c>
      <c r="AK638" t="s">
        <v>8224</v>
      </c>
      <c r="AL638" s="29"/>
      <c r="AM638" s="6" t="s">
        <v>5202</v>
      </c>
      <c r="AN638" t="s">
        <v>6448</v>
      </c>
      <c r="AV638"/>
      <c r="AX638"/>
      <c r="AZ638" t="str">
        <f t="shared" si="181"/>
        <v/>
      </c>
      <c r="BA638" t="str">
        <f t="shared" si="182"/>
        <v/>
      </c>
    </row>
    <row r="639" spans="1:53" ht="13.5">
      <c r="A639" s="135" t="str">
        <f t="shared" si="183"/>
        <v/>
      </c>
      <c r="B639" s="19" t="str">
        <f t="shared" si="184"/>
        <v/>
      </c>
      <c r="C639" s="19" t="str">
        <f t="shared" si="185"/>
        <v/>
      </c>
      <c r="D639" s="19" t="str">
        <f t="shared" si="186"/>
        <v/>
      </c>
      <c r="E639" s="5" t="str">
        <f t="shared" si="172"/>
        <v/>
      </c>
      <c r="F639" s="12" t="str">
        <f t="shared" si="173"/>
        <v/>
      </c>
      <c r="K639" s="9" t="str">
        <f t="shared" si="174"/>
        <v/>
      </c>
      <c r="L639" s="6">
        <f t="shared" si="175"/>
        <v>0</v>
      </c>
      <c r="M639" s="6">
        <f t="shared" si="176"/>
        <v>0</v>
      </c>
      <c r="N639" s="94" t="str">
        <f t="shared" si="177"/>
        <v/>
      </c>
      <c r="O639" s="6"/>
      <c r="P639" s="6"/>
      <c r="Q639" s="6"/>
      <c r="R639" s="6"/>
      <c r="T639" s="136" t="str">
        <f t="shared" si="178"/>
        <v/>
      </c>
      <c r="U639" s="137" t="str">
        <f t="shared" si="179"/>
        <v/>
      </c>
      <c r="V639" s="1"/>
      <c r="Y639" s="90" t="str">
        <f t="shared" si="180"/>
        <v/>
      </c>
      <c r="AC639" s="6" t="s">
        <v>1298</v>
      </c>
      <c r="AD639" s="6" t="s">
        <v>7078</v>
      </c>
      <c r="AE639" s="158">
        <v>25335</v>
      </c>
      <c r="AF639" s="159" t="s">
        <v>8347</v>
      </c>
      <c r="AG639" s="160" t="s">
        <v>4298</v>
      </c>
      <c r="AH639" s="194" t="s">
        <v>1314</v>
      </c>
      <c r="AI639" s="6" t="s">
        <v>5188</v>
      </c>
      <c r="AJ639" s="3" t="s">
        <v>8216</v>
      </c>
      <c r="AK639" t="s">
        <v>8216</v>
      </c>
      <c r="AL639" s="29"/>
      <c r="AM639" s="6" t="s">
        <v>5440</v>
      </c>
      <c r="AN639" t="s">
        <v>6449</v>
      </c>
      <c r="AV639"/>
      <c r="AX639"/>
      <c r="AZ639" t="str">
        <f t="shared" si="181"/>
        <v/>
      </c>
      <c r="BA639" t="str">
        <f t="shared" si="182"/>
        <v/>
      </c>
    </row>
    <row r="640" spans="1:53" ht="13.5">
      <c r="A640" s="135" t="str">
        <f t="shared" si="183"/>
        <v/>
      </c>
      <c r="B640" s="19" t="str">
        <f t="shared" si="184"/>
        <v/>
      </c>
      <c r="C640" s="19" t="str">
        <f t="shared" si="185"/>
        <v/>
      </c>
      <c r="D640" s="19" t="str">
        <f t="shared" si="186"/>
        <v/>
      </c>
      <c r="E640" s="5" t="str">
        <f t="shared" si="172"/>
        <v/>
      </c>
      <c r="F640" s="12" t="str">
        <f t="shared" si="173"/>
        <v/>
      </c>
      <c r="K640" s="9" t="str">
        <f t="shared" si="174"/>
        <v/>
      </c>
      <c r="L640" s="6">
        <f t="shared" si="175"/>
        <v>0</v>
      </c>
      <c r="M640" s="6">
        <f t="shared" si="176"/>
        <v>0</v>
      </c>
      <c r="N640" s="94" t="str">
        <f t="shared" si="177"/>
        <v/>
      </c>
      <c r="O640" s="6"/>
      <c r="P640" s="6"/>
      <c r="Q640" s="6"/>
      <c r="R640" s="6"/>
      <c r="T640" s="136" t="str">
        <f t="shared" si="178"/>
        <v/>
      </c>
      <c r="U640" s="137" t="str">
        <f t="shared" si="179"/>
        <v/>
      </c>
      <c r="V640" s="1"/>
      <c r="Y640" s="90" t="str">
        <f t="shared" si="180"/>
        <v/>
      </c>
      <c r="AC640" s="6" t="s">
        <v>3668</v>
      </c>
      <c r="AD640" s="6" t="s">
        <v>7095</v>
      </c>
      <c r="AE640" s="158">
        <v>315347</v>
      </c>
      <c r="AF640" s="159" t="s">
        <v>8299</v>
      </c>
      <c r="AG640" s="160" t="s">
        <v>4299</v>
      </c>
      <c r="AH640" s="194" t="s">
        <v>1314</v>
      </c>
      <c r="AI640" s="6" t="s">
        <v>965</v>
      </c>
      <c r="AJ640" s="3" t="s">
        <v>8223</v>
      </c>
      <c r="AK640" t="s">
        <v>8223</v>
      </c>
      <c r="AL640" s="29"/>
      <c r="AM640" s="6" t="s">
        <v>5348</v>
      </c>
      <c r="AN640" t="s">
        <v>6450</v>
      </c>
      <c r="AV640"/>
      <c r="AX640"/>
      <c r="AZ640" t="str">
        <f t="shared" si="181"/>
        <v/>
      </c>
      <c r="BA640" t="str">
        <f t="shared" si="182"/>
        <v/>
      </c>
    </row>
    <row r="641" spans="1:53" ht="13.5">
      <c r="A641" s="135" t="str">
        <f t="shared" si="183"/>
        <v/>
      </c>
      <c r="B641" s="19" t="str">
        <f t="shared" si="184"/>
        <v/>
      </c>
      <c r="C641" s="19" t="str">
        <f t="shared" si="185"/>
        <v/>
      </c>
      <c r="D641" s="19" t="str">
        <f t="shared" si="186"/>
        <v/>
      </c>
      <c r="E641" s="5" t="str">
        <f t="shared" si="172"/>
        <v/>
      </c>
      <c r="F641" s="12" t="str">
        <f t="shared" si="173"/>
        <v/>
      </c>
      <c r="K641" s="9" t="str">
        <f t="shared" si="174"/>
        <v/>
      </c>
      <c r="L641" s="6">
        <f t="shared" si="175"/>
        <v>0</v>
      </c>
      <c r="M641" s="6">
        <f t="shared" si="176"/>
        <v>0</v>
      </c>
      <c r="N641" s="94" t="str">
        <f t="shared" si="177"/>
        <v/>
      </c>
      <c r="O641" s="6"/>
      <c r="P641" s="6"/>
      <c r="Q641" s="6"/>
      <c r="R641" s="6"/>
      <c r="T641" s="136" t="str">
        <f t="shared" si="178"/>
        <v/>
      </c>
      <c r="U641" s="137" t="str">
        <f t="shared" si="179"/>
        <v/>
      </c>
      <c r="V641" s="1"/>
      <c r="Y641" s="90" t="str">
        <f t="shared" si="180"/>
        <v/>
      </c>
      <c r="AC641" s="6" t="s">
        <v>3629</v>
      </c>
      <c r="AD641" s="6" t="s">
        <v>7100</v>
      </c>
      <c r="AE641" s="158">
        <v>495357</v>
      </c>
      <c r="AF641" s="159" t="s">
        <v>8299</v>
      </c>
      <c r="AG641" s="160" t="s">
        <v>4300</v>
      </c>
      <c r="AH641" s="194" t="s">
        <v>679</v>
      </c>
      <c r="AI641" s="6" t="s">
        <v>1078</v>
      </c>
      <c r="AJ641" s="3" t="s">
        <v>8195</v>
      </c>
      <c r="AK641" t="s">
        <v>8195</v>
      </c>
      <c r="AL641" s="29"/>
      <c r="AM641" s="6" t="s">
        <v>5056</v>
      </c>
      <c r="AN641" t="s">
        <v>6451</v>
      </c>
      <c r="AV641"/>
      <c r="AX641"/>
      <c r="AZ641" t="str">
        <f t="shared" si="181"/>
        <v/>
      </c>
      <c r="BA641" t="str">
        <f t="shared" si="182"/>
        <v/>
      </c>
    </row>
    <row r="642" spans="1:53" ht="13.5">
      <c r="A642" s="135" t="str">
        <f t="shared" si="183"/>
        <v/>
      </c>
      <c r="B642" s="19" t="str">
        <f t="shared" si="184"/>
        <v/>
      </c>
      <c r="C642" s="19" t="str">
        <f t="shared" si="185"/>
        <v/>
      </c>
      <c r="D642" s="19" t="str">
        <f t="shared" si="186"/>
        <v/>
      </c>
      <c r="E642" s="5" t="str">
        <f t="shared" si="172"/>
        <v/>
      </c>
      <c r="F642" s="12" t="str">
        <f t="shared" si="173"/>
        <v/>
      </c>
      <c r="K642" s="9" t="str">
        <f t="shared" si="174"/>
        <v/>
      </c>
      <c r="L642" s="6">
        <f t="shared" si="175"/>
        <v>0</v>
      </c>
      <c r="M642" s="6">
        <f t="shared" si="176"/>
        <v>0</v>
      </c>
      <c r="N642" s="94" t="str">
        <f t="shared" si="177"/>
        <v/>
      </c>
      <c r="O642" s="6"/>
      <c r="P642" s="6"/>
      <c r="Q642" s="6"/>
      <c r="R642" s="6"/>
      <c r="T642" s="136" t="str">
        <f t="shared" si="178"/>
        <v/>
      </c>
      <c r="U642" s="137" t="str">
        <f t="shared" si="179"/>
        <v/>
      </c>
      <c r="V642" s="1"/>
      <c r="Y642" s="90" t="str">
        <f t="shared" si="180"/>
        <v/>
      </c>
      <c r="AC642" s="6" t="s">
        <v>5535</v>
      </c>
      <c r="AD642" s="6" t="s">
        <v>7098</v>
      </c>
      <c r="AE642" s="158">
        <v>535374</v>
      </c>
      <c r="AF642" s="159" t="s">
        <v>8299</v>
      </c>
      <c r="AG642" s="160" t="s">
        <v>4301</v>
      </c>
      <c r="AH642" s="194" t="s">
        <v>679</v>
      </c>
      <c r="AI642" s="6" t="s">
        <v>1309</v>
      </c>
      <c r="AJ642" s="3" t="s">
        <v>8267</v>
      </c>
      <c r="AK642" t="s">
        <v>8280</v>
      </c>
      <c r="AL642" s="29"/>
      <c r="AM642" s="6" t="s">
        <v>5450</v>
      </c>
      <c r="AN642" t="s">
        <v>6452</v>
      </c>
      <c r="AV642"/>
      <c r="AX642"/>
      <c r="AZ642" t="str">
        <f t="shared" si="181"/>
        <v/>
      </c>
      <c r="BA642" t="str">
        <f t="shared" si="182"/>
        <v/>
      </c>
    </row>
    <row r="643" spans="1:53" ht="13.5">
      <c r="A643" s="135" t="str">
        <f t="shared" si="183"/>
        <v/>
      </c>
      <c r="B643" s="19" t="str">
        <f t="shared" si="184"/>
        <v/>
      </c>
      <c r="C643" s="19" t="str">
        <f t="shared" si="185"/>
        <v/>
      </c>
      <c r="D643" s="19" t="str">
        <f t="shared" si="186"/>
        <v/>
      </c>
      <c r="E643" s="5" t="str">
        <f t="shared" si="172"/>
        <v/>
      </c>
      <c r="F643" s="12" t="str">
        <f t="shared" si="173"/>
        <v/>
      </c>
      <c r="K643" s="9" t="str">
        <f t="shared" si="174"/>
        <v/>
      </c>
      <c r="L643" s="6">
        <f t="shared" si="175"/>
        <v>0</v>
      </c>
      <c r="M643" s="6">
        <f t="shared" si="176"/>
        <v>0</v>
      </c>
      <c r="N643" s="94" t="str">
        <f t="shared" si="177"/>
        <v/>
      </c>
      <c r="O643" s="6"/>
      <c r="P643" s="6"/>
      <c r="Q643" s="6"/>
      <c r="R643" s="6"/>
      <c r="T643" s="136" t="str">
        <f t="shared" si="178"/>
        <v/>
      </c>
      <c r="U643" s="137" t="str">
        <f t="shared" si="179"/>
        <v/>
      </c>
      <c r="V643" s="1"/>
      <c r="Y643" s="90" t="str">
        <f t="shared" si="180"/>
        <v/>
      </c>
      <c r="AC643" s="6" t="s">
        <v>3672</v>
      </c>
      <c r="AD643" s="6" t="s">
        <v>7095</v>
      </c>
      <c r="AE643" s="158">
        <v>535375</v>
      </c>
      <c r="AF643" s="159" t="s">
        <v>8309</v>
      </c>
      <c r="AG643" s="160" t="s">
        <v>4302</v>
      </c>
      <c r="AH643" s="194" t="s">
        <v>679</v>
      </c>
      <c r="AI643" s="6" t="s">
        <v>5518</v>
      </c>
      <c r="AJ643" s="3" t="s">
        <v>8217</v>
      </c>
      <c r="AK643" t="s">
        <v>8668</v>
      </c>
      <c r="AL643" s="29"/>
      <c r="AM643" s="6" t="s">
        <v>5206</v>
      </c>
      <c r="AN643" t="s">
        <v>6453</v>
      </c>
      <c r="AV643"/>
      <c r="AX643"/>
      <c r="AZ643" t="str">
        <f t="shared" si="181"/>
        <v/>
      </c>
      <c r="BA643" t="str">
        <f t="shared" si="182"/>
        <v/>
      </c>
    </row>
    <row r="644" spans="1:53" ht="13.5">
      <c r="A644" s="135" t="str">
        <f t="shared" si="183"/>
        <v/>
      </c>
      <c r="B644" s="19" t="str">
        <f t="shared" si="184"/>
        <v/>
      </c>
      <c r="C644" s="19" t="str">
        <f t="shared" si="185"/>
        <v/>
      </c>
      <c r="D644" s="19" t="str">
        <f t="shared" si="186"/>
        <v/>
      </c>
      <c r="E644" s="5" t="str">
        <f t="shared" si="172"/>
        <v/>
      </c>
      <c r="F644" s="12" t="str">
        <f t="shared" si="173"/>
        <v/>
      </c>
      <c r="K644" s="9" t="str">
        <f t="shared" si="174"/>
        <v/>
      </c>
      <c r="L644" s="6">
        <f t="shared" si="175"/>
        <v>0</v>
      </c>
      <c r="M644" s="6">
        <f t="shared" si="176"/>
        <v>0</v>
      </c>
      <c r="N644" s="94" t="str">
        <f t="shared" si="177"/>
        <v/>
      </c>
      <c r="O644" s="6"/>
      <c r="P644" s="6"/>
      <c r="Q644" s="6"/>
      <c r="R644" s="6"/>
      <c r="T644" s="136" t="str">
        <f t="shared" si="178"/>
        <v/>
      </c>
      <c r="U644" s="137" t="str">
        <f t="shared" si="179"/>
        <v/>
      </c>
      <c r="V644" s="1"/>
      <c r="Y644" s="90" t="str">
        <f t="shared" si="180"/>
        <v/>
      </c>
      <c r="AC644" s="6" t="s">
        <v>3662</v>
      </c>
      <c r="AD644" s="6" t="s">
        <v>7095</v>
      </c>
      <c r="AE644" s="158">
        <v>595395</v>
      </c>
      <c r="AF644" s="159" t="s">
        <v>8299</v>
      </c>
      <c r="AG644" s="160" t="s">
        <v>1496</v>
      </c>
      <c r="AH644" s="194" t="s">
        <v>679</v>
      </c>
      <c r="AI644" s="6" t="s">
        <v>5124</v>
      </c>
      <c r="AJ644" s="3" t="s">
        <v>8225</v>
      </c>
      <c r="AK644" t="s">
        <v>8225</v>
      </c>
      <c r="AL644" s="29"/>
      <c r="AM644" s="6" t="s">
        <v>5201</v>
      </c>
      <c r="AN644" t="s">
        <v>6454</v>
      </c>
      <c r="AV644"/>
      <c r="AX644"/>
      <c r="AZ644" t="str">
        <f t="shared" si="181"/>
        <v/>
      </c>
      <c r="BA644" t="str">
        <f t="shared" si="182"/>
        <v/>
      </c>
    </row>
    <row r="645" spans="1:53" ht="13.5">
      <c r="A645" s="135" t="str">
        <f t="shared" si="183"/>
        <v/>
      </c>
      <c r="B645" s="19" t="str">
        <f t="shared" si="184"/>
        <v/>
      </c>
      <c r="C645" s="19" t="str">
        <f t="shared" si="185"/>
        <v/>
      </c>
      <c r="D645" s="19" t="str">
        <f t="shared" si="186"/>
        <v/>
      </c>
      <c r="E645" s="5" t="str">
        <f t="shared" si="172"/>
        <v/>
      </c>
      <c r="F645" s="12" t="str">
        <f t="shared" si="173"/>
        <v/>
      </c>
      <c r="K645" s="9" t="str">
        <f t="shared" si="174"/>
        <v/>
      </c>
      <c r="L645" s="6">
        <f t="shared" si="175"/>
        <v>0</v>
      </c>
      <c r="M645" s="6">
        <f t="shared" si="176"/>
        <v>0</v>
      </c>
      <c r="N645" s="94" t="str">
        <f t="shared" si="177"/>
        <v/>
      </c>
      <c r="O645" s="6"/>
      <c r="P645" s="6"/>
      <c r="Q645" s="6"/>
      <c r="R645" s="6"/>
      <c r="T645" s="136" t="str">
        <f t="shared" si="178"/>
        <v/>
      </c>
      <c r="U645" s="137" t="str">
        <f t="shared" si="179"/>
        <v/>
      </c>
      <c r="V645" s="1"/>
      <c r="Y645" s="90" t="str">
        <f t="shared" si="180"/>
        <v/>
      </c>
      <c r="AC645" s="6">
        <v>345306</v>
      </c>
      <c r="AD645" s="6" t="s">
        <v>7104</v>
      </c>
      <c r="AE645" s="158">
        <v>335412</v>
      </c>
      <c r="AF645" s="159" t="s">
        <v>8309</v>
      </c>
      <c r="AG645" s="160" t="s">
        <v>1497</v>
      </c>
      <c r="AH645" s="194" t="s">
        <v>679</v>
      </c>
      <c r="AI645" s="6" t="s">
        <v>5730</v>
      </c>
      <c r="AJ645" s="3" t="s">
        <v>8250</v>
      </c>
      <c r="AK645" t="s">
        <v>8250</v>
      </c>
      <c r="AL645" s="29"/>
      <c r="AM645" s="6" t="s">
        <v>5270</v>
      </c>
      <c r="AN645" t="s">
        <v>6455</v>
      </c>
      <c r="AV645"/>
      <c r="AX645"/>
      <c r="AZ645" t="str">
        <f t="shared" si="181"/>
        <v/>
      </c>
      <c r="BA645" t="str">
        <f t="shared" si="182"/>
        <v/>
      </c>
    </row>
    <row r="646" spans="1:53" ht="13.5">
      <c r="A646" s="135" t="str">
        <f t="shared" si="183"/>
        <v/>
      </c>
      <c r="B646" s="19" t="str">
        <f t="shared" si="184"/>
        <v/>
      </c>
      <c r="C646" s="19" t="str">
        <f t="shared" si="185"/>
        <v/>
      </c>
      <c r="D646" s="19" t="str">
        <f t="shared" si="186"/>
        <v/>
      </c>
      <c r="E646" s="5" t="str">
        <f t="shared" ref="E646:E709" si="187">IF(ISNA(VLOOKUP(I646,AI:AK,2,FALSE)),"",VLOOKUP(I646,AI:AK,2,FALSE))</f>
        <v/>
      </c>
      <c r="F646" s="12" t="str">
        <f t="shared" ref="F646:F709" si="188">IF(ISNA(VLOOKUP(I646,AI:AK,3,FALSE)),"",VLOOKUP(I646,AI:AK,3,FALSE))</f>
        <v/>
      </c>
      <c r="K646" s="9" t="str">
        <f t="shared" ref="K646:K709" si="189">IF(AND(LEFT(L646,3)&lt;&gt;"IB0",LEFT(L646,3)&lt;&gt;"ME0",LEFT(L646,3)&lt;&gt;"PS0",LEFT(L646,3)&lt;&gt;"RY0",LEFT(L646,3)&lt;&gt;"BU0",LEFT(L646,3)&lt;&gt;"IS0",LEFT(L646,3)&lt;&gt;"KA0",LEFT(L646,3)&lt;&gt;"FB0",LEFT(L646,3)&lt;&gt;"MB0",LEFT(L646,3)&lt;&gt;"LH0",LEFT(L646,3)&lt;&gt;"MU0",LEFT(L646,3)&lt;&gt;"AB0"),"",L646)</f>
        <v/>
      </c>
      <c r="L646" s="6">
        <f t="shared" ref="L646:L709" si="190">IF(ISNA(VLOOKUP(I646,$S$5:$S$900,1,FALSE)),I646,"")</f>
        <v>0</v>
      </c>
      <c r="M646" s="6">
        <f t="shared" ref="M646:M709" si="191">IF(OR(LEFT(L646,3)="IB0",LEFT(L646,3)="ME0",LEFT(L646,3)="PS0",LEFT(L646,3)="RY0",LEFT(L646,3)="BU0",LEFT(L646,3)="IS0",LEFT(L646,3)="KA0",LEFT(L646,3)="FB0",LEFT(L646,3)="MB0",LEFT(L646,3)="LH0",LEFT(L646,3)="MU0",LEFT(L646,3)="AB0",),"",L646)</f>
        <v>0</v>
      </c>
      <c r="N646" s="94" t="str">
        <f t="shared" ref="N646:N709" si="192">IF(I646="","",(IF(ISNA(VLOOKUP(M646,$AJ$4:$AK$4000,2,FALSE)),M646,VLOOKUP(M646,$AJ$4:$AK$4000,2,FALSE))))</f>
        <v/>
      </c>
      <c r="O646" s="6"/>
      <c r="P646" s="6"/>
      <c r="Q646" s="6"/>
      <c r="R646" s="6"/>
      <c r="T646" s="136" t="str">
        <f t="shared" ref="T646:T709" si="193">IF(ISNA(VLOOKUP(S646,$I$5:$I$900,1,FALSE)),IF(ISBLANK(S646),"","up"),"")</f>
        <v/>
      </c>
      <c r="U646" s="137" t="str">
        <f t="shared" ref="U646:U709" si="194">IF(T646="up",(IF(ISNA(VLOOKUP(S646,$AV$1:$AX$1200,3,FALSE)),"",VLOOKUP(S646,$AV$1:$AX$1200,3,FALSE))),"")</f>
        <v/>
      </c>
      <c r="V646" s="1"/>
      <c r="Y646" s="90" t="str">
        <f t="shared" ref="Y646:Y709" si="195">IFERROR(VLOOKUP(S646,$AV$1:$BA$1200,6,0),"")</f>
        <v/>
      </c>
      <c r="AC646" s="6" t="s">
        <v>3670</v>
      </c>
      <c r="AD646" s="6" t="s">
        <v>7095</v>
      </c>
      <c r="AE646" s="158">
        <v>25415</v>
      </c>
      <c r="AF646" s="159" t="s">
        <v>8299</v>
      </c>
      <c r="AG646" s="160" t="s">
        <v>1498</v>
      </c>
      <c r="AH646" s="194" t="s">
        <v>679</v>
      </c>
      <c r="AI646" s="6" t="s">
        <v>5051</v>
      </c>
      <c r="AJ646" s="3" t="s">
        <v>8250</v>
      </c>
      <c r="AK646" t="s">
        <v>8250</v>
      </c>
      <c r="AL646" s="29"/>
      <c r="AM646" s="6" t="s">
        <v>5223</v>
      </c>
      <c r="AN646" t="s">
        <v>6456</v>
      </c>
      <c r="AV646"/>
      <c r="AX646"/>
      <c r="AZ646" t="str">
        <f t="shared" ref="AZ646:AZ666" si="196">IF(ISBLANK(AW646),"",CONCATENATE("(",RIGHT(AW646,5),"-",TEXT(AX646,"h:mm;@"),")"))</f>
        <v/>
      </c>
      <c r="BA646" t="str">
        <f t="shared" ref="BA646:BA666" si="197">IF(AV662=AV646,"",CONCATENATE(IF(AV661=AV646,BA661,""),IF(AV660=AV646,BA660,""),IF(AV659=AV646,BA659,""),IF(AV658=AV646,BA658,""),IF(AV657=AV646,BA657,""),IF(AV656=AV646,BA656,""),IF(AV655=AV646,BA655,""),IF(AV654=AV646,BA654,""),IF(AV653=AV646,BA653,""),IF(AV652=AV646,BA652,""),IF(AV651=AV646,BA651,""),IF(AV650=AV646,BA650,""),IF(AV649=AV646,BA649,""),IF(AV648=AV646,BA648,""),IF(AV647=AV646,BA647,""),IF(AV645=AV646,BA645,""),BA646))</f>
        <v/>
      </c>
    </row>
    <row r="647" spans="1:53" ht="13.5">
      <c r="A647" s="135" t="str">
        <f t="shared" si="183"/>
        <v/>
      </c>
      <c r="B647" s="19" t="str">
        <f t="shared" si="184"/>
        <v/>
      </c>
      <c r="C647" s="19" t="str">
        <f t="shared" si="185"/>
        <v/>
      </c>
      <c r="D647" s="19" t="str">
        <f t="shared" si="186"/>
        <v/>
      </c>
      <c r="E647" s="5" t="str">
        <f t="shared" si="187"/>
        <v/>
      </c>
      <c r="F647" s="12" t="str">
        <f t="shared" si="188"/>
        <v/>
      </c>
      <c r="K647" s="9" t="str">
        <f t="shared" si="189"/>
        <v/>
      </c>
      <c r="L647" s="6">
        <f t="shared" si="190"/>
        <v>0</v>
      </c>
      <c r="M647" s="6">
        <f t="shared" si="191"/>
        <v>0</v>
      </c>
      <c r="N647" s="94" t="str">
        <f t="shared" si="192"/>
        <v/>
      </c>
      <c r="O647" s="6"/>
      <c r="P647" s="6"/>
      <c r="Q647" s="6"/>
      <c r="R647" s="6"/>
      <c r="T647" s="136" t="str">
        <f t="shared" si="193"/>
        <v/>
      </c>
      <c r="U647" s="137" t="str">
        <f t="shared" si="194"/>
        <v/>
      </c>
      <c r="V647" s="1"/>
      <c r="Y647" s="90" t="str">
        <f t="shared" si="195"/>
        <v/>
      </c>
      <c r="AC647" s="6">
        <v>345240</v>
      </c>
      <c r="AD647" s="6" t="s">
        <v>7105</v>
      </c>
      <c r="AE647" s="158">
        <v>25416</v>
      </c>
      <c r="AF647" s="159" t="s">
        <v>8353</v>
      </c>
      <c r="AG647" s="160" t="s">
        <v>1499</v>
      </c>
      <c r="AH647" s="194" t="s">
        <v>679</v>
      </c>
      <c r="AI647" s="6">
        <v>295297</v>
      </c>
      <c r="AJ647" s="3" t="s">
        <v>8219</v>
      </c>
      <c r="AK647" t="s">
        <v>8219</v>
      </c>
      <c r="AL647" s="29"/>
      <c r="AM647" s="6" t="s">
        <v>5079</v>
      </c>
      <c r="AN647" t="s">
        <v>6457</v>
      </c>
      <c r="AV647"/>
      <c r="AX647"/>
      <c r="AZ647" t="str">
        <f t="shared" si="196"/>
        <v/>
      </c>
      <c r="BA647" t="str">
        <f t="shared" si="197"/>
        <v/>
      </c>
    </row>
    <row r="648" spans="1:53" ht="13.5">
      <c r="A648" s="135" t="str">
        <f t="shared" si="183"/>
        <v/>
      </c>
      <c r="B648" s="19" t="str">
        <f t="shared" si="184"/>
        <v/>
      </c>
      <c r="C648" s="19" t="str">
        <f t="shared" si="185"/>
        <v/>
      </c>
      <c r="D648" s="19" t="str">
        <f t="shared" si="186"/>
        <v/>
      </c>
      <c r="E648" s="5" t="str">
        <f t="shared" si="187"/>
        <v/>
      </c>
      <c r="F648" s="12" t="str">
        <f t="shared" si="188"/>
        <v/>
      </c>
      <c r="K648" s="9" t="str">
        <f t="shared" si="189"/>
        <v/>
      </c>
      <c r="L648" s="6">
        <f t="shared" si="190"/>
        <v>0</v>
      </c>
      <c r="M648" s="6">
        <f t="shared" si="191"/>
        <v>0</v>
      </c>
      <c r="N648" s="94" t="str">
        <f t="shared" si="192"/>
        <v/>
      </c>
      <c r="O648" s="6"/>
      <c r="P648" s="6"/>
      <c r="Q648" s="6"/>
      <c r="R648" s="6"/>
      <c r="T648" s="136" t="str">
        <f t="shared" si="193"/>
        <v/>
      </c>
      <c r="U648" s="137" t="str">
        <f t="shared" si="194"/>
        <v/>
      </c>
      <c r="V648" s="1"/>
      <c r="Y648" s="90" t="str">
        <f t="shared" si="195"/>
        <v/>
      </c>
      <c r="AC648" s="6">
        <v>996467</v>
      </c>
      <c r="AD648" s="6" t="s">
        <v>7041</v>
      </c>
      <c r="AE648" s="158" t="s">
        <v>4376</v>
      </c>
      <c r="AF648" s="159" t="s">
        <v>8353</v>
      </c>
      <c r="AG648" s="160" t="s">
        <v>121</v>
      </c>
      <c r="AH648" s="194" t="s">
        <v>679</v>
      </c>
      <c r="AI648" s="6" t="s">
        <v>5067</v>
      </c>
      <c r="AJ648" s="3" t="s">
        <v>8214</v>
      </c>
      <c r="AK648" t="s">
        <v>8214</v>
      </c>
      <c r="AL648" s="29"/>
      <c r="AM648" s="6" t="s">
        <v>5447</v>
      </c>
      <c r="AN648" t="s">
        <v>6458</v>
      </c>
      <c r="AV648"/>
      <c r="AX648"/>
      <c r="AZ648" t="str">
        <f t="shared" si="196"/>
        <v/>
      </c>
      <c r="BA648" t="str">
        <f t="shared" si="197"/>
        <v/>
      </c>
    </row>
    <row r="649" spans="1:53" ht="13.5">
      <c r="A649" s="135" t="str">
        <f t="shared" si="183"/>
        <v/>
      </c>
      <c r="B649" s="19" t="str">
        <f t="shared" si="184"/>
        <v/>
      </c>
      <c r="C649" s="19" t="str">
        <f t="shared" si="185"/>
        <v/>
      </c>
      <c r="D649" s="19" t="str">
        <f t="shared" si="186"/>
        <v/>
      </c>
      <c r="E649" s="5" t="str">
        <f t="shared" si="187"/>
        <v/>
      </c>
      <c r="F649" s="12" t="str">
        <f t="shared" si="188"/>
        <v/>
      </c>
      <c r="K649" s="9" t="str">
        <f t="shared" si="189"/>
        <v/>
      </c>
      <c r="L649" s="6">
        <f t="shared" si="190"/>
        <v>0</v>
      </c>
      <c r="M649" s="6">
        <f t="shared" si="191"/>
        <v>0</v>
      </c>
      <c r="N649" s="94" t="str">
        <f t="shared" si="192"/>
        <v/>
      </c>
      <c r="O649" s="6"/>
      <c r="P649" s="6"/>
      <c r="Q649" s="6"/>
      <c r="R649" s="6"/>
      <c r="T649" s="136" t="str">
        <f t="shared" si="193"/>
        <v/>
      </c>
      <c r="U649" s="137" t="str">
        <f t="shared" si="194"/>
        <v/>
      </c>
      <c r="V649" s="1"/>
      <c r="Y649" s="90" t="str">
        <f t="shared" si="195"/>
        <v/>
      </c>
      <c r="AC649" s="6" t="s">
        <v>3661</v>
      </c>
      <c r="AD649" s="6" t="s">
        <v>7095</v>
      </c>
      <c r="AE649" s="158">
        <v>285418</v>
      </c>
      <c r="AF649" s="159" t="s">
        <v>8309</v>
      </c>
      <c r="AG649" s="160" t="s">
        <v>122</v>
      </c>
      <c r="AH649" s="194" t="s">
        <v>679</v>
      </c>
      <c r="AI649" s="6" t="s">
        <v>1293</v>
      </c>
      <c r="AJ649" s="3" t="s">
        <v>8260</v>
      </c>
      <c r="AK649" t="s">
        <v>8678</v>
      </c>
      <c r="AL649" s="29"/>
      <c r="AM649" s="6" t="s">
        <v>5473</v>
      </c>
      <c r="AN649" t="s">
        <v>6459</v>
      </c>
      <c r="AV649"/>
      <c r="AX649"/>
      <c r="AZ649" t="str">
        <f t="shared" si="196"/>
        <v/>
      </c>
      <c r="BA649" t="str">
        <f t="shared" si="197"/>
        <v/>
      </c>
    </row>
    <row r="650" spans="1:53" ht="13.5">
      <c r="A650" s="135" t="str">
        <f t="shared" si="183"/>
        <v/>
      </c>
      <c r="B650" s="19" t="str">
        <f t="shared" si="184"/>
        <v/>
      </c>
      <c r="C650" s="19" t="str">
        <f t="shared" si="185"/>
        <v/>
      </c>
      <c r="D650" s="19" t="str">
        <f t="shared" si="186"/>
        <v/>
      </c>
      <c r="E650" s="5" t="str">
        <f t="shared" si="187"/>
        <v/>
      </c>
      <c r="F650" s="12" t="str">
        <f t="shared" si="188"/>
        <v/>
      </c>
      <c r="K650" s="9" t="str">
        <f t="shared" si="189"/>
        <v/>
      </c>
      <c r="L650" s="6">
        <f t="shared" si="190"/>
        <v>0</v>
      </c>
      <c r="M650" s="6">
        <f t="shared" si="191"/>
        <v>0</v>
      </c>
      <c r="N650" s="94" t="str">
        <f t="shared" si="192"/>
        <v/>
      </c>
      <c r="O650" s="6"/>
      <c r="P650" s="6"/>
      <c r="Q650" s="6"/>
      <c r="R650" s="6"/>
      <c r="T650" s="136" t="str">
        <f t="shared" si="193"/>
        <v/>
      </c>
      <c r="U650" s="137" t="str">
        <f t="shared" si="194"/>
        <v/>
      </c>
      <c r="V650" s="1"/>
      <c r="Y650" s="90" t="str">
        <f t="shared" si="195"/>
        <v/>
      </c>
      <c r="AC650" s="6" t="s">
        <v>4050</v>
      </c>
      <c r="AD650" s="6" t="s">
        <v>7086</v>
      </c>
      <c r="AE650" s="158">
        <v>75420</v>
      </c>
      <c r="AF650" s="159" t="s">
        <v>8299</v>
      </c>
      <c r="AG650" s="160" t="s">
        <v>1134</v>
      </c>
      <c r="AH650" s="194" t="s">
        <v>679</v>
      </c>
      <c r="AI650" s="6" t="s">
        <v>5348</v>
      </c>
      <c r="AJ650" s="3" t="s">
        <v>8218</v>
      </c>
      <c r="AK650" t="s">
        <v>8218</v>
      </c>
      <c r="AL650" s="29"/>
      <c r="AM650" s="6" t="s">
        <v>5199</v>
      </c>
      <c r="AN650" t="s">
        <v>6460</v>
      </c>
      <c r="AV650"/>
      <c r="AX650"/>
      <c r="AZ650" t="str">
        <f t="shared" si="196"/>
        <v/>
      </c>
      <c r="BA650" t="str">
        <f t="shared" si="197"/>
        <v/>
      </c>
    </row>
    <row r="651" spans="1:53" ht="13.5">
      <c r="A651" s="135" t="str">
        <f t="shared" si="183"/>
        <v/>
      </c>
      <c r="B651" s="19" t="str">
        <f t="shared" si="184"/>
        <v/>
      </c>
      <c r="C651" s="19" t="str">
        <f t="shared" si="185"/>
        <v/>
      </c>
      <c r="D651" s="19" t="str">
        <f t="shared" si="186"/>
        <v/>
      </c>
      <c r="E651" s="5" t="str">
        <f t="shared" si="187"/>
        <v/>
      </c>
      <c r="F651" s="12" t="str">
        <f t="shared" si="188"/>
        <v/>
      </c>
      <c r="K651" s="9" t="str">
        <f t="shared" si="189"/>
        <v/>
      </c>
      <c r="L651" s="6">
        <f t="shared" si="190"/>
        <v>0</v>
      </c>
      <c r="M651" s="6">
        <f t="shared" si="191"/>
        <v>0</v>
      </c>
      <c r="N651" s="94" t="str">
        <f t="shared" si="192"/>
        <v/>
      </c>
      <c r="O651" s="6"/>
      <c r="P651" s="6"/>
      <c r="Q651" s="6"/>
      <c r="R651" s="6"/>
      <c r="T651" s="136" t="str">
        <f t="shared" si="193"/>
        <v/>
      </c>
      <c r="U651" s="137" t="str">
        <f t="shared" si="194"/>
        <v/>
      </c>
      <c r="V651" s="1"/>
      <c r="Y651" s="90" t="str">
        <f t="shared" si="195"/>
        <v/>
      </c>
      <c r="AC651" s="6" t="s">
        <v>4051</v>
      </c>
      <c r="AD651" s="6" t="s">
        <v>7106</v>
      </c>
      <c r="AE651" s="158">
        <v>75422</v>
      </c>
      <c r="AF651" s="159" t="s">
        <v>8299</v>
      </c>
      <c r="AG651" s="160" t="s">
        <v>1500</v>
      </c>
      <c r="AH651" s="194" t="s">
        <v>679</v>
      </c>
      <c r="AI651" s="6" t="s">
        <v>5461</v>
      </c>
      <c r="AJ651" s="3" t="s">
        <v>8202</v>
      </c>
      <c r="AK651" t="s">
        <v>8202</v>
      </c>
      <c r="AL651" s="29"/>
      <c r="AM651" s="6" t="s">
        <v>5253</v>
      </c>
      <c r="AN651" t="s">
        <v>6461</v>
      </c>
      <c r="AV651"/>
      <c r="AX651"/>
      <c r="AZ651" t="str">
        <f t="shared" si="196"/>
        <v/>
      </c>
      <c r="BA651" t="str">
        <f t="shared" si="197"/>
        <v/>
      </c>
    </row>
    <row r="652" spans="1:53" ht="13.5">
      <c r="A652" s="135" t="str">
        <f t="shared" si="183"/>
        <v/>
      </c>
      <c r="B652" s="19" t="str">
        <f t="shared" si="184"/>
        <v/>
      </c>
      <c r="C652" s="19" t="str">
        <f t="shared" si="185"/>
        <v/>
      </c>
      <c r="D652" s="19" t="str">
        <f t="shared" si="186"/>
        <v/>
      </c>
      <c r="E652" s="5" t="str">
        <f t="shared" si="187"/>
        <v/>
      </c>
      <c r="F652" s="12" t="str">
        <f t="shared" si="188"/>
        <v/>
      </c>
      <c r="K652" s="9" t="str">
        <f t="shared" si="189"/>
        <v/>
      </c>
      <c r="L652" s="6">
        <f t="shared" si="190"/>
        <v>0</v>
      </c>
      <c r="M652" s="6">
        <f t="shared" si="191"/>
        <v>0</v>
      </c>
      <c r="N652" s="94" t="str">
        <f t="shared" si="192"/>
        <v/>
      </c>
      <c r="O652" s="6"/>
      <c r="P652" s="6"/>
      <c r="Q652" s="6"/>
      <c r="R652" s="6"/>
      <c r="T652" s="136" t="str">
        <f t="shared" si="193"/>
        <v/>
      </c>
      <c r="U652" s="137" t="str">
        <f t="shared" si="194"/>
        <v/>
      </c>
      <c r="V652" s="1"/>
      <c r="Y652" s="90" t="str">
        <f t="shared" si="195"/>
        <v/>
      </c>
      <c r="AC652" s="6" t="s">
        <v>4056</v>
      </c>
      <c r="AD652" s="6" t="s">
        <v>7086</v>
      </c>
      <c r="AE652" s="158" t="s">
        <v>4377</v>
      </c>
      <c r="AF652" s="159" t="s">
        <v>8321</v>
      </c>
      <c r="AG652" s="160" t="s">
        <v>123</v>
      </c>
      <c r="AH652" s="194" t="s">
        <v>679</v>
      </c>
      <c r="AI652" s="6" t="s">
        <v>5156</v>
      </c>
      <c r="AJ652" s="3" t="s">
        <v>8224</v>
      </c>
      <c r="AK652" t="s">
        <v>8224</v>
      </c>
      <c r="AL652" s="29"/>
      <c r="AM652" s="6" t="s">
        <v>5471</v>
      </c>
      <c r="AN652" t="s">
        <v>6462</v>
      </c>
      <c r="AV652"/>
      <c r="AX652"/>
      <c r="AZ652" t="str">
        <f t="shared" si="196"/>
        <v/>
      </c>
      <c r="BA652" t="str">
        <f t="shared" si="197"/>
        <v/>
      </c>
    </row>
    <row r="653" spans="1:53" ht="13.5">
      <c r="A653" s="135" t="str">
        <f t="shared" si="183"/>
        <v/>
      </c>
      <c r="B653" s="19" t="str">
        <f t="shared" si="184"/>
        <v/>
      </c>
      <c r="C653" s="19" t="str">
        <f t="shared" si="185"/>
        <v/>
      </c>
      <c r="D653" s="19" t="str">
        <f t="shared" si="186"/>
        <v/>
      </c>
      <c r="E653" s="5" t="str">
        <f t="shared" si="187"/>
        <v/>
      </c>
      <c r="F653" s="12" t="str">
        <f t="shared" si="188"/>
        <v/>
      </c>
      <c r="K653" s="9" t="str">
        <f t="shared" si="189"/>
        <v/>
      </c>
      <c r="L653" s="6">
        <f t="shared" si="190"/>
        <v>0</v>
      </c>
      <c r="M653" s="6">
        <f t="shared" si="191"/>
        <v>0</v>
      </c>
      <c r="N653" s="94" t="str">
        <f t="shared" si="192"/>
        <v/>
      </c>
      <c r="O653" s="6"/>
      <c r="P653" s="6"/>
      <c r="Q653" s="6"/>
      <c r="R653" s="6"/>
      <c r="T653" s="136" t="str">
        <f t="shared" si="193"/>
        <v/>
      </c>
      <c r="U653" s="137" t="str">
        <f t="shared" si="194"/>
        <v/>
      </c>
      <c r="V653" s="1"/>
      <c r="Y653" s="90" t="str">
        <f t="shared" si="195"/>
        <v/>
      </c>
      <c r="AC653" s="6">
        <v>345305</v>
      </c>
      <c r="AD653" s="6" t="s">
        <v>7107</v>
      </c>
      <c r="AE653" s="158" t="s">
        <v>3586</v>
      </c>
      <c r="AF653" s="159" t="s">
        <v>8309</v>
      </c>
      <c r="AG653" s="160" t="s">
        <v>16</v>
      </c>
      <c r="AH653" s="194" t="s">
        <v>679</v>
      </c>
      <c r="AI653" s="6" t="s">
        <v>4465</v>
      </c>
      <c r="AJ653" s="3" t="s">
        <v>8266</v>
      </c>
      <c r="AK653" t="s">
        <v>8266</v>
      </c>
      <c r="AL653" s="29"/>
      <c r="AM653" s="6" t="s">
        <v>5236</v>
      </c>
      <c r="AN653" t="s">
        <v>6463</v>
      </c>
      <c r="AV653"/>
      <c r="AX653"/>
      <c r="AZ653" t="str">
        <f t="shared" si="196"/>
        <v/>
      </c>
      <c r="BA653" t="str">
        <f t="shared" si="197"/>
        <v/>
      </c>
    </row>
    <row r="654" spans="1:53" ht="13.5">
      <c r="A654" s="135" t="str">
        <f t="shared" si="183"/>
        <v/>
      </c>
      <c r="B654" s="19" t="str">
        <f t="shared" si="184"/>
        <v/>
      </c>
      <c r="C654" s="19" t="str">
        <f t="shared" si="185"/>
        <v/>
      </c>
      <c r="D654" s="19" t="str">
        <f t="shared" si="186"/>
        <v/>
      </c>
      <c r="E654" s="5" t="str">
        <f t="shared" si="187"/>
        <v/>
      </c>
      <c r="F654" s="12" t="str">
        <f t="shared" si="188"/>
        <v/>
      </c>
      <c r="K654" s="9" t="str">
        <f t="shared" si="189"/>
        <v/>
      </c>
      <c r="L654" s="6">
        <f t="shared" si="190"/>
        <v>0</v>
      </c>
      <c r="M654" s="6">
        <f t="shared" si="191"/>
        <v>0</v>
      </c>
      <c r="N654" s="94" t="str">
        <f t="shared" si="192"/>
        <v/>
      </c>
      <c r="O654" s="6"/>
      <c r="P654" s="6"/>
      <c r="Q654" s="6"/>
      <c r="R654" s="6"/>
      <c r="T654" s="136" t="str">
        <f t="shared" si="193"/>
        <v/>
      </c>
      <c r="U654" s="137" t="str">
        <f t="shared" si="194"/>
        <v/>
      </c>
      <c r="V654" s="1"/>
      <c r="Y654" s="90" t="str">
        <f t="shared" si="195"/>
        <v/>
      </c>
      <c r="AC654" s="6" t="s">
        <v>4052</v>
      </c>
      <c r="AD654" s="6" t="s">
        <v>7106</v>
      </c>
      <c r="AE654" s="158" t="s">
        <v>3587</v>
      </c>
      <c r="AF654" s="159" t="s">
        <v>8336</v>
      </c>
      <c r="AG654" s="160" t="s">
        <v>1501</v>
      </c>
      <c r="AH654" s="194" t="s">
        <v>679</v>
      </c>
      <c r="AI654" s="6" t="s">
        <v>4770</v>
      </c>
      <c r="AJ654" s="3" t="s">
        <v>8250</v>
      </c>
      <c r="AK654" t="s">
        <v>8250</v>
      </c>
      <c r="AL654" s="29"/>
      <c r="AM654" s="6" t="s">
        <v>5037</v>
      </c>
      <c r="AN654" t="s">
        <v>6464</v>
      </c>
      <c r="AV654"/>
      <c r="AX654"/>
      <c r="AZ654" t="str">
        <f t="shared" si="196"/>
        <v/>
      </c>
      <c r="BA654" t="str">
        <f t="shared" si="197"/>
        <v/>
      </c>
    </row>
    <row r="655" spans="1:53" ht="13.5">
      <c r="A655" s="135" t="str">
        <f t="shared" si="183"/>
        <v/>
      </c>
      <c r="B655" s="19" t="str">
        <f t="shared" si="184"/>
        <v/>
      </c>
      <c r="C655" s="19" t="str">
        <f t="shared" si="185"/>
        <v/>
      </c>
      <c r="D655" s="19" t="str">
        <f t="shared" si="186"/>
        <v/>
      </c>
      <c r="E655" s="5" t="str">
        <f t="shared" si="187"/>
        <v/>
      </c>
      <c r="F655" s="12" t="str">
        <f t="shared" si="188"/>
        <v/>
      </c>
      <c r="K655" s="9" t="str">
        <f t="shared" si="189"/>
        <v/>
      </c>
      <c r="L655" s="6">
        <f t="shared" si="190"/>
        <v>0</v>
      </c>
      <c r="M655" s="6">
        <f t="shared" si="191"/>
        <v>0</v>
      </c>
      <c r="N655" s="94" t="str">
        <f t="shared" si="192"/>
        <v/>
      </c>
      <c r="O655" s="6"/>
      <c r="P655" s="6"/>
      <c r="Q655" s="6"/>
      <c r="R655" s="6"/>
      <c r="T655" s="136" t="str">
        <f t="shared" si="193"/>
        <v/>
      </c>
      <c r="U655" s="137" t="str">
        <f t="shared" si="194"/>
        <v/>
      </c>
      <c r="V655" s="1"/>
      <c r="Y655" s="90" t="str">
        <f t="shared" si="195"/>
        <v/>
      </c>
      <c r="AC655" s="6" t="s">
        <v>4055</v>
      </c>
      <c r="AD655" s="6" t="s">
        <v>7086</v>
      </c>
      <c r="AE655" s="158" t="s">
        <v>988</v>
      </c>
      <c r="AF655" s="159" t="s">
        <v>8299</v>
      </c>
      <c r="AG655" s="160" t="s">
        <v>1502</v>
      </c>
      <c r="AH655" s="194" t="s">
        <v>679</v>
      </c>
      <c r="AI655" s="6" t="s">
        <v>5063</v>
      </c>
      <c r="AJ655" s="3" t="s">
        <v>8225</v>
      </c>
      <c r="AK655" t="s">
        <v>8225</v>
      </c>
      <c r="AL655" s="29"/>
      <c r="AM655" s="6" t="s">
        <v>5375</v>
      </c>
      <c r="AN655" t="s">
        <v>6465</v>
      </c>
      <c r="AV655"/>
      <c r="AX655"/>
      <c r="AZ655" t="str">
        <f t="shared" si="196"/>
        <v/>
      </c>
      <c r="BA655" t="str">
        <f t="shared" si="197"/>
        <v/>
      </c>
    </row>
    <row r="656" spans="1:53" ht="13.5">
      <c r="A656" s="135" t="str">
        <f t="shared" si="183"/>
        <v/>
      </c>
      <c r="B656" s="19" t="str">
        <f t="shared" si="184"/>
        <v/>
      </c>
      <c r="C656" s="19" t="str">
        <f t="shared" si="185"/>
        <v/>
      </c>
      <c r="D656" s="19" t="str">
        <f t="shared" si="186"/>
        <v/>
      </c>
      <c r="E656" s="5" t="str">
        <f t="shared" si="187"/>
        <v/>
      </c>
      <c r="F656" s="12" t="str">
        <f t="shared" si="188"/>
        <v/>
      </c>
      <c r="K656" s="9" t="str">
        <f t="shared" si="189"/>
        <v/>
      </c>
      <c r="L656" s="6">
        <f t="shared" si="190"/>
        <v>0</v>
      </c>
      <c r="M656" s="6">
        <f t="shared" si="191"/>
        <v>0</v>
      </c>
      <c r="N656" s="94" t="str">
        <f t="shared" si="192"/>
        <v/>
      </c>
      <c r="O656" s="6"/>
      <c r="P656" s="6"/>
      <c r="Q656" s="6"/>
      <c r="R656" s="6"/>
      <c r="T656" s="136" t="str">
        <f t="shared" si="193"/>
        <v/>
      </c>
      <c r="U656" s="137" t="str">
        <f t="shared" si="194"/>
        <v/>
      </c>
      <c r="V656" s="1"/>
      <c r="Y656" s="90" t="str">
        <f t="shared" si="195"/>
        <v/>
      </c>
      <c r="AC656" s="6">
        <v>345241</v>
      </c>
      <c r="AD656" s="6" t="s">
        <v>7063</v>
      </c>
      <c r="AE656" s="158" t="s">
        <v>49</v>
      </c>
      <c r="AF656" s="159" t="s">
        <v>8325</v>
      </c>
      <c r="AG656" s="160" t="s">
        <v>1135</v>
      </c>
      <c r="AH656" s="194" t="s">
        <v>679</v>
      </c>
      <c r="AI656" s="6" t="s">
        <v>4450</v>
      </c>
      <c r="AJ656" s="3" t="s">
        <v>8212</v>
      </c>
      <c r="AK656" t="s">
        <v>8212</v>
      </c>
      <c r="AL656" s="29"/>
      <c r="AM656" s="6" t="s">
        <v>5366</v>
      </c>
      <c r="AN656" t="s">
        <v>6466</v>
      </c>
      <c r="AV656"/>
      <c r="AX656"/>
      <c r="AZ656" t="str">
        <f t="shared" si="196"/>
        <v/>
      </c>
      <c r="BA656" t="str">
        <f t="shared" si="197"/>
        <v/>
      </c>
    </row>
    <row r="657" spans="1:53" ht="13.5">
      <c r="A657" s="135" t="str">
        <f t="shared" si="183"/>
        <v/>
      </c>
      <c r="B657" s="19" t="str">
        <f t="shared" si="184"/>
        <v/>
      </c>
      <c r="C657" s="19" t="str">
        <f t="shared" si="185"/>
        <v/>
      </c>
      <c r="D657" s="19" t="str">
        <f t="shared" si="186"/>
        <v/>
      </c>
      <c r="E657" s="5" t="str">
        <f t="shared" si="187"/>
        <v/>
      </c>
      <c r="F657" s="12" t="str">
        <f t="shared" si="188"/>
        <v/>
      </c>
      <c r="K657" s="9" t="str">
        <f t="shared" si="189"/>
        <v/>
      </c>
      <c r="L657" s="6">
        <f t="shared" si="190"/>
        <v>0</v>
      </c>
      <c r="M657" s="6">
        <f t="shared" si="191"/>
        <v>0</v>
      </c>
      <c r="N657" s="94" t="str">
        <f t="shared" si="192"/>
        <v/>
      </c>
      <c r="O657" s="6"/>
      <c r="P657" s="6"/>
      <c r="Q657" s="6"/>
      <c r="R657" s="6"/>
      <c r="T657" s="136" t="str">
        <f t="shared" si="193"/>
        <v/>
      </c>
      <c r="U657" s="137" t="str">
        <f t="shared" si="194"/>
        <v/>
      </c>
      <c r="V657" s="1"/>
      <c r="Y657" s="90" t="str">
        <f t="shared" si="195"/>
        <v/>
      </c>
      <c r="AC657" s="6" t="s">
        <v>4057</v>
      </c>
      <c r="AD657" s="6" t="s">
        <v>7086</v>
      </c>
      <c r="AE657" s="158" t="s">
        <v>3649</v>
      </c>
      <c r="AF657" s="159" t="s">
        <v>8367</v>
      </c>
      <c r="AG657" s="160" t="s">
        <v>25</v>
      </c>
      <c r="AH657" s="194" t="s">
        <v>679</v>
      </c>
      <c r="AI657" s="6" t="s">
        <v>5147</v>
      </c>
      <c r="AJ657" s="3" t="s">
        <v>8253</v>
      </c>
      <c r="AK657" t="s">
        <v>8253</v>
      </c>
      <c r="AL657" s="29"/>
      <c r="AM657" s="6" t="s">
        <v>739</v>
      </c>
      <c r="AN657" t="s">
        <v>6467</v>
      </c>
      <c r="AV657"/>
      <c r="AX657"/>
      <c r="AZ657" t="str">
        <f t="shared" si="196"/>
        <v/>
      </c>
      <c r="BA657" t="str">
        <f t="shared" si="197"/>
        <v/>
      </c>
    </row>
    <row r="658" spans="1:53" ht="13.5">
      <c r="A658" s="135" t="str">
        <f t="shared" si="183"/>
        <v/>
      </c>
      <c r="B658" s="19" t="str">
        <f t="shared" si="184"/>
        <v/>
      </c>
      <c r="C658" s="19" t="str">
        <f t="shared" si="185"/>
        <v/>
      </c>
      <c r="D658" s="19" t="str">
        <f t="shared" si="186"/>
        <v/>
      </c>
      <c r="E658" s="5" t="str">
        <f t="shared" si="187"/>
        <v/>
      </c>
      <c r="F658" s="12" t="str">
        <f t="shared" si="188"/>
        <v/>
      </c>
      <c r="K658" s="9" t="str">
        <f t="shared" si="189"/>
        <v/>
      </c>
      <c r="L658" s="6">
        <f t="shared" si="190"/>
        <v>0</v>
      </c>
      <c r="M658" s="6">
        <f t="shared" si="191"/>
        <v>0</v>
      </c>
      <c r="N658" s="94" t="str">
        <f t="shared" si="192"/>
        <v/>
      </c>
      <c r="O658" s="6"/>
      <c r="P658" s="6"/>
      <c r="Q658" s="6"/>
      <c r="R658" s="6"/>
      <c r="T658" s="136" t="str">
        <f t="shared" si="193"/>
        <v/>
      </c>
      <c r="U658" s="137" t="str">
        <f t="shared" si="194"/>
        <v/>
      </c>
      <c r="V658" s="1"/>
      <c r="Y658" s="90" t="str">
        <f t="shared" si="195"/>
        <v/>
      </c>
      <c r="AC658" s="6" t="s">
        <v>4192</v>
      </c>
      <c r="AD658" s="6" t="s">
        <v>7063</v>
      </c>
      <c r="AE658" s="158" t="s">
        <v>3650</v>
      </c>
      <c r="AF658" s="159" t="s">
        <v>8297</v>
      </c>
      <c r="AG658" s="160" t="s">
        <v>1136</v>
      </c>
      <c r="AH658" s="194" t="s">
        <v>678</v>
      </c>
      <c r="AI658" s="6" t="s">
        <v>4452</v>
      </c>
      <c r="AJ658" s="3" t="s">
        <v>8233</v>
      </c>
      <c r="AK658" t="s">
        <v>8233</v>
      </c>
      <c r="AL658" s="29"/>
      <c r="AM658" s="6" t="s">
        <v>5200</v>
      </c>
      <c r="AN658" t="s">
        <v>6468</v>
      </c>
      <c r="AV658"/>
      <c r="AX658"/>
      <c r="AZ658" t="str">
        <f t="shared" si="196"/>
        <v/>
      </c>
      <c r="BA658" t="str">
        <f t="shared" si="197"/>
        <v/>
      </c>
    </row>
    <row r="659" spans="1:53" ht="13.5">
      <c r="A659" s="135" t="str">
        <f t="shared" si="183"/>
        <v/>
      </c>
      <c r="B659" s="19" t="str">
        <f t="shared" si="184"/>
        <v/>
      </c>
      <c r="C659" s="19" t="str">
        <f t="shared" si="185"/>
        <v/>
      </c>
      <c r="D659" s="19" t="str">
        <f t="shared" si="186"/>
        <v/>
      </c>
      <c r="E659" s="5" t="str">
        <f t="shared" si="187"/>
        <v/>
      </c>
      <c r="F659" s="12" t="str">
        <f t="shared" si="188"/>
        <v/>
      </c>
      <c r="K659" s="9" t="str">
        <f t="shared" si="189"/>
        <v/>
      </c>
      <c r="L659" s="6">
        <f t="shared" si="190"/>
        <v>0</v>
      </c>
      <c r="M659" s="6">
        <f t="shared" si="191"/>
        <v>0</v>
      </c>
      <c r="N659" s="94" t="str">
        <f t="shared" si="192"/>
        <v/>
      </c>
      <c r="O659" s="6"/>
      <c r="P659" s="6"/>
      <c r="Q659" s="6"/>
      <c r="R659" s="6"/>
      <c r="T659" s="136" t="str">
        <f t="shared" si="193"/>
        <v/>
      </c>
      <c r="U659" s="137" t="str">
        <f t="shared" si="194"/>
        <v/>
      </c>
      <c r="V659" s="1"/>
      <c r="Y659" s="90" t="str">
        <f t="shared" si="195"/>
        <v/>
      </c>
      <c r="AC659" s="6">
        <v>345304</v>
      </c>
      <c r="AD659" s="6" t="s">
        <v>7108</v>
      </c>
      <c r="AE659" s="158" t="s">
        <v>3693</v>
      </c>
      <c r="AF659" s="159" t="s">
        <v>8296</v>
      </c>
      <c r="AG659" s="160" t="s">
        <v>124</v>
      </c>
      <c r="AH659" s="194" t="s">
        <v>679</v>
      </c>
      <c r="AI659" s="6" t="s">
        <v>4454</v>
      </c>
      <c r="AJ659" s="3" t="s">
        <v>8202</v>
      </c>
      <c r="AK659" t="s">
        <v>8202</v>
      </c>
      <c r="AL659" s="29"/>
      <c r="AM659" s="6" t="s">
        <v>5191</v>
      </c>
      <c r="AN659" t="s">
        <v>6469</v>
      </c>
      <c r="AV659"/>
      <c r="AX659"/>
      <c r="AZ659" t="str">
        <f t="shared" si="196"/>
        <v/>
      </c>
      <c r="BA659" t="str">
        <f t="shared" si="197"/>
        <v/>
      </c>
    </row>
    <row r="660" spans="1:53" ht="13.5">
      <c r="A660" s="135" t="str">
        <f t="shared" si="183"/>
        <v/>
      </c>
      <c r="B660" s="19" t="str">
        <f t="shared" si="184"/>
        <v/>
      </c>
      <c r="C660" s="19" t="str">
        <f t="shared" si="185"/>
        <v/>
      </c>
      <c r="D660" s="19" t="str">
        <f t="shared" si="186"/>
        <v/>
      </c>
      <c r="E660" s="5" t="str">
        <f t="shared" si="187"/>
        <v/>
      </c>
      <c r="F660" s="12" t="str">
        <f t="shared" si="188"/>
        <v/>
      </c>
      <c r="K660" s="9" t="str">
        <f t="shared" si="189"/>
        <v/>
      </c>
      <c r="L660" s="6">
        <f t="shared" si="190"/>
        <v>0</v>
      </c>
      <c r="M660" s="6">
        <f t="shared" si="191"/>
        <v>0</v>
      </c>
      <c r="N660" s="94" t="str">
        <f t="shared" si="192"/>
        <v/>
      </c>
      <c r="O660" s="6"/>
      <c r="P660" s="6"/>
      <c r="Q660" s="6"/>
      <c r="R660" s="6"/>
      <c r="T660" s="136" t="str">
        <f t="shared" si="193"/>
        <v/>
      </c>
      <c r="U660" s="137" t="str">
        <f t="shared" si="194"/>
        <v/>
      </c>
      <c r="V660" s="1"/>
      <c r="Y660" s="90" t="str">
        <f t="shared" si="195"/>
        <v/>
      </c>
      <c r="AC660" s="6" t="s">
        <v>5620</v>
      </c>
      <c r="AD660" s="6" t="s">
        <v>6897</v>
      </c>
      <c r="AE660" s="158" t="s">
        <v>3694</v>
      </c>
      <c r="AF660" s="159" t="s">
        <v>8340</v>
      </c>
      <c r="AG660" s="160" t="s">
        <v>1137</v>
      </c>
      <c r="AH660" s="194" t="s">
        <v>679</v>
      </c>
      <c r="AI660" s="6" t="s">
        <v>4411</v>
      </c>
      <c r="AJ660" s="3" t="s">
        <v>8210</v>
      </c>
      <c r="AK660" t="s">
        <v>8210</v>
      </c>
      <c r="AL660" s="29"/>
      <c r="AM660" s="6" t="s">
        <v>5267</v>
      </c>
      <c r="AN660" t="s">
        <v>6470</v>
      </c>
      <c r="AV660"/>
      <c r="AX660"/>
      <c r="AZ660" t="str">
        <f t="shared" si="196"/>
        <v/>
      </c>
      <c r="BA660" t="str">
        <f t="shared" si="197"/>
        <v/>
      </c>
    </row>
    <row r="661" spans="1:53" ht="13.5">
      <c r="A661" s="135" t="str">
        <f t="shared" si="183"/>
        <v/>
      </c>
      <c r="B661" s="19" t="str">
        <f t="shared" si="184"/>
        <v/>
      </c>
      <c r="C661" s="19" t="str">
        <f t="shared" si="185"/>
        <v/>
      </c>
      <c r="D661" s="19" t="str">
        <f t="shared" si="186"/>
        <v/>
      </c>
      <c r="E661" s="5" t="str">
        <f t="shared" si="187"/>
        <v/>
      </c>
      <c r="F661" s="12" t="str">
        <f t="shared" si="188"/>
        <v/>
      </c>
      <c r="K661" s="9" t="str">
        <f t="shared" si="189"/>
        <v/>
      </c>
      <c r="L661" s="6">
        <f t="shared" si="190"/>
        <v>0</v>
      </c>
      <c r="M661" s="6">
        <f t="shared" si="191"/>
        <v>0</v>
      </c>
      <c r="N661" s="94" t="str">
        <f t="shared" si="192"/>
        <v/>
      </c>
      <c r="O661" s="6"/>
      <c r="P661" s="6"/>
      <c r="Q661" s="6"/>
      <c r="R661" s="6"/>
      <c r="T661" s="136" t="str">
        <f t="shared" si="193"/>
        <v/>
      </c>
      <c r="U661" s="137" t="str">
        <f t="shared" si="194"/>
        <v/>
      </c>
      <c r="V661" s="1"/>
      <c r="Y661" s="90" t="str">
        <f t="shared" si="195"/>
        <v/>
      </c>
      <c r="AC661" s="6" t="s">
        <v>4049</v>
      </c>
      <c r="AD661" s="6" t="s">
        <v>7086</v>
      </c>
      <c r="AE661" s="158" t="s">
        <v>3835</v>
      </c>
      <c r="AF661" s="159" t="s">
        <v>8332</v>
      </c>
      <c r="AG661" s="160" t="s">
        <v>1138</v>
      </c>
      <c r="AH661" s="194" t="s">
        <v>678</v>
      </c>
      <c r="AI661" s="6" t="s">
        <v>5041</v>
      </c>
      <c r="AJ661" s="3" t="s">
        <v>8214</v>
      </c>
      <c r="AK661" t="s">
        <v>8214</v>
      </c>
      <c r="AL661" s="29"/>
      <c r="AM661" s="6" t="s">
        <v>5247</v>
      </c>
      <c r="AN661" t="s">
        <v>6471</v>
      </c>
      <c r="AV661"/>
      <c r="AX661"/>
      <c r="AZ661" t="str">
        <f t="shared" si="196"/>
        <v/>
      </c>
      <c r="BA661" t="str">
        <f t="shared" si="197"/>
        <v/>
      </c>
    </row>
    <row r="662" spans="1:53" ht="13.5">
      <c r="A662" s="135" t="str">
        <f t="shared" si="183"/>
        <v/>
      </c>
      <c r="B662" s="19" t="str">
        <f t="shared" si="184"/>
        <v/>
      </c>
      <c r="C662" s="19" t="str">
        <f t="shared" si="185"/>
        <v/>
      </c>
      <c r="D662" s="19" t="str">
        <f t="shared" si="186"/>
        <v/>
      </c>
      <c r="E662" s="5" t="str">
        <f t="shared" si="187"/>
        <v/>
      </c>
      <c r="F662" s="12" t="str">
        <f t="shared" si="188"/>
        <v/>
      </c>
      <c r="K662" s="9" t="str">
        <f t="shared" si="189"/>
        <v/>
      </c>
      <c r="L662" s="6">
        <f t="shared" si="190"/>
        <v>0</v>
      </c>
      <c r="M662" s="6">
        <f t="shared" si="191"/>
        <v>0</v>
      </c>
      <c r="N662" s="94" t="str">
        <f t="shared" si="192"/>
        <v/>
      </c>
      <c r="O662" s="6"/>
      <c r="P662" s="6"/>
      <c r="Q662" s="6"/>
      <c r="R662" s="6"/>
      <c r="T662" s="136" t="str">
        <f t="shared" si="193"/>
        <v/>
      </c>
      <c r="U662" s="137" t="str">
        <f t="shared" si="194"/>
        <v/>
      </c>
      <c r="V662" s="1"/>
      <c r="Y662" s="90" t="str">
        <f t="shared" si="195"/>
        <v/>
      </c>
      <c r="AC662" s="6" t="s">
        <v>1309</v>
      </c>
      <c r="AD662" s="6" t="s">
        <v>7098</v>
      </c>
      <c r="AE662" s="158" t="s">
        <v>3862</v>
      </c>
      <c r="AF662" s="159" t="s">
        <v>8335</v>
      </c>
      <c r="AG662" s="160" t="s">
        <v>1139</v>
      </c>
      <c r="AH662" s="194" t="s">
        <v>678</v>
      </c>
      <c r="AI662" s="6" t="s">
        <v>5489</v>
      </c>
      <c r="AJ662" s="3" t="s">
        <v>8217</v>
      </c>
      <c r="AK662" t="s">
        <v>8668</v>
      </c>
      <c r="AL662" s="29"/>
      <c r="AM662" s="6" t="s">
        <v>5380</v>
      </c>
      <c r="AN662" t="s">
        <v>6472</v>
      </c>
      <c r="AV662"/>
      <c r="AX662"/>
      <c r="AZ662" t="str">
        <f t="shared" si="196"/>
        <v/>
      </c>
      <c r="BA662" t="str">
        <f t="shared" si="197"/>
        <v/>
      </c>
    </row>
    <row r="663" spans="1:53" ht="13.5">
      <c r="A663" s="135" t="str">
        <f t="shared" si="183"/>
        <v/>
      </c>
      <c r="B663" s="19" t="str">
        <f t="shared" si="184"/>
        <v/>
      </c>
      <c r="C663" s="19" t="str">
        <f t="shared" si="185"/>
        <v/>
      </c>
      <c r="D663" s="19" t="str">
        <f t="shared" si="186"/>
        <v/>
      </c>
      <c r="E663" s="5" t="str">
        <f t="shared" si="187"/>
        <v/>
      </c>
      <c r="F663" s="12" t="str">
        <f t="shared" si="188"/>
        <v/>
      </c>
      <c r="K663" s="9" t="str">
        <f t="shared" si="189"/>
        <v/>
      </c>
      <c r="L663" s="6">
        <f t="shared" si="190"/>
        <v>0</v>
      </c>
      <c r="M663" s="6">
        <f t="shared" si="191"/>
        <v>0</v>
      </c>
      <c r="N663" s="94" t="str">
        <f t="shared" si="192"/>
        <v/>
      </c>
      <c r="O663" s="6"/>
      <c r="P663" s="6"/>
      <c r="Q663" s="6"/>
      <c r="R663" s="6"/>
      <c r="T663" s="136" t="str">
        <f t="shared" si="193"/>
        <v/>
      </c>
      <c r="U663" s="137" t="str">
        <f t="shared" si="194"/>
        <v/>
      </c>
      <c r="V663" s="1"/>
      <c r="Y663" s="90" t="str">
        <f t="shared" si="195"/>
        <v/>
      </c>
      <c r="AC663" s="6">
        <v>115591</v>
      </c>
      <c r="AD663" s="6" t="s">
        <v>7072</v>
      </c>
      <c r="AE663" s="158" t="s">
        <v>3863</v>
      </c>
      <c r="AF663" s="159" t="s">
        <v>8299</v>
      </c>
      <c r="AG663" s="160" t="s">
        <v>3547</v>
      </c>
      <c r="AH663" s="194" t="s">
        <v>1314</v>
      </c>
      <c r="AI663" s="6" t="s">
        <v>5085</v>
      </c>
      <c r="AJ663" s="3" t="s">
        <v>8224</v>
      </c>
      <c r="AK663" t="s">
        <v>8224</v>
      </c>
      <c r="AL663" s="29"/>
      <c r="AM663" s="6" t="s">
        <v>5464</v>
      </c>
      <c r="AN663" t="s">
        <v>6473</v>
      </c>
      <c r="AV663"/>
      <c r="AX663"/>
      <c r="AZ663" t="str">
        <f t="shared" si="196"/>
        <v/>
      </c>
      <c r="BA663" t="str">
        <f t="shared" si="197"/>
        <v/>
      </c>
    </row>
    <row r="664" spans="1:53" ht="13.5">
      <c r="A664" s="135" t="str">
        <f t="shared" si="183"/>
        <v/>
      </c>
      <c r="B664" s="19" t="str">
        <f t="shared" si="184"/>
        <v/>
      </c>
      <c r="C664" s="19" t="str">
        <f t="shared" si="185"/>
        <v/>
      </c>
      <c r="D664" s="19" t="str">
        <f t="shared" si="186"/>
        <v/>
      </c>
      <c r="E664" s="5" t="str">
        <f t="shared" si="187"/>
        <v/>
      </c>
      <c r="F664" s="12" t="str">
        <f t="shared" si="188"/>
        <v/>
      </c>
      <c r="K664" s="9" t="str">
        <f t="shared" si="189"/>
        <v/>
      </c>
      <c r="L664" s="6">
        <f t="shared" si="190"/>
        <v>0</v>
      </c>
      <c r="M664" s="6">
        <f t="shared" si="191"/>
        <v>0</v>
      </c>
      <c r="N664" s="94" t="str">
        <f t="shared" si="192"/>
        <v/>
      </c>
      <c r="O664" s="6"/>
      <c r="P664" s="6"/>
      <c r="Q664" s="6"/>
      <c r="R664" s="6"/>
      <c r="T664" s="136" t="str">
        <f t="shared" si="193"/>
        <v/>
      </c>
      <c r="U664" s="137" t="str">
        <f t="shared" si="194"/>
        <v/>
      </c>
      <c r="V664" s="1"/>
      <c r="Y664" s="90" t="str">
        <f t="shared" si="195"/>
        <v/>
      </c>
      <c r="AC664" s="6">
        <v>345242</v>
      </c>
      <c r="AD664" s="6" t="s">
        <v>7109</v>
      </c>
      <c r="AE664" s="158" t="s">
        <v>3915</v>
      </c>
      <c r="AF664" s="159" t="s">
        <v>8296</v>
      </c>
      <c r="AG664" s="160" t="s">
        <v>4303</v>
      </c>
      <c r="AH664" s="194" t="s">
        <v>1314</v>
      </c>
      <c r="AI664" s="6" t="s">
        <v>4447</v>
      </c>
      <c r="AJ664" s="3" t="s">
        <v>8224</v>
      </c>
      <c r="AK664" t="s">
        <v>8224</v>
      </c>
      <c r="AL664" s="29"/>
      <c r="AM664" s="6" t="s">
        <v>5214</v>
      </c>
      <c r="AN664" t="s">
        <v>6474</v>
      </c>
      <c r="AV664"/>
      <c r="AX664"/>
      <c r="AZ664" t="str">
        <f t="shared" si="196"/>
        <v/>
      </c>
      <c r="BA664" t="str">
        <f t="shared" si="197"/>
        <v/>
      </c>
    </row>
    <row r="665" spans="1:53" ht="13.5">
      <c r="A665" s="135" t="str">
        <f t="shared" si="183"/>
        <v/>
      </c>
      <c r="B665" s="19" t="str">
        <f t="shared" si="184"/>
        <v/>
      </c>
      <c r="C665" s="19" t="str">
        <f t="shared" si="185"/>
        <v/>
      </c>
      <c r="D665" s="19" t="str">
        <f t="shared" si="186"/>
        <v/>
      </c>
      <c r="E665" s="5" t="str">
        <f t="shared" si="187"/>
        <v/>
      </c>
      <c r="F665" s="12" t="str">
        <f t="shared" si="188"/>
        <v/>
      </c>
      <c r="K665" s="9" t="str">
        <f t="shared" si="189"/>
        <v/>
      </c>
      <c r="L665" s="6">
        <f t="shared" si="190"/>
        <v>0</v>
      </c>
      <c r="M665" s="6">
        <f t="shared" si="191"/>
        <v>0</v>
      </c>
      <c r="N665" s="94" t="str">
        <f t="shared" si="192"/>
        <v/>
      </c>
      <c r="O665" s="6"/>
      <c r="P665" s="6"/>
      <c r="Q665" s="6"/>
      <c r="R665" s="6"/>
      <c r="T665" s="136" t="str">
        <f t="shared" si="193"/>
        <v/>
      </c>
      <c r="U665" s="137" t="str">
        <f t="shared" si="194"/>
        <v/>
      </c>
      <c r="V665" s="1"/>
      <c r="Y665" s="90" t="str">
        <f t="shared" si="195"/>
        <v/>
      </c>
      <c r="AC665" s="6" t="s">
        <v>2466</v>
      </c>
      <c r="AD665" s="6" t="s">
        <v>6897</v>
      </c>
      <c r="AE665" s="158" t="s">
        <v>3909</v>
      </c>
      <c r="AF665" s="159" t="s">
        <v>8318</v>
      </c>
      <c r="AG665" s="160" t="s">
        <v>4304</v>
      </c>
      <c r="AH665" s="194" t="s">
        <v>1314</v>
      </c>
      <c r="AI665" s="6" t="s">
        <v>5269</v>
      </c>
      <c r="AJ665" s="3" t="s">
        <v>8212</v>
      </c>
      <c r="AK665" t="s">
        <v>8212</v>
      </c>
      <c r="AL665" s="29"/>
      <c r="AM665" s="6" t="s">
        <v>5458</v>
      </c>
      <c r="AN665" t="s">
        <v>6475</v>
      </c>
      <c r="AV665"/>
      <c r="AX665"/>
      <c r="AZ665" t="str">
        <f t="shared" si="196"/>
        <v/>
      </c>
      <c r="BA665" t="str">
        <f t="shared" si="197"/>
        <v/>
      </c>
    </row>
    <row r="666" spans="1:53" ht="13.5">
      <c r="A666" s="135" t="str">
        <f t="shared" si="183"/>
        <v/>
      </c>
      <c r="B666" s="19" t="str">
        <f t="shared" si="184"/>
        <v/>
      </c>
      <c r="C666" s="19" t="str">
        <f t="shared" si="185"/>
        <v/>
      </c>
      <c r="D666" s="19" t="str">
        <f t="shared" si="186"/>
        <v/>
      </c>
      <c r="E666" s="5" t="str">
        <f t="shared" si="187"/>
        <v/>
      </c>
      <c r="F666" s="12" t="str">
        <f t="shared" si="188"/>
        <v/>
      </c>
      <c r="K666" s="9" t="str">
        <f t="shared" si="189"/>
        <v/>
      </c>
      <c r="L666" s="6">
        <f t="shared" si="190"/>
        <v>0</v>
      </c>
      <c r="M666" s="6">
        <f t="shared" si="191"/>
        <v>0</v>
      </c>
      <c r="N666" s="94" t="str">
        <f t="shared" si="192"/>
        <v/>
      </c>
      <c r="O666" s="6"/>
      <c r="P666" s="6"/>
      <c r="Q666" s="6"/>
      <c r="R666" s="6"/>
      <c r="T666" s="136" t="str">
        <f t="shared" si="193"/>
        <v/>
      </c>
      <c r="U666" s="137" t="str">
        <f t="shared" si="194"/>
        <v/>
      </c>
      <c r="V666" s="1"/>
      <c r="Y666" s="90" t="str">
        <f t="shared" si="195"/>
        <v/>
      </c>
      <c r="AC666" s="6" t="s">
        <v>2439</v>
      </c>
      <c r="AD666" s="6" t="s">
        <v>6897</v>
      </c>
      <c r="AE666" s="158" t="s">
        <v>3910</v>
      </c>
      <c r="AF666" s="159" t="s">
        <v>8332</v>
      </c>
      <c r="AG666" s="160" t="s">
        <v>4305</v>
      </c>
      <c r="AH666" s="194" t="s">
        <v>1314</v>
      </c>
      <c r="AI666" s="6" t="s">
        <v>5176</v>
      </c>
      <c r="AJ666" s="3" t="s">
        <v>8268</v>
      </c>
      <c r="AK666" t="s">
        <v>8268</v>
      </c>
      <c r="AL666" s="29"/>
      <c r="AM666" s="6" t="s">
        <v>5379</v>
      </c>
      <c r="AN666" t="s">
        <v>6476</v>
      </c>
      <c r="AV666"/>
      <c r="AX666"/>
      <c r="AZ666" t="str">
        <f t="shared" si="196"/>
        <v/>
      </c>
      <c r="BA666" t="str">
        <f t="shared" si="197"/>
        <v/>
      </c>
    </row>
    <row r="667" spans="1:53" ht="13.5">
      <c r="A667" s="135" t="str">
        <f t="shared" si="183"/>
        <v/>
      </c>
      <c r="B667" s="19" t="str">
        <f t="shared" si="184"/>
        <v/>
      </c>
      <c r="C667" s="19" t="str">
        <f t="shared" si="185"/>
        <v/>
      </c>
      <c r="D667" s="19" t="str">
        <f t="shared" si="186"/>
        <v/>
      </c>
      <c r="E667" s="5" t="str">
        <f t="shared" si="187"/>
        <v/>
      </c>
      <c r="F667" s="12" t="str">
        <f t="shared" si="188"/>
        <v/>
      </c>
      <c r="K667" s="9" t="str">
        <f t="shared" si="189"/>
        <v/>
      </c>
      <c r="L667" s="6">
        <f t="shared" si="190"/>
        <v>0</v>
      </c>
      <c r="M667" s="6">
        <f t="shared" si="191"/>
        <v>0</v>
      </c>
      <c r="N667" s="94" t="str">
        <f t="shared" si="192"/>
        <v/>
      </c>
      <c r="O667" s="6"/>
      <c r="P667" s="6"/>
      <c r="Q667" s="6"/>
      <c r="R667" s="6"/>
      <c r="T667" s="136" t="str">
        <f t="shared" si="193"/>
        <v/>
      </c>
      <c r="U667" s="137" t="str">
        <f t="shared" si="194"/>
        <v/>
      </c>
      <c r="V667" s="1"/>
      <c r="Y667" s="90" t="str">
        <f t="shared" si="195"/>
        <v/>
      </c>
      <c r="AC667" s="6" t="s">
        <v>5624</v>
      </c>
      <c r="AD667" s="6" t="s">
        <v>7110</v>
      </c>
      <c r="AE667" s="158" t="s">
        <v>4045</v>
      </c>
      <c r="AF667" s="159" t="s">
        <v>8299</v>
      </c>
      <c r="AG667" s="160" t="s">
        <v>4306</v>
      </c>
      <c r="AH667" s="194" t="s">
        <v>679</v>
      </c>
      <c r="AI667" s="6" t="s">
        <v>5328</v>
      </c>
      <c r="AJ667" s="3" t="s">
        <v>8217</v>
      </c>
      <c r="AK667" t="s">
        <v>8668</v>
      </c>
      <c r="AM667" s="6" t="s">
        <v>5467</v>
      </c>
      <c r="AN667" t="s">
        <v>6477</v>
      </c>
      <c r="AV667"/>
      <c r="AX667"/>
      <c r="AZ667" t="str">
        <f t="shared" ref="AZ667:AZ730" si="198">IF(ISBLANK(AW667),"",CONCATENATE("(",RIGHT(AW667,5),"-",TEXT(AX667,"h:mm;@"),")"))</f>
        <v/>
      </c>
      <c r="BA667" t="str">
        <f t="shared" ref="BA667:BA730" si="199">IF(AV683=AV667,"",CONCATENATE(IF(AV682=AV667,BA682,""),IF(AV681=AV667,BA681,""),IF(AV680=AV667,BA680,""),IF(AV679=AV667,BA679,""),IF(AV678=AV667,BA678,""),IF(AV677=AV667,BA677,""),IF(AV676=AV667,BA676,""),IF(AV675=AV667,BA675,""),IF(AV674=AV667,BA674,""),IF(AV673=AV667,BA673,""),IF(AV672=AV667,BA672,""),IF(AV671=AV667,BA671,""),IF(AV670=AV667,BA670,""),IF(AV669=AV667,BA669,""),IF(AV668=AV667,BA668,""),IF(AV666=AV667,BA666,""),BA667))</f>
        <v/>
      </c>
    </row>
    <row r="668" spans="1:53" ht="13.5">
      <c r="A668" s="135" t="str">
        <f t="shared" si="183"/>
        <v/>
      </c>
      <c r="B668" s="19" t="str">
        <f t="shared" si="184"/>
        <v/>
      </c>
      <c r="C668" s="19" t="str">
        <f t="shared" si="185"/>
        <v/>
      </c>
      <c r="D668" s="19" t="str">
        <f t="shared" si="186"/>
        <v/>
      </c>
      <c r="E668" s="5" t="str">
        <f t="shared" si="187"/>
        <v/>
      </c>
      <c r="F668" s="12" t="str">
        <f t="shared" si="188"/>
        <v/>
      </c>
      <c r="K668" s="9" t="str">
        <f t="shared" si="189"/>
        <v/>
      </c>
      <c r="L668" s="6">
        <f t="shared" si="190"/>
        <v>0</v>
      </c>
      <c r="M668" s="6">
        <f t="shared" si="191"/>
        <v>0</v>
      </c>
      <c r="N668" s="94" t="str">
        <f t="shared" si="192"/>
        <v/>
      </c>
      <c r="O668" s="6"/>
      <c r="P668" s="6"/>
      <c r="Q668" s="6"/>
      <c r="R668" s="6"/>
      <c r="T668" s="136" t="str">
        <f t="shared" si="193"/>
        <v/>
      </c>
      <c r="U668" s="137" t="str">
        <f t="shared" si="194"/>
        <v/>
      </c>
      <c r="V668" s="1"/>
      <c r="Y668" s="90" t="str">
        <f t="shared" si="195"/>
        <v/>
      </c>
      <c r="AC668" s="6" t="s">
        <v>5039</v>
      </c>
      <c r="AD668" s="6" t="s">
        <v>7111</v>
      </c>
      <c r="AE668" s="158" t="s">
        <v>4085</v>
      </c>
      <c r="AF668" s="159" t="s">
        <v>8333</v>
      </c>
      <c r="AG668" s="160" t="s">
        <v>4307</v>
      </c>
      <c r="AH668" s="194" t="s">
        <v>679</v>
      </c>
      <c r="AI668" s="6">
        <v>125619</v>
      </c>
      <c r="AJ668" s="3" t="s">
        <v>8249</v>
      </c>
      <c r="AK668" t="s">
        <v>8249</v>
      </c>
      <c r="AM668" s="6" t="s">
        <v>5453</v>
      </c>
      <c r="AN668" t="s">
        <v>6478</v>
      </c>
      <c r="AV668"/>
      <c r="AX668"/>
      <c r="AZ668" t="str">
        <f t="shared" si="198"/>
        <v/>
      </c>
      <c r="BA668" t="str">
        <f t="shared" si="199"/>
        <v/>
      </c>
    </row>
    <row r="669" spans="1:53" ht="13.5">
      <c r="A669" s="135" t="str">
        <f t="shared" si="183"/>
        <v/>
      </c>
      <c r="B669" s="19" t="str">
        <f t="shared" si="184"/>
        <v/>
      </c>
      <c r="C669" s="19" t="str">
        <f t="shared" si="185"/>
        <v/>
      </c>
      <c r="D669" s="19" t="str">
        <f t="shared" si="186"/>
        <v/>
      </c>
      <c r="E669" s="5" t="str">
        <f t="shared" si="187"/>
        <v/>
      </c>
      <c r="F669" s="12" t="str">
        <f t="shared" si="188"/>
        <v/>
      </c>
      <c r="K669" s="9" t="str">
        <f t="shared" si="189"/>
        <v/>
      </c>
      <c r="L669" s="6">
        <f t="shared" si="190"/>
        <v>0</v>
      </c>
      <c r="M669" s="6">
        <f t="shared" si="191"/>
        <v>0</v>
      </c>
      <c r="N669" s="94" t="str">
        <f t="shared" si="192"/>
        <v/>
      </c>
      <c r="O669" s="6"/>
      <c r="P669" s="6"/>
      <c r="Q669" s="6"/>
      <c r="R669" s="6"/>
      <c r="T669" s="136" t="str">
        <f t="shared" si="193"/>
        <v/>
      </c>
      <c r="U669" s="137" t="str">
        <f t="shared" si="194"/>
        <v/>
      </c>
      <c r="V669" s="1"/>
      <c r="Y669" s="90" t="str">
        <f t="shared" si="195"/>
        <v/>
      </c>
      <c r="AC669" s="6" t="s">
        <v>1111</v>
      </c>
      <c r="AD669" s="6" t="s">
        <v>7098</v>
      </c>
      <c r="AE669" s="158" t="s">
        <v>4086</v>
      </c>
      <c r="AF669" s="159" t="s">
        <v>8299</v>
      </c>
      <c r="AG669" s="160" t="s">
        <v>4308</v>
      </c>
      <c r="AH669" s="194" t="s">
        <v>1314</v>
      </c>
      <c r="AI669" s="6" t="s">
        <v>5481</v>
      </c>
      <c r="AJ669" s="3" t="s">
        <v>8214</v>
      </c>
      <c r="AK669" t="s">
        <v>8214</v>
      </c>
      <c r="AM669" s="6" t="s">
        <v>5221</v>
      </c>
      <c r="AN669" t="s">
        <v>6479</v>
      </c>
      <c r="AV669"/>
      <c r="AX669"/>
      <c r="AZ669" t="str">
        <f t="shared" si="198"/>
        <v/>
      </c>
      <c r="BA669" t="str">
        <f t="shared" si="199"/>
        <v/>
      </c>
    </row>
    <row r="670" spans="1:53" ht="13.5">
      <c r="A670" s="135" t="str">
        <f t="shared" si="183"/>
        <v/>
      </c>
      <c r="B670" s="19" t="str">
        <f t="shared" si="184"/>
        <v/>
      </c>
      <c r="C670" s="19" t="str">
        <f t="shared" si="185"/>
        <v/>
      </c>
      <c r="D670" s="19" t="str">
        <f t="shared" si="186"/>
        <v/>
      </c>
      <c r="E670" s="5" t="str">
        <f t="shared" si="187"/>
        <v/>
      </c>
      <c r="F670" s="12" t="str">
        <f t="shared" si="188"/>
        <v/>
      </c>
      <c r="K670" s="9" t="str">
        <f t="shared" si="189"/>
        <v/>
      </c>
      <c r="L670" s="6">
        <f t="shared" si="190"/>
        <v>0</v>
      </c>
      <c r="M670" s="6">
        <f t="shared" si="191"/>
        <v>0</v>
      </c>
      <c r="N670" s="94" t="str">
        <f t="shared" si="192"/>
        <v/>
      </c>
      <c r="O670" s="6"/>
      <c r="P670" s="6"/>
      <c r="Q670" s="6"/>
      <c r="R670" s="6"/>
      <c r="T670" s="136" t="str">
        <f t="shared" si="193"/>
        <v/>
      </c>
      <c r="U670" s="137" t="str">
        <f t="shared" si="194"/>
        <v/>
      </c>
      <c r="V670" s="1"/>
      <c r="Y670" s="90" t="str">
        <f t="shared" si="195"/>
        <v/>
      </c>
      <c r="AC670" s="6">
        <v>105570</v>
      </c>
      <c r="AD670" s="6" t="s">
        <v>7102</v>
      </c>
      <c r="AE670" s="158" t="s">
        <v>4136</v>
      </c>
      <c r="AF670" s="159" t="s">
        <v>8297</v>
      </c>
      <c r="AG670" s="160" t="s">
        <v>4309</v>
      </c>
      <c r="AH670" s="194" t="s">
        <v>1314</v>
      </c>
      <c r="AI670" s="6" t="s">
        <v>5441</v>
      </c>
      <c r="AJ670" s="3" t="s">
        <v>8233</v>
      </c>
      <c r="AK670" t="s">
        <v>8233</v>
      </c>
      <c r="AM670" s="6" t="s">
        <v>5468</v>
      </c>
      <c r="AN670" t="s">
        <v>6480</v>
      </c>
      <c r="AV670"/>
      <c r="AX670"/>
      <c r="AZ670" t="str">
        <f t="shared" si="198"/>
        <v/>
      </c>
      <c r="BA670" t="str">
        <f t="shared" si="199"/>
        <v/>
      </c>
    </row>
    <row r="671" spans="1:53" ht="13.5">
      <c r="A671" s="135" t="str">
        <f t="shared" si="183"/>
        <v/>
      </c>
      <c r="B671" s="19" t="str">
        <f t="shared" si="184"/>
        <v/>
      </c>
      <c r="C671" s="19" t="str">
        <f t="shared" si="185"/>
        <v/>
      </c>
      <c r="D671" s="19" t="str">
        <f t="shared" si="186"/>
        <v/>
      </c>
      <c r="E671" s="5" t="str">
        <f t="shared" si="187"/>
        <v/>
      </c>
      <c r="F671" s="12" t="str">
        <f t="shared" si="188"/>
        <v/>
      </c>
      <c r="K671" s="9" t="str">
        <f t="shared" si="189"/>
        <v/>
      </c>
      <c r="L671" s="6">
        <f t="shared" si="190"/>
        <v>0</v>
      </c>
      <c r="M671" s="6">
        <f t="shared" si="191"/>
        <v>0</v>
      </c>
      <c r="N671" s="94" t="str">
        <f t="shared" si="192"/>
        <v/>
      </c>
      <c r="O671" s="6"/>
      <c r="P671" s="6"/>
      <c r="Q671" s="6"/>
      <c r="R671" s="6"/>
      <c r="T671" s="136" t="str">
        <f t="shared" si="193"/>
        <v/>
      </c>
      <c r="U671" s="137" t="str">
        <f t="shared" si="194"/>
        <v/>
      </c>
      <c r="V671" s="1"/>
      <c r="Y671" s="90" t="str">
        <f t="shared" si="195"/>
        <v/>
      </c>
      <c r="AC671" s="6">
        <v>936431</v>
      </c>
      <c r="AD671" s="6" t="s">
        <v>7049</v>
      </c>
      <c r="AE671" s="158">
        <v>215581</v>
      </c>
      <c r="AF671" s="159" t="s">
        <v>8311</v>
      </c>
      <c r="AG671" s="160" t="s">
        <v>4310</v>
      </c>
      <c r="AH671" s="194" t="s">
        <v>1314</v>
      </c>
      <c r="AI671" s="6" t="s">
        <v>5072</v>
      </c>
      <c r="AJ671" s="3" t="s">
        <v>8216</v>
      </c>
      <c r="AK671" t="s">
        <v>8216</v>
      </c>
      <c r="AM671" s="6" t="s">
        <v>5409</v>
      </c>
      <c r="AN671" t="s">
        <v>6481</v>
      </c>
      <c r="AV671"/>
      <c r="AX671"/>
      <c r="AZ671" t="str">
        <f t="shared" si="198"/>
        <v/>
      </c>
      <c r="BA671" t="str">
        <f t="shared" si="199"/>
        <v/>
      </c>
    </row>
    <row r="672" spans="1:53" ht="13.5">
      <c r="A672" s="135" t="str">
        <f t="shared" si="183"/>
        <v/>
      </c>
      <c r="B672" s="19" t="str">
        <f t="shared" si="184"/>
        <v/>
      </c>
      <c r="C672" s="19" t="str">
        <f t="shared" si="185"/>
        <v/>
      </c>
      <c r="D672" s="19" t="str">
        <f t="shared" si="186"/>
        <v/>
      </c>
      <c r="E672" s="5" t="str">
        <f t="shared" si="187"/>
        <v/>
      </c>
      <c r="F672" s="12" t="str">
        <f t="shared" si="188"/>
        <v/>
      </c>
      <c r="K672" s="9" t="str">
        <f t="shared" si="189"/>
        <v/>
      </c>
      <c r="L672" s="6">
        <f t="shared" si="190"/>
        <v>0</v>
      </c>
      <c r="M672" s="6">
        <f t="shared" si="191"/>
        <v>0</v>
      </c>
      <c r="N672" s="94" t="str">
        <f t="shared" si="192"/>
        <v/>
      </c>
      <c r="O672" s="6"/>
      <c r="P672" s="6"/>
      <c r="Q672" s="6"/>
      <c r="R672" s="6"/>
      <c r="T672" s="136" t="str">
        <f t="shared" si="193"/>
        <v/>
      </c>
      <c r="U672" s="137" t="str">
        <f t="shared" si="194"/>
        <v/>
      </c>
      <c r="V672" s="1"/>
      <c r="Y672" s="90" t="str">
        <f t="shared" si="195"/>
        <v/>
      </c>
      <c r="AC672" s="6" t="s">
        <v>2436</v>
      </c>
      <c r="AD672" s="6" t="s">
        <v>6897</v>
      </c>
      <c r="AE672" s="158">
        <v>365583</v>
      </c>
      <c r="AF672" s="159" t="s">
        <v>8340</v>
      </c>
      <c r="AG672" s="160" t="s">
        <v>937</v>
      </c>
      <c r="AH672" s="194" t="s">
        <v>679</v>
      </c>
      <c r="AI672" s="6" t="s">
        <v>1122</v>
      </c>
      <c r="AJ672" s="3" t="s">
        <v>8229</v>
      </c>
      <c r="AK672" t="s">
        <v>8229</v>
      </c>
      <c r="AM672" s="6" t="s">
        <v>5364</v>
      </c>
      <c r="AN672" t="s">
        <v>6482</v>
      </c>
      <c r="AV672"/>
      <c r="AX672"/>
      <c r="AZ672" t="str">
        <f t="shared" si="198"/>
        <v/>
      </c>
      <c r="BA672" t="str">
        <f t="shared" si="199"/>
        <v/>
      </c>
    </row>
    <row r="673" spans="1:53" ht="13.5">
      <c r="A673" s="135" t="str">
        <f t="shared" si="183"/>
        <v/>
      </c>
      <c r="B673" s="19" t="str">
        <f t="shared" si="184"/>
        <v/>
      </c>
      <c r="C673" s="19" t="str">
        <f t="shared" si="185"/>
        <v/>
      </c>
      <c r="D673" s="19" t="str">
        <f t="shared" si="186"/>
        <v/>
      </c>
      <c r="E673" s="5" t="str">
        <f t="shared" si="187"/>
        <v/>
      </c>
      <c r="F673" s="12" t="str">
        <f t="shared" si="188"/>
        <v/>
      </c>
      <c r="K673" s="9" t="str">
        <f t="shared" si="189"/>
        <v/>
      </c>
      <c r="L673" s="6">
        <f t="shared" si="190"/>
        <v>0</v>
      </c>
      <c r="M673" s="6">
        <f t="shared" si="191"/>
        <v>0</v>
      </c>
      <c r="N673" s="94" t="str">
        <f t="shared" si="192"/>
        <v/>
      </c>
      <c r="O673" s="6"/>
      <c r="P673" s="6"/>
      <c r="Q673" s="6"/>
      <c r="R673" s="6"/>
      <c r="T673" s="136" t="str">
        <f t="shared" si="193"/>
        <v/>
      </c>
      <c r="U673" s="137" t="str">
        <f t="shared" si="194"/>
        <v/>
      </c>
      <c r="V673" s="1"/>
      <c r="Y673" s="90" t="str">
        <f t="shared" si="195"/>
        <v/>
      </c>
      <c r="AC673" s="6" t="s">
        <v>4275</v>
      </c>
      <c r="AD673" s="6" t="s">
        <v>7063</v>
      </c>
      <c r="AE673" s="158" t="s">
        <v>4378</v>
      </c>
      <c r="AF673" s="159" t="s">
        <v>8332</v>
      </c>
      <c r="AG673" s="160" t="s">
        <v>1140</v>
      </c>
      <c r="AH673" s="194" t="s">
        <v>1314</v>
      </c>
      <c r="AI673" s="6" t="s">
        <v>1200</v>
      </c>
      <c r="AJ673" s="3" t="s">
        <v>8224</v>
      </c>
      <c r="AK673" t="s">
        <v>8224</v>
      </c>
      <c r="AM673" s="6" t="s">
        <v>5349</v>
      </c>
      <c r="AN673" t="s">
        <v>6483</v>
      </c>
      <c r="AV673"/>
      <c r="AX673"/>
      <c r="AZ673" t="str">
        <f t="shared" si="198"/>
        <v/>
      </c>
      <c r="BA673" t="str">
        <f t="shared" si="199"/>
        <v/>
      </c>
    </row>
    <row r="674" spans="1:53" ht="13.5">
      <c r="A674" s="135" t="str">
        <f t="shared" si="183"/>
        <v/>
      </c>
      <c r="B674" s="19" t="str">
        <f t="shared" si="184"/>
        <v/>
      </c>
      <c r="C674" s="19" t="str">
        <f t="shared" si="185"/>
        <v/>
      </c>
      <c r="D674" s="19" t="str">
        <f t="shared" si="186"/>
        <v/>
      </c>
      <c r="E674" s="5" t="str">
        <f t="shared" si="187"/>
        <v/>
      </c>
      <c r="F674" s="12" t="str">
        <f t="shared" si="188"/>
        <v/>
      </c>
      <c r="K674" s="9" t="str">
        <f t="shared" si="189"/>
        <v/>
      </c>
      <c r="L674" s="6">
        <f t="shared" si="190"/>
        <v>0</v>
      </c>
      <c r="M674" s="6">
        <f t="shared" si="191"/>
        <v>0</v>
      </c>
      <c r="N674" s="94" t="str">
        <f t="shared" si="192"/>
        <v/>
      </c>
      <c r="O674" s="6"/>
      <c r="P674" s="6"/>
      <c r="Q674" s="6"/>
      <c r="R674" s="6"/>
      <c r="T674" s="136" t="str">
        <f t="shared" si="193"/>
        <v/>
      </c>
      <c r="U674" s="137" t="str">
        <f t="shared" si="194"/>
        <v/>
      </c>
      <c r="V674" s="1"/>
      <c r="Y674" s="90" t="str">
        <f t="shared" si="195"/>
        <v/>
      </c>
      <c r="AC674" s="6">
        <v>115592</v>
      </c>
      <c r="AD674" s="6" t="s">
        <v>7072</v>
      </c>
      <c r="AE674" s="158">
        <v>365586</v>
      </c>
      <c r="AF674" s="159" t="s">
        <v>8297</v>
      </c>
      <c r="AG674" s="160" t="s">
        <v>4311</v>
      </c>
      <c r="AH674" s="194" t="s">
        <v>1314</v>
      </c>
      <c r="AI674" s="6" t="s">
        <v>5408</v>
      </c>
      <c r="AJ674" s="3" t="s">
        <v>8224</v>
      </c>
      <c r="AK674" t="s">
        <v>8224</v>
      </c>
      <c r="AM674" s="6" t="s">
        <v>5352</v>
      </c>
      <c r="AN674" t="s">
        <v>6484</v>
      </c>
      <c r="AV674"/>
      <c r="AX674"/>
      <c r="AZ674" t="str">
        <f t="shared" si="198"/>
        <v/>
      </c>
      <c r="BA674" t="str">
        <f t="shared" si="199"/>
        <v/>
      </c>
    </row>
    <row r="675" spans="1:53" ht="13.5">
      <c r="A675" s="135" t="str">
        <f t="shared" si="183"/>
        <v/>
      </c>
      <c r="B675" s="19" t="str">
        <f t="shared" si="184"/>
        <v/>
      </c>
      <c r="C675" s="19" t="str">
        <f t="shared" si="185"/>
        <v/>
      </c>
      <c r="D675" s="19" t="str">
        <f t="shared" si="186"/>
        <v/>
      </c>
      <c r="E675" s="5" t="str">
        <f t="shared" si="187"/>
        <v/>
      </c>
      <c r="F675" s="12" t="str">
        <f t="shared" si="188"/>
        <v/>
      </c>
      <c r="K675" s="9" t="str">
        <f t="shared" si="189"/>
        <v/>
      </c>
      <c r="L675" s="6">
        <f t="shared" si="190"/>
        <v>0</v>
      </c>
      <c r="M675" s="6">
        <f t="shared" si="191"/>
        <v>0</v>
      </c>
      <c r="N675" s="94" t="str">
        <f t="shared" si="192"/>
        <v/>
      </c>
      <c r="O675" s="6"/>
      <c r="P675" s="6"/>
      <c r="Q675" s="6"/>
      <c r="R675" s="6"/>
      <c r="T675" s="136" t="str">
        <f t="shared" si="193"/>
        <v/>
      </c>
      <c r="U675" s="137" t="str">
        <f t="shared" si="194"/>
        <v/>
      </c>
      <c r="V675" s="1"/>
      <c r="Y675" s="90" t="str">
        <f t="shared" si="195"/>
        <v/>
      </c>
      <c r="AC675" s="6">
        <v>916423</v>
      </c>
      <c r="AD675" s="6" t="s">
        <v>7112</v>
      </c>
      <c r="AE675" s="158">
        <v>365587</v>
      </c>
      <c r="AF675" s="159" t="s">
        <v>8299</v>
      </c>
      <c r="AG675" s="160" t="s">
        <v>4312</v>
      </c>
      <c r="AH675" s="194" t="s">
        <v>1314</v>
      </c>
      <c r="AI675" s="6" t="s">
        <v>2829</v>
      </c>
      <c r="AJ675" s="3" t="s">
        <v>8255</v>
      </c>
      <c r="AK675" t="s">
        <v>8255</v>
      </c>
      <c r="AM675" s="6" t="s">
        <v>5363</v>
      </c>
      <c r="AN675" t="s">
        <v>6485</v>
      </c>
      <c r="AV675"/>
      <c r="AX675"/>
      <c r="AZ675" t="str">
        <f t="shared" si="198"/>
        <v/>
      </c>
      <c r="BA675" t="str">
        <f t="shared" si="199"/>
        <v/>
      </c>
    </row>
    <row r="676" spans="1:53" ht="13.5">
      <c r="A676" s="135" t="str">
        <f t="shared" si="183"/>
        <v/>
      </c>
      <c r="B676" s="19" t="str">
        <f t="shared" si="184"/>
        <v/>
      </c>
      <c r="C676" s="19" t="str">
        <f t="shared" si="185"/>
        <v/>
      </c>
      <c r="D676" s="19" t="str">
        <f t="shared" si="186"/>
        <v/>
      </c>
      <c r="E676" s="5" t="str">
        <f t="shared" si="187"/>
        <v/>
      </c>
      <c r="F676" s="12" t="str">
        <f t="shared" si="188"/>
        <v/>
      </c>
      <c r="K676" s="9" t="str">
        <f t="shared" si="189"/>
        <v/>
      </c>
      <c r="L676" s="6">
        <f t="shared" si="190"/>
        <v>0</v>
      </c>
      <c r="M676" s="6">
        <f t="shared" si="191"/>
        <v>0</v>
      </c>
      <c r="N676" s="94" t="str">
        <f t="shared" si="192"/>
        <v/>
      </c>
      <c r="O676" s="6"/>
      <c r="P676" s="6"/>
      <c r="Q676" s="6"/>
      <c r="R676" s="6"/>
      <c r="T676" s="136" t="str">
        <f t="shared" si="193"/>
        <v/>
      </c>
      <c r="U676" s="137" t="str">
        <f t="shared" si="194"/>
        <v/>
      </c>
      <c r="V676" s="1"/>
      <c r="Y676" s="90" t="str">
        <f t="shared" si="195"/>
        <v/>
      </c>
      <c r="AC676" s="6" t="s">
        <v>3603</v>
      </c>
      <c r="AD676" s="6" t="s">
        <v>7111</v>
      </c>
      <c r="AE676" s="158">
        <v>205588</v>
      </c>
      <c r="AF676" s="159" t="s">
        <v>8299</v>
      </c>
      <c r="AG676" s="160" t="s">
        <v>1141</v>
      </c>
      <c r="AH676" s="194" t="s">
        <v>679</v>
      </c>
      <c r="AI676" s="6" t="s">
        <v>5495</v>
      </c>
      <c r="AJ676" s="3" t="s">
        <v>8210</v>
      </c>
      <c r="AK676" t="s">
        <v>8210</v>
      </c>
      <c r="AM676" s="6" t="s">
        <v>2162</v>
      </c>
      <c r="AN676" t="s">
        <v>6486</v>
      </c>
      <c r="AV676"/>
      <c r="AX676"/>
      <c r="AZ676" t="str">
        <f t="shared" si="198"/>
        <v/>
      </c>
      <c r="BA676" t="str">
        <f t="shared" si="199"/>
        <v/>
      </c>
    </row>
    <row r="677" spans="1:53" ht="13.5">
      <c r="A677" s="135" t="str">
        <f t="shared" si="183"/>
        <v/>
      </c>
      <c r="B677" s="19" t="str">
        <f t="shared" si="184"/>
        <v/>
      </c>
      <c r="C677" s="19" t="str">
        <f t="shared" si="185"/>
        <v/>
      </c>
      <c r="D677" s="19" t="str">
        <f t="shared" si="186"/>
        <v/>
      </c>
      <c r="E677" s="5" t="str">
        <f t="shared" si="187"/>
        <v/>
      </c>
      <c r="F677" s="12" t="str">
        <f t="shared" si="188"/>
        <v/>
      </c>
      <c r="K677" s="9" t="str">
        <f t="shared" si="189"/>
        <v/>
      </c>
      <c r="L677" s="6">
        <f t="shared" si="190"/>
        <v>0</v>
      </c>
      <c r="M677" s="6">
        <f t="shared" si="191"/>
        <v>0</v>
      </c>
      <c r="N677" s="94" t="str">
        <f t="shared" si="192"/>
        <v/>
      </c>
      <c r="O677" s="6"/>
      <c r="P677" s="6"/>
      <c r="Q677" s="6"/>
      <c r="R677" s="6"/>
      <c r="T677" s="136" t="str">
        <f t="shared" si="193"/>
        <v/>
      </c>
      <c r="U677" s="137" t="str">
        <f t="shared" si="194"/>
        <v/>
      </c>
      <c r="V677" s="1"/>
      <c r="Y677" s="90" t="str">
        <f t="shared" si="195"/>
        <v/>
      </c>
      <c r="AC677" s="6">
        <v>765233</v>
      </c>
      <c r="AD677" s="6" t="s">
        <v>7086</v>
      </c>
      <c r="AE677" s="158">
        <v>205589</v>
      </c>
      <c r="AF677" s="159" t="s">
        <v>8320</v>
      </c>
      <c r="AG677" s="160" t="s">
        <v>1142</v>
      </c>
      <c r="AH677" s="194" t="s">
        <v>679</v>
      </c>
      <c r="AI677" s="6" t="s">
        <v>4492</v>
      </c>
      <c r="AJ677" s="3" t="s">
        <v>8248</v>
      </c>
      <c r="AK677" t="s">
        <v>8248</v>
      </c>
      <c r="AM677" s="6" t="s">
        <v>5351</v>
      </c>
      <c r="AN677" t="s">
        <v>6487</v>
      </c>
      <c r="AV677"/>
      <c r="AX677"/>
      <c r="AZ677" t="str">
        <f t="shared" si="198"/>
        <v/>
      </c>
      <c r="BA677" t="str">
        <f t="shared" si="199"/>
        <v/>
      </c>
    </row>
    <row r="678" spans="1:53" ht="13.5">
      <c r="A678" s="135" t="str">
        <f t="shared" si="183"/>
        <v/>
      </c>
      <c r="B678" s="19" t="str">
        <f t="shared" si="184"/>
        <v/>
      </c>
      <c r="C678" s="19" t="str">
        <f t="shared" si="185"/>
        <v/>
      </c>
      <c r="D678" s="19" t="str">
        <f t="shared" si="186"/>
        <v/>
      </c>
      <c r="E678" s="5" t="str">
        <f t="shared" si="187"/>
        <v/>
      </c>
      <c r="F678" s="12" t="str">
        <f t="shared" si="188"/>
        <v/>
      </c>
      <c r="K678" s="9" t="str">
        <f t="shared" si="189"/>
        <v/>
      </c>
      <c r="L678" s="6">
        <f t="shared" si="190"/>
        <v>0</v>
      </c>
      <c r="M678" s="6">
        <f t="shared" si="191"/>
        <v>0</v>
      </c>
      <c r="N678" s="94" t="str">
        <f t="shared" si="192"/>
        <v/>
      </c>
      <c r="O678" s="6"/>
      <c r="P678" s="6"/>
      <c r="Q678" s="6"/>
      <c r="R678" s="6"/>
      <c r="T678" s="136" t="str">
        <f t="shared" si="193"/>
        <v/>
      </c>
      <c r="U678" s="137" t="str">
        <f t="shared" si="194"/>
        <v/>
      </c>
      <c r="V678" s="1"/>
      <c r="Y678" s="90" t="str">
        <f t="shared" si="195"/>
        <v/>
      </c>
      <c r="AC678" s="6" t="s">
        <v>1110</v>
      </c>
      <c r="AD678" s="6" t="s">
        <v>7098</v>
      </c>
      <c r="AE678" s="158">
        <v>205590</v>
      </c>
      <c r="AF678" s="159" t="s">
        <v>8299</v>
      </c>
      <c r="AG678" s="160" t="s">
        <v>4313</v>
      </c>
      <c r="AH678" s="194" t="s">
        <v>679</v>
      </c>
      <c r="AI678" s="6" t="s">
        <v>4486</v>
      </c>
      <c r="AJ678" s="3" t="s">
        <v>8244</v>
      </c>
      <c r="AK678" t="s">
        <v>8244</v>
      </c>
      <c r="AM678" s="6" t="s">
        <v>5353</v>
      </c>
      <c r="AN678" t="s">
        <v>6488</v>
      </c>
      <c r="AV678"/>
      <c r="AX678"/>
      <c r="AZ678" t="str">
        <f t="shared" si="198"/>
        <v/>
      </c>
      <c r="BA678" t="str">
        <f t="shared" si="199"/>
        <v/>
      </c>
    </row>
    <row r="679" spans="1:53" ht="13.5">
      <c r="A679" s="135" t="str">
        <f t="shared" si="183"/>
        <v/>
      </c>
      <c r="B679" s="19" t="str">
        <f t="shared" si="184"/>
        <v/>
      </c>
      <c r="C679" s="19" t="str">
        <f t="shared" si="185"/>
        <v/>
      </c>
      <c r="D679" s="19" t="str">
        <f t="shared" si="186"/>
        <v/>
      </c>
      <c r="E679" s="5" t="str">
        <f t="shared" si="187"/>
        <v/>
      </c>
      <c r="F679" s="12" t="str">
        <f t="shared" si="188"/>
        <v/>
      </c>
      <c r="K679" s="9" t="str">
        <f t="shared" si="189"/>
        <v/>
      </c>
      <c r="L679" s="6">
        <f t="shared" si="190"/>
        <v>0</v>
      </c>
      <c r="M679" s="6">
        <f t="shared" si="191"/>
        <v>0</v>
      </c>
      <c r="N679" s="94" t="str">
        <f t="shared" si="192"/>
        <v/>
      </c>
      <c r="O679" s="6"/>
      <c r="P679" s="6"/>
      <c r="Q679" s="6"/>
      <c r="R679" s="6"/>
      <c r="T679" s="136" t="str">
        <f t="shared" si="193"/>
        <v/>
      </c>
      <c r="U679" s="137" t="str">
        <f t="shared" si="194"/>
        <v/>
      </c>
      <c r="V679" s="1"/>
      <c r="Y679" s="90" t="str">
        <f t="shared" si="195"/>
        <v/>
      </c>
      <c r="AC679" s="6" t="s">
        <v>4197</v>
      </c>
      <c r="AD679" s="6" t="s">
        <v>7063</v>
      </c>
      <c r="AE679" s="158">
        <v>115597</v>
      </c>
      <c r="AF679" s="159" t="s">
        <v>8323</v>
      </c>
      <c r="AG679" s="160" t="s">
        <v>1143</v>
      </c>
      <c r="AH679" s="194" t="s">
        <v>1314</v>
      </c>
      <c r="AI679" s="6" t="s">
        <v>4479</v>
      </c>
      <c r="AJ679" s="3" t="s">
        <v>8199</v>
      </c>
      <c r="AK679" t="s">
        <v>8199</v>
      </c>
      <c r="AM679" s="6" t="s">
        <v>5376</v>
      </c>
      <c r="AN679" t="s">
        <v>6489</v>
      </c>
      <c r="AV679"/>
      <c r="AX679"/>
      <c r="AZ679" t="str">
        <f t="shared" si="198"/>
        <v/>
      </c>
      <c r="BA679" t="str">
        <f t="shared" si="199"/>
        <v/>
      </c>
    </row>
    <row r="680" spans="1:53" ht="13.5">
      <c r="A680" s="135" t="str">
        <f t="shared" ref="A680:A743" si="200">IF(ISNA(VLOOKUP(I680,AC:AD,2,FALSE)),"",VLOOKUP(I680,AC:AD,2,FALSE))</f>
        <v/>
      </c>
      <c r="B680" s="19" t="str">
        <f t="shared" ref="B680:B743" si="201">IF(ISNA(VLOOKUP(I680,AE:AF,2,FALSE)),"",VLOOKUP(I680,AE:AF,2,FALSE))</f>
        <v/>
      </c>
      <c r="C680" s="19" t="str">
        <f t="shared" ref="C680:C743" si="202">IF(ISNA(VLOOKUP(I680,AM:AN,2,FALSE)),"",VLOOKUP(I680,AM:AN,2,FALSE))</f>
        <v/>
      </c>
      <c r="D680" s="19" t="str">
        <f t="shared" ref="D680:D743" si="203">IF(ISNA(VLOOKUP(I680,AG:AH,2,FALSE)),"",VLOOKUP(I680,AG:AH,2,FALSE))</f>
        <v/>
      </c>
      <c r="E680" s="5" t="str">
        <f t="shared" si="187"/>
        <v/>
      </c>
      <c r="F680" s="12" t="str">
        <f t="shared" si="188"/>
        <v/>
      </c>
      <c r="K680" s="9" t="str">
        <f t="shared" si="189"/>
        <v/>
      </c>
      <c r="L680" s="6">
        <f t="shared" si="190"/>
        <v>0</v>
      </c>
      <c r="M680" s="6">
        <f t="shared" si="191"/>
        <v>0</v>
      </c>
      <c r="N680" s="94" t="str">
        <f t="shared" si="192"/>
        <v/>
      </c>
      <c r="O680" s="6"/>
      <c r="P680" s="6"/>
      <c r="Q680" s="6"/>
      <c r="R680" s="6"/>
      <c r="T680" s="136" t="str">
        <f t="shared" si="193"/>
        <v/>
      </c>
      <c r="U680" s="137" t="str">
        <f t="shared" si="194"/>
        <v/>
      </c>
      <c r="V680" s="1"/>
      <c r="Y680" s="90" t="str">
        <f t="shared" si="195"/>
        <v/>
      </c>
      <c r="AC680" s="6" t="s">
        <v>4283</v>
      </c>
      <c r="AD680" s="6" t="s">
        <v>7063</v>
      </c>
      <c r="AE680" s="158">
        <v>115598</v>
      </c>
      <c r="AF680" s="159" t="s">
        <v>8311</v>
      </c>
      <c r="AG680" s="160" t="s">
        <v>1144</v>
      </c>
      <c r="AH680" s="194" t="s">
        <v>679</v>
      </c>
      <c r="AI680" s="6" t="s">
        <v>5533</v>
      </c>
      <c r="AJ680" s="3" t="s">
        <v>8218</v>
      </c>
      <c r="AK680" t="s">
        <v>8218</v>
      </c>
      <c r="AM680" s="6" t="s">
        <v>5354</v>
      </c>
      <c r="AN680" t="s">
        <v>6490</v>
      </c>
      <c r="AV680"/>
      <c r="AX680"/>
      <c r="AZ680" t="str">
        <f t="shared" si="198"/>
        <v/>
      </c>
      <c r="BA680" t="str">
        <f t="shared" si="199"/>
        <v/>
      </c>
    </row>
    <row r="681" spans="1:53" ht="13.5">
      <c r="A681" s="135" t="str">
        <f t="shared" si="200"/>
        <v/>
      </c>
      <c r="B681" s="19" t="str">
        <f t="shared" si="201"/>
        <v/>
      </c>
      <c r="C681" s="19" t="str">
        <f t="shared" si="202"/>
        <v/>
      </c>
      <c r="D681" s="19" t="str">
        <f t="shared" si="203"/>
        <v/>
      </c>
      <c r="E681" s="5" t="str">
        <f t="shared" si="187"/>
        <v/>
      </c>
      <c r="F681" s="12" t="str">
        <f t="shared" si="188"/>
        <v/>
      </c>
      <c r="K681" s="9" t="str">
        <f t="shared" si="189"/>
        <v/>
      </c>
      <c r="L681" s="6">
        <f t="shared" si="190"/>
        <v>0</v>
      </c>
      <c r="M681" s="6">
        <f t="shared" si="191"/>
        <v>0</v>
      </c>
      <c r="N681" s="94" t="str">
        <f t="shared" si="192"/>
        <v/>
      </c>
      <c r="O681" s="6"/>
      <c r="P681" s="6"/>
      <c r="Q681" s="6"/>
      <c r="R681" s="6"/>
      <c r="T681" s="136" t="str">
        <f t="shared" si="193"/>
        <v/>
      </c>
      <c r="U681" s="137" t="str">
        <f t="shared" si="194"/>
        <v/>
      </c>
      <c r="V681" s="1"/>
      <c r="Y681" s="90" t="str">
        <f t="shared" si="195"/>
        <v/>
      </c>
      <c r="AC681" s="6" t="s">
        <v>4248</v>
      </c>
      <c r="AD681" s="6" t="s">
        <v>7113</v>
      </c>
      <c r="AE681" s="158">
        <v>115600</v>
      </c>
      <c r="AF681" s="159" t="s">
        <v>8309</v>
      </c>
      <c r="AG681" s="160" t="s">
        <v>4314</v>
      </c>
      <c r="AH681" s="194" t="s">
        <v>679</v>
      </c>
      <c r="AI681" s="6" t="s">
        <v>4474</v>
      </c>
      <c r="AJ681" s="3" t="s">
        <v>8223</v>
      </c>
      <c r="AK681" t="s">
        <v>8223</v>
      </c>
      <c r="AM681" s="6" t="s">
        <v>5474</v>
      </c>
      <c r="AN681" t="s">
        <v>6491</v>
      </c>
      <c r="AV681"/>
      <c r="AX681"/>
      <c r="AZ681" t="str">
        <f t="shared" si="198"/>
        <v/>
      </c>
      <c r="BA681" t="str">
        <f t="shared" si="199"/>
        <v/>
      </c>
    </row>
    <row r="682" spans="1:53" ht="13.5">
      <c r="A682" s="135" t="str">
        <f t="shared" si="200"/>
        <v/>
      </c>
      <c r="B682" s="19" t="str">
        <f t="shared" si="201"/>
        <v/>
      </c>
      <c r="C682" s="19" t="str">
        <f t="shared" si="202"/>
        <v/>
      </c>
      <c r="D682" s="19" t="str">
        <f t="shared" si="203"/>
        <v/>
      </c>
      <c r="E682" s="5" t="str">
        <f t="shared" si="187"/>
        <v/>
      </c>
      <c r="F682" s="12" t="str">
        <f t="shared" si="188"/>
        <v/>
      </c>
      <c r="K682" s="9" t="str">
        <f t="shared" si="189"/>
        <v/>
      </c>
      <c r="L682" s="6">
        <f t="shared" si="190"/>
        <v>0</v>
      </c>
      <c r="M682" s="6">
        <f t="shared" si="191"/>
        <v>0</v>
      </c>
      <c r="N682" s="94" t="str">
        <f t="shared" si="192"/>
        <v/>
      </c>
      <c r="O682" s="6"/>
      <c r="P682" s="6"/>
      <c r="Q682" s="6"/>
      <c r="R682" s="6"/>
      <c r="T682" s="136" t="str">
        <f t="shared" si="193"/>
        <v/>
      </c>
      <c r="U682" s="137" t="str">
        <f t="shared" si="194"/>
        <v/>
      </c>
      <c r="V682" s="1"/>
      <c r="Y682" s="90" t="str">
        <f t="shared" si="195"/>
        <v/>
      </c>
      <c r="AC682" s="6" t="s">
        <v>95</v>
      </c>
      <c r="AD682" s="6" t="s">
        <v>7098</v>
      </c>
      <c r="AE682" s="158">
        <v>115601</v>
      </c>
      <c r="AF682" s="159" t="s">
        <v>8299</v>
      </c>
      <c r="AG682" s="160" t="s">
        <v>1145</v>
      </c>
      <c r="AH682" s="194" t="s">
        <v>679</v>
      </c>
      <c r="AI682" s="6" t="s">
        <v>4466</v>
      </c>
      <c r="AJ682" s="3" t="s">
        <v>8244</v>
      </c>
      <c r="AK682" t="s">
        <v>8244</v>
      </c>
      <c r="AM682" s="6" t="s">
        <v>5476</v>
      </c>
      <c r="AN682" t="s">
        <v>6492</v>
      </c>
      <c r="AV682"/>
      <c r="AX682"/>
      <c r="AZ682" t="str">
        <f t="shared" si="198"/>
        <v/>
      </c>
      <c r="BA682" t="str">
        <f t="shared" si="199"/>
        <v/>
      </c>
    </row>
    <row r="683" spans="1:53" ht="13.5">
      <c r="A683" s="135" t="str">
        <f t="shared" si="200"/>
        <v/>
      </c>
      <c r="B683" s="19" t="str">
        <f t="shared" si="201"/>
        <v/>
      </c>
      <c r="C683" s="19" t="str">
        <f t="shared" si="202"/>
        <v/>
      </c>
      <c r="D683" s="19" t="str">
        <f t="shared" si="203"/>
        <v/>
      </c>
      <c r="E683" s="5" t="str">
        <f t="shared" si="187"/>
        <v/>
      </c>
      <c r="F683" s="12" t="str">
        <f t="shared" si="188"/>
        <v/>
      </c>
      <c r="K683" s="9" t="str">
        <f t="shared" si="189"/>
        <v/>
      </c>
      <c r="L683" s="6">
        <f t="shared" si="190"/>
        <v>0</v>
      </c>
      <c r="M683" s="6">
        <f t="shared" si="191"/>
        <v>0</v>
      </c>
      <c r="N683" s="94" t="str">
        <f t="shared" si="192"/>
        <v/>
      </c>
      <c r="O683" s="6"/>
      <c r="P683" s="6"/>
      <c r="Q683" s="6"/>
      <c r="R683" s="6"/>
      <c r="T683" s="136" t="str">
        <f t="shared" si="193"/>
        <v/>
      </c>
      <c r="U683" s="137" t="str">
        <f t="shared" si="194"/>
        <v/>
      </c>
      <c r="V683" s="1"/>
      <c r="Y683" s="90" t="str">
        <f t="shared" si="195"/>
        <v/>
      </c>
      <c r="AC683" s="6" t="s">
        <v>2462</v>
      </c>
      <c r="AD683" s="6" t="s">
        <v>6897</v>
      </c>
      <c r="AE683" s="158">
        <v>85609</v>
      </c>
      <c r="AF683" s="159" t="s">
        <v>8299</v>
      </c>
      <c r="AG683" s="160" t="s">
        <v>125</v>
      </c>
      <c r="AH683" s="194" t="s">
        <v>678</v>
      </c>
      <c r="AI683" s="6" t="s">
        <v>5363</v>
      </c>
      <c r="AJ683" s="3" t="s">
        <v>8224</v>
      </c>
      <c r="AK683" t="s">
        <v>8224</v>
      </c>
      <c r="AM683" s="6" t="s">
        <v>5328</v>
      </c>
      <c r="AN683" t="s">
        <v>6493</v>
      </c>
      <c r="AV683"/>
      <c r="AX683"/>
      <c r="AZ683" t="str">
        <f t="shared" si="198"/>
        <v/>
      </c>
      <c r="BA683" t="str">
        <f t="shared" si="199"/>
        <v/>
      </c>
    </row>
    <row r="684" spans="1:53" ht="13.5">
      <c r="A684" s="135" t="str">
        <f t="shared" si="200"/>
        <v/>
      </c>
      <c r="B684" s="19" t="str">
        <f t="shared" si="201"/>
        <v/>
      </c>
      <c r="C684" s="19" t="str">
        <f t="shared" si="202"/>
        <v/>
      </c>
      <c r="D684" s="19" t="str">
        <f t="shared" si="203"/>
        <v/>
      </c>
      <c r="E684" s="5" t="str">
        <f t="shared" si="187"/>
        <v/>
      </c>
      <c r="F684" s="12" t="str">
        <f t="shared" si="188"/>
        <v/>
      </c>
      <c r="K684" s="9" t="str">
        <f t="shared" si="189"/>
        <v/>
      </c>
      <c r="L684" s="6">
        <f t="shared" si="190"/>
        <v>0</v>
      </c>
      <c r="M684" s="6">
        <f t="shared" si="191"/>
        <v>0</v>
      </c>
      <c r="N684" s="94" t="str">
        <f t="shared" si="192"/>
        <v/>
      </c>
      <c r="O684" s="6"/>
      <c r="P684" s="6"/>
      <c r="Q684" s="6"/>
      <c r="R684" s="6"/>
      <c r="T684" s="136" t="str">
        <f t="shared" si="193"/>
        <v/>
      </c>
      <c r="U684" s="137" t="str">
        <f t="shared" si="194"/>
        <v/>
      </c>
      <c r="V684" s="1"/>
      <c r="Y684" s="90" t="str">
        <f t="shared" si="195"/>
        <v/>
      </c>
      <c r="AC684" s="6" t="s">
        <v>941</v>
      </c>
      <c r="AD684" s="6" t="s">
        <v>7098</v>
      </c>
      <c r="AE684" s="158">
        <v>125618</v>
      </c>
      <c r="AF684" s="159" t="s">
        <v>8299</v>
      </c>
      <c r="AG684" s="160" t="s">
        <v>126</v>
      </c>
      <c r="AH684" s="194" t="s">
        <v>679</v>
      </c>
      <c r="AI684" s="6" t="s">
        <v>5532</v>
      </c>
      <c r="AJ684" s="3" t="s">
        <v>8244</v>
      </c>
      <c r="AK684" t="s">
        <v>8244</v>
      </c>
      <c r="AM684" s="6" t="s">
        <v>5449</v>
      </c>
      <c r="AN684" t="s">
        <v>6494</v>
      </c>
      <c r="AV684"/>
      <c r="AX684"/>
      <c r="AZ684" t="str">
        <f t="shared" si="198"/>
        <v/>
      </c>
      <c r="BA684" t="str">
        <f t="shared" si="199"/>
        <v/>
      </c>
    </row>
    <row r="685" spans="1:53" ht="13.5">
      <c r="A685" s="135" t="str">
        <f t="shared" si="200"/>
        <v/>
      </c>
      <c r="B685" s="19" t="str">
        <f t="shared" si="201"/>
        <v/>
      </c>
      <c r="C685" s="19" t="str">
        <f t="shared" si="202"/>
        <v/>
      </c>
      <c r="D685" s="19" t="str">
        <f t="shared" si="203"/>
        <v/>
      </c>
      <c r="E685" s="5" t="str">
        <f t="shared" si="187"/>
        <v/>
      </c>
      <c r="F685" s="12" t="str">
        <f t="shared" si="188"/>
        <v/>
      </c>
      <c r="K685" s="9" t="str">
        <f t="shared" si="189"/>
        <v/>
      </c>
      <c r="L685" s="6">
        <f t="shared" si="190"/>
        <v>0</v>
      </c>
      <c r="M685" s="6">
        <f t="shared" si="191"/>
        <v>0</v>
      </c>
      <c r="N685" s="94" t="str">
        <f t="shared" si="192"/>
        <v/>
      </c>
      <c r="O685" s="6"/>
      <c r="P685" s="6"/>
      <c r="Q685" s="6"/>
      <c r="R685" s="6"/>
      <c r="T685" s="136" t="str">
        <f t="shared" si="193"/>
        <v/>
      </c>
      <c r="U685" s="137" t="str">
        <f t="shared" si="194"/>
        <v/>
      </c>
      <c r="V685" s="1"/>
      <c r="Y685" s="90" t="str">
        <f t="shared" si="195"/>
        <v/>
      </c>
      <c r="AC685" s="6" t="s">
        <v>106</v>
      </c>
      <c r="AD685" s="6" t="s">
        <v>7098</v>
      </c>
      <c r="AE685" s="158">
        <v>125619</v>
      </c>
      <c r="AF685" s="159" t="s">
        <v>8299</v>
      </c>
      <c r="AG685" s="160" t="s">
        <v>4315</v>
      </c>
      <c r="AH685" s="194" t="s">
        <v>1314</v>
      </c>
      <c r="AI685" s="6" t="s">
        <v>5813</v>
      </c>
      <c r="AJ685" s="3" t="s">
        <v>8197</v>
      </c>
      <c r="AK685" t="s">
        <v>8197</v>
      </c>
      <c r="AM685" s="6" t="s">
        <v>5443</v>
      </c>
      <c r="AN685" t="s">
        <v>6495</v>
      </c>
      <c r="AV685"/>
      <c r="AX685"/>
      <c r="AZ685" t="str">
        <f t="shared" si="198"/>
        <v/>
      </c>
      <c r="BA685" t="str">
        <f t="shared" si="199"/>
        <v/>
      </c>
    </row>
    <row r="686" spans="1:53" ht="13.5">
      <c r="A686" s="135" t="str">
        <f t="shared" si="200"/>
        <v/>
      </c>
      <c r="B686" s="19" t="str">
        <f t="shared" si="201"/>
        <v/>
      </c>
      <c r="C686" s="19" t="str">
        <f t="shared" si="202"/>
        <v/>
      </c>
      <c r="D686" s="19" t="str">
        <f t="shared" si="203"/>
        <v/>
      </c>
      <c r="E686" s="5" t="str">
        <f t="shared" si="187"/>
        <v/>
      </c>
      <c r="F686" s="12" t="str">
        <f t="shared" si="188"/>
        <v/>
      </c>
      <c r="K686" s="9" t="str">
        <f t="shared" si="189"/>
        <v/>
      </c>
      <c r="L686" s="6">
        <f t="shared" si="190"/>
        <v>0</v>
      </c>
      <c r="M686" s="6">
        <f t="shared" si="191"/>
        <v>0</v>
      </c>
      <c r="N686" s="94" t="str">
        <f t="shared" si="192"/>
        <v/>
      </c>
      <c r="O686" s="6"/>
      <c r="P686" s="6"/>
      <c r="Q686" s="6"/>
      <c r="R686" s="6"/>
      <c r="T686" s="136" t="str">
        <f t="shared" si="193"/>
        <v/>
      </c>
      <c r="U686" s="137" t="str">
        <f t="shared" si="194"/>
        <v/>
      </c>
      <c r="V686" s="1"/>
      <c r="Y686" s="90" t="str">
        <f t="shared" si="195"/>
        <v/>
      </c>
      <c r="AC686" s="6" t="s">
        <v>4198</v>
      </c>
      <c r="AD686" s="6" t="s">
        <v>7114</v>
      </c>
      <c r="AE686" s="158">
        <v>125620</v>
      </c>
      <c r="AF686" s="159" t="s">
        <v>8299</v>
      </c>
      <c r="AG686" s="160" t="s">
        <v>4316</v>
      </c>
      <c r="AH686" s="194" t="s">
        <v>1314</v>
      </c>
      <c r="AI686" s="6" t="s">
        <v>5165</v>
      </c>
      <c r="AJ686" s="3" t="s">
        <v>8206</v>
      </c>
      <c r="AK686" t="s">
        <v>8206</v>
      </c>
      <c r="AM686" s="6" t="s">
        <v>5228</v>
      </c>
      <c r="AN686" t="s">
        <v>6496</v>
      </c>
      <c r="AV686"/>
      <c r="AX686"/>
      <c r="AZ686" t="str">
        <f t="shared" si="198"/>
        <v/>
      </c>
      <c r="BA686" t="str">
        <f t="shared" si="199"/>
        <v/>
      </c>
    </row>
    <row r="687" spans="1:53" ht="13.5">
      <c r="A687" s="135" t="str">
        <f t="shared" si="200"/>
        <v/>
      </c>
      <c r="B687" s="19" t="str">
        <f t="shared" si="201"/>
        <v/>
      </c>
      <c r="C687" s="19" t="str">
        <f t="shared" si="202"/>
        <v/>
      </c>
      <c r="D687" s="19" t="str">
        <f t="shared" si="203"/>
        <v/>
      </c>
      <c r="E687" s="5" t="str">
        <f t="shared" si="187"/>
        <v/>
      </c>
      <c r="F687" s="12" t="str">
        <f t="shared" si="188"/>
        <v/>
      </c>
      <c r="K687" s="9" t="str">
        <f t="shared" si="189"/>
        <v/>
      </c>
      <c r="L687" s="6">
        <f t="shared" si="190"/>
        <v>0</v>
      </c>
      <c r="M687" s="6">
        <f t="shared" si="191"/>
        <v>0</v>
      </c>
      <c r="N687" s="94" t="str">
        <f t="shared" si="192"/>
        <v/>
      </c>
      <c r="O687" s="6"/>
      <c r="P687" s="6"/>
      <c r="Q687" s="6"/>
      <c r="R687" s="6"/>
      <c r="T687" s="136" t="str">
        <f t="shared" si="193"/>
        <v/>
      </c>
      <c r="U687" s="137" t="str">
        <f t="shared" si="194"/>
        <v/>
      </c>
      <c r="V687" s="1"/>
      <c r="Y687" s="90" t="str">
        <f t="shared" si="195"/>
        <v/>
      </c>
      <c r="AC687" s="6" t="s">
        <v>4001</v>
      </c>
      <c r="AD687" s="6" t="s">
        <v>7098</v>
      </c>
      <c r="AE687" s="158">
        <v>125621</v>
      </c>
      <c r="AF687" s="159" t="s">
        <v>8311</v>
      </c>
      <c r="AG687" s="160" t="s">
        <v>4317</v>
      </c>
      <c r="AH687" s="194" t="s">
        <v>1314</v>
      </c>
      <c r="AI687" s="6" t="s">
        <v>5352</v>
      </c>
      <c r="AJ687" s="3" t="s">
        <v>8219</v>
      </c>
      <c r="AK687" t="s">
        <v>8219</v>
      </c>
      <c r="AM687" s="6" t="s">
        <v>5455</v>
      </c>
      <c r="AN687" t="s">
        <v>6497</v>
      </c>
      <c r="AV687"/>
      <c r="AX687"/>
      <c r="AZ687" t="str">
        <f t="shared" si="198"/>
        <v/>
      </c>
      <c r="BA687" t="str">
        <f t="shared" si="199"/>
        <v/>
      </c>
    </row>
    <row r="688" spans="1:53" ht="13.5">
      <c r="A688" s="135" t="str">
        <f t="shared" si="200"/>
        <v/>
      </c>
      <c r="B688" s="19" t="str">
        <f t="shared" si="201"/>
        <v/>
      </c>
      <c r="C688" s="19" t="str">
        <f t="shared" si="202"/>
        <v/>
      </c>
      <c r="D688" s="19" t="str">
        <f t="shared" si="203"/>
        <v/>
      </c>
      <c r="E688" s="5" t="str">
        <f t="shared" si="187"/>
        <v/>
      </c>
      <c r="F688" s="12" t="str">
        <f t="shared" si="188"/>
        <v/>
      </c>
      <c r="K688" s="9" t="str">
        <f t="shared" si="189"/>
        <v/>
      </c>
      <c r="L688" s="6">
        <f t="shared" si="190"/>
        <v>0</v>
      </c>
      <c r="M688" s="6">
        <f t="shared" si="191"/>
        <v>0</v>
      </c>
      <c r="N688" s="94" t="str">
        <f t="shared" si="192"/>
        <v/>
      </c>
      <c r="O688" s="6"/>
      <c r="P688" s="6"/>
      <c r="Q688" s="6"/>
      <c r="R688" s="6"/>
      <c r="T688" s="136" t="str">
        <f t="shared" si="193"/>
        <v/>
      </c>
      <c r="U688" s="137" t="str">
        <f t="shared" si="194"/>
        <v/>
      </c>
      <c r="V688" s="1"/>
      <c r="Y688" s="90" t="str">
        <f t="shared" si="195"/>
        <v/>
      </c>
      <c r="AC688" s="6" t="s">
        <v>5264</v>
      </c>
      <c r="AD688" s="6" t="s">
        <v>7097</v>
      </c>
      <c r="AE688" s="158">
        <v>125622</v>
      </c>
      <c r="AF688" s="159" t="s">
        <v>8296</v>
      </c>
      <c r="AG688" s="160" t="s">
        <v>4318</v>
      </c>
      <c r="AH688" s="194" t="s">
        <v>1314</v>
      </c>
      <c r="AI688" s="6" t="s">
        <v>5189</v>
      </c>
      <c r="AJ688" s="3" t="s">
        <v>8219</v>
      </c>
      <c r="AK688" t="s">
        <v>8219</v>
      </c>
      <c r="AM688" s="6" t="s">
        <v>5411</v>
      </c>
      <c r="AN688" t="s">
        <v>6498</v>
      </c>
      <c r="AV688"/>
      <c r="AX688"/>
      <c r="AZ688" t="str">
        <f t="shared" si="198"/>
        <v/>
      </c>
      <c r="BA688" t="str">
        <f t="shared" si="199"/>
        <v/>
      </c>
    </row>
    <row r="689" spans="1:53" ht="13.5">
      <c r="A689" s="135" t="str">
        <f t="shared" si="200"/>
        <v/>
      </c>
      <c r="B689" s="19" t="str">
        <f t="shared" si="201"/>
        <v/>
      </c>
      <c r="C689" s="19" t="str">
        <f t="shared" si="202"/>
        <v/>
      </c>
      <c r="D689" s="19" t="str">
        <f t="shared" si="203"/>
        <v/>
      </c>
      <c r="E689" s="5" t="str">
        <f t="shared" si="187"/>
        <v/>
      </c>
      <c r="F689" s="12" t="str">
        <f t="shared" si="188"/>
        <v/>
      </c>
      <c r="K689" s="9" t="str">
        <f t="shared" si="189"/>
        <v/>
      </c>
      <c r="L689" s="6">
        <f t="shared" si="190"/>
        <v>0</v>
      </c>
      <c r="M689" s="6">
        <f t="shared" si="191"/>
        <v>0</v>
      </c>
      <c r="N689" s="94" t="str">
        <f t="shared" si="192"/>
        <v/>
      </c>
      <c r="O689" s="6"/>
      <c r="P689" s="6"/>
      <c r="Q689" s="6"/>
      <c r="R689" s="6"/>
      <c r="T689" s="136" t="str">
        <f t="shared" si="193"/>
        <v/>
      </c>
      <c r="U689" s="137" t="str">
        <f t="shared" si="194"/>
        <v/>
      </c>
      <c r="V689" s="1"/>
      <c r="Y689" s="90" t="str">
        <f t="shared" si="195"/>
        <v/>
      </c>
      <c r="AC689" s="6" t="s">
        <v>3600</v>
      </c>
      <c r="AD689" s="6" t="s">
        <v>7111</v>
      </c>
      <c r="AE689" s="158">
        <v>125623</v>
      </c>
      <c r="AF689" s="159" t="s">
        <v>8309</v>
      </c>
      <c r="AG689" s="160" t="s">
        <v>4319</v>
      </c>
      <c r="AH689" s="194" t="s">
        <v>679</v>
      </c>
      <c r="AI689" s="6" t="s">
        <v>5082</v>
      </c>
      <c r="AJ689" s="3" t="s">
        <v>8219</v>
      </c>
      <c r="AK689" t="s">
        <v>8219</v>
      </c>
      <c r="AM689" s="6" t="s">
        <v>5460</v>
      </c>
      <c r="AN689" t="s">
        <v>6499</v>
      </c>
      <c r="AV689"/>
      <c r="AX689"/>
      <c r="AZ689" t="str">
        <f t="shared" si="198"/>
        <v/>
      </c>
      <c r="BA689" t="str">
        <f t="shared" si="199"/>
        <v/>
      </c>
    </row>
    <row r="690" spans="1:53" ht="13.5">
      <c r="A690" s="135" t="str">
        <f t="shared" si="200"/>
        <v/>
      </c>
      <c r="B690" s="19" t="str">
        <f t="shared" si="201"/>
        <v/>
      </c>
      <c r="C690" s="19" t="str">
        <f t="shared" si="202"/>
        <v/>
      </c>
      <c r="D690" s="19" t="str">
        <f t="shared" si="203"/>
        <v/>
      </c>
      <c r="E690" s="5" t="str">
        <f t="shared" si="187"/>
        <v/>
      </c>
      <c r="F690" s="12" t="str">
        <f t="shared" si="188"/>
        <v/>
      </c>
      <c r="K690" s="9" t="str">
        <f t="shared" si="189"/>
        <v/>
      </c>
      <c r="L690" s="6">
        <f t="shared" si="190"/>
        <v>0</v>
      </c>
      <c r="M690" s="6">
        <f t="shared" si="191"/>
        <v>0</v>
      </c>
      <c r="N690" s="94" t="str">
        <f t="shared" si="192"/>
        <v/>
      </c>
      <c r="O690" s="6"/>
      <c r="P690" s="6"/>
      <c r="Q690" s="6"/>
      <c r="R690" s="6"/>
      <c r="T690" s="136" t="str">
        <f t="shared" si="193"/>
        <v/>
      </c>
      <c r="U690" s="137" t="str">
        <f t="shared" si="194"/>
        <v/>
      </c>
      <c r="V690" s="1"/>
      <c r="Y690" s="90" t="str">
        <f t="shared" si="195"/>
        <v/>
      </c>
      <c r="AC690" s="6" t="s">
        <v>5619</v>
      </c>
      <c r="AD690" s="6" t="s">
        <v>7115</v>
      </c>
      <c r="AE690" s="158">
        <v>125624</v>
      </c>
      <c r="AF690" s="159" t="s">
        <v>8299</v>
      </c>
      <c r="AG690" s="160" t="s">
        <v>4320</v>
      </c>
      <c r="AH690" s="194" t="s">
        <v>678</v>
      </c>
      <c r="AI690" s="6" t="s">
        <v>5520</v>
      </c>
      <c r="AJ690" s="3" t="s">
        <v>8202</v>
      </c>
      <c r="AK690" t="s">
        <v>8202</v>
      </c>
      <c r="AM690" s="6" t="s">
        <v>5459</v>
      </c>
      <c r="AN690" t="s">
        <v>6500</v>
      </c>
      <c r="AV690"/>
      <c r="AX690"/>
      <c r="AZ690" t="str">
        <f t="shared" si="198"/>
        <v/>
      </c>
      <c r="BA690" t="str">
        <f t="shared" si="199"/>
        <v/>
      </c>
    </row>
    <row r="691" spans="1:53" ht="13.5">
      <c r="A691" s="135" t="str">
        <f t="shared" si="200"/>
        <v/>
      </c>
      <c r="B691" s="19" t="str">
        <f t="shared" si="201"/>
        <v/>
      </c>
      <c r="C691" s="19" t="str">
        <f t="shared" si="202"/>
        <v/>
      </c>
      <c r="D691" s="19" t="str">
        <f t="shared" si="203"/>
        <v/>
      </c>
      <c r="E691" s="5" t="str">
        <f t="shared" si="187"/>
        <v/>
      </c>
      <c r="F691" s="12" t="str">
        <f t="shared" si="188"/>
        <v/>
      </c>
      <c r="K691" s="9" t="str">
        <f t="shared" si="189"/>
        <v/>
      </c>
      <c r="L691" s="6">
        <f t="shared" si="190"/>
        <v>0</v>
      </c>
      <c r="M691" s="6">
        <f t="shared" si="191"/>
        <v>0</v>
      </c>
      <c r="N691" s="94" t="str">
        <f t="shared" si="192"/>
        <v/>
      </c>
      <c r="O691" s="6"/>
      <c r="P691" s="6"/>
      <c r="Q691" s="6"/>
      <c r="R691" s="6"/>
      <c r="T691" s="136" t="str">
        <f t="shared" si="193"/>
        <v/>
      </c>
      <c r="U691" s="137" t="str">
        <f t="shared" si="194"/>
        <v/>
      </c>
      <c r="V691" s="1"/>
      <c r="Y691" s="90" t="str">
        <f t="shared" si="195"/>
        <v/>
      </c>
      <c r="AC691" s="6" t="s">
        <v>3597</v>
      </c>
      <c r="AD691" s="6" t="s">
        <v>7116</v>
      </c>
      <c r="AE691" s="158">
        <v>145628</v>
      </c>
      <c r="AF691" s="159" t="s">
        <v>8300</v>
      </c>
      <c r="AG691" s="160" t="s">
        <v>4321</v>
      </c>
      <c r="AH691" s="194" t="s">
        <v>1314</v>
      </c>
      <c r="AI691" s="6" t="s">
        <v>5091</v>
      </c>
      <c r="AJ691" s="3" t="s">
        <v>8219</v>
      </c>
      <c r="AK691" t="s">
        <v>8219</v>
      </c>
      <c r="AM691" s="6" t="s">
        <v>5428</v>
      </c>
      <c r="AN691" t="s">
        <v>6501</v>
      </c>
      <c r="AV691"/>
      <c r="AX691"/>
      <c r="AZ691" t="str">
        <f t="shared" si="198"/>
        <v/>
      </c>
      <c r="BA691" t="str">
        <f t="shared" si="199"/>
        <v/>
      </c>
    </row>
    <row r="692" spans="1:53" ht="13.5">
      <c r="A692" s="135" t="str">
        <f t="shared" si="200"/>
        <v/>
      </c>
      <c r="B692" s="19" t="str">
        <f t="shared" si="201"/>
        <v/>
      </c>
      <c r="C692" s="19" t="str">
        <f t="shared" si="202"/>
        <v/>
      </c>
      <c r="D692" s="19" t="str">
        <f t="shared" si="203"/>
        <v/>
      </c>
      <c r="E692" s="5" t="str">
        <f t="shared" si="187"/>
        <v/>
      </c>
      <c r="F692" s="12" t="str">
        <f t="shared" si="188"/>
        <v/>
      </c>
      <c r="K692" s="9" t="str">
        <f t="shared" si="189"/>
        <v/>
      </c>
      <c r="L692" s="6">
        <f t="shared" si="190"/>
        <v>0</v>
      </c>
      <c r="M692" s="6">
        <f t="shared" si="191"/>
        <v>0</v>
      </c>
      <c r="N692" s="94" t="str">
        <f t="shared" si="192"/>
        <v/>
      </c>
      <c r="O692" s="6"/>
      <c r="P692" s="6"/>
      <c r="Q692" s="6"/>
      <c r="R692" s="6"/>
      <c r="T692" s="136" t="str">
        <f t="shared" si="193"/>
        <v/>
      </c>
      <c r="U692" s="137" t="str">
        <f t="shared" si="194"/>
        <v/>
      </c>
      <c r="V692" s="1"/>
      <c r="Y692" s="90" t="str">
        <f t="shared" si="195"/>
        <v/>
      </c>
      <c r="AC692" s="6" t="s">
        <v>2461</v>
      </c>
      <c r="AD692" s="6" t="s">
        <v>6897</v>
      </c>
      <c r="AE692" s="158">
        <v>95631</v>
      </c>
      <c r="AF692" s="159" t="s">
        <v>8299</v>
      </c>
      <c r="AG692" s="160" t="s">
        <v>4322</v>
      </c>
      <c r="AH692" s="194" t="s">
        <v>1314</v>
      </c>
      <c r="AI692" s="6" t="s">
        <v>4739</v>
      </c>
      <c r="AJ692" s="3" t="s">
        <v>8197</v>
      </c>
      <c r="AK692" t="s">
        <v>8197</v>
      </c>
      <c r="AM692" s="6" t="s">
        <v>5448</v>
      </c>
      <c r="AN692" t="s">
        <v>6502</v>
      </c>
      <c r="AV692"/>
      <c r="AX692"/>
      <c r="AZ692" t="str">
        <f t="shared" si="198"/>
        <v/>
      </c>
      <c r="BA692" t="str">
        <f t="shared" si="199"/>
        <v/>
      </c>
    </row>
    <row r="693" spans="1:53" ht="13.5">
      <c r="A693" s="135" t="str">
        <f t="shared" si="200"/>
        <v/>
      </c>
      <c r="B693" s="19" t="str">
        <f t="shared" si="201"/>
        <v/>
      </c>
      <c r="C693" s="19" t="str">
        <f t="shared" si="202"/>
        <v/>
      </c>
      <c r="D693" s="19" t="str">
        <f t="shared" si="203"/>
        <v/>
      </c>
      <c r="E693" s="5" t="str">
        <f t="shared" si="187"/>
        <v/>
      </c>
      <c r="F693" s="12" t="str">
        <f t="shared" si="188"/>
        <v/>
      </c>
      <c r="K693" s="9" t="str">
        <f t="shared" si="189"/>
        <v/>
      </c>
      <c r="L693" s="6">
        <f t="shared" si="190"/>
        <v>0</v>
      </c>
      <c r="M693" s="6">
        <f t="shared" si="191"/>
        <v>0</v>
      </c>
      <c r="N693" s="94" t="str">
        <f t="shared" si="192"/>
        <v/>
      </c>
      <c r="O693" s="6"/>
      <c r="P693" s="6"/>
      <c r="Q693" s="6"/>
      <c r="R693" s="6"/>
      <c r="T693" s="136" t="str">
        <f t="shared" si="193"/>
        <v/>
      </c>
      <c r="U693" s="137" t="str">
        <f t="shared" si="194"/>
        <v/>
      </c>
      <c r="V693" s="1"/>
      <c r="Y693" s="90" t="str">
        <f t="shared" si="195"/>
        <v/>
      </c>
      <c r="AC693" s="6" t="s">
        <v>3601</v>
      </c>
      <c r="AD693" s="6" t="s">
        <v>7111</v>
      </c>
      <c r="AE693" s="158">
        <v>95636</v>
      </c>
      <c r="AF693" s="159" t="s">
        <v>8344</v>
      </c>
      <c r="AG693" s="160" t="s">
        <v>4323</v>
      </c>
      <c r="AH693" s="194" t="s">
        <v>679</v>
      </c>
      <c r="AI693" s="6" t="s">
        <v>5303</v>
      </c>
      <c r="AJ693" s="3" t="s">
        <v>8197</v>
      </c>
      <c r="AK693" t="s">
        <v>8197</v>
      </c>
      <c r="AM693" s="6" t="s">
        <v>5210</v>
      </c>
      <c r="AN693" t="s">
        <v>6503</v>
      </c>
      <c r="AV693"/>
      <c r="AX693"/>
      <c r="AZ693" t="str">
        <f t="shared" si="198"/>
        <v/>
      </c>
      <c r="BA693" t="str">
        <f t="shared" si="199"/>
        <v/>
      </c>
    </row>
    <row r="694" spans="1:53" ht="13.5">
      <c r="A694" s="135" t="str">
        <f t="shared" si="200"/>
        <v/>
      </c>
      <c r="B694" s="19" t="str">
        <f t="shared" si="201"/>
        <v/>
      </c>
      <c r="C694" s="19" t="str">
        <f t="shared" si="202"/>
        <v/>
      </c>
      <c r="D694" s="19" t="str">
        <f t="shared" si="203"/>
        <v/>
      </c>
      <c r="E694" s="5" t="str">
        <f t="shared" si="187"/>
        <v/>
      </c>
      <c r="F694" s="12" t="str">
        <f t="shared" si="188"/>
        <v/>
      </c>
      <c r="K694" s="9" t="str">
        <f t="shared" si="189"/>
        <v/>
      </c>
      <c r="L694" s="6">
        <f t="shared" si="190"/>
        <v>0</v>
      </c>
      <c r="M694" s="6">
        <f t="shared" si="191"/>
        <v>0</v>
      </c>
      <c r="N694" s="94" t="str">
        <f t="shared" si="192"/>
        <v/>
      </c>
      <c r="O694" s="6"/>
      <c r="P694" s="6"/>
      <c r="Q694" s="6"/>
      <c r="R694" s="6"/>
      <c r="T694" s="136" t="str">
        <f t="shared" si="193"/>
        <v/>
      </c>
      <c r="U694" s="137" t="str">
        <f t="shared" si="194"/>
        <v/>
      </c>
      <c r="V694" s="1"/>
      <c r="Y694" s="90" t="str">
        <f t="shared" si="195"/>
        <v/>
      </c>
      <c r="AC694" s="6" t="s">
        <v>2432</v>
      </c>
      <c r="AD694" s="6" t="s">
        <v>6897</v>
      </c>
      <c r="AE694" s="158">
        <v>95637</v>
      </c>
      <c r="AF694" s="159" t="s">
        <v>8297</v>
      </c>
      <c r="AG694" s="160" t="s">
        <v>127</v>
      </c>
      <c r="AH694" s="194" t="s">
        <v>679</v>
      </c>
      <c r="AI694" s="6" t="s">
        <v>5499</v>
      </c>
      <c r="AJ694" s="3" t="s">
        <v>8197</v>
      </c>
      <c r="AK694" t="s">
        <v>8197</v>
      </c>
      <c r="AM694" s="6" t="s">
        <v>5461</v>
      </c>
      <c r="AN694" t="s">
        <v>6504</v>
      </c>
      <c r="AV694"/>
      <c r="AX694"/>
      <c r="AZ694" t="str">
        <f t="shared" si="198"/>
        <v/>
      </c>
      <c r="BA694" t="str">
        <f t="shared" si="199"/>
        <v/>
      </c>
    </row>
    <row r="695" spans="1:53" ht="13.5">
      <c r="A695" s="135" t="str">
        <f t="shared" si="200"/>
        <v/>
      </c>
      <c r="B695" s="19" t="str">
        <f t="shared" si="201"/>
        <v/>
      </c>
      <c r="C695" s="19" t="str">
        <f t="shared" si="202"/>
        <v/>
      </c>
      <c r="D695" s="19" t="str">
        <f t="shared" si="203"/>
        <v/>
      </c>
      <c r="E695" s="5" t="str">
        <f t="shared" si="187"/>
        <v/>
      </c>
      <c r="F695" s="12" t="str">
        <f t="shared" si="188"/>
        <v/>
      </c>
      <c r="K695" s="9" t="str">
        <f t="shared" si="189"/>
        <v/>
      </c>
      <c r="L695" s="6">
        <f t="shared" si="190"/>
        <v>0</v>
      </c>
      <c r="M695" s="6">
        <f t="shared" si="191"/>
        <v>0</v>
      </c>
      <c r="N695" s="94" t="str">
        <f t="shared" si="192"/>
        <v/>
      </c>
      <c r="O695" s="6"/>
      <c r="P695" s="6"/>
      <c r="Q695" s="6"/>
      <c r="R695" s="6"/>
      <c r="T695" s="136" t="str">
        <f t="shared" si="193"/>
        <v/>
      </c>
      <c r="U695" s="137" t="str">
        <f t="shared" si="194"/>
        <v/>
      </c>
      <c r="V695" s="1"/>
      <c r="Y695" s="90" t="str">
        <f t="shared" si="195"/>
        <v/>
      </c>
      <c r="AC695" s="6" t="s">
        <v>3596</v>
      </c>
      <c r="AD695" s="6" t="s">
        <v>7111</v>
      </c>
      <c r="AE695" s="158">
        <v>95638</v>
      </c>
      <c r="AF695" s="159" t="s">
        <v>8299</v>
      </c>
      <c r="AG695" s="160" t="s">
        <v>128</v>
      </c>
      <c r="AH695" s="194" t="s">
        <v>679</v>
      </c>
      <c r="AI695" s="6">
        <v>53854</v>
      </c>
      <c r="AJ695" s="3" t="s">
        <v>8206</v>
      </c>
      <c r="AK695" t="s">
        <v>8206</v>
      </c>
      <c r="AM695" s="6" t="s">
        <v>5444</v>
      </c>
      <c r="AN695" t="s">
        <v>6505</v>
      </c>
      <c r="AV695"/>
      <c r="AX695"/>
      <c r="AZ695" t="str">
        <f t="shared" si="198"/>
        <v/>
      </c>
      <c r="BA695" t="str">
        <f t="shared" si="199"/>
        <v/>
      </c>
    </row>
    <row r="696" spans="1:53" ht="13.5">
      <c r="A696" s="135" t="str">
        <f t="shared" si="200"/>
        <v/>
      </c>
      <c r="B696" s="19" t="str">
        <f t="shared" si="201"/>
        <v/>
      </c>
      <c r="C696" s="19" t="str">
        <f t="shared" si="202"/>
        <v/>
      </c>
      <c r="D696" s="19" t="str">
        <f t="shared" si="203"/>
        <v/>
      </c>
      <c r="E696" s="5" t="str">
        <f t="shared" si="187"/>
        <v/>
      </c>
      <c r="F696" s="12" t="str">
        <f t="shared" si="188"/>
        <v/>
      </c>
      <c r="K696" s="9" t="str">
        <f t="shared" si="189"/>
        <v/>
      </c>
      <c r="L696" s="6">
        <f t="shared" si="190"/>
        <v>0</v>
      </c>
      <c r="M696" s="6">
        <f t="shared" si="191"/>
        <v>0</v>
      </c>
      <c r="N696" s="94" t="str">
        <f t="shared" si="192"/>
        <v/>
      </c>
      <c r="O696" s="6"/>
      <c r="P696" s="6"/>
      <c r="Q696" s="6"/>
      <c r="R696" s="6"/>
      <c r="T696" s="136" t="str">
        <f t="shared" si="193"/>
        <v/>
      </c>
      <c r="U696" s="137" t="str">
        <f t="shared" si="194"/>
        <v/>
      </c>
      <c r="V696" s="1"/>
      <c r="Y696" s="90" t="str">
        <f t="shared" si="195"/>
        <v/>
      </c>
      <c r="AC696" s="6" t="s">
        <v>1292</v>
      </c>
      <c r="AD696" s="6" t="s">
        <v>7111</v>
      </c>
      <c r="AE696" s="158" t="s">
        <v>3864</v>
      </c>
      <c r="AF696" s="159" t="s">
        <v>8299</v>
      </c>
      <c r="AG696" s="160" t="s">
        <v>4324</v>
      </c>
      <c r="AH696" s="194" t="s">
        <v>679</v>
      </c>
      <c r="AI696" s="6" t="s">
        <v>1263</v>
      </c>
      <c r="AJ696" s="3" t="s">
        <v>8237</v>
      </c>
      <c r="AK696" t="s">
        <v>8237</v>
      </c>
      <c r="AM696" s="6" t="s">
        <v>5370</v>
      </c>
      <c r="AN696" t="s">
        <v>6506</v>
      </c>
      <c r="AV696"/>
      <c r="AX696"/>
      <c r="AZ696" t="str">
        <f t="shared" si="198"/>
        <v/>
      </c>
      <c r="BA696" t="str">
        <f t="shared" si="199"/>
        <v/>
      </c>
    </row>
    <row r="697" spans="1:53" ht="13.5">
      <c r="A697" s="135" t="str">
        <f t="shared" si="200"/>
        <v/>
      </c>
      <c r="B697" s="19" t="str">
        <f t="shared" si="201"/>
        <v/>
      </c>
      <c r="C697" s="19" t="str">
        <f t="shared" si="202"/>
        <v/>
      </c>
      <c r="D697" s="19" t="str">
        <f t="shared" si="203"/>
        <v/>
      </c>
      <c r="E697" s="5" t="str">
        <f t="shared" si="187"/>
        <v/>
      </c>
      <c r="F697" s="12" t="str">
        <f t="shared" si="188"/>
        <v/>
      </c>
      <c r="K697" s="9" t="str">
        <f t="shared" si="189"/>
        <v/>
      </c>
      <c r="L697" s="6">
        <f t="shared" si="190"/>
        <v>0</v>
      </c>
      <c r="M697" s="6">
        <f t="shared" si="191"/>
        <v>0</v>
      </c>
      <c r="N697" s="94" t="str">
        <f t="shared" si="192"/>
        <v/>
      </c>
      <c r="O697" s="6"/>
      <c r="P697" s="6"/>
      <c r="Q697" s="6"/>
      <c r="R697" s="6"/>
      <c r="T697" s="136" t="str">
        <f t="shared" si="193"/>
        <v/>
      </c>
      <c r="U697" s="137" t="str">
        <f t="shared" si="194"/>
        <v/>
      </c>
      <c r="V697" s="1"/>
      <c r="Y697" s="90" t="str">
        <f t="shared" si="195"/>
        <v/>
      </c>
      <c r="AC697" s="6" t="s">
        <v>2699</v>
      </c>
      <c r="AD697" s="6" t="s">
        <v>6897</v>
      </c>
      <c r="AE697" s="158" t="s">
        <v>3916</v>
      </c>
      <c r="AF697" s="159" t="s">
        <v>8299</v>
      </c>
      <c r="AG697" s="160" t="s">
        <v>4325</v>
      </c>
      <c r="AH697" s="194" t="s">
        <v>679</v>
      </c>
      <c r="AI697" s="6" t="s">
        <v>1198</v>
      </c>
      <c r="AJ697" s="3" t="s">
        <v>8225</v>
      </c>
      <c r="AK697" t="s">
        <v>8225</v>
      </c>
      <c r="AM697" s="6" t="s">
        <v>5478</v>
      </c>
      <c r="AN697" t="s">
        <v>6507</v>
      </c>
      <c r="AV697"/>
      <c r="AX697"/>
      <c r="AZ697" t="str">
        <f t="shared" si="198"/>
        <v/>
      </c>
      <c r="BA697" t="str">
        <f t="shared" si="199"/>
        <v/>
      </c>
    </row>
    <row r="698" spans="1:53" ht="13.5">
      <c r="A698" s="135" t="str">
        <f t="shared" si="200"/>
        <v/>
      </c>
      <c r="B698" s="19" t="str">
        <f t="shared" si="201"/>
        <v/>
      </c>
      <c r="C698" s="19" t="str">
        <f t="shared" si="202"/>
        <v/>
      </c>
      <c r="D698" s="19" t="str">
        <f t="shared" si="203"/>
        <v/>
      </c>
      <c r="E698" s="5" t="str">
        <f t="shared" si="187"/>
        <v/>
      </c>
      <c r="F698" s="12" t="str">
        <f t="shared" si="188"/>
        <v/>
      </c>
      <c r="K698" s="9" t="str">
        <f t="shared" si="189"/>
        <v/>
      </c>
      <c r="L698" s="6">
        <f t="shared" si="190"/>
        <v>0</v>
      </c>
      <c r="M698" s="6">
        <f t="shared" si="191"/>
        <v>0</v>
      </c>
      <c r="N698" s="94" t="str">
        <f t="shared" si="192"/>
        <v/>
      </c>
      <c r="O698" s="6"/>
      <c r="P698" s="6"/>
      <c r="Q698" s="6"/>
      <c r="R698" s="6"/>
      <c r="T698" s="136" t="str">
        <f t="shared" si="193"/>
        <v/>
      </c>
      <c r="U698" s="137" t="str">
        <f t="shared" si="194"/>
        <v/>
      </c>
      <c r="V698" s="1"/>
      <c r="Y698" s="90" t="str">
        <f t="shared" si="195"/>
        <v/>
      </c>
      <c r="AC698" s="6" t="s">
        <v>3941</v>
      </c>
      <c r="AD698" s="6" t="s">
        <v>7097</v>
      </c>
      <c r="AE698" s="158" t="s">
        <v>3836</v>
      </c>
      <c r="AF698" s="159" t="s">
        <v>8365</v>
      </c>
      <c r="AG698" s="160" t="s">
        <v>4326</v>
      </c>
      <c r="AH698" s="194" t="s">
        <v>1314</v>
      </c>
      <c r="AI698" s="6" t="s">
        <v>4481</v>
      </c>
      <c r="AJ698" s="3" t="s">
        <v>8199</v>
      </c>
      <c r="AK698" t="s">
        <v>8199</v>
      </c>
      <c r="AM698" s="6" t="s">
        <v>5344</v>
      </c>
      <c r="AN698" t="s">
        <v>6508</v>
      </c>
      <c r="AV698"/>
      <c r="AX698"/>
      <c r="AZ698" t="str">
        <f t="shared" si="198"/>
        <v/>
      </c>
      <c r="BA698" t="str">
        <f t="shared" si="199"/>
        <v/>
      </c>
    </row>
    <row r="699" spans="1:53" ht="13.5">
      <c r="A699" s="135" t="str">
        <f t="shared" si="200"/>
        <v/>
      </c>
      <c r="B699" s="19" t="str">
        <f t="shared" si="201"/>
        <v/>
      </c>
      <c r="C699" s="19" t="str">
        <f t="shared" si="202"/>
        <v/>
      </c>
      <c r="D699" s="19" t="str">
        <f t="shared" si="203"/>
        <v/>
      </c>
      <c r="E699" s="5" t="str">
        <f t="shared" si="187"/>
        <v/>
      </c>
      <c r="F699" s="12" t="str">
        <f t="shared" si="188"/>
        <v/>
      </c>
      <c r="K699" s="9" t="str">
        <f t="shared" si="189"/>
        <v/>
      </c>
      <c r="L699" s="6">
        <f t="shared" si="190"/>
        <v>0</v>
      </c>
      <c r="M699" s="6">
        <f t="shared" si="191"/>
        <v>0</v>
      </c>
      <c r="N699" s="94" t="str">
        <f t="shared" si="192"/>
        <v/>
      </c>
      <c r="O699" s="6"/>
      <c r="P699" s="6"/>
      <c r="Q699" s="6"/>
      <c r="R699" s="6"/>
      <c r="T699" s="136" t="str">
        <f t="shared" si="193"/>
        <v/>
      </c>
      <c r="U699" s="137" t="str">
        <f t="shared" si="194"/>
        <v/>
      </c>
      <c r="V699" s="1"/>
      <c r="Y699" s="90" t="str">
        <f t="shared" si="195"/>
        <v/>
      </c>
      <c r="AC699" s="6" t="s">
        <v>3595</v>
      </c>
      <c r="AD699" s="6" t="s">
        <v>7111</v>
      </c>
      <c r="AE699" s="158" t="s">
        <v>4137</v>
      </c>
      <c r="AF699" s="159" t="s">
        <v>8299</v>
      </c>
      <c r="AG699" s="160" t="s">
        <v>4327</v>
      </c>
      <c r="AH699" s="194" t="s">
        <v>1314</v>
      </c>
      <c r="AI699" s="6" t="s">
        <v>5211</v>
      </c>
      <c r="AJ699" s="3" t="s">
        <v>8213</v>
      </c>
      <c r="AK699" t="s">
        <v>8213</v>
      </c>
      <c r="AM699" s="6" t="s">
        <v>5158</v>
      </c>
      <c r="AN699" t="s">
        <v>6509</v>
      </c>
      <c r="AV699"/>
      <c r="AX699"/>
      <c r="AZ699" t="str">
        <f t="shared" si="198"/>
        <v/>
      </c>
      <c r="BA699" t="str">
        <f t="shared" si="199"/>
        <v/>
      </c>
    </row>
    <row r="700" spans="1:53" ht="13.5">
      <c r="A700" s="135" t="str">
        <f t="shared" si="200"/>
        <v/>
      </c>
      <c r="B700" s="19" t="str">
        <f t="shared" si="201"/>
        <v/>
      </c>
      <c r="C700" s="19" t="str">
        <f t="shared" si="202"/>
        <v/>
      </c>
      <c r="D700" s="19" t="str">
        <f t="shared" si="203"/>
        <v/>
      </c>
      <c r="E700" s="5" t="str">
        <f t="shared" si="187"/>
        <v/>
      </c>
      <c r="F700" s="12" t="str">
        <f t="shared" si="188"/>
        <v/>
      </c>
      <c r="K700" s="9" t="str">
        <f t="shared" si="189"/>
        <v/>
      </c>
      <c r="L700" s="6">
        <f t="shared" si="190"/>
        <v>0</v>
      </c>
      <c r="M700" s="6">
        <f t="shared" si="191"/>
        <v>0</v>
      </c>
      <c r="N700" s="94" t="str">
        <f t="shared" si="192"/>
        <v/>
      </c>
      <c r="O700" s="6"/>
      <c r="P700" s="6"/>
      <c r="Q700" s="6"/>
      <c r="R700" s="6"/>
      <c r="T700" s="136" t="str">
        <f t="shared" si="193"/>
        <v/>
      </c>
      <c r="U700" s="137" t="str">
        <f t="shared" si="194"/>
        <v/>
      </c>
      <c r="V700" s="1"/>
      <c r="Y700" s="90" t="str">
        <f t="shared" si="195"/>
        <v/>
      </c>
      <c r="AC700" s="6" t="s">
        <v>3602</v>
      </c>
      <c r="AD700" s="6" t="s">
        <v>7111</v>
      </c>
      <c r="AE700" s="158" t="s">
        <v>3588</v>
      </c>
      <c r="AF700" s="159" t="s">
        <v>8299</v>
      </c>
      <c r="AG700" s="160" t="s">
        <v>1146</v>
      </c>
      <c r="AH700" s="194" t="s">
        <v>679</v>
      </c>
      <c r="AI700" s="6" t="s">
        <v>5219</v>
      </c>
      <c r="AJ700" s="3" t="s">
        <v>8210</v>
      </c>
      <c r="AK700" t="s">
        <v>8210</v>
      </c>
      <c r="AM700" s="6" t="s">
        <v>5044</v>
      </c>
      <c r="AN700" t="s">
        <v>6510</v>
      </c>
      <c r="AV700"/>
      <c r="AX700"/>
      <c r="AZ700" t="str">
        <f t="shared" si="198"/>
        <v/>
      </c>
      <c r="BA700" t="str">
        <f t="shared" si="199"/>
        <v/>
      </c>
    </row>
    <row r="701" spans="1:53" ht="13.5">
      <c r="A701" s="135" t="str">
        <f t="shared" si="200"/>
        <v/>
      </c>
      <c r="B701" s="19" t="str">
        <f t="shared" si="201"/>
        <v/>
      </c>
      <c r="C701" s="19" t="str">
        <f t="shared" si="202"/>
        <v/>
      </c>
      <c r="D701" s="19" t="str">
        <f t="shared" si="203"/>
        <v/>
      </c>
      <c r="E701" s="5" t="str">
        <f t="shared" si="187"/>
        <v/>
      </c>
      <c r="F701" s="12" t="str">
        <f t="shared" si="188"/>
        <v/>
      </c>
      <c r="K701" s="9" t="str">
        <f t="shared" si="189"/>
        <v/>
      </c>
      <c r="L701" s="6">
        <f t="shared" si="190"/>
        <v>0</v>
      </c>
      <c r="M701" s="6">
        <f t="shared" si="191"/>
        <v>0</v>
      </c>
      <c r="N701" s="94" t="str">
        <f t="shared" si="192"/>
        <v/>
      </c>
      <c r="O701" s="6"/>
      <c r="P701" s="6"/>
      <c r="Q701" s="6"/>
      <c r="R701" s="6"/>
      <c r="T701" s="136" t="str">
        <f t="shared" si="193"/>
        <v/>
      </c>
      <c r="U701" s="137" t="str">
        <f t="shared" si="194"/>
        <v/>
      </c>
      <c r="V701" s="1"/>
      <c r="Y701" s="90" t="str">
        <f t="shared" si="195"/>
        <v/>
      </c>
      <c r="AC701" s="6" t="s">
        <v>2460</v>
      </c>
      <c r="AD701" s="6" t="s">
        <v>6897</v>
      </c>
      <c r="AE701" s="158" t="s">
        <v>72</v>
      </c>
      <c r="AF701" s="159" t="s">
        <v>8309</v>
      </c>
      <c r="AG701" s="160" t="s">
        <v>1147</v>
      </c>
      <c r="AH701" s="194" t="s">
        <v>679</v>
      </c>
      <c r="AI701" s="6" t="s">
        <v>5453</v>
      </c>
      <c r="AJ701" s="3" t="s">
        <v>8250</v>
      </c>
      <c r="AK701" t="s">
        <v>8250</v>
      </c>
      <c r="AM701" s="6" t="s">
        <v>5472</v>
      </c>
      <c r="AN701" t="s">
        <v>6511</v>
      </c>
      <c r="AV701"/>
      <c r="AX701"/>
      <c r="AZ701" t="str">
        <f t="shared" si="198"/>
        <v/>
      </c>
      <c r="BA701" t="str">
        <f t="shared" si="199"/>
        <v/>
      </c>
    </row>
    <row r="702" spans="1:53" ht="13.5">
      <c r="A702" s="135" t="str">
        <f t="shared" si="200"/>
        <v/>
      </c>
      <c r="B702" s="19" t="str">
        <f t="shared" si="201"/>
        <v/>
      </c>
      <c r="C702" s="19" t="str">
        <f t="shared" si="202"/>
        <v/>
      </c>
      <c r="D702" s="19" t="str">
        <f t="shared" si="203"/>
        <v/>
      </c>
      <c r="E702" s="5" t="str">
        <f t="shared" si="187"/>
        <v/>
      </c>
      <c r="F702" s="12" t="str">
        <f t="shared" si="188"/>
        <v/>
      </c>
      <c r="K702" s="9" t="str">
        <f t="shared" si="189"/>
        <v/>
      </c>
      <c r="L702" s="6">
        <f t="shared" si="190"/>
        <v>0</v>
      </c>
      <c r="M702" s="6">
        <f t="shared" si="191"/>
        <v>0</v>
      </c>
      <c r="N702" s="94" t="str">
        <f t="shared" si="192"/>
        <v/>
      </c>
      <c r="O702" s="6"/>
      <c r="P702" s="6"/>
      <c r="Q702" s="6"/>
      <c r="R702" s="6"/>
      <c r="T702" s="136" t="str">
        <f t="shared" si="193"/>
        <v/>
      </c>
      <c r="U702" s="137" t="str">
        <f t="shared" si="194"/>
        <v/>
      </c>
      <c r="V702" s="1"/>
      <c r="Y702" s="90" t="str">
        <f t="shared" si="195"/>
        <v/>
      </c>
      <c r="AC702" s="6" t="s">
        <v>87</v>
      </c>
      <c r="AD702" s="6" t="s">
        <v>7098</v>
      </c>
      <c r="AE702" s="158" t="s">
        <v>66</v>
      </c>
      <c r="AF702" s="159" t="s">
        <v>8299</v>
      </c>
      <c r="AG702" s="160" t="s">
        <v>1148</v>
      </c>
      <c r="AH702" s="194" t="s">
        <v>679</v>
      </c>
      <c r="AI702" s="6">
        <v>782451</v>
      </c>
      <c r="AJ702" s="3" t="s">
        <v>8234</v>
      </c>
      <c r="AK702" t="s">
        <v>8234</v>
      </c>
      <c r="AM702" s="6" t="s">
        <v>5372</v>
      </c>
      <c r="AN702" t="s">
        <v>6512</v>
      </c>
      <c r="AV702"/>
      <c r="AX702"/>
      <c r="AZ702" t="str">
        <f t="shared" si="198"/>
        <v/>
      </c>
      <c r="BA702" t="str">
        <f t="shared" si="199"/>
        <v/>
      </c>
    </row>
    <row r="703" spans="1:53" ht="13.5">
      <c r="A703" s="135" t="str">
        <f t="shared" si="200"/>
        <v/>
      </c>
      <c r="B703" s="19" t="str">
        <f t="shared" si="201"/>
        <v/>
      </c>
      <c r="C703" s="19" t="str">
        <f t="shared" si="202"/>
        <v/>
      </c>
      <c r="D703" s="19" t="str">
        <f t="shared" si="203"/>
        <v/>
      </c>
      <c r="E703" s="5" t="str">
        <f t="shared" si="187"/>
        <v/>
      </c>
      <c r="F703" s="12" t="str">
        <f t="shared" si="188"/>
        <v/>
      </c>
      <c r="K703" s="9" t="str">
        <f t="shared" si="189"/>
        <v/>
      </c>
      <c r="L703" s="6">
        <f t="shared" si="190"/>
        <v>0</v>
      </c>
      <c r="M703" s="6">
        <f t="shared" si="191"/>
        <v>0</v>
      </c>
      <c r="N703" s="94" t="str">
        <f t="shared" si="192"/>
        <v/>
      </c>
      <c r="O703" s="6"/>
      <c r="P703" s="6"/>
      <c r="Q703" s="6"/>
      <c r="R703" s="6"/>
      <c r="T703" s="136" t="str">
        <f t="shared" si="193"/>
        <v/>
      </c>
      <c r="U703" s="137" t="str">
        <f t="shared" si="194"/>
        <v/>
      </c>
      <c r="V703" s="1"/>
      <c r="Y703" s="90" t="str">
        <f t="shared" si="195"/>
        <v/>
      </c>
      <c r="AC703" s="6" t="s">
        <v>2700</v>
      </c>
      <c r="AD703" s="6" t="s">
        <v>6897</v>
      </c>
      <c r="AE703" s="158" t="s">
        <v>65</v>
      </c>
      <c r="AF703" s="159" t="s">
        <v>8299</v>
      </c>
      <c r="AG703" s="160" t="s">
        <v>1507</v>
      </c>
      <c r="AH703" s="194" t="s">
        <v>679</v>
      </c>
      <c r="AI703" s="6" t="s">
        <v>4500</v>
      </c>
      <c r="AJ703" s="3" t="s">
        <v>8194</v>
      </c>
      <c r="AK703" t="s">
        <v>8194</v>
      </c>
      <c r="AM703" s="6" t="s">
        <v>5454</v>
      </c>
      <c r="AN703" t="s">
        <v>6513</v>
      </c>
      <c r="AV703"/>
      <c r="AX703"/>
      <c r="AZ703" t="str">
        <f t="shared" si="198"/>
        <v/>
      </c>
      <c r="BA703" t="str">
        <f t="shared" si="199"/>
        <v/>
      </c>
    </row>
    <row r="704" spans="1:53" ht="13.5">
      <c r="A704" s="135" t="str">
        <f t="shared" si="200"/>
        <v/>
      </c>
      <c r="B704" s="19" t="str">
        <f t="shared" si="201"/>
        <v/>
      </c>
      <c r="C704" s="19" t="str">
        <f t="shared" si="202"/>
        <v/>
      </c>
      <c r="D704" s="19" t="str">
        <f t="shared" si="203"/>
        <v/>
      </c>
      <c r="E704" s="5" t="str">
        <f t="shared" si="187"/>
        <v/>
      </c>
      <c r="F704" s="12" t="str">
        <f t="shared" si="188"/>
        <v/>
      </c>
      <c r="K704" s="9" t="str">
        <f t="shared" si="189"/>
        <v/>
      </c>
      <c r="L704" s="6">
        <f t="shared" si="190"/>
        <v>0</v>
      </c>
      <c r="M704" s="6">
        <f t="shared" si="191"/>
        <v>0</v>
      </c>
      <c r="N704" s="94" t="str">
        <f t="shared" si="192"/>
        <v/>
      </c>
      <c r="O704" s="6"/>
      <c r="P704" s="6"/>
      <c r="Q704" s="6"/>
      <c r="R704" s="6"/>
      <c r="T704" s="136" t="str">
        <f t="shared" si="193"/>
        <v/>
      </c>
      <c r="U704" s="137" t="str">
        <f t="shared" si="194"/>
        <v/>
      </c>
      <c r="V704" s="1"/>
      <c r="Y704" s="90" t="str">
        <f t="shared" si="195"/>
        <v/>
      </c>
      <c r="AC704" s="6" t="s">
        <v>101</v>
      </c>
      <c r="AD704" s="6" t="s">
        <v>7098</v>
      </c>
      <c r="AE704" s="158" t="s">
        <v>3865</v>
      </c>
      <c r="AF704" s="159" t="s">
        <v>8320</v>
      </c>
      <c r="AG704" s="160" t="s">
        <v>1508</v>
      </c>
      <c r="AH704" s="194" t="s">
        <v>679</v>
      </c>
      <c r="AI704" s="6" t="s">
        <v>1121</v>
      </c>
      <c r="AJ704" s="3" t="s">
        <v>8229</v>
      </c>
      <c r="AK704" t="s">
        <v>8229</v>
      </c>
      <c r="AM704" s="6" t="s">
        <v>5480</v>
      </c>
      <c r="AN704" t="s">
        <v>6514</v>
      </c>
      <c r="AV704"/>
      <c r="AX704"/>
      <c r="AZ704" t="str">
        <f t="shared" si="198"/>
        <v/>
      </c>
      <c r="BA704" t="str">
        <f t="shared" si="199"/>
        <v/>
      </c>
    </row>
    <row r="705" spans="1:53" ht="13.5">
      <c r="A705" s="135" t="str">
        <f t="shared" si="200"/>
        <v/>
      </c>
      <c r="B705" s="19" t="str">
        <f t="shared" si="201"/>
        <v/>
      </c>
      <c r="C705" s="19" t="str">
        <f t="shared" si="202"/>
        <v/>
      </c>
      <c r="D705" s="19" t="str">
        <f t="shared" si="203"/>
        <v/>
      </c>
      <c r="E705" s="5" t="str">
        <f t="shared" si="187"/>
        <v/>
      </c>
      <c r="F705" s="12" t="str">
        <f t="shared" si="188"/>
        <v/>
      </c>
      <c r="K705" s="9" t="str">
        <f t="shared" si="189"/>
        <v/>
      </c>
      <c r="L705" s="6">
        <f t="shared" si="190"/>
        <v>0</v>
      </c>
      <c r="M705" s="6">
        <f t="shared" si="191"/>
        <v>0</v>
      </c>
      <c r="N705" s="94" t="str">
        <f t="shared" si="192"/>
        <v/>
      </c>
      <c r="O705" s="6"/>
      <c r="P705" s="6"/>
      <c r="Q705" s="6"/>
      <c r="R705" s="6"/>
      <c r="T705" s="136" t="str">
        <f t="shared" si="193"/>
        <v/>
      </c>
      <c r="U705" s="137" t="str">
        <f t="shared" si="194"/>
        <v/>
      </c>
      <c r="V705" s="1"/>
      <c r="Y705" s="90" t="str">
        <f t="shared" si="195"/>
        <v/>
      </c>
      <c r="AC705" s="6" t="s">
        <v>99</v>
      </c>
      <c r="AD705" s="6" t="s">
        <v>7098</v>
      </c>
      <c r="AE705" s="158" t="s">
        <v>3866</v>
      </c>
      <c r="AF705" s="159" t="s">
        <v>8299</v>
      </c>
      <c r="AG705" s="160" t="s">
        <v>4328</v>
      </c>
      <c r="AH705" s="194" t="s">
        <v>1314</v>
      </c>
      <c r="AI705" s="6" t="s">
        <v>1211</v>
      </c>
      <c r="AJ705" s="3" t="s">
        <v>8236</v>
      </c>
      <c r="AK705" t="s">
        <v>8236</v>
      </c>
      <c r="AM705" s="6" t="s">
        <v>5479</v>
      </c>
      <c r="AN705" t="s">
        <v>6515</v>
      </c>
      <c r="AV705"/>
      <c r="AX705"/>
      <c r="AZ705" t="str">
        <f t="shared" si="198"/>
        <v/>
      </c>
      <c r="BA705" t="str">
        <f t="shared" si="199"/>
        <v/>
      </c>
    </row>
    <row r="706" spans="1:53" ht="13.5">
      <c r="A706" s="135" t="str">
        <f t="shared" si="200"/>
        <v/>
      </c>
      <c r="B706" s="19" t="str">
        <f t="shared" si="201"/>
        <v/>
      </c>
      <c r="C706" s="19" t="str">
        <f t="shared" si="202"/>
        <v/>
      </c>
      <c r="D706" s="19" t="str">
        <f t="shared" si="203"/>
        <v/>
      </c>
      <c r="E706" s="5" t="str">
        <f t="shared" si="187"/>
        <v/>
      </c>
      <c r="F706" s="12" t="str">
        <f t="shared" si="188"/>
        <v/>
      </c>
      <c r="K706" s="9" t="str">
        <f t="shared" si="189"/>
        <v/>
      </c>
      <c r="L706" s="6">
        <f t="shared" si="190"/>
        <v>0</v>
      </c>
      <c r="M706" s="6">
        <f t="shared" si="191"/>
        <v>0</v>
      </c>
      <c r="N706" s="94" t="str">
        <f t="shared" si="192"/>
        <v/>
      </c>
      <c r="O706" s="6"/>
      <c r="P706" s="6"/>
      <c r="Q706" s="6"/>
      <c r="R706" s="6"/>
      <c r="T706" s="136" t="str">
        <f t="shared" si="193"/>
        <v/>
      </c>
      <c r="U706" s="137" t="str">
        <f t="shared" si="194"/>
        <v/>
      </c>
      <c r="V706" s="1"/>
      <c r="Y706" s="90" t="str">
        <f t="shared" si="195"/>
        <v/>
      </c>
      <c r="AC706" s="6" t="s">
        <v>2468</v>
      </c>
      <c r="AD706" s="6" t="s">
        <v>6897</v>
      </c>
      <c r="AE706" s="158" t="s">
        <v>3867</v>
      </c>
      <c r="AF706" s="159" t="s">
        <v>8299</v>
      </c>
      <c r="AG706" s="160" t="s">
        <v>4329</v>
      </c>
      <c r="AH706" s="194" t="s">
        <v>1314</v>
      </c>
      <c r="AI706" s="6" t="s">
        <v>1110</v>
      </c>
      <c r="AJ706" s="3" t="s">
        <v>8269</v>
      </c>
      <c r="AK706" t="s">
        <v>8269</v>
      </c>
      <c r="AM706" s="6" t="s">
        <v>5405</v>
      </c>
      <c r="AN706" t="s">
        <v>6516</v>
      </c>
      <c r="AV706"/>
      <c r="AX706"/>
      <c r="AZ706" t="str">
        <f t="shared" si="198"/>
        <v/>
      </c>
      <c r="BA706" t="str">
        <f t="shared" si="199"/>
        <v/>
      </c>
    </row>
    <row r="707" spans="1:53" ht="13.5">
      <c r="A707" s="135" t="str">
        <f t="shared" si="200"/>
        <v/>
      </c>
      <c r="B707" s="19" t="str">
        <f t="shared" si="201"/>
        <v/>
      </c>
      <c r="C707" s="19" t="str">
        <f t="shared" si="202"/>
        <v/>
      </c>
      <c r="D707" s="19" t="str">
        <f t="shared" si="203"/>
        <v/>
      </c>
      <c r="E707" s="5" t="str">
        <f t="shared" si="187"/>
        <v/>
      </c>
      <c r="F707" s="12" t="str">
        <f t="shared" si="188"/>
        <v/>
      </c>
      <c r="K707" s="9" t="str">
        <f t="shared" si="189"/>
        <v/>
      </c>
      <c r="L707" s="6">
        <f t="shared" si="190"/>
        <v>0</v>
      </c>
      <c r="M707" s="6">
        <f t="shared" si="191"/>
        <v>0</v>
      </c>
      <c r="N707" s="94" t="str">
        <f t="shared" si="192"/>
        <v/>
      </c>
      <c r="O707" s="6"/>
      <c r="P707" s="6"/>
      <c r="Q707" s="6"/>
      <c r="R707" s="6"/>
      <c r="T707" s="136" t="str">
        <f t="shared" si="193"/>
        <v/>
      </c>
      <c r="U707" s="137" t="str">
        <f t="shared" si="194"/>
        <v/>
      </c>
      <c r="V707" s="1"/>
      <c r="Y707" s="90" t="str">
        <f t="shared" si="195"/>
        <v/>
      </c>
      <c r="AC707" s="6" t="s">
        <v>5122</v>
      </c>
      <c r="AD707" s="6" t="s">
        <v>7087</v>
      </c>
      <c r="AE707" s="158" t="s">
        <v>3868</v>
      </c>
      <c r="AF707" s="159" t="s">
        <v>8299</v>
      </c>
      <c r="AG707" s="160" t="s">
        <v>4330</v>
      </c>
      <c r="AH707" s="194" t="s">
        <v>1314</v>
      </c>
      <c r="AI707" s="6" t="s">
        <v>5365</v>
      </c>
      <c r="AJ707" s="3" t="s">
        <v>8224</v>
      </c>
      <c r="AK707" t="s">
        <v>8224</v>
      </c>
      <c r="AM707" s="6" t="s">
        <v>5485</v>
      </c>
      <c r="AN707" t="s">
        <v>6517</v>
      </c>
      <c r="AV707"/>
      <c r="AX707"/>
      <c r="AZ707" t="str">
        <f t="shared" si="198"/>
        <v/>
      </c>
      <c r="BA707" t="str">
        <f t="shared" si="199"/>
        <v/>
      </c>
    </row>
    <row r="708" spans="1:53" ht="13.5">
      <c r="A708" s="135" t="str">
        <f t="shared" si="200"/>
        <v/>
      </c>
      <c r="B708" s="19" t="str">
        <f t="shared" si="201"/>
        <v/>
      </c>
      <c r="C708" s="19" t="str">
        <f t="shared" si="202"/>
        <v/>
      </c>
      <c r="D708" s="19" t="str">
        <f t="shared" si="203"/>
        <v/>
      </c>
      <c r="E708" s="5" t="str">
        <f t="shared" si="187"/>
        <v/>
      </c>
      <c r="F708" s="12" t="str">
        <f t="shared" si="188"/>
        <v/>
      </c>
      <c r="K708" s="9" t="str">
        <f t="shared" si="189"/>
        <v/>
      </c>
      <c r="L708" s="6">
        <f t="shared" si="190"/>
        <v>0</v>
      </c>
      <c r="M708" s="6">
        <f t="shared" si="191"/>
        <v>0</v>
      </c>
      <c r="N708" s="94" t="str">
        <f t="shared" si="192"/>
        <v/>
      </c>
      <c r="O708" s="6"/>
      <c r="P708" s="6"/>
      <c r="Q708" s="6"/>
      <c r="R708" s="6"/>
      <c r="T708" s="136" t="str">
        <f t="shared" si="193"/>
        <v/>
      </c>
      <c r="U708" s="137" t="str">
        <f t="shared" si="194"/>
        <v/>
      </c>
      <c r="V708" s="1"/>
      <c r="Y708" s="90" t="str">
        <f t="shared" si="195"/>
        <v/>
      </c>
      <c r="AC708" s="6" t="s">
        <v>2459</v>
      </c>
      <c r="AD708" s="6" t="s">
        <v>6897</v>
      </c>
      <c r="AE708" s="158" t="s">
        <v>3911</v>
      </c>
      <c r="AF708" s="159" t="s">
        <v>8309</v>
      </c>
      <c r="AG708" s="160" t="s">
        <v>4332</v>
      </c>
      <c r="AH708" s="194" t="s">
        <v>1314</v>
      </c>
      <c r="AI708" s="6" t="s">
        <v>941</v>
      </c>
      <c r="AJ708" s="3" t="s">
        <v>8269</v>
      </c>
      <c r="AK708" t="s">
        <v>8269</v>
      </c>
      <c r="AM708" s="6" t="s">
        <v>5355</v>
      </c>
      <c r="AN708" t="s">
        <v>6518</v>
      </c>
      <c r="AV708"/>
      <c r="AX708"/>
      <c r="AZ708" t="str">
        <f t="shared" si="198"/>
        <v/>
      </c>
      <c r="BA708" t="str">
        <f t="shared" si="199"/>
        <v/>
      </c>
    </row>
    <row r="709" spans="1:53" ht="13.5">
      <c r="A709" s="135" t="str">
        <f t="shared" si="200"/>
        <v/>
      </c>
      <c r="B709" s="19" t="str">
        <f t="shared" si="201"/>
        <v/>
      </c>
      <c r="C709" s="19" t="str">
        <f t="shared" si="202"/>
        <v/>
      </c>
      <c r="D709" s="19" t="str">
        <f t="shared" si="203"/>
        <v/>
      </c>
      <c r="E709" s="5" t="str">
        <f t="shared" si="187"/>
        <v/>
      </c>
      <c r="F709" s="12" t="str">
        <f t="shared" si="188"/>
        <v/>
      </c>
      <c r="K709" s="9" t="str">
        <f t="shared" si="189"/>
        <v/>
      </c>
      <c r="L709" s="6">
        <f t="shared" si="190"/>
        <v>0</v>
      </c>
      <c r="M709" s="6">
        <f t="shared" si="191"/>
        <v>0</v>
      </c>
      <c r="N709" s="94" t="str">
        <f t="shared" si="192"/>
        <v/>
      </c>
      <c r="O709" s="6"/>
      <c r="P709" s="6"/>
      <c r="Q709" s="6"/>
      <c r="R709" s="6"/>
      <c r="T709" s="136" t="str">
        <f t="shared" si="193"/>
        <v/>
      </c>
      <c r="U709" s="137" t="str">
        <f t="shared" si="194"/>
        <v/>
      </c>
      <c r="V709" s="1"/>
      <c r="Y709" s="90" t="str">
        <f t="shared" si="195"/>
        <v/>
      </c>
      <c r="AC709" s="6" t="s">
        <v>89</v>
      </c>
      <c r="AD709" s="6" t="s">
        <v>7098</v>
      </c>
      <c r="AE709" s="158" t="s">
        <v>4048</v>
      </c>
      <c r="AF709" s="159" t="s">
        <v>8299</v>
      </c>
      <c r="AG709" s="160" t="s">
        <v>4333</v>
      </c>
      <c r="AH709" s="194" t="s">
        <v>1314</v>
      </c>
      <c r="AI709" s="6" t="s">
        <v>1313</v>
      </c>
      <c r="AJ709" s="3" t="s">
        <v>8270</v>
      </c>
      <c r="AK709" t="s">
        <v>8270</v>
      </c>
      <c r="AM709" s="6" t="s">
        <v>5357</v>
      </c>
      <c r="AN709" t="s">
        <v>6519</v>
      </c>
      <c r="AV709"/>
      <c r="AX709"/>
      <c r="AZ709" t="str">
        <f t="shared" si="198"/>
        <v/>
      </c>
      <c r="BA709" t="str">
        <f t="shared" si="199"/>
        <v/>
      </c>
    </row>
    <row r="710" spans="1:53" ht="13.5">
      <c r="A710" s="135" t="str">
        <f t="shared" si="200"/>
        <v/>
      </c>
      <c r="B710" s="19" t="str">
        <f t="shared" si="201"/>
        <v/>
      </c>
      <c r="C710" s="19" t="str">
        <f t="shared" si="202"/>
        <v/>
      </c>
      <c r="D710" s="19" t="str">
        <f t="shared" si="203"/>
        <v/>
      </c>
      <c r="E710" s="5" t="str">
        <f t="shared" ref="E710:E773" si="204">IF(ISNA(VLOOKUP(I710,AI:AK,2,FALSE)),"",VLOOKUP(I710,AI:AK,2,FALSE))</f>
        <v/>
      </c>
      <c r="F710" s="12" t="str">
        <f t="shared" ref="F710:F773" si="205">IF(ISNA(VLOOKUP(I710,AI:AK,3,FALSE)),"",VLOOKUP(I710,AI:AK,3,FALSE))</f>
        <v/>
      </c>
      <c r="K710" s="9" t="str">
        <f t="shared" ref="K710:K773" si="206">IF(AND(LEFT(L710,3)&lt;&gt;"IB0",LEFT(L710,3)&lt;&gt;"ME0",LEFT(L710,3)&lt;&gt;"PS0",LEFT(L710,3)&lt;&gt;"RY0",LEFT(L710,3)&lt;&gt;"BU0",LEFT(L710,3)&lt;&gt;"IS0",LEFT(L710,3)&lt;&gt;"KA0",LEFT(L710,3)&lt;&gt;"FB0",LEFT(L710,3)&lt;&gt;"MB0",LEFT(L710,3)&lt;&gt;"LH0",LEFT(L710,3)&lt;&gt;"MU0",LEFT(L710,3)&lt;&gt;"AB0"),"",L710)</f>
        <v/>
      </c>
      <c r="L710" s="6">
        <f t="shared" ref="L710:L773" si="207">IF(ISNA(VLOOKUP(I710,$S$5:$S$900,1,FALSE)),I710,"")</f>
        <v>0</v>
      </c>
      <c r="M710" s="6">
        <f t="shared" ref="M710:M773" si="208">IF(OR(LEFT(L710,3)="IB0",LEFT(L710,3)="ME0",LEFT(L710,3)="PS0",LEFT(L710,3)="RY0",LEFT(L710,3)="BU0",LEFT(L710,3)="IS0",LEFT(L710,3)="KA0",LEFT(L710,3)="FB0",LEFT(L710,3)="MB0",LEFT(L710,3)="LH0",LEFT(L710,3)="MU0",LEFT(L710,3)="AB0",),"",L710)</f>
        <v>0</v>
      </c>
      <c r="N710" s="94" t="str">
        <f t="shared" ref="N710:N773" si="209">IF(I710="","",(IF(ISNA(VLOOKUP(M710,$AJ$4:$AK$4000,2,FALSE)),M710,VLOOKUP(M710,$AJ$4:$AK$4000,2,FALSE))))</f>
        <v/>
      </c>
      <c r="O710" s="6"/>
      <c r="P710" s="6"/>
      <c r="Q710" s="6"/>
      <c r="R710" s="6"/>
      <c r="T710" s="136" t="str">
        <f t="shared" ref="T710:T773" si="210">IF(ISNA(VLOOKUP(S710,$I$5:$I$900,1,FALSE)),IF(ISBLANK(S710),"","up"),"")</f>
        <v/>
      </c>
      <c r="U710" s="137" t="str">
        <f t="shared" ref="U710:U773" si="211">IF(T710="up",(IF(ISNA(VLOOKUP(S710,$AV$1:$AX$1200,3,FALSE)),"",VLOOKUP(S710,$AV$1:$AX$1200,3,FALSE))),"")</f>
        <v/>
      </c>
      <c r="V710" s="1"/>
      <c r="Y710" s="90" t="str">
        <f t="shared" ref="Y710:Y773" si="212">IFERROR(VLOOKUP(S710,$AV$1:$BA$1200,6,0),"")</f>
        <v/>
      </c>
      <c r="AC710" s="6" t="s">
        <v>4054</v>
      </c>
      <c r="AD710" s="6" t="s">
        <v>7086</v>
      </c>
      <c r="AE710" s="158" t="s">
        <v>4165</v>
      </c>
      <c r="AF710" s="159" t="s">
        <v>8297</v>
      </c>
      <c r="AG710" s="160" t="s">
        <v>4334</v>
      </c>
      <c r="AH710" s="194" t="s">
        <v>679</v>
      </c>
      <c r="AI710" s="6" t="s">
        <v>84</v>
      </c>
      <c r="AJ710" s="3" t="s">
        <v>8214</v>
      </c>
      <c r="AK710" t="s">
        <v>8214</v>
      </c>
      <c r="AM710" s="6" t="s">
        <v>5410</v>
      </c>
      <c r="AN710" t="s">
        <v>6520</v>
      </c>
      <c r="AV710"/>
      <c r="AX710"/>
      <c r="AZ710" t="str">
        <f t="shared" si="198"/>
        <v/>
      </c>
      <c r="BA710" t="str">
        <f t="shared" si="199"/>
        <v/>
      </c>
    </row>
    <row r="711" spans="1:53" ht="13.5">
      <c r="A711" s="135" t="str">
        <f t="shared" si="200"/>
        <v/>
      </c>
      <c r="B711" s="19" t="str">
        <f t="shared" si="201"/>
        <v/>
      </c>
      <c r="C711" s="19" t="str">
        <f t="shared" si="202"/>
        <v/>
      </c>
      <c r="D711" s="19" t="str">
        <f t="shared" si="203"/>
        <v/>
      </c>
      <c r="E711" s="5" t="str">
        <f t="shared" si="204"/>
        <v/>
      </c>
      <c r="F711" s="12" t="str">
        <f t="shared" si="205"/>
        <v/>
      </c>
      <c r="K711" s="9" t="str">
        <f t="shared" si="206"/>
        <v/>
      </c>
      <c r="L711" s="6">
        <f t="shared" si="207"/>
        <v>0</v>
      </c>
      <c r="M711" s="6">
        <f t="shared" si="208"/>
        <v>0</v>
      </c>
      <c r="N711" s="94" t="str">
        <f t="shared" si="209"/>
        <v/>
      </c>
      <c r="O711" s="6"/>
      <c r="P711" s="6"/>
      <c r="Q711" s="6"/>
      <c r="R711" s="6"/>
      <c r="T711" s="136" t="str">
        <f t="shared" si="210"/>
        <v/>
      </c>
      <c r="U711" s="137" t="str">
        <f t="shared" si="211"/>
        <v/>
      </c>
      <c r="V711" s="1"/>
      <c r="Y711" s="90" t="str">
        <f t="shared" si="212"/>
        <v/>
      </c>
      <c r="AC711" s="6" t="s">
        <v>2449</v>
      </c>
      <c r="AD711" s="6" t="s">
        <v>6897</v>
      </c>
      <c r="AE711" s="158">
        <v>155812</v>
      </c>
      <c r="AF711" s="159" t="s">
        <v>8299</v>
      </c>
      <c r="AG711" s="160" t="s">
        <v>4335</v>
      </c>
      <c r="AH711" s="194" t="s">
        <v>679</v>
      </c>
      <c r="AI711" s="6" t="s">
        <v>5268</v>
      </c>
      <c r="AJ711" s="3" t="s">
        <v>8244</v>
      </c>
      <c r="AK711" t="s">
        <v>8244</v>
      </c>
      <c r="AM711" s="6" t="s">
        <v>5437</v>
      </c>
      <c r="AN711" t="s">
        <v>6521</v>
      </c>
      <c r="AV711"/>
      <c r="AX711"/>
      <c r="AZ711" t="str">
        <f t="shared" si="198"/>
        <v/>
      </c>
      <c r="BA711" t="str">
        <f t="shared" si="199"/>
        <v/>
      </c>
    </row>
    <row r="712" spans="1:53" ht="13.5">
      <c r="A712" s="135" t="str">
        <f t="shared" si="200"/>
        <v/>
      </c>
      <c r="B712" s="19" t="str">
        <f t="shared" si="201"/>
        <v/>
      </c>
      <c r="C712" s="19" t="str">
        <f t="shared" si="202"/>
        <v/>
      </c>
      <c r="D712" s="19" t="str">
        <f t="shared" si="203"/>
        <v/>
      </c>
      <c r="E712" s="5" t="str">
        <f t="shared" si="204"/>
        <v/>
      </c>
      <c r="F712" s="12" t="str">
        <f t="shared" si="205"/>
        <v/>
      </c>
      <c r="K712" s="9" t="str">
        <f t="shared" si="206"/>
        <v/>
      </c>
      <c r="L712" s="6">
        <f t="shared" si="207"/>
        <v>0</v>
      </c>
      <c r="M712" s="6">
        <f t="shared" si="208"/>
        <v>0</v>
      </c>
      <c r="N712" s="94" t="str">
        <f t="shared" si="209"/>
        <v/>
      </c>
      <c r="O712" s="6"/>
      <c r="P712" s="6"/>
      <c r="Q712" s="6"/>
      <c r="R712" s="6"/>
      <c r="T712" s="136" t="str">
        <f t="shared" si="210"/>
        <v/>
      </c>
      <c r="U712" s="137" t="str">
        <f t="shared" si="211"/>
        <v/>
      </c>
      <c r="V712" s="1"/>
      <c r="Y712" s="90" t="str">
        <f t="shared" si="212"/>
        <v/>
      </c>
      <c r="AC712" s="6" t="s">
        <v>2426</v>
      </c>
      <c r="AD712" s="6" t="s">
        <v>6897</v>
      </c>
      <c r="AE712" s="158">
        <v>155813</v>
      </c>
      <c r="AF712" s="159" t="s">
        <v>8299</v>
      </c>
      <c r="AG712" s="160" t="s">
        <v>4336</v>
      </c>
      <c r="AH712" s="194" t="s">
        <v>1314</v>
      </c>
      <c r="AI712" s="6" t="s">
        <v>5475</v>
      </c>
      <c r="AJ712" s="3" t="s">
        <v>8216</v>
      </c>
      <c r="AK712" t="s">
        <v>8216</v>
      </c>
      <c r="AM712" s="6" t="s">
        <v>5441</v>
      </c>
      <c r="AN712" t="s">
        <v>6522</v>
      </c>
      <c r="AV712"/>
      <c r="AX712"/>
      <c r="AZ712" t="str">
        <f t="shared" si="198"/>
        <v/>
      </c>
      <c r="BA712" t="str">
        <f t="shared" si="199"/>
        <v/>
      </c>
    </row>
    <row r="713" spans="1:53" ht="13.5">
      <c r="A713" s="135" t="str">
        <f t="shared" si="200"/>
        <v/>
      </c>
      <c r="B713" s="19" t="str">
        <f t="shared" si="201"/>
        <v/>
      </c>
      <c r="C713" s="19" t="str">
        <f t="shared" si="202"/>
        <v/>
      </c>
      <c r="D713" s="19" t="str">
        <f t="shared" si="203"/>
        <v/>
      </c>
      <c r="E713" s="5" t="str">
        <f t="shared" si="204"/>
        <v/>
      </c>
      <c r="F713" s="12" t="str">
        <f t="shared" si="205"/>
        <v/>
      </c>
      <c r="K713" s="9" t="str">
        <f t="shared" si="206"/>
        <v/>
      </c>
      <c r="L713" s="6">
        <f t="shared" si="207"/>
        <v>0</v>
      </c>
      <c r="M713" s="6">
        <f t="shared" si="208"/>
        <v>0</v>
      </c>
      <c r="N713" s="94" t="str">
        <f t="shared" si="209"/>
        <v/>
      </c>
      <c r="O713" s="6"/>
      <c r="P713" s="6"/>
      <c r="Q713" s="6"/>
      <c r="R713" s="6"/>
      <c r="T713" s="136" t="str">
        <f t="shared" si="210"/>
        <v/>
      </c>
      <c r="U713" s="137" t="str">
        <f t="shared" si="211"/>
        <v/>
      </c>
      <c r="V713" s="1"/>
      <c r="Y713" s="90" t="str">
        <f t="shared" si="212"/>
        <v/>
      </c>
      <c r="AC713" s="6" t="s">
        <v>2698</v>
      </c>
      <c r="AD713" s="6" t="s">
        <v>6897</v>
      </c>
      <c r="AE713" s="158">
        <v>155814</v>
      </c>
      <c r="AF713" s="159" t="s">
        <v>8309</v>
      </c>
      <c r="AG713" s="160" t="s">
        <v>4337</v>
      </c>
      <c r="AH713" s="194" t="s">
        <v>679</v>
      </c>
      <c r="AI713" s="6" t="s">
        <v>5501</v>
      </c>
      <c r="AJ713" s="3" t="s">
        <v>8224</v>
      </c>
      <c r="AK713" t="s">
        <v>8224</v>
      </c>
      <c r="AM713" s="6" t="s">
        <v>5341</v>
      </c>
      <c r="AN713" t="s">
        <v>6523</v>
      </c>
      <c r="AV713"/>
      <c r="AX713"/>
      <c r="AZ713" t="str">
        <f t="shared" si="198"/>
        <v/>
      </c>
      <c r="BA713" t="str">
        <f t="shared" si="199"/>
        <v/>
      </c>
    </row>
    <row r="714" spans="1:53" ht="13.5">
      <c r="A714" s="135" t="str">
        <f t="shared" si="200"/>
        <v/>
      </c>
      <c r="B714" s="19" t="str">
        <f t="shared" si="201"/>
        <v/>
      </c>
      <c r="C714" s="19" t="str">
        <f t="shared" si="202"/>
        <v/>
      </c>
      <c r="D714" s="19" t="str">
        <f t="shared" si="203"/>
        <v/>
      </c>
      <c r="E714" s="5" t="str">
        <f t="shared" si="204"/>
        <v/>
      </c>
      <c r="F714" s="12" t="str">
        <f t="shared" si="205"/>
        <v/>
      </c>
      <c r="K714" s="9" t="str">
        <f t="shared" si="206"/>
        <v/>
      </c>
      <c r="L714" s="6">
        <f t="shared" si="207"/>
        <v>0</v>
      </c>
      <c r="M714" s="6">
        <f t="shared" si="208"/>
        <v>0</v>
      </c>
      <c r="N714" s="94" t="str">
        <f t="shared" si="209"/>
        <v/>
      </c>
      <c r="O714" s="6"/>
      <c r="P714" s="6"/>
      <c r="Q714" s="6"/>
      <c r="R714" s="6"/>
      <c r="T714" s="136" t="str">
        <f t="shared" si="210"/>
        <v/>
      </c>
      <c r="U714" s="137" t="str">
        <f t="shared" si="211"/>
        <v/>
      </c>
      <c r="V714" s="1"/>
      <c r="Y714" s="90" t="str">
        <f t="shared" si="212"/>
        <v/>
      </c>
      <c r="AC714" s="6" t="s">
        <v>90</v>
      </c>
      <c r="AD714" s="6" t="s">
        <v>7098</v>
      </c>
      <c r="AE714" s="158" t="s">
        <v>3651</v>
      </c>
      <c r="AF714" s="159" t="s">
        <v>8299</v>
      </c>
      <c r="AG714" s="160" t="s">
        <v>4338</v>
      </c>
      <c r="AH714" s="194" t="s">
        <v>1314</v>
      </c>
      <c r="AI714" s="6" t="s">
        <v>1235</v>
      </c>
      <c r="AJ714" s="3" t="s">
        <v>8237</v>
      </c>
      <c r="AK714" t="s">
        <v>8237</v>
      </c>
      <c r="AM714" s="6" t="s">
        <v>5373</v>
      </c>
      <c r="AN714" t="s">
        <v>6524</v>
      </c>
      <c r="AV714"/>
      <c r="AX714"/>
      <c r="AZ714" t="str">
        <f t="shared" si="198"/>
        <v/>
      </c>
      <c r="BA714" t="str">
        <f t="shared" si="199"/>
        <v/>
      </c>
    </row>
    <row r="715" spans="1:53" ht="13.5">
      <c r="A715" s="135" t="str">
        <f t="shared" si="200"/>
        <v/>
      </c>
      <c r="B715" s="19" t="str">
        <f t="shared" si="201"/>
        <v/>
      </c>
      <c r="C715" s="19" t="str">
        <f t="shared" si="202"/>
        <v/>
      </c>
      <c r="D715" s="19" t="str">
        <f t="shared" si="203"/>
        <v/>
      </c>
      <c r="E715" s="5" t="str">
        <f t="shared" si="204"/>
        <v/>
      </c>
      <c r="F715" s="12" t="str">
        <f t="shared" si="205"/>
        <v/>
      </c>
      <c r="K715" s="9" t="str">
        <f t="shared" si="206"/>
        <v/>
      </c>
      <c r="L715" s="6">
        <f t="shared" si="207"/>
        <v>0</v>
      </c>
      <c r="M715" s="6">
        <f t="shared" si="208"/>
        <v>0</v>
      </c>
      <c r="N715" s="94" t="str">
        <f t="shared" si="209"/>
        <v/>
      </c>
      <c r="O715" s="6"/>
      <c r="P715" s="6"/>
      <c r="Q715" s="6"/>
      <c r="R715" s="6"/>
      <c r="T715" s="136" t="str">
        <f t="shared" si="210"/>
        <v/>
      </c>
      <c r="U715" s="137" t="str">
        <f t="shared" si="211"/>
        <v/>
      </c>
      <c r="V715" s="1"/>
      <c r="Y715" s="90" t="str">
        <f t="shared" si="212"/>
        <v/>
      </c>
      <c r="AC715" s="6" t="s">
        <v>86</v>
      </c>
      <c r="AD715" s="6" t="s">
        <v>7098</v>
      </c>
      <c r="AE715" s="158" t="s">
        <v>3652</v>
      </c>
      <c r="AF715" s="159" t="s">
        <v>8299</v>
      </c>
      <c r="AG715" s="160" t="s">
        <v>4339</v>
      </c>
      <c r="AH715" s="194" t="s">
        <v>679</v>
      </c>
      <c r="AI715" s="6" t="s">
        <v>4420</v>
      </c>
      <c r="AJ715" s="3" t="s">
        <v>8237</v>
      </c>
      <c r="AK715" t="s">
        <v>8237</v>
      </c>
      <c r="AM715" s="6" t="s">
        <v>5434</v>
      </c>
      <c r="AN715" t="s">
        <v>6525</v>
      </c>
      <c r="AV715"/>
      <c r="AX715"/>
      <c r="AZ715" t="str">
        <f t="shared" si="198"/>
        <v/>
      </c>
      <c r="BA715" t="str">
        <f t="shared" si="199"/>
        <v/>
      </c>
    </row>
    <row r="716" spans="1:53" ht="13.5">
      <c r="A716" s="135" t="str">
        <f t="shared" si="200"/>
        <v/>
      </c>
      <c r="B716" s="19" t="str">
        <f t="shared" si="201"/>
        <v/>
      </c>
      <c r="C716" s="19" t="str">
        <f t="shared" si="202"/>
        <v/>
      </c>
      <c r="D716" s="19" t="str">
        <f t="shared" si="203"/>
        <v/>
      </c>
      <c r="E716" s="5" t="str">
        <f t="shared" si="204"/>
        <v/>
      </c>
      <c r="F716" s="12" t="str">
        <f t="shared" si="205"/>
        <v/>
      </c>
      <c r="K716" s="9" t="str">
        <f t="shared" si="206"/>
        <v/>
      </c>
      <c r="L716" s="6">
        <f t="shared" si="207"/>
        <v>0</v>
      </c>
      <c r="M716" s="6">
        <f t="shared" si="208"/>
        <v>0</v>
      </c>
      <c r="N716" s="94" t="str">
        <f t="shared" si="209"/>
        <v/>
      </c>
      <c r="O716" s="6"/>
      <c r="P716" s="6"/>
      <c r="Q716" s="6"/>
      <c r="R716" s="6"/>
      <c r="T716" s="136" t="str">
        <f t="shared" si="210"/>
        <v/>
      </c>
      <c r="U716" s="137" t="str">
        <f t="shared" si="211"/>
        <v/>
      </c>
      <c r="V716" s="1"/>
      <c r="Y716" s="90" t="str">
        <f t="shared" si="212"/>
        <v/>
      </c>
      <c r="AC716" s="6" t="s">
        <v>2469</v>
      </c>
      <c r="AD716" s="6" t="s">
        <v>6897</v>
      </c>
      <c r="AE716" s="158" t="s">
        <v>3653</v>
      </c>
      <c r="AF716" s="159" t="s">
        <v>8299</v>
      </c>
      <c r="AG716" s="160" t="s">
        <v>1149</v>
      </c>
      <c r="AH716" s="194" t="s">
        <v>679</v>
      </c>
      <c r="AI716" s="6" t="s">
        <v>5148</v>
      </c>
      <c r="AJ716" s="3" t="s">
        <v>8238</v>
      </c>
      <c r="AK716" t="s">
        <v>8673</v>
      </c>
      <c r="AM716" s="6" t="s">
        <v>5330</v>
      </c>
      <c r="AN716" t="s">
        <v>6526</v>
      </c>
      <c r="AV716"/>
      <c r="AX716"/>
      <c r="AZ716" t="str">
        <f t="shared" si="198"/>
        <v/>
      </c>
      <c r="BA716" t="str">
        <f t="shared" si="199"/>
        <v/>
      </c>
    </row>
    <row r="717" spans="1:53" ht="13.5">
      <c r="A717" s="135" t="str">
        <f t="shared" si="200"/>
        <v/>
      </c>
      <c r="B717" s="19" t="str">
        <f t="shared" si="201"/>
        <v/>
      </c>
      <c r="C717" s="19" t="str">
        <f t="shared" si="202"/>
        <v/>
      </c>
      <c r="D717" s="19" t="str">
        <f t="shared" si="203"/>
        <v/>
      </c>
      <c r="E717" s="5" t="str">
        <f t="shared" si="204"/>
        <v/>
      </c>
      <c r="F717" s="12" t="str">
        <f t="shared" si="205"/>
        <v/>
      </c>
      <c r="K717" s="9" t="str">
        <f t="shared" si="206"/>
        <v/>
      </c>
      <c r="L717" s="6">
        <f t="shared" si="207"/>
        <v>0</v>
      </c>
      <c r="M717" s="6">
        <f t="shared" si="208"/>
        <v>0</v>
      </c>
      <c r="N717" s="94" t="str">
        <f t="shared" si="209"/>
        <v/>
      </c>
      <c r="O717" s="6"/>
      <c r="P717" s="6"/>
      <c r="Q717" s="6"/>
      <c r="R717" s="6"/>
      <c r="T717" s="136" t="str">
        <f t="shared" si="210"/>
        <v/>
      </c>
      <c r="U717" s="137" t="str">
        <f t="shared" si="211"/>
        <v/>
      </c>
      <c r="V717" s="1"/>
      <c r="Y717" s="90" t="str">
        <f t="shared" si="212"/>
        <v/>
      </c>
      <c r="AC717" s="6" t="s">
        <v>98</v>
      </c>
      <c r="AD717" s="6" t="s">
        <v>7098</v>
      </c>
      <c r="AE717" s="158" t="s">
        <v>3654</v>
      </c>
      <c r="AF717" s="159" t="s">
        <v>8299</v>
      </c>
      <c r="AG717" s="160" t="s">
        <v>4340</v>
      </c>
      <c r="AH717" s="194" t="s">
        <v>679</v>
      </c>
      <c r="AI717" s="6">
        <v>715448</v>
      </c>
      <c r="AJ717" s="3" t="s">
        <v>8235</v>
      </c>
      <c r="AK717" t="s">
        <v>8672</v>
      </c>
      <c r="AM717" s="6" t="s">
        <v>5329</v>
      </c>
      <c r="AN717" t="s">
        <v>6527</v>
      </c>
      <c r="AV717"/>
      <c r="AX717"/>
      <c r="AZ717" t="str">
        <f t="shared" si="198"/>
        <v/>
      </c>
      <c r="BA717" t="str">
        <f t="shared" si="199"/>
        <v/>
      </c>
    </row>
    <row r="718" spans="1:53" ht="13.5">
      <c r="A718" s="135" t="str">
        <f t="shared" si="200"/>
        <v/>
      </c>
      <c r="B718" s="19" t="str">
        <f t="shared" si="201"/>
        <v/>
      </c>
      <c r="C718" s="19" t="str">
        <f t="shared" si="202"/>
        <v/>
      </c>
      <c r="D718" s="19" t="str">
        <f t="shared" si="203"/>
        <v/>
      </c>
      <c r="E718" s="5" t="str">
        <f t="shared" si="204"/>
        <v/>
      </c>
      <c r="F718" s="12" t="str">
        <f t="shared" si="205"/>
        <v/>
      </c>
      <c r="K718" s="9" t="str">
        <f t="shared" si="206"/>
        <v/>
      </c>
      <c r="L718" s="6">
        <f t="shared" si="207"/>
        <v>0</v>
      </c>
      <c r="M718" s="6">
        <f t="shared" si="208"/>
        <v>0</v>
      </c>
      <c r="N718" s="94" t="str">
        <f t="shared" si="209"/>
        <v/>
      </c>
      <c r="O718" s="6"/>
      <c r="P718" s="6"/>
      <c r="Q718" s="6"/>
      <c r="R718" s="6"/>
      <c r="T718" s="136" t="str">
        <f t="shared" si="210"/>
        <v/>
      </c>
      <c r="U718" s="137" t="str">
        <f t="shared" si="211"/>
        <v/>
      </c>
      <c r="V718" s="1"/>
      <c r="Y718" s="90" t="str">
        <f t="shared" si="212"/>
        <v/>
      </c>
      <c r="AC718" s="6" t="s">
        <v>2701</v>
      </c>
      <c r="AD718" s="6" t="s">
        <v>6897</v>
      </c>
      <c r="AE718" s="158" t="s">
        <v>3917</v>
      </c>
      <c r="AF718" s="159" t="s">
        <v>8297</v>
      </c>
      <c r="AG718" s="160" t="s">
        <v>4341</v>
      </c>
      <c r="AH718" s="194" t="s">
        <v>679</v>
      </c>
      <c r="AI718" s="6" t="s">
        <v>5191</v>
      </c>
      <c r="AJ718" s="3" t="s">
        <v>8248</v>
      </c>
      <c r="AK718" t="s">
        <v>8248</v>
      </c>
      <c r="AM718" s="6" t="s">
        <v>5356</v>
      </c>
      <c r="AN718" t="s">
        <v>6528</v>
      </c>
      <c r="AV718"/>
      <c r="AX718"/>
      <c r="AZ718" t="str">
        <f t="shared" si="198"/>
        <v/>
      </c>
      <c r="BA718" t="str">
        <f t="shared" si="199"/>
        <v/>
      </c>
    </row>
    <row r="719" spans="1:53" ht="13.5">
      <c r="A719" s="135" t="str">
        <f t="shared" si="200"/>
        <v/>
      </c>
      <c r="B719" s="19" t="str">
        <f t="shared" si="201"/>
        <v/>
      </c>
      <c r="C719" s="19" t="str">
        <f t="shared" si="202"/>
        <v/>
      </c>
      <c r="D719" s="19" t="str">
        <f t="shared" si="203"/>
        <v/>
      </c>
      <c r="E719" s="5" t="str">
        <f t="shared" si="204"/>
        <v/>
      </c>
      <c r="F719" s="12" t="str">
        <f t="shared" si="205"/>
        <v/>
      </c>
      <c r="K719" s="9" t="str">
        <f t="shared" si="206"/>
        <v/>
      </c>
      <c r="L719" s="6">
        <f t="shared" si="207"/>
        <v>0</v>
      </c>
      <c r="M719" s="6">
        <f t="shared" si="208"/>
        <v>0</v>
      </c>
      <c r="N719" s="94" t="str">
        <f t="shared" si="209"/>
        <v/>
      </c>
      <c r="O719" s="6"/>
      <c r="P719" s="6"/>
      <c r="Q719" s="6"/>
      <c r="R719" s="6"/>
      <c r="T719" s="136" t="str">
        <f t="shared" si="210"/>
        <v/>
      </c>
      <c r="U719" s="137" t="str">
        <f t="shared" si="211"/>
        <v/>
      </c>
      <c r="V719" s="1"/>
      <c r="Y719" s="90" t="str">
        <f t="shared" si="212"/>
        <v/>
      </c>
      <c r="AC719" s="6" t="s">
        <v>96</v>
      </c>
      <c r="AD719" s="6" t="s">
        <v>7098</v>
      </c>
      <c r="AE719" s="158" t="s">
        <v>3918</v>
      </c>
      <c r="AF719" s="159" t="s">
        <v>8299</v>
      </c>
      <c r="AG719" s="160" t="s">
        <v>129</v>
      </c>
      <c r="AH719" s="194" t="s">
        <v>678</v>
      </c>
      <c r="AI719" s="6" t="s">
        <v>5267</v>
      </c>
      <c r="AJ719" s="3" t="s">
        <v>8238</v>
      </c>
      <c r="AK719" t="s">
        <v>8673</v>
      </c>
      <c r="AM719" s="6" t="s">
        <v>5362</v>
      </c>
      <c r="AN719" t="s">
        <v>6529</v>
      </c>
      <c r="AV719"/>
      <c r="AX719"/>
      <c r="AZ719" t="str">
        <f t="shared" si="198"/>
        <v/>
      </c>
      <c r="BA719" t="str">
        <f t="shared" si="199"/>
        <v/>
      </c>
    </row>
    <row r="720" spans="1:53" ht="13.5">
      <c r="A720" s="135" t="str">
        <f t="shared" si="200"/>
        <v/>
      </c>
      <c r="B720" s="19" t="str">
        <f t="shared" si="201"/>
        <v/>
      </c>
      <c r="C720" s="19" t="str">
        <f t="shared" si="202"/>
        <v/>
      </c>
      <c r="D720" s="19" t="str">
        <f t="shared" si="203"/>
        <v/>
      </c>
      <c r="E720" s="5" t="str">
        <f t="shared" si="204"/>
        <v/>
      </c>
      <c r="F720" s="12" t="str">
        <f t="shared" si="205"/>
        <v/>
      </c>
      <c r="K720" s="9" t="str">
        <f t="shared" si="206"/>
        <v/>
      </c>
      <c r="L720" s="6">
        <f t="shared" si="207"/>
        <v>0</v>
      </c>
      <c r="M720" s="6">
        <f t="shared" si="208"/>
        <v>0</v>
      </c>
      <c r="N720" s="94" t="str">
        <f t="shared" si="209"/>
        <v/>
      </c>
      <c r="O720" s="6"/>
      <c r="P720" s="6"/>
      <c r="Q720" s="6"/>
      <c r="R720" s="6"/>
      <c r="T720" s="136" t="str">
        <f t="shared" si="210"/>
        <v/>
      </c>
      <c r="U720" s="137" t="str">
        <f t="shared" si="211"/>
        <v/>
      </c>
      <c r="V720" s="1"/>
      <c r="Y720" s="90" t="str">
        <f t="shared" si="212"/>
        <v/>
      </c>
      <c r="AC720" s="6" t="s">
        <v>2442</v>
      </c>
      <c r="AD720" s="6" t="s">
        <v>6897</v>
      </c>
      <c r="AE720" s="158" t="s">
        <v>3919</v>
      </c>
      <c r="AF720" s="159" t="s">
        <v>8299</v>
      </c>
      <c r="AG720" s="160" t="s">
        <v>1509</v>
      </c>
      <c r="AH720" s="194" t="s">
        <v>679</v>
      </c>
      <c r="AI720" s="6" t="s">
        <v>2276</v>
      </c>
      <c r="AJ720" s="3" t="s">
        <v>8235</v>
      </c>
      <c r="AK720" t="s">
        <v>8672</v>
      </c>
      <c r="AM720" s="6" t="s">
        <v>5456</v>
      </c>
      <c r="AN720" t="s">
        <v>6530</v>
      </c>
      <c r="AV720"/>
      <c r="AX720"/>
      <c r="AZ720" t="str">
        <f t="shared" si="198"/>
        <v/>
      </c>
      <c r="BA720" t="str">
        <f t="shared" si="199"/>
        <v/>
      </c>
    </row>
    <row r="721" spans="1:53" ht="13.5">
      <c r="A721" s="135" t="str">
        <f t="shared" si="200"/>
        <v/>
      </c>
      <c r="B721" s="19" t="str">
        <f t="shared" si="201"/>
        <v/>
      </c>
      <c r="C721" s="19" t="str">
        <f t="shared" si="202"/>
        <v/>
      </c>
      <c r="D721" s="19" t="str">
        <f t="shared" si="203"/>
        <v/>
      </c>
      <c r="E721" s="5" t="str">
        <f t="shared" si="204"/>
        <v/>
      </c>
      <c r="F721" s="12" t="str">
        <f t="shared" si="205"/>
        <v/>
      </c>
      <c r="K721" s="9" t="str">
        <f t="shared" si="206"/>
        <v/>
      </c>
      <c r="L721" s="6">
        <f t="shared" si="207"/>
        <v>0</v>
      </c>
      <c r="M721" s="6">
        <f t="shared" si="208"/>
        <v>0</v>
      </c>
      <c r="N721" s="94" t="str">
        <f t="shared" si="209"/>
        <v/>
      </c>
      <c r="O721" s="6"/>
      <c r="P721" s="6"/>
      <c r="Q721" s="6"/>
      <c r="R721" s="6"/>
      <c r="T721" s="136" t="str">
        <f t="shared" si="210"/>
        <v/>
      </c>
      <c r="U721" s="137" t="str">
        <f t="shared" si="211"/>
        <v/>
      </c>
      <c r="V721" s="1"/>
      <c r="Y721" s="90" t="str">
        <f t="shared" si="212"/>
        <v/>
      </c>
      <c r="AC721" s="6" t="s">
        <v>5040</v>
      </c>
      <c r="AD721" s="6" t="s">
        <v>7111</v>
      </c>
      <c r="AE721" s="158" t="s">
        <v>4166</v>
      </c>
      <c r="AF721" s="159" t="s">
        <v>8299</v>
      </c>
      <c r="AG721" s="160" t="s">
        <v>15</v>
      </c>
      <c r="AH721" s="194" t="s">
        <v>679</v>
      </c>
      <c r="AI721" s="6" t="s">
        <v>1116</v>
      </c>
      <c r="AJ721" s="3" t="s">
        <v>8257</v>
      </c>
      <c r="AK721" t="s">
        <v>8257</v>
      </c>
      <c r="AM721" s="6" t="s">
        <v>5371</v>
      </c>
      <c r="AN721" t="s">
        <v>6531</v>
      </c>
      <c r="AV721"/>
      <c r="AX721"/>
      <c r="AZ721" t="str">
        <f t="shared" si="198"/>
        <v/>
      </c>
      <c r="BA721" t="str">
        <f t="shared" si="199"/>
        <v/>
      </c>
    </row>
    <row r="722" spans="1:53" ht="13.5">
      <c r="A722" s="135" t="str">
        <f t="shared" si="200"/>
        <v/>
      </c>
      <c r="B722" s="19" t="str">
        <f t="shared" si="201"/>
        <v/>
      </c>
      <c r="C722" s="19" t="str">
        <f t="shared" si="202"/>
        <v/>
      </c>
      <c r="D722" s="19" t="str">
        <f t="shared" si="203"/>
        <v/>
      </c>
      <c r="E722" s="5" t="str">
        <f t="shared" si="204"/>
        <v/>
      </c>
      <c r="F722" s="12" t="str">
        <f t="shared" si="205"/>
        <v/>
      </c>
      <c r="K722" s="9" t="str">
        <f t="shared" si="206"/>
        <v/>
      </c>
      <c r="L722" s="6">
        <f t="shared" si="207"/>
        <v>0</v>
      </c>
      <c r="M722" s="6">
        <f t="shared" si="208"/>
        <v>0</v>
      </c>
      <c r="N722" s="94" t="str">
        <f t="shared" si="209"/>
        <v/>
      </c>
      <c r="O722" s="6"/>
      <c r="P722" s="6"/>
      <c r="Q722" s="6"/>
      <c r="R722" s="6"/>
      <c r="T722" s="136" t="str">
        <f t="shared" si="210"/>
        <v/>
      </c>
      <c r="U722" s="137" t="str">
        <f t="shared" si="211"/>
        <v/>
      </c>
      <c r="V722" s="1"/>
      <c r="Y722" s="90" t="str">
        <f t="shared" si="212"/>
        <v/>
      </c>
      <c r="AC722" s="6" t="s">
        <v>1293</v>
      </c>
      <c r="AD722" s="6" t="s">
        <v>7111</v>
      </c>
      <c r="AE722" s="158" t="s">
        <v>4167</v>
      </c>
      <c r="AF722" s="159" t="s">
        <v>8299</v>
      </c>
      <c r="AG722" s="160" t="s">
        <v>1510</v>
      </c>
      <c r="AH722" s="194" t="s">
        <v>679</v>
      </c>
      <c r="AI722" s="6" t="s">
        <v>5373</v>
      </c>
      <c r="AJ722" s="3" t="s">
        <v>8263</v>
      </c>
      <c r="AK722" t="s">
        <v>8263</v>
      </c>
      <c r="AM722" s="6" t="s">
        <v>5367</v>
      </c>
      <c r="AN722" t="s">
        <v>6532</v>
      </c>
      <c r="AV722"/>
      <c r="AX722"/>
      <c r="AZ722" t="str">
        <f t="shared" si="198"/>
        <v/>
      </c>
      <c r="BA722" t="str">
        <f t="shared" si="199"/>
        <v/>
      </c>
    </row>
    <row r="723" spans="1:53" ht="13.5">
      <c r="A723" s="135" t="str">
        <f t="shared" si="200"/>
        <v/>
      </c>
      <c r="B723" s="19" t="str">
        <f t="shared" si="201"/>
        <v/>
      </c>
      <c r="C723" s="19" t="str">
        <f t="shared" si="202"/>
        <v/>
      </c>
      <c r="D723" s="19" t="str">
        <f t="shared" si="203"/>
        <v/>
      </c>
      <c r="E723" s="5" t="str">
        <f t="shared" si="204"/>
        <v/>
      </c>
      <c r="F723" s="12" t="str">
        <f t="shared" si="205"/>
        <v/>
      </c>
      <c r="K723" s="9" t="str">
        <f t="shared" si="206"/>
        <v/>
      </c>
      <c r="L723" s="6">
        <f t="shared" si="207"/>
        <v>0</v>
      </c>
      <c r="M723" s="6">
        <f t="shared" si="208"/>
        <v>0</v>
      </c>
      <c r="N723" s="94" t="str">
        <f t="shared" si="209"/>
        <v/>
      </c>
      <c r="O723" s="6"/>
      <c r="P723" s="6"/>
      <c r="Q723" s="6"/>
      <c r="R723" s="6"/>
      <c r="T723" s="136" t="str">
        <f t="shared" si="210"/>
        <v/>
      </c>
      <c r="U723" s="137" t="str">
        <f t="shared" si="211"/>
        <v/>
      </c>
      <c r="V723" s="1"/>
      <c r="Y723" s="90" t="str">
        <f t="shared" si="212"/>
        <v/>
      </c>
      <c r="AC723" s="6" t="s">
        <v>109</v>
      </c>
      <c r="AD723" s="6" t="s">
        <v>7098</v>
      </c>
      <c r="AE723" s="158" t="s">
        <v>4168</v>
      </c>
      <c r="AF723" s="159" t="s">
        <v>8299</v>
      </c>
      <c r="AG723" s="160" t="s">
        <v>1511</v>
      </c>
      <c r="AH723" s="194" t="s">
        <v>679</v>
      </c>
      <c r="AI723" s="6" t="s">
        <v>1026</v>
      </c>
      <c r="AJ723" s="3" t="s">
        <v>8263</v>
      </c>
      <c r="AK723" t="s">
        <v>8263</v>
      </c>
      <c r="AM723" s="6" t="s">
        <v>5365</v>
      </c>
      <c r="AN723" t="s">
        <v>6533</v>
      </c>
      <c r="AV723"/>
      <c r="AX723"/>
      <c r="AZ723" t="str">
        <f t="shared" si="198"/>
        <v/>
      </c>
      <c r="BA723" t="str">
        <f t="shared" si="199"/>
        <v/>
      </c>
    </row>
    <row r="724" spans="1:53" ht="13.5">
      <c r="A724" s="135" t="str">
        <f t="shared" si="200"/>
        <v/>
      </c>
      <c r="B724" s="19" t="str">
        <f t="shared" si="201"/>
        <v/>
      </c>
      <c r="C724" s="19" t="str">
        <f t="shared" si="202"/>
        <v/>
      </c>
      <c r="D724" s="19" t="str">
        <f t="shared" si="203"/>
        <v/>
      </c>
      <c r="E724" s="5" t="str">
        <f t="shared" si="204"/>
        <v/>
      </c>
      <c r="F724" s="12" t="str">
        <f t="shared" si="205"/>
        <v/>
      </c>
      <c r="K724" s="9" t="str">
        <f t="shared" si="206"/>
        <v/>
      </c>
      <c r="L724" s="6">
        <f t="shared" si="207"/>
        <v>0</v>
      </c>
      <c r="M724" s="6">
        <f t="shared" si="208"/>
        <v>0</v>
      </c>
      <c r="N724" s="94" t="str">
        <f t="shared" si="209"/>
        <v/>
      </c>
      <c r="O724" s="6"/>
      <c r="P724" s="6"/>
      <c r="Q724" s="6"/>
      <c r="R724" s="6"/>
      <c r="T724" s="136" t="str">
        <f t="shared" si="210"/>
        <v/>
      </c>
      <c r="U724" s="137" t="str">
        <f t="shared" si="211"/>
        <v/>
      </c>
      <c r="V724" s="1"/>
      <c r="Y724" s="90" t="str">
        <f t="shared" si="212"/>
        <v/>
      </c>
      <c r="AC724" s="6" t="s">
        <v>3571</v>
      </c>
      <c r="AD724" s="6" t="s">
        <v>7117</v>
      </c>
      <c r="AE724" s="158" t="s">
        <v>4076</v>
      </c>
      <c r="AF724" s="159" t="s">
        <v>8309</v>
      </c>
      <c r="AG724" s="160" t="s">
        <v>1512</v>
      </c>
      <c r="AH724" s="194" t="s">
        <v>679</v>
      </c>
      <c r="AI724" s="6" t="s">
        <v>5563</v>
      </c>
      <c r="AJ724" s="3" t="s">
        <v>8258</v>
      </c>
      <c r="AK724" t="s">
        <v>8258</v>
      </c>
      <c r="AM724" s="6" t="s">
        <v>5332</v>
      </c>
      <c r="AN724" t="s">
        <v>6534</v>
      </c>
      <c r="AV724"/>
      <c r="AX724"/>
      <c r="AZ724" t="str">
        <f t="shared" si="198"/>
        <v/>
      </c>
      <c r="BA724" t="str">
        <f t="shared" si="199"/>
        <v/>
      </c>
    </row>
    <row r="725" spans="1:53" ht="13.5">
      <c r="A725" s="135" t="str">
        <f t="shared" si="200"/>
        <v/>
      </c>
      <c r="B725" s="19" t="str">
        <f t="shared" si="201"/>
        <v/>
      </c>
      <c r="C725" s="19" t="str">
        <f t="shared" si="202"/>
        <v/>
      </c>
      <c r="D725" s="19" t="str">
        <f t="shared" si="203"/>
        <v/>
      </c>
      <c r="E725" s="5" t="str">
        <f t="shared" si="204"/>
        <v/>
      </c>
      <c r="F725" s="12" t="str">
        <f t="shared" si="205"/>
        <v/>
      </c>
      <c r="K725" s="9" t="str">
        <f t="shared" si="206"/>
        <v/>
      </c>
      <c r="L725" s="6">
        <f t="shared" si="207"/>
        <v>0</v>
      </c>
      <c r="M725" s="6">
        <f t="shared" si="208"/>
        <v>0</v>
      </c>
      <c r="N725" s="94" t="str">
        <f t="shared" si="209"/>
        <v/>
      </c>
      <c r="O725" s="6"/>
      <c r="P725" s="6"/>
      <c r="Q725" s="6"/>
      <c r="R725" s="6"/>
      <c r="T725" s="136" t="str">
        <f t="shared" si="210"/>
        <v/>
      </c>
      <c r="U725" s="137" t="str">
        <f t="shared" si="211"/>
        <v/>
      </c>
      <c r="V725" s="1"/>
      <c r="Y725" s="90" t="str">
        <f t="shared" si="212"/>
        <v/>
      </c>
      <c r="AC725" s="6" t="s">
        <v>2456</v>
      </c>
      <c r="AD725" s="6" t="s">
        <v>6897</v>
      </c>
      <c r="AE725" s="158" t="s">
        <v>4077</v>
      </c>
      <c r="AF725" s="159" t="s">
        <v>8299</v>
      </c>
      <c r="AG725" s="160" t="s">
        <v>1513</v>
      </c>
      <c r="AH725" s="194" t="s">
        <v>679</v>
      </c>
      <c r="AI725" s="6" t="s">
        <v>5570</v>
      </c>
      <c r="AJ725" s="3" t="s">
        <v>8258</v>
      </c>
      <c r="AK725" t="s">
        <v>8258</v>
      </c>
      <c r="AM725" s="6" t="s">
        <v>5415</v>
      </c>
      <c r="AN725" t="s">
        <v>6535</v>
      </c>
      <c r="AV725"/>
      <c r="AX725"/>
      <c r="AZ725" t="str">
        <f t="shared" si="198"/>
        <v/>
      </c>
      <c r="BA725" t="str">
        <f t="shared" si="199"/>
        <v/>
      </c>
    </row>
    <row r="726" spans="1:53" ht="13.5">
      <c r="A726" s="135" t="str">
        <f t="shared" si="200"/>
        <v/>
      </c>
      <c r="B726" s="19" t="str">
        <f t="shared" si="201"/>
        <v/>
      </c>
      <c r="C726" s="19" t="str">
        <f t="shared" si="202"/>
        <v/>
      </c>
      <c r="D726" s="19" t="str">
        <f t="shared" si="203"/>
        <v/>
      </c>
      <c r="E726" s="5" t="str">
        <f t="shared" si="204"/>
        <v/>
      </c>
      <c r="F726" s="12" t="str">
        <f t="shared" si="205"/>
        <v/>
      </c>
      <c r="K726" s="9" t="str">
        <f t="shared" si="206"/>
        <v/>
      </c>
      <c r="L726" s="6">
        <f t="shared" si="207"/>
        <v>0</v>
      </c>
      <c r="M726" s="6">
        <f t="shared" si="208"/>
        <v>0</v>
      </c>
      <c r="N726" s="94" t="str">
        <f t="shared" si="209"/>
        <v/>
      </c>
      <c r="O726" s="6"/>
      <c r="P726" s="6"/>
      <c r="Q726" s="6"/>
      <c r="R726" s="6"/>
      <c r="T726" s="136" t="str">
        <f t="shared" si="210"/>
        <v/>
      </c>
      <c r="U726" s="137" t="str">
        <f t="shared" si="211"/>
        <v/>
      </c>
      <c r="V726" s="1"/>
      <c r="Y726" s="90" t="str">
        <f t="shared" si="212"/>
        <v/>
      </c>
      <c r="AC726" s="6" t="s">
        <v>2447</v>
      </c>
      <c r="AD726" s="6" t="s">
        <v>6897</v>
      </c>
      <c r="AE726" s="158" t="s">
        <v>3655</v>
      </c>
      <c r="AF726" s="159" t="s">
        <v>8299</v>
      </c>
      <c r="AG726" s="160" t="s">
        <v>1514</v>
      </c>
      <c r="AH726" s="194" t="s">
        <v>679</v>
      </c>
      <c r="AI726" s="6" t="s">
        <v>5485</v>
      </c>
      <c r="AJ726" s="3" t="s">
        <v>8252</v>
      </c>
      <c r="AK726" t="s">
        <v>8252</v>
      </c>
      <c r="AM726" s="6" t="s">
        <v>5530</v>
      </c>
      <c r="AN726" t="s">
        <v>6536</v>
      </c>
      <c r="AV726"/>
      <c r="AX726"/>
      <c r="AZ726" t="str">
        <f t="shared" si="198"/>
        <v/>
      </c>
      <c r="BA726" t="str">
        <f t="shared" si="199"/>
        <v/>
      </c>
    </row>
    <row r="727" spans="1:53" ht="13.5">
      <c r="A727" s="135" t="str">
        <f t="shared" si="200"/>
        <v/>
      </c>
      <c r="B727" s="19" t="str">
        <f t="shared" si="201"/>
        <v/>
      </c>
      <c r="C727" s="19" t="str">
        <f t="shared" si="202"/>
        <v/>
      </c>
      <c r="D727" s="19" t="str">
        <f t="shared" si="203"/>
        <v/>
      </c>
      <c r="E727" s="5" t="str">
        <f t="shared" si="204"/>
        <v/>
      </c>
      <c r="F727" s="12" t="str">
        <f t="shared" si="205"/>
        <v/>
      </c>
      <c r="K727" s="9" t="str">
        <f t="shared" si="206"/>
        <v/>
      </c>
      <c r="L727" s="6">
        <f t="shared" si="207"/>
        <v>0</v>
      </c>
      <c r="M727" s="6">
        <f t="shared" si="208"/>
        <v>0</v>
      </c>
      <c r="N727" s="94" t="str">
        <f t="shared" si="209"/>
        <v/>
      </c>
      <c r="O727" s="6"/>
      <c r="P727" s="6"/>
      <c r="Q727" s="6"/>
      <c r="R727" s="6"/>
      <c r="T727" s="136" t="str">
        <f t="shared" si="210"/>
        <v/>
      </c>
      <c r="U727" s="137" t="str">
        <f t="shared" si="211"/>
        <v/>
      </c>
      <c r="V727" s="1"/>
      <c r="Y727" s="90" t="str">
        <f t="shared" si="212"/>
        <v/>
      </c>
      <c r="AC727" s="6" t="s">
        <v>103</v>
      </c>
      <c r="AD727" s="6" t="s">
        <v>7098</v>
      </c>
      <c r="AE727" s="158" t="s">
        <v>3656</v>
      </c>
      <c r="AF727" s="159" t="s">
        <v>8299</v>
      </c>
      <c r="AG727" s="160" t="s">
        <v>1515</v>
      </c>
      <c r="AH727" s="194" t="s">
        <v>679</v>
      </c>
      <c r="AI727" s="6" t="s">
        <v>5166</v>
      </c>
      <c r="AJ727" s="3" t="s">
        <v>8271</v>
      </c>
      <c r="AK727" t="s">
        <v>8271</v>
      </c>
      <c r="AM727" s="6" t="s">
        <v>5606</v>
      </c>
      <c r="AN727" t="s">
        <v>6537</v>
      </c>
      <c r="AV727"/>
      <c r="AX727"/>
      <c r="AZ727" t="str">
        <f t="shared" si="198"/>
        <v/>
      </c>
      <c r="BA727" t="str">
        <f t="shared" si="199"/>
        <v/>
      </c>
    </row>
    <row r="728" spans="1:53" ht="13.5">
      <c r="A728" s="135" t="str">
        <f t="shared" si="200"/>
        <v/>
      </c>
      <c r="B728" s="19" t="str">
        <f t="shared" si="201"/>
        <v/>
      </c>
      <c r="C728" s="19" t="str">
        <f t="shared" si="202"/>
        <v/>
      </c>
      <c r="D728" s="19" t="str">
        <f t="shared" si="203"/>
        <v/>
      </c>
      <c r="E728" s="5" t="str">
        <f t="shared" si="204"/>
        <v/>
      </c>
      <c r="F728" s="12" t="str">
        <f t="shared" si="205"/>
        <v/>
      </c>
      <c r="K728" s="9" t="str">
        <f t="shared" si="206"/>
        <v/>
      </c>
      <c r="L728" s="6">
        <f t="shared" si="207"/>
        <v>0</v>
      </c>
      <c r="M728" s="6">
        <f t="shared" si="208"/>
        <v>0</v>
      </c>
      <c r="N728" s="94" t="str">
        <f t="shared" si="209"/>
        <v/>
      </c>
      <c r="O728" s="6"/>
      <c r="P728" s="6"/>
      <c r="Q728" s="6"/>
      <c r="R728" s="6"/>
      <c r="T728" s="136" t="str">
        <f t="shared" si="210"/>
        <v/>
      </c>
      <c r="U728" s="137" t="str">
        <f t="shared" si="211"/>
        <v/>
      </c>
      <c r="V728" s="1"/>
      <c r="Y728" s="90" t="str">
        <f t="shared" si="212"/>
        <v/>
      </c>
      <c r="AC728" s="6" t="s">
        <v>97</v>
      </c>
      <c r="AD728" s="6" t="s">
        <v>7098</v>
      </c>
      <c r="AE728" s="158" t="s">
        <v>4390</v>
      </c>
      <c r="AF728" s="159" t="s">
        <v>8299</v>
      </c>
      <c r="AG728" s="160" t="s">
        <v>2086</v>
      </c>
      <c r="AH728" s="194" t="s">
        <v>678</v>
      </c>
      <c r="AI728" s="6" t="s">
        <v>4425</v>
      </c>
      <c r="AJ728" s="3" t="s">
        <v>8237</v>
      </c>
      <c r="AK728" t="s">
        <v>8237</v>
      </c>
      <c r="AM728" s="6" t="s">
        <v>5520</v>
      </c>
      <c r="AN728" t="s">
        <v>6538</v>
      </c>
      <c r="AV728"/>
      <c r="AX728"/>
      <c r="AZ728" t="str">
        <f t="shared" si="198"/>
        <v/>
      </c>
      <c r="BA728" t="str">
        <f t="shared" si="199"/>
        <v/>
      </c>
    </row>
    <row r="729" spans="1:53" ht="13.5">
      <c r="A729" s="135" t="str">
        <f t="shared" si="200"/>
        <v/>
      </c>
      <c r="B729" s="19" t="str">
        <f t="shared" si="201"/>
        <v/>
      </c>
      <c r="C729" s="19" t="str">
        <f t="shared" si="202"/>
        <v/>
      </c>
      <c r="D729" s="19" t="str">
        <f t="shared" si="203"/>
        <v/>
      </c>
      <c r="E729" s="5" t="str">
        <f t="shared" si="204"/>
        <v/>
      </c>
      <c r="F729" s="12" t="str">
        <f t="shared" si="205"/>
        <v/>
      </c>
      <c r="K729" s="9" t="str">
        <f t="shared" si="206"/>
        <v/>
      </c>
      <c r="L729" s="6">
        <f t="shared" si="207"/>
        <v>0</v>
      </c>
      <c r="M729" s="6">
        <f t="shared" si="208"/>
        <v>0</v>
      </c>
      <c r="N729" s="94" t="str">
        <f t="shared" si="209"/>
        <v/>
      </c>
      <c r="O729" s="6"/>
      <c r="P729" s="6"/>
      <c r="Q729" s="6"/>
      <c r="R729" s="6"/>
      <c r="T729" s="136" t="str">
        <f t="shared" si="210"/>
        <v/>
      </c>
      <c r="U729" s="137" t="str">
        <f t="shared" si="211"/>
        <v/>
      </c>
      <c r="V729" s="1"/>
      <c r="Y729" s="90" t="str">
        <f t="shared" si="212"/>
        <v/>
      </c>
      <c r="AC729" s="6" t="s">
        <v>2440</v>
      </c>
      <c r="AD729" s="6" t="s">
        <v>6897</v>
      </c>
      <c r="AE729" s="158" t="s">
        <v>4379</v>
      </c>
      <c r="AF729" s="159" t="s">
        <v>8340</v>
      </c>
      <c r="AG729" s="160" t="s">
        <v>2087</v>
      </c>
      <c r="AH729" s="194" t="s">
        <v>679</v>
      </c>
      <c r="AI729" s="6" t="s">
        <v>2792</v>
      </c>
      <c r="AJ729" s="3" t="s">
        <v>8237</v>
      </c>
      <c r="AK729" t="s">
        <v>8237</v>
      </c>
      <c r="AM729" s="6" t="s">
        <v>5558</v>
      </c>
      <c r="AN729" t="s">
        <v>6539</v>
      </c>
      <c r="AV729"/>
      <c r="AX729"/>
      <c r="AZ729" t="str">
        <f t="shared" si="198"/>
        <v/>
      </c>
      <c r="BA729" t="str">
        <f t="shared" si="199"/>
        <v/>
      </c>
    </row>
    <row r="730" spans="1:53" ht="13.5">
      <c r="A730" s="135" t="str">
        <f t="shared" si="200"/>
        <v/>
      </c>
      <c r="B730" s="19" t="str">
        <f t="shared" si="201"/>
        <v/>
      </c>
      <c r="C730" s="19" t="str">
        <f t="shared" si="202"/>
        <v/>
      </c>
      <c r="D730" s="19" t="str">
        <f t="shared" si="203"/>
        <v/>
      </c>
      <c r="E730" s="5" t="str">
        <f t="shared" si="204"/>
        <v/>
      </c>
      <c r="F730" s="12" t="str">
        <f t="shared" si="205"/>
        <v/>
      </c>
      <c r="K730" s="9" t="str">
        <f t="shared" si="206"/>
        <v/>
      </c>
      <c r="L730" s="6">
        <f t="shared" si="207"/>
        <v>0</v>
      </c>
      <c r="M730" s="6">
        <f t="shared" si="208"/>
        <v>0</v>
      </c>
      <c r="N730" s="94" t="str">
        <f t="shared" si="209"/>
        <v/>
      </c>
      <c r="O730" s="6"/>
      <c r="P730" s="6"/>
      <c r="Q730" s="6"/>
      <c r="R730" s="6"/>
      <c r="T730" s="136" t="str">
        <f t="shared" si="210"/>
        <v/>
      </c>
      <c r="U730" s="137" t="str">
        <f t="shared" si="211"/>
        <v/>
      </c>
      <c r="V730" s="1"/>
      <c r="Y730" s="90" t="str">
        <f t="shared" si="212"/>
        <v/>
      </c>
      <c r="AC730" s="6" t="s">
        <v>2702</v>
      </c>
      <c r="AD730" s="6" t="s">
        <v>6897</v>
      </c>
      <c r="AE730" s="158" t="s">
        <v>4392</v>
      </c>
      <c r="AF730" s="159" t="s">
        <v>8299</v>
      </c>
      <c r="AG730" s="160" t="s">
        <v>2088</v>
      </c>
      <c r="AH730" s="194" t="s">
        <v>679</v>
      </c>
      <c r="AI730" s="6" t="s">
        <v>4423</v>
      </c>
      <c r="AJ730" s="3" t="s">
        <v>8220</v>
      </c>
      <c r="AK730" t="s">
        <v>8220</v>
      </c>
      <c r="AM730" s="6" t="s">
        <v>5559</v>
      </c>
      <c r="AN730" t="s">
        <v>6540</v>
      </c>
      <c r="AV730"/>
      <c r="AX730"/>
      <c r="AZ730" t="str">
        <f t="shared" si="198"/>
        <v/>
      </c>
      <c r="BA730" t="str">
        <f t="shared" si="199"/>
        <v/>
      </c>
    </row>
    <row r="731" spans="1:53" ht="13.5">
      <c r="A731" s="135" t="str">
        <f t="shared" si="200"/>
        <v/>
      </c>
      <c r="B731" s="19" t="str">
        <f t="shared" si="201"/>
        <v/>
      </c>
      <c r="C731" s="19" t="str">
        <f t="shared" si="202"/>
        <v/>
      </c>
      <c r="D731" s="19" t="str">
        <f t="shared" si="203"/>
        <v/>
      </c>
      <c r="E731" s="5" t="str">
        <f t="shared" si="204"/>
        <v/>
      </c>
      <c r="F731" s="12" t="str">
        <f t="shared" si="205"/>
        <v/>
      </c>
      <c r="K731" s="9" t="str">
        <f t="shared" si="206"/>
        <v/>
      </c>
      <c r="L731" s="6">
        <f t="shared" si="207"/>
        <v>0</v>
      </c>
      <c r="M731" s="6">
        <f t="shared" si="208"/>
        <v>0</v>
      </c>
      <c r="N731" s="94" t="str">
        <f t="shared" si="209"/>
        <v/>
      </c>
      <c r="O731" s="6"/>
      <c r="P731" s="6"/>
      <c r="Q731" s="6"/>
      <c r="R731" s="6"/>
      <c r="T731" s="136" t="str">
        <f t="shared" si="210"/>
        <v/>
      </c>
      <c r="U731" s="137" t="str">
        <f t="shared" si="211"/>
        <v/>
      </c>
      <c r="V731" s="1"/>
      <c r="Y731" s="90" t="str">
        <f t="shared" si="212"/>
        <v/>
      </c>
      <c r="AC731" s="6" t="s">
        <v>88</v>
      </c>
      <c r="AD731" s="6" t="s">
        <v>7098</v>
      </c>
      <c r="AE731" s="158" t="s">
        <v>3657</v>
      </c>
      <c r="AF731" s="159" t="s">
        <v>8299</v>
      </c>
      <c r="AG731" s="160" t="s">
        <v>2089</v>
      </c>
      <c r="AH731" s="194" t="s">
        <v>1314</v>
      </c>
      <c r="AI731" s="6" t="s">
        <v>1217</v>
      </c>
      <c r="AJ731" s="3" t="s">
        <v>8204</v>
      </c>
      <c r="AK731" t="s">
        <v>8204</v>
      </c>
      <c r="AM731" s="6" t="s">
        <v>5501</v>
      </c>
      <c r="AN731" t="s">
        <v>6541</v>
      </c>
      <c r="AV731"/>
      <c r="AX731"/>
      <c r="AZ731" t="str">
        <f t="shared" ref="AZ731:AZ794" si="213">IF(ISBLANK(AW731),"",CONCATENATE("(",RIGHT(AW731,5),"-",TEXT(AX731,"h:mm;@"),")"))</f>
        <v/>
      </c>
      <c r="BA731" t="str">
        <f t="shared" ref="BA731:BA794" si="214">IF(AV747=AV731,"",CONCATENATE(IF(AV746=AV731,BA746,""),IF(AV745=AV731,BA745,""),IF(AV744=AV731,BA744,""),IF(AV743=AV731,BA743,""),IF(AV742=AV731,BA742,""),IF(AV741=AV731,BA741,""),IF(AV740=AV731,BA740,""),IF(AV739=AV731,BA739,""),IF(AV738=AV731,BA738,""),IF(AV737=AV731,BA737,""),IF(AV736=AV731,BA736,""),IF(AV735=AV731,BA735,""),IF(AV734=AV731,BA734,""),IF(AV733=AV731,BA733,""),IF(AV732=AV731,BA732,""),IF(AV730=AV731,BA730,""),BA731))</f>
        <v/>
      </c>
    </row>
    <row r="732" spans="1:53" ht="13.5">
      <c r="A732" s="135" t="str">
        <f t="shared" si="200"/>
        <v/>
      </c>
      <c r="B732" s="19" t="str">
        <f t="shared" si="201"/>
        <v/>
      </c>
      <c r="C732" s="19" t="str">
        <f t="shared" si="202"/>
        <v/>
      </c>
      <c r="D732" s="19" t="str">
        <f t="shared" si="203"/>
        <v/>
      </c>
      <c r="E732" s="5" t="str">
        <f t="shared" si="204"/>
        <v/>
      </c>
      <c r="F732" s="12" t="str">
        <f t="shared" si="205"/>
        <v/>
      </c>
      <c r="K732" s="9" t="str">
        <f t="shared" si="206"/>
        <v/>
      </c>
      <c r="L732" s="6">
        <f t="shared" si="207"/>
        <v>0</v>
      </c>
      <c r="M732" s="6">
        <f t="shared" si="208"/>
        <v>0</v>
      </c>
      <c r="N732" s="94" t="str">
        <f t="shared" si="209"/>
        <v/>
      </c>
      <c r="O732" s="6"/>
      <c r="P732" s="6"/>
      <c r="Q732" s="6"/>
      <c r="R732" s="6"/>
      <c r="T732" s="136" t="str">
        <f t="shared" si="210"/>
        <v/>
      </c>
      <c r="U732" s="137" t="str">
        <f t="shared" si="211"/>
        <v/>
      </c>
      <c r="V732" s="1"/>
      <c r="Y732" s="90" t="str">
        <f t="shared" si="212"/>
        <v/>
      </c>
      <c r="AC732" s="6" t="s">
        <v>107</v>
      </c>
      <c r="AD732" s="6" t="s">
        <v>7098</v>
      </c>
      <c r="AE732" s="158" t="s">
        <v>4393</v>
      </c>
      <c r="AF732" s="159" t="s">
        <v>8299</v>
      </c>
      <c r="AG732" s="160" t="s">
        <v>2090</v>
      </c>
      <c r="AH732" s="194" t="s">
        <v>679</v>
      </c>
      <c r="AI732" s="6" t="s">
        <v>5615</v>
      </c>
      <c r="AJ732" s="3" t="s">
        <v>8205</v>
      </c>
      <c r="AK732" t="s">
        <v>8211</v>
      </c>
      <c r="AM732" s="6" t="s">
        <v>5487</v>
      </c>
      <c r="AN732" t="s">
        <v>6542</v>
      </c>
      <c r="AV732"/>
      <c r="AX732"/>
      <c r="AZ732" t="str">
        <f t="shared" si="213"/>
        <v/>
      </c>
      <c r="BA732" t="str">
        <f t="shared" si="214"/>
        <v/>
      </c>
    </row>
    <row r="733" spans="1:53" ht="13.5">
      <c r="A733" s="135" t="str">
        <f t="shared" si="200"/>
        <v/>
      </c>
      <c r="B733" s="19" t="str">
        <f t="shared" si="201"/>
        <v/>
      </c>
      <c r="C733" s="19" t="str">
        <f t="shared" si="202"/>
        <v/>
      </c>
      <c r="D733" s="19" t="str">
        <f t="shared" si="203"/>
        <v/>
      </c>
      <c r="E733" s="5" t="str">
        <f t="shared" si="204"/>
        <v/>
      </c>
      <c r="F733" s="12" t="str">
        <f t="shared" si="205"/>
        <v/>
      </c>
      <c r="K733" s="9" t="str">
        <f t="shared" si="206"/>
        <v/>
      </c>
      <c r="L733" s="6">
        <f t="shared" si="207"/>
        <v>0</v>
      </c>
      <c r="M733" s="6">
        <f t="shared" si="208"/>
        <v>0</v>
      </c>
      <c r="N733" s="94" t="str">
        <f t="shared" si="209"/>
        <v/>
      </c>
      <c r="O733" s="6"/>
      <c r="P733" s="6"/>
      <c r="Q733" s="6"/>
      <c r="R733" s="6"/>
      <c r="T733" s="136" t="str">
        <f t="shared" si="210"/>
        <v/>
      </c>
      <c r="U733" s="137" t="str">
        <f t="shared" si="211"/>
        <v/>
      </c>
      <c r="V733" s="1"/>
      <c r="Y733" s="90" t="str">
        <f t="shared" si="212"/>
        <v/>
      </c>
      <c r="AC733" s="6" t="s">
        <v>2467</v>
      </c>
      <c r="AD733" s="6" t="s">
        <v>6897</v>
      </c>
      <c r="AE733" s="158">
        <v>96046</v>
      </c>
      <c r="AF733" s="159" t="s">
        <v>8299</v>
      </c>
      <c r="AG733" s="160" t="s">
        <v>2272</v>
      </c>
      <c r="AH733" s="194" t="s">
        <v>679</v>
      </c>
      <c r="AI733" s="6" t="s">
        <v>4829</v>
      </c>
      <c r="AJ733" s="3" t="s">
        <v>8205</v>
      </c>
      <c r="AK733" t="s">
        <v>8211</v>
      </c>
      <c r="AM733" s="6" t="s">
        <v>5489</v>
      </c>
      <c r="AN733" t="s">
        <v>6543</v>
      </c>
      <c r="AV733"/>
      <c r="AX733"/>
      <c r="AZ733" t="str">
        <f t="shared" si="213"/>
        <v/>
      </c>
      <c r="BA733" t="str">
        <f t="shared" si="214"/>
        <v/>
      </c>
    </row>
    <row r="734" spans="1:53" ht="13.5">
      <c r="A734" s="135" t="str">
        <f t="shared" si="200"/>
        <v/>
      </c>
      <c r="B734" s="19" t="str">
        <f t="shared" si="201"/>
        <v/>
      </c>
      <c r="C734" s="19" t="str">
        <f t="shared" si="202"/>
        <v/>
      </c>
      <c r="D734" s="19" t="str">
        <f t="shared" si="203"/>
        <v/>
      </c>
      <c r="E734" s="5" t="str">
        <f t="shared" si="204"/>
        <v/>
      </c>
      <c r="F734" s="12" t="str">
        <f t="shared" si="205"/>
        <v/>
      </c>
      <c r="K734" s="9" t="str">
        <f t="shared" si="206"/>
        <v/>
      </c>
      <c r="L734" s="6">
        <f t="shared" si="207"/>
        <v>0</v>
      </c>
      <c r="M734" s="6">
        <f t="shared" si="208"/>
        <v>0</v>
      </c>
      <c r="N734" s="94" t="str">
        <f t="shared" si="209"/>
        <v/>
      </c>
      <c r="O734" s="6"/>
      <c r="P734" s="6"/>
      <c r="Q734" s="6"/>
      <c r="R734" s="6"/>
      <c r="T734" s="136" t="str">
        <f t="shared" si="210"/>
        <v/>
      </c>
      <c r="U734" s="137" t="str">
        <f t="shared" si="211"/>
        <v/>
      </c>
      <c r="V734" s="1"/>
      <c r="Y734" s="90" t="str">
        <f t="shared" si="212"/>
        <v/>
      </c>
      <c r="AC734" s="6" t="s">
        <v>2448</v>
      </c>
      <c r="AD734" s="6" t="s">
        <v>6897</v>
      </c>
      <c r="AE734" s="158" t="s">
        <v>3659</v>
      </c>
      <c r="AF734" s="159" t="s">
        <v>8299</v>
      </c>
      <c r="AG734" s="160" t="s">
        <v>2271</v>
      </c>
      <c r="AH734" s="194" t="s">
        <v>1314</v>
      </c>
      <c r="AI734" s="6" t="s">
        <v>3049</v>
      </c>
      <c r="AJ734" s="3" t="s">
        <v>8205</v>
      </c>
      <c r="AK734" t="s">
        <v>8211</v>
      </c>
      <c r="AM734" s="6" t="s">
        <v>5521</v>
      </c>
      <c r="AN734" t="s">
        <v>6544</v>
      </c>
      <c r="AV734"/>
      <c r="AX734"/>
      <c r="AZ734" t="str">
        <f t="shared" si="213"/>
        <v/>
      </c>
      <c r="BA734" t="str">
        <f t="shared" si="214"/>
        <v/>
      </c>
    </row>
    <row r="735" spans="1:53" ht="13.5">
      <c r="A735" s="135" t="str">
        <f t="shared" si="200"/>
        <v/>
      </c>
      <c r="B735" s="19" t="str">
        <f t="shared" si="201"/>
        <v/>
      </c>
      <c r="C735" s="19" t="str">
        <f t="shared" si="202"/>
        <v/>
      </c>
      <c r="D735" s="19" t="str">
        <f t="shared" si="203"/>
        <v/>
      </c>
      <c r="E735" s="5" t="str">
        <f t="shared" si="204"/>
        <v/>
      </c>
      <c r="F735" s="12" t="str">
        <f t="shared" si="205"/>
        <v/>
      </c>
      <c r="K735" s="9" t="str">
        <f t="shared" si="206"/>
        <v/>
      </c>
      <c r="L735" s="6">
        <f t="shared" si="207"/>
        <v>0</v>
      </c>
      <c r="M735" s="6">
        <f t="shared" si="208"/>
        <v>0</v>
      </c>
      <c r="N735" s="94" t="str">
        <f t="shared" si="209"/>
        <v/>
      </c>
      <c r="O735" s="6"/>
      <c r="P735" s="6"/>
      <c r="Q735" s="6"/>
      <c r="R735" s="6"/>
      <c r="T735" s="136" t="str">
        <f t="shared" si="210"/>
        <v/>
      </c>
      <c r="U735" s="137" t="str">
        <f t="shared" si="211"/>
        <v/>
      </c>
      <c r="V735" s="1"/>
      <c r="Y735" s="90" t="str">
        <f t="shared" si="212"/>
        <v/>
      </c>
      <c r="AC735" s="6" t="s">
        <v>108</v>
      </c>
      <c r="AD735" s="6" t="s">
        <v>7098</v>
      </c>
      <c r="AE735" s="158" t="s">
        <v>1295</v>
      </c>
      <c r="AF735" s="159" t="s">
        <v>8299</v>
      </c>
      <c r="AG735" s="160" t="s">
        <v>2270</v>
      </c>
      <c r="AH735" s="194" t="s">
        <v>1314</v>
      </c>
      <c r="AI735" s="6" t="s">
        <v>1286</v>
      </c>
      <c r="AJ735" s="3" t="s">
        <v>8193</v>
      </c>
      <c r="AK735" t="s">
        <v>8205</v>
      </c>
      <c r="AM735" s="6" t="s">
        <v>5488</v>
      </c>
      <c r="AN735" t="s">
        <v>6545</v>
      </c>
      <c r="AV735"/>
      <c r="AX735"/>
      <c r="AZ735" t="str">
        <f t="shared" si="213"/>
        <v/>
      </c>
      <c r="BA735" t="str">
        <f t="shared" si="214"/>
        <v/>
      </c>
    </row>
    <row r="736" spans="1:53" ht="13.5">
      <c r="A736" s="135" t="str">
        <f t="shared" si="200"/>
        <v/>
      </c>
      <c r="B736" s="19" t="str">
        <f t="shared" si="201"/>
        <v/>
      </c>
      <c r="C736" s="19" t="str">
        <f t="shared" si="202"/>
        <v/>
      </c>
      <c r="D736" s="19" t="str">
        <f t="shared" si="203"/>
        <v/>
      </c>
      <c r="E736" s="5" t="str">
        <f t="shared" si="204"/>
        <v/>
      </c>
      <c r="F736" s="12" t="str">
        <f t="shared" si="205"/>
        <v/>
      </c>
      <c r="K736" s="9" t="str">
        <f t="shared" si="206"/>
        <v/>
      </c>
      <c r="L736" s="6">
        <f t="shared" si="207"/>
        <v>0</v>
      </c>
      <c r="M736" s="6">
        <f t="shared" si="208"/>
        <v>0</v>
      </c>
      <c r="N736" s="94" t="str">
        <f t="shared" si="209"/>
        <v/>
      </c>
      <c r="O736" s="6"/>
      <c r="P736" s="6"/>
      <c r="Q736" s="6"/>
      <c r="R736" s="6"/>
      <c r="T736" s="136" t="str">
        <f t="shared" si="210"/>
        <v/>
      </c>
      <c r="U736" s="137" t="str">
        <f t="shared" si="211"/>
        <v/>
      </c>
      <c r="V736" s="1"/>
      <c r="Y736" s="90" t="str">
        <f t="shared" si="212"/>
        <v/>
      </c>
      <c r="AC736" s="6" t="s">
        <v>85</v>
      </c>
      <c r="AD736" s="6" t="s">
        <v>7098</v>
      </c>
      <c r="AE736" s="158" t="s">
        <v>3869</v>
      </c>
      <c r="AF736" s="159" t="s">
        <v>8299</v>
      </c>
      <c r="AG736" s="160" t="s">
        <v>2091</v>
      </c>
      <c r="AH736" s="194" t="s">
        <v>679</v>
      </c>
      <c r="AI736" s="6" t="s">
        <v>4422</v>
      </c>
      <c r="AJ736" s="3" t="s">
        <v>8220</v>
      </c>
      <c r="AK736" t="s">
        <v>8220</v>
      </c>
      <c r="AM736" s="6" t="s">
        <v>5490</v>
      </c>
      <c r="AN736" t="s">
        <v>6546</v>
      </c>
      <c r="AV736"/>
      <c r="AX736"/>
      <c r="AZ736" t="str">
        <f t="shared" si="213"/>
        <v/>
      </c>
      <c r="BA736" t="str">
        <f t="shared" si="214"/>
        <v/>
      </c>
    </row>
    <row r="737" spans="1:53" ht="13.5">
      <c r="A737" s="135" t="str">
        <f t="shared" si="200"/>
        <v/>
      </c>
      <c r="B737" s="19" t="str">
        <f t="shared" si="201"/>
        <v/>
      </c>
      <c r="C737" s="19" t="str">
        <f t="shared" si="202"/>
        <v/>
      </c>
      <c r="D737" s="19" t="str">
        <f t="shared" si="203"/>
        <v/>
      </c>
      <c r="E737" s="5" t="str">
        <f t="shared" si="204"/>
        <v/>
      </c>
      <c r="F737" s="12" t="str">
        <f t="shared" si="205"/>
        <v/>
      </c>
      <c r="K737" s="9" t="str">
        <f t="shared" si="206"/>
        <v/>
      </c>
      <c r="L737" s="6">
        <f t="shared" si="207"/>
        <v>0</v>
      </c>
      <c r="M737" s="6">
        <f t="shared" si="208"/>
        <v>0</v>
      </c>
      <c r="N737" s="94" t="str">
        <f t="shared" si="209"/>
        <v/>
      </c>
      <c r="O737" s="6"/>
      <c r="P737" s="6"/>
      <c r="Q737" s="6"/>
      <c r="R737" s="6"/>
      <c r="T737" s="136" t="str">
        <f t="shared" si="210"/>
        <v/>
      </c>
      <c r="U737" s="137" t="str">
        <f t="shared" si="211"/>
        <v/>
      </c>
      <c r="V737" s="1"/>
      <c r="Y737" s="90" t="str">
        <f t="shared" si="212"/>
        <v/>
      </c>
      <c r="AC737" s="6" t="s">
        <v>2431</v>
      </c>
      <c r="AD737" s="6" t="s">
        <v>6897</v>
      </c>
      <c r="AE737" s="158" t="s">
        <v>3870</v>
      </c>
      <c r="AF737" s="159" t="s">
        <v>8299</v>
      </c>
      <c r="AG737" s="160" t="s">
        <v>2092</v>
      </c>
      <c r="AH737" s="194" t="s">
        <v>1314</v>
      </c>
      <c r="AI737" s="6" t="s">
        <v>3447</v>
      </c>
      <c r="AJ737" s="3" t="s">
        <v>8240</v>
      </c>
      <c r="AK737" t="s">
        <v>8240</v>
      </c>
      <c r="AM737" s="6" t="s">
        <v>5560</v>
      </c>
      <c r="AN737" t="s">
        <v>6547</v>
      </c>
      <c r="AV737"/>
      <c r="AX737"/>
      <c r="AZ737" t="str">
        <f t="shared" si="213"/>
        <v/>
      </c>
      <c r="BA737" t="str">
        <f t="shared" si="214"/>
        <v/>
      </c>
    </row>
    <row r="738" spans="1:53" ht="13.5">
      <c r="A738" s="135" t="str">
        <f t="shared" si="200"/>
        <v/>
      </c>
      <c r="B738" s="19" t="str">
        <f t="shared" si="201"/>
        <v/>
      </c>
      <c r="C738" s="19" t="str">
        <f t="shared" si="202"/>
        <v/>
      </c>
      <c r="D738" s="19" t="str">
        <f t="shared" si="203"/>
        <v/>
      </c>
      <c r="E738" s="5" t="str">
        <f t="shared" si="204"/>
        <v/>
      </c>
      <c r="F738" s="12" t="str">
        <f t="shared" si="205"/>
        <v/>
      </c>
      <c r="K738" s="9" t="str">
        <f t="shared" si="206"/>
        <v/>
      </c>
      <c r="L738" s="6">
        <f t="shared" si="207"/>
        <v>0</v>
      </c>
      <c r="M738" s="6">
        <f t="shared" si="208"/>
        <v>0</v>
      </c>
      <c r="N738" s="94" t="str">
        <f t="shared" si="209"/>
        <v/>
      </c>
      <c r="O738" s="6"/>
      <c r="P738" s="6"/>
      <c r="Q738" s="6"/>
      <c r="R738" s="6"/>
      <c r="T738" s="136" t="str">
        <f t="shared" si="210"/>
        <v/>
      </c>
      <c r="U738" s="137" t="str">
        <f t="shared" si="211"/>
        <v/>
      </c>
      <c r="V738" s="1"/>
      <c r="Y738" s="90" t="str">
        <f t="shared" si="212"/>
        <v/>
      </c>
      <c r="AC738" s="6" t="s">
        <v>2428</v>
      </c>
      <c r="AD738" s="6" t="s">
        <v>6897</v>
      </c>
      <c r="AE738" s="158" t="s">
        <v>3871</v>
      </c>
      <c r="AF738" s="159" t="s">
        <v>8309</v>
      </c>
      <c r="AG738" s="160" t="s">
        <v>2093</v>
      </c>
      <c r="AH738" s="194" t="s">
        <v>1314</v>
      </c>
      <c r="AI738" s="6" t="s">
        <v>1225</v>
      </c>
      <c r="AJ738" s="3" t="s">
        <v>8205</v>
      </c>
      <c r="AK738" t="s">
        <v>8211</v>
      </c>
      <c r="AM738" s="6" t="s">
        <v>5563</v>
      </c>
      <c r="AN738" t="s">
        <v>6548</v>
      </c>
      <c r="AV738"/>
      <c r="AX738"/>
      <c r="AZ738" t="str">
        <f t="shared" si="213"/>
        <v/>
      </c>
      <c r="BA738" t="str">
        <f t="shared" si="214"/>
        <v/>
      </c>
    </row>
    <row r="739" spans="1:53" ht="13.5">
      <c r="A739" s="135" t="str">
        <f t="shared" si="200"/>
        <v/>
      </c>
      <c r="B739" s="19" t="str">
        <f t="shared" si="201"/>
        <v/>
      </c>
      <c r="C739" s="19" t="str">
        <f t="shared" si="202"/>
        <v/>
      </c>
      <c r="D739" s="19" t="str">
        <f t="shared" si="203"/>
        <v/>
      </c>
      <c r="E739" s="5" t="str">
        <f t="shared" si="204"/>
        <v/>
      </c>
      <c r="F739" s="12" t="str">
        <f t="shared" si="205"/>
        <v/>
      </c>
      <c r="K739" s="9" t="str">
        <f t="shared" si="206"/>
        <v/>
      </c>
      <c r="L739" s="6">
        <f t="shared" si="207"/>
        <v>0</v>
      </c>
      <c r="M739" s="6">
        <f t="shared" si="208"/>
        <v>0</v>
      </c>
      <c r="N739" s="94" t="str">
        <f t="shared" si="209"/>
        <v/>
      </c>
      <c r="O739" s="6"/>
      <c r="P739" s="6"/>
      <c r="Q739" s="6"/>
      <c r="R739" s="6"/>
      <c r="T739" s="136" t="str">
        <f t="shared" si="210"/>
        <v/>
      </c>
      <c r="U739" s="137" t="str">
        <f t="shared" si="211"/>
        <v/>
      </c>
      <c r="V739" s="1"/>
      <c r="Y739" s="90" t="str">
        <f t="shared" si="212"/>
        <v/>
      </c>
      <c r="AC739" s="6" t="s">
        <v>105</v>
      </c>
      <c r="AD739" s="6" t="s">
        <v>7098</v>
      </c>
      <c r="AE739" s="158" t="s">
        <v>3872</v>
      </c>
      <c r="AF739" s="159" t="s">
        <v>8299</v>
      </c>
      <c r="AG739" s="160" t="s">
        <v>2264</v>
      </c>
      <c r="AH739" s="194" t="s">
        <v>679</v>
      </c>
      <c r="AI739" s="6" t="s">
        <v>3144</v>
      </c>
      <c r="AJ739" s="3" t="s">
        <v>8240</v>
      </c>
      <c r="AK739" t="s">
        <v>8240</v>
      </c>
      <c r="AM739" s="6" t="s">
        <v>5752</v>
      </c>
      <c r="AN739" t="s">
        <v>6549</v>
      </c>
      <c r="AV739"/>
      <c r="AX739"/>
      <c r="AZ739" t="str">
        <f t="shared" si="213"/>
        <v/>
      </c>
      <c r="BA739" t="str">
        <f t="shared" si="214"/>
        <v/>
      </c>
    </row>
    <row r="740" spans="1:53" ht="13.5">
      <c r="A740" s="135" t="str">
        <f t="shared" si="200"/>
        <v/>
      </c>
      <c r="B740" s="19" t="str">
        <f t="shared" si="201"/>
        <v/>
      </c>
      <c r="C740" s="19" t="str">
        <f t="shared" si="202"/>
        <v/>
      </c>
      <c r="D740" s="19" t="str">
        <f t="shared" si="203"/>
        <v/>
      </c>
      <c r="E740" s="5" t="str">
        <f t="shared" si="204"/>
        <v/>
      </c>
      <c r="F740" s="12" t="str">
        <f t="shared" si="205"/>
        <v/>
      </c>
      <c r="K740" s="9" t="str">
        <f t="shared" si="206"/>
        <v/>
      </c>
      <c r="L740" s="6">
        <f t="shared" si="207"/>
        <v>0</v>
      </c>
      <c r="M740" s="6">
        <f t="shared" si="208"/>
        <v>0</v>
      </c>
      <c r="N740" s="94" t="str">
        <f t="shared" si="209"/>
        <v/>
      </c>
      <c r="O740" s="6"/>
      <c r="P740" s="6"/>
      <c r="Q740" s="6"/>
      <c r="R740" s="6"/>
      <c r="T740" s="136" t="str">
        <f t="shared" si="210"/>
        <v/>
      </c>
      <c r="U740" s="137" t="str">
        <f t="shared" si="211"/>
        <v/>
      </c>
      <c r="V740" s="1"/>
      <c r="Y740" s="90" t="str">
        <f t="shared" si="212"/>
        <v/>
      </c>
      <c r="AC740" s="6" t="s">
        <v>2457</v>
      </c>
      <c r="AD740" s="6" t="s">
        <v>6897</v>
      </c>
      <c r="AE740" s="158" t="s">
        <v>3873</v>
      </c>
      <c r="AF740" s="159" t="s">
        <v>8299</v>
      </c>
      <c r="AG740" s="160" t="s">
        <v>4342</v>
      </c>
      <c r="AH740" s="194" t="s">
        <v>679</v>
      </c>
      <c r="AI740" s="6" t="s">
        <v>1224</v>
      </c>
      <c r="AJ740" s="3" t="s">
        <v>8240</v>
      </c>
      <c r="AK740" t="s">
        <v>8240</v>
      </c>
      <c r="AM740" s="6" t="s">
        <v>5554</v>
      </c>
      <c r="AN740" t="s">
        <v>6550</v>
      </c>
      <c r="AV740"/>
      <c r="AX740"/>
      <c r="AZ740" t="str">
        <f t="shared" si="213"/>
        <v/>
      </c>
      <c r="BA740" t="str">
        <f t="shared" si="214"/>
        <v/>
      </c>
    </row>
    <row r="741" spans="1:53" ht="13.5">
      <c r="A741" s="135" t="str">
        <f t="shared" si="200"/>
        <v/>
      </c>
      <c r="B741" s="19" t="str">
        <f t="shared" si="201"/>
        <v/>
      </c>
      <c r="C741" s="19" t="str">
        <f t="shared" si="202"/>
        <v/>
      </c>
      <c r="D741" s="19" t="str">
        <f t="shared" si="203"/>
        <v/>
      </c>
      <c r="E741" s="5" t="str">
        <f t="shared" si="204"/>
        <v/>
      </c>
      <c r="F741" s="12" t="str">
        <f t="shared" si="205"/>
        <v/>
      </c>
      <c r="K741" s="9" t="str">
        <f t="shared" si="206"/>
        <v/>
      </c>
      <c r="L741" s="6">
        <f t="shared" si="207"/>
        <v>0</v>
      </c>
      <c r="M741" s="6">
        <f t="shared" si="208"/>
        <v>0</v>
      </c>
      <c r="N741" s="94" t="str">
        <f t="shared" si="209"/>
        <v/>
      </c>
      <c r="O741" s="6"/>
      <c r="P741" s="6"/>
      <c r="Q741" s="6"/>
      <c r="R741" s="6"/>
      <c r="T741" s="136" t="str">
        <f t="shared" si="210"/>
        <v/>
      </c>
      <c r="U741" s="137" t="str">
        <f t="shared" si="211"/>
        <v/>
      </c>
      <c r="V741" s="1"/>
      <c r="Y741" s="90" t="str">
        <f t="shared" si="212"/>
        <v/>
      </c>
      <c r="AC741" s="6" t="s">
        <v>91</v>
      </c>
      <c r="AD741" s="6" t="s">
        <v>7098</v>
      </c>
      <c r="AE741" s="158" t="s">
        <v>4391</v>
      </c>
      <c r="AF741" s="159" t="s">
        <v>8300</v>
      </c>
      <c r="AG741" s="160" t="s">
        <v>4343</v>
      </c>
      <c r="AH741" s="194" t="s">
        <v>679</v>
      </c>
      <c r="AI741" s="6" t="s">
        <v>3418</v>
      </c>
      <c r="AJ741" s="3" t="s">
        <v>8264</v>
      </c>
      <c r="AK741" t="s">
        <v>8264</v>
      </c>
      <c r="AM741" s="6" t="s">
        <v>5211</v>
      </c>
      <c r="AN741" t="s">
        <v>6551</v>
      </c>
      <c r="AV741"/>
      <c r="AX741"/>
      <c r="AZ741" t="str">
        <f t="shared" si="213"/>
        <v/>
      </c>
      <c r="BA741" t="str">
        <f t="shared" si="214"/>
        <v/>
      </c>
    </row>
    <row r="742" spans="1:53" ht="13.5">
      <c r="A742" s="135" t="str">
        <f t="shared" si="200"/>
        <v/>
      </c>
      <c r="B742" s="19" t="str">
        <f t="shared" si="201"/>
        <v/>
      </c>
      <c r="C742" s="19" t="str">
        <f t="shared" si="202"/>
        <v/>
      </c>
      <c r="D742" s="19" t="str">
        <f t="shared" si="203"/>
        <v/>
      </c>
      <c r="E742" s="5" t="str">
        <f t="shared" si="204"/>
        <v/>
      </c>
      <c r="F742" s="12" t="str">
        <f t="shared" si="205"/>
        <v/>
      </c>
      <c r="K742" s="9" t="str">
        <f t="shared" si="206"/>
        <v/>
      </c>
      <c r="L742" s="6">
        <f t="shared" si="207"/>
        <v>0</v>
      </c>
      <c r="M742" s="6">
        <f t="shared" si="208"/>
        <v>0</v>
      </c>
      <c r="N742" s="94" t="str">
        <f t="shared" si="209"/>
        <v/>
      </c>
      <c r="O742" s="6"/>
      <c r="P742" s="6"/>
      <c r="Q742" s="6"/>
      <c r="R742" s="6"/>
      <c r="T742" s="136" t="str">
        <f t="shared" si="210"/>
        <v/>
      </c>
      <c r="U742" s="137" t="str">
        <f t="shared" si="211"/>
        <v/>
      </c>
      <c r="V742" s="1"/>
      <c r="Y742" s="90" t="str">
        <f t="shared" si="212"/>
        <v/>
      </c>
      <c r="AC742" s="6" t="s">
        <v>102</v>
      </c>
      <c r="AD742" s="6" t="s">
        <v>7098</v>
      </c>
      <c r="AE742" s="158" t="s">
        <v>3921</v>
      </c>
      <c r="AF742" s="159" t="s">
        <v>8299</v>
      </c>
      <c r="AG742" s="160" t="s">
        <v>4344</v>
      </c>
      <c r="AH742" s="194" t="s">
        <v>679</v>
      </c>
      <c r="AI742" s="6" t="s">
        <v>5756</v>
      </c>
      <c r="AJ742" s="3" t="s">
        <v>8264</v>
      </c>
      <c r="AK742" t="s">
        <v>8264</v>
      </c>
      <c r="AM742" s="6" t="s">
        <v>5568</v>
      </c>
      <c r="AN742" t="s">
        <v>6552</v>
      </c>
      <c r="AV742"/>
      <c r="AX742"/>
      <c r="AZ742" t="str">
        <f t="shared" si="213"/>
        <v/>
      </c>
      <c r="BA742" t="str">
        <f t="shared" si="214"/>
        <v/>
      </c>
    </row>
    <row r="743" spans="1:53" ht="13.5">
      <c r="A743" s="135" t="str">
        <f t="shared" si="200"/>
        <v/>
      </c>
      <c r="B743" s="19" t="str">
        <f t="shared" si="201"/>
        <v/>
      </c>
      <c r="C743" s="19" t="str">
        <f t="shared" si="202"/>
        <v/>
      </c>
      <c r="D743" s="19" t="str">
        <f t="shared" si="203"/>
        <v/>
      </c>
      <c r="E743" s="5" t="str">
        <f t="shared" si="204"/>
        <v/>
      </c>
      <c r="F743" s="12" t="str">
        <f t="shared" si="205"/>
        <v/>
      </c>
      <c r="K743" s="9" t="str">
        <f t="shared" si="206"/>
        <v/>
      </c>
      <c r="L743" s="6">
        <f t="shared" si="207"/>
        <v>0</v>
      </c>
      <c r="M743" s="6">
        <f t="shared" si="208"/>
        <v>0</v>
      </c>
      <c r="N743" s="94" t="str">
        <f t="shared" si="209"/>
        <v/>
      </c>
      <c r="O743" s="6"/>
      <c r="P743" s="6"/>
      <c r="Q743" s="6"/>
      <c r="R743" s="6"/>
      <c r="T743" s="136" t="str">
        <f t="shared" si="210"/>
        <v/>
      </c>
      <c r="U743" s="137" t="str">
        <f t="shared" si="211"/>
        <v/>
      </c>
      <c r="V743" s="1"/>
      <c r="Y743" s="90" t="str">
        <f t="shared" si="212"/>
        <v/>
      </c>
      <c r="AC743" s="6" t="s">
        <v>4206</v>
      </c>
      <c r="AD743" s="6" t="s">
        <v>7063</v>
      </c>
      <c r="AE743" s="158" t="s">
        <v>3922</v>
      </c>
      <c r="AF743" s="159" t="s">
        <v>8320</v>
      </c>
      <c r="AG743" s="160" t="s">
        <v>4345</v>
      </c>
      <c r="AH743" s="194" t="s">
        <v>679</v>
      </c>
      <c r="AI743" s="6" t="s">
        <v>1218</v>
      </c>
      <c r="AJ743" s="3" t="s">
        <v>8205</v>
      </c>
      <c r="AK743" t="s">
        <v>8211</v>
      </c>
      <c r="AM743" s="6" t="s">
        <v>5564</v>
      </c>
      <c r="AN743" t="s">
        <v>6553</v>
      </c>
      <c r="AV743"/>
      <c r="AX743"/>
      <c r="AZ743" t="str">
        <f t="shared" si="213"/>
        <v/>
      </c>
      <c r="BA743" t="str">
        <f t="shared" si="214"/>
        <v/>
      </c>
    </row>
    <row r="744" spans="1:53" ht="13.5">
      <c r="A744" s="135" t="str">
        <f t="shared" ref="A744:A807" si="215">IF(ISNA(VLOOKUP(I744,AC:AD,2,FALSE)),"",VLOOKUP(I744,AC:AD,2,FALSE))</f>
        <v/>
      </c>
      <c r="B744" s="19" t="str">
        <f t="shared" ref="B744:B807" si="216">IF(ISNA(VLOOKUP(I744,AE:AF,2,FALSE)),"",VLOOKUP(I744,AE:AF,2,FALSE))</f>
        <v/>
      </c>
      <c r="C744" s="19" t="str">
        <f t="shared" ref="C744:C807" si="217">IF(ISNA(VLOOKUP(I744,AM:AN,2,FALSE)),"",VLOOKUP(I744,AM:AN,2,FALSE))</f>
        <v/>
      </c>
      <c r="D744" s="19" t="str">
        <f t="shared" ref="D744:D807" si="218">IF(ISNA(VLOOKUP(I744,AG:AH,2,FALSE)),"",VLOOKUP(I744,AG:AH,2,FALSE))</f>
        <v/>
      </c>
      <c r="E744" s="5" t="str">
        <f t="shared" si="204"/>
        <v/>
      </c>
      <c r="F744" s="12" t="str">
        <f t="shared" si="205"/>
        <v/>
      </c>
      <c r="K744" s="9" t="str">
        <f t="shared" si="206"/>
        <v/>
      </c>
      <c r="L744" s="6">
        <f t="shared" si="207"/>
        <v>0</v>
      </c>
      <c r="M744" s="6">
        <f t="shared" si="208"/>
        <v>0</v>
      </c>
      <c r="N744" s="94" t="str">
        <f t="shared" si="209"/>
        <v/>
      </c>
      <c r="O744" s="6"/>
      <c r="P744" s="6"/>
      <c r="Q744" s="6"/>
      <c r="R744" s="6"/>
      <c r="T744" s="136" t="str">
        <f t="shared" si="210"/>
        <v/>
      </c>
      <c r="U744" s="137" t="str">
        <f t="shared" si="211"/>
        <v/>
      </c>
      <c r="V744" s="1"/>
      <c r="Y744" s="90" t="str">
        <f t="shared" si="212"/>
        <v/>
      </c>
      <c r="AC744" s="6" t="s">
        <v>4012</v>
      </c>
      <c r="AD744" s="6" t="s">
        <v>7098</v>
      </c>
      <c r="AE744" s="158" t="s">
        <v>4078</v>
      </c>
      <c r="AF744" s="159" t="s">
        <v>8300</v>
      </c>
      <c r="AG744" s="160" t="s">
        <v>4346</v>
      </c>
      <c r="AH744" s="194" t="s">
        <v>679</v>
      </c>
      <c r="AI744" s="6" t="s">
        <v>1287</v>
      </c>
      <c r="AJ744" s="3" t="s">
        <v>8211</v>
      </c>
      <c r="AK744" t="s">
        <v>8242</v>
      </c>
      <c r="AM744" s="6" t="s">
        <v>5740</v>
      </c>
      <c r="AN744" t="s">
        <v>6554</v>
      </c>
      <c r="AV744"/>
      <c r="AX744"/>
      <c r="AZ744" t="str">
        <f t="shared" si="213"/>
        <v/>
      </c>
      <c r="BA744" t="str">
        <f t="shared" si="214"/>
        <v/>
      </c>
    </row>
    <row r="745" spans="1:53" ht="13.5">
      <c r="A745" s="135" t="str">
        <f t="shared" si="215"/>
        <v/>
      </c>
      <c r="B745" s="19" t="str">
        <f t="shared" si="216"/>
        <v/>
      </c>
      <c r="C745" s="19" t="str">
        <f t="shared" si="217"/>
        <v/>
      </c>
      <c r="D745" s="19" t="str">
        <f t="shared" si="218"/>
        <v/>
      </c>
      <c r="E745" s="5" t="str">
        <f t="shared" si="204"/>
        <v/>
      </c>
      <c r="F745" s="12" t="str">
        <f t="shared" si="205"/>
        <v/>
      </c>
      <c r="K745" s="9" t="str">
        <f t="shared" si="206"/>
        <v/>
      </c>
      <c r="L745" s="6">
        <f t="shared" si="207"/>
        <v>0</v>
      </c>
      <c r="M745" s="6">
        <f t="shared" si="208"/>
        <v>0</v>
      </c>
      <c r="N745" s="94" t="str">
        <f t="shared" si="209"/>
        <v/>
      </c>
      <c r="O745" s="6"/>
      <c r="P745" s="6"/>
      <c r="Q745" s="6"/>
      <c r="R745" s="6"/>
      <c r="T745" s="136" t="str">
        <f t="shared" si="210"/>
        <v/>
      </c>
      <c r="U745" s="137" t="str">
        <f t="shared" si="211"/>
        <v/>
      </c>
      <c r="V745" s="1"/>
      <c r="Y745" s="90" t="str">
        <f t="shared" si="212"/>
        <v/>
      </c>
      <c r="AC745" s="6" t="s">
        <v>2450</v>
      </c>
      <c r="AD745" s="6" t="s">
        <v>6897</v>
      </c>
      <c r="AE745" s="158" t="s">
        <v>4079</v>
      </c>
      <c r="AF745" s="159" t="s">
        <v>8299</v>
      </c>
      <c r="AG745" s="160" t="s">
        <v>2094</v>
      </c>
      <c r="AH745" s="194" t="s">
        <v>679</v>
      </c>
      <c r="AI745" s="6" t="s">
        <v>5606</v>
      </c>
      <c r="AJ745" s="3" t="s">
        <v>8204</v>
      </c>
      <c r="AK745" t="s">
        <v>8204</v>
      </c>
      <c r="AM745" s="6" t="s">
        <v>5492</v>
      </c>
      <c r="AN745" t="s">
        <v>6555</v>
      </c>
      <c r="AV745"/>
      <c r="AX745"/>
      <c r="AZ745" t="str">
        <f t="shared" si="213"/>
        <v/>
      </c>
      <c r="BA745" t="str">
        <f t="shared" si="214"/>
        <v/>
      </c>
    </row>
    <row r="746" spans="1:53" ht="13.5">
      <c r="A746" s="135" t="str">
        <f t="shared" si="215"/>
        <v/>
      </c>
      <c r="B746" s="19" t="str">
        <f t="shared" si="216"/>
        <v/>
      </c>
      <c r="C746" s="19" t="str">
        <f t="shared" si="217"/>
        <v/>
      </c>
      <c r="D746" s="19" t="str">
        <f t="shared" si="218"/>
        <v/>
      </c>
      <c r="E746" s="5" t="str">
        <f t="shared" si="204"/>
        <v/>
      </c>
      <c r="F746" s="12" t="str">
        <f t="shared" si="205"/>
        <v/>
      </c>
      <c r="K746" s="9" t="str">
        <f t="shared" si="206"/>
        <v/>
      </c>
      <c r="L746" s="6">
        <f t="shared" si="207"/>
        <v>0</v>
      </c>
      <c r="M746" s="6">
        <f t="shared" si="208"/>
        <v>0</v>
      </c>
      <c r="N746" s="94" t="str">
        <f t="shared" si="209"/>
        <v/>
      </c>
      <c r="O746" s="6"/>
      <c r="P746" s="6"/>
      <c r="Q746" s="6"/>
      <c r="R746" s="6"/>
      <c r="T746" s="136" t="str">
        <f t="shared" si="210"/>
        <v/>
      </c>
      <c r="U746" s="137" t="str">
        <f t="shared" si="211"/>
        <v/>
      </c>
      <c r="V746" s="1"/>
      <c r="Y746" s="90" t="str">
        <f t="shared" si="212"/>
        <v/>
      </c>
      <c r="AC746" s="6" t="s">
        <v>2434</v>
      </c>
      <c r="AD746" s="6" t="s">
        <v>6897</v>
      </c>
      <c r="AE746" s="158" t="s">
        <v>4080</v>
      </c>
      <c r="AF746" s="159" t="s">
        <v>8300</v>
      </c>
      <c r="AG746" s="160" t="s">
        <v>2095</v>
      </c>
      <c r="AH746" s="194" t="s">
        <v>678</v>
      </c>
      <c r="AI746" s="6" t="s">
        <v>5241</v>
      </c>
      <c r="AJ746" s="3" t="s">
        <v>8198</v>
      </c>
      <c r="AK746" t="s">
        <v>8198</v>
      </c>
      <c r="AM746" s="6" t="s">
        <v>5517</v>
      </c>
      <c r="AN746" t="s">
        <v>6556</v>
      </c>
      <c r="AV746"/>
      <c r="AX746"/>
      <c r="AZ746" t="str">
        <f t="shared" si="213"/>
        <v/>
      </c>
      <c r="BA746" t="str">
        <f t="shared" si="214"/>
        <v/>
      </c>
    </row>
    <row r="747" spans="1:53" ht="13.5">
      <c r="A747" s="135" t="str">
        <f t="shared" si="215"/>
        <v/>
      </c>
      <c r="B747" s="19" t="str">
        <f t="shared" si="216"/>
        <v/>
      </c>
      <c r="C747" s="19" t="str">
        <f t="shared" si="217"/>
        <v/>
      </c>
      <c r="D747" s="19" t="str">
        <f t="shared" si="218"/>
        <v/>
      </c>
      <c r="E747" s="5" t="str">
        <f t="shared" si="204"/>
        <v/>
      </c>
      <c r="F747" s="12" t="str">
        <f t="shared" si="205"/>
        <v/>
      </c>
      <c r="K747" s="9" t="str">
        <f t="shared" si="206"/>
        <v/>
      </c>
      <c r="L747" s="6">
        <f t="shared" si="207"/>
        <v>0</v>
      </c>
      <c r="M747" s="6">
        <f t="shared" si="208"/>
        <v>0</v>
      </c>
      <c r="N747" s="94" t="str">
        <f t="shared" si="209"/>
        <v/>
      </c>
      <c r="O747" s="6"/>
      <c r="P747" s="6"/>
      <c r="Q747" s="6"/>
      <c r="R747" s="6"/>
      <c r="T747" s="136" t="str">
        <f t="shared" si="210"/>
        <v/>
      </c>
      <c r="U747" s="137" t="str">
        <f t="shared" si="211"/>
        <v/>
      </c>
      <c r="V747" s="1"/>
      <c r="Y747" s="90" t="str">
        <f t="shared" si="212"/>
        <v/>
      </c>
      <c r="AC747" s="6" t="s">
        <v>92</v>
      </c>
      <c r="AD747" s="6" t="s">
        <v>7098</v>
      </c>
      <c r="AE747" s="158" t="s">
        <v>4169</v>
      </c>
      <c r="AF747" s="159" t="s">
        <v>8299</v>
      </c>
      <c r="AG747" s="160" t="s">
        <v>2096</v>
      </c>
      <c r="AH747" s="194" t="s">
        <v>678</v>
      </c>
      <c r="AI747" s="6" t="s">
        <v>5074</v>
      </c>
      <c r="AJ747" s="3" t="s">
        <v>8256</v>
      </c>
      <c r="AK747" t="s">
        <v>8256</v>
      </c>
      <c r="AM747" s="6" t="s">
        <v>5535</v>
      </c>
      <c r="AN747" t="s">
        <v>6557</v>
      </c>
      <c r="AV747"/>
      <c r="AX747"/>
      <c r="AZ747" t="str">
        <f t="shared" si="213"/>
        <v/>
      </c>
      <c r="BA747" t="str">
        <f t="shared" si="214"/>
        <v/>
      </c>
    </row>
    <row r="748" spans="1:53" ht="13.5">
      <c r="A748" s="135" t="str">
        <f t="shared" si="215"/>
        <v/>
      </c>
      <c r="B748" s="19" t="str">
        <f t="shared" si="216"/>
        <v/>
      </c>
      <c r="C748" s="19" t="str">
        <f t="shared" si="217"/>
        <v/>
      </c>
      <c r="D748" s="19" t="str">
        <f t="shared" si="218"/>
        <v/>
      </c>
      <c r="E748" s="5" t="str">
        <f t="shared" si="204"/>
        <v/>
      </c>
      <c r="F748" s="12" t="str">
        <f t="shared" si="205"/>
        <v/>
      </c>
      <c r="K748" s="9" t="str">
        <f t="shared" si="206"/>
        <v/>
      </c>
      <c r="L748" s="6">
        <f t="shared" si="207"/>
        <v>0</v>
      </c>
      <c r="M748" s="6">
        <f t="shared" si="208"/>
        <v>0</v>
      </c>
      <c r="N748" s="94" t="str">
        <f t="shared" si="209"/>
        <v/>
      </c>
      <c r="O748" s="6"/>
      <c r="P748" s="6"/>
      <c r="Q748" s="6"/>
      <c r="R748" s="6"/>
      <c r="T748" s="136" t="str">
        <f t="shared" si="210"/>
        <v/>
      </c>
      <c r="U748" s="137" t="str">
        <f t="shared" si="211"/>
        <v/>
      </c>
      <c r="V748" s="1"/>
      <c r="Y748" s="90" t="str">
        <f t="shared" si="212"/>
        <v/>
      </c>
      <c r="AC748" s="6" t="s">
        <v>2458</v>
      </c>
      <c r="AD748" s="6" t="s">
        <v>6897</v>
      </c>
      <c r="AE748" s="158" t="s">
        <v>4170</v>
      </c>
      <c r="AF748" s="159" t="s">
        <v>8299</v>
      </c>
      <c r="AG748" s="160" t="s">
        <v>2097</v>
      </c>
      <c r="AH748" s="194" t="s">
        <v>679</v>
      </c>
      <c r="AI748" s="6" t="s">
        <v>1290</v>
      </c>
      <c r="AJ748" s="3" t="s">
        <v>8206</v>
      </c>
      <c r="AK748" t="s">
        <v>8206</v>
      </c>
      <c r="AM748" s="6" t="s">
        <v>5549</v>
      </c>
      <c r="AN748" t="s">
        <v>6558</v>
      </c>
      <c r="AV748"/>
      <c r="AX748"/>
      <c r="AZ748" t="str">
        <f t="shared" si="213"/>
        <v/>
      </c>
      <c r="BA748" t="str">
        <f t="shared" si="214"/>
        <v/>
      </c>
    </row>
    <row r="749" spans="1:53" ht="13.5">
      <c r="A749" s="135" t="str">
        <f t="shared" si="215"/>
        <v/>
      </c>
      <c r="B749" s="19" t="str">
        <f t="shared" si="216"/>
        <v/>
      </c>
      <c r="C749" s="19" t="str">
        <f t="shared" si="217"/>
        <v/>
      </c>
      <c r="D749" s="19" t="str">
        <f t="shared" si="218"/>
        <v/>
      </c>
      <c r="E749" s="5" t="str">
        <f t="shared" si="204"/>
        <v/>
      </c>
      <c r="F749" s="12" t="str">
        <f t="shared" si="205"/>
        <v/>
      </c>
      <c r="K749" s="9" t="str">
        <f t="shared" si="206"/>
        <v/>
      </c>
      <c r="L749" s="6">
        <f t="shared" si="207"/>
        <v>0</v>
      </c>
      <c r="M749" s="6">
        <f t="shared" si="208"/>
        <v>0</v>
      </c>
      <c r="N749" s="94" t="str">
        <f t="shared" si="209"/>
        <v/>
      </c>
      <c r="O749" s="6"/>
      <c r="P749" s="6"/>
      <c r="Q749" s="6"/>
      <c r="R749" s="6"/>
      <c r="T749" s="136" t="str">
        <f t="shared" si="210"/>
        <v/>
      </c>
      <c r="U749" s="137" t="str">
        <f t="shared" si="211"/>
        <v/>
      </c>
      <c r="V749" s="1"/>
      <c r="Y749" s="90" t="str">
        <f t="shared" si="212"/>
        <v/>
      </c>
      <c r="AC749" s="6" t="s">
        <v>94</v>
      </c>
      <c r="AD749" s="6" t="s">
        <v>7098</v>
      </c>
      <c r="AE749" s="158">
        <v>846351</v>
      </c>
      <c r="AF749" s="159" t="s">
        <v>8299</v>
      </c>
      <c r="AG749" s="160" t="s">
        <v>4347</v>
      </c>
      <c r="AH749" s="194" t="s">
        <v>678</v>
      </c>
      <c r="AI749" s="6" t="s">
        <v>5064</v>
      </c>
      <c r="AJ749" s="3" t="s">
        <v>8261</v>
      </c>
      <c r="AK749" t="s">
        <v>8261</v>
      </c>
      <c r="AM749" s="6" t="s">
        <v>5551</v>
      </c>
      <c r="AN749" t="s">
        <v>6559</v>
      </c>
      <c r="AV749"/>
      <c r="AX749"/>
      <c r="AZ749" t="str">
        <f t="shared" si="213"/>
        <v/>
      </c>
      <c r="BA749" t="str">
        <f t="shared" si="214"/>
        <v/>
      </c>
    </row>
    <row r="750" spans="1:53" ht="13.5">
      <c r="A750" s="135" t="str">
        <f t="shared" si="215"/>
        <v/>
      </c>
      <c r="B750" s="19" t="str">
        <f t="shared" si="216"/>
        <v/>
      </c>
      <c r="C750" s="19" t="str">
        <f t="shared" si="217"/>
        <v/>
      </c>
      <c r="D750" s="19" t="str">
        <f t="shared" si="218"/>
        <v/>
      </c>
      <c r="E750" s="5" t="str">
        <f t="shared" si="204"/>
        <v/>
      </c>
      <c r="F750" s="12" t="str">
        <f t="shared" si="205"/>
        <v/>
      </c>
      <c r="K750" s="9" t="str">
        <f t="shared" si="206"/>
        <v/>
      </c>
      <c r="L750" s="6">
        <f t="shared" si="207"/>
        <v>0</v>
      </c>
      <c r="M750" s="6">
        <f t="shared" si="208"/>
        <v>0</v>
      </c>
      <c r="N750" s="94" t="str">
        <f t="shared" si="209"/>
        <v/>
      </c>
      <c r="O750" s="6"/>
      <c r="P750" s="6"/>
      <c r="Q750" s="6"/>
      <c r="R750" s="6"/>
      <c r="T750" s="136" t="str">
        <f t="shared" si="210"/>
        <v/>
      </c>
      <c r="U750" s="137" t="str">
        <f t="shared" si="211"/>
        <v/>
      </c>
      <c r="V750" s="1"/>
      <c r="Y750" s="90" t="str">
        <f t="shared" si="212"/>
        <v/>
      </c>
      <c r="AC750" s="6" t="s">
        <v>2446</v>
      </c>
      <c r="AD750" s="6" t="s">
        <v>6897</v>
      </c>
      <c r="AE750" s="158">
        <v>846352</v>
      </c>
      <c r="AF750" s="159" t="s">
        <v>8299</v>
      </c>
      <c r="AG750" s="160" t="s">
        <v>2098</v>
      </c>
      <c r="AH750" s="194" t="s">
        <v>678</v>
      </c>
      <c r="AI750" s="6" t="s">
        <v>4457</v>
      </c>
      <c r="AJ750" s="3" t="s">
        <v>8224</v>
      </c>
      <c r="AK750" t="s">
        <v>8224</v>
      </c>
      <c r="AM750" s="6" t="s">
        <v>5553</v>
      </c>
      <c r="AN750" t="s">
        <v>6560</v>
      </c>
      <c r="AV750"/>
      <c r="AX750"/>
      <c r="AZ750" t="str">
        <f t="shared" si="213"/>
        <v/>
      </c>
      <c r="BA750" t="str">
        <f t="shared" si="214"/>
        <v/>
      </c>
    </row>
    <row r="751" spans="1:53" ht="13.5">
      <c r="A751" s="135" t="str">
        <f t="shared" si="215"/>
        <v/>
      </c>
      <c r="B751" s="19" t="str">
        <f t="shared" si="216"/>
        <v/>
      </c>
      <c r="C751" s="19" t="str">
        <f t="shared" si="217"/>
        <v/>
      </c>
      <c r="D751" s="19" t="str">
        <f t="shared" si="218"/>
        <v/>
      </c>
      <c r="E751" s="5" t="str">
        <f t="shared" si="204"/>
        <v/>
      </c>
      <c r="F751" s="12" t="str">
        <f t="shared" si="205"/>
        <v/>
      </c>
      <c r="K751" s="9" t="str">
        <f t="shared" si="206"/>
        <v/>
      </c>
      <c r="L751" s="6">
        <f t="shared" si="207"/>
        <v>0</v>
      </c>
      <c r="M751" s="6">
        <f t="shared" si="208"/>
        <v>0</v>
      </c>
      <c r="N751" s="94" t="str">
        <f t="shared" si="209"/>
        <v/>
      </c>
      <c r="O751" s="6"/>
      <c r="P751" s="6"/>
      <c r="Q751" s="6"/>
      <c r="R751" s="6"/>
      <c r="T751" s="136" t="str">
        <f t="shared" si="210"/>
        <v/>
      </c>
      <c r="U751" s="137" t="str">
        <f t="shared" si="211"/>
        <v/>
      </c>
      <c r="V751" s="1"/>
      <c r="Y751" s="90" t="str">
        <f t="shared" si="212"/>
        <v/>
      </c>
      <c r="AC751" s="6" t="s">
        <v>4030</v>
      </c>
      <c r="AD751" s="6" t="s">
        <v>7098</v>
      </c>
      <c r="AE751" s="158">
        <v>896412</v>
      </c>
      <c r="AF751" s="159" t="s">
        <v>8287</v>
      </c>
      <c r="AG751" s="160" t="s">
        <v>2099</v>
      </c>
      <c r="AH751" s="194" t="s">
        <v>678</v>
      </c>
      <c r="AI751" s="6" t="s">
        <v>5229</v>
      </c>
      <c r="AJ751" s="3" t="s">
        <v>8213</v>
      </c>
      <c r="AK751" t="s">
        <v>8213</v>
      </c>
      <c r="AM751" s="6" t="s">
        <v>5495</v>
      </c>
      <c r="AN751" t="s">
        <v>6561</v>
      </c>
      <c r="AV751"/>
      <c r="AX751"/>
      <c r="AZ751" t="str">
        <f t="shared" si="213"/>
        <v/>
      </c>
      <c r="BA751" t="str">
        <f t="shared" si="214"/>
        <v/>
      </c>
    </row>
    <row r="752" spans="1:53" ht="13.5">
      <c r="A752" s="135" t="str">
        <f t="shared" si="215"/>
        <v/>
      </c>
      <c r="B752" s="19" t="str">
        <f t="shared" si="216"/>
        <v/>
      </c>
      <c r="C752" s="19" t="str">
        <f t="shared" si="217"/>
        <v/>
      </c>
      <c r="D752" s="19" t="str">
        <f t="shared" si="218"/>
        <v/>
      </c>
      <c r="E752" s="5" t="str">
        <f t="shared" si="204"/>
        <v/>
      </c>
      <c r="F752" s="12" t="str">
        <f t="shared" si="205"/>
        <v/>
      </c>
      <c r="K752" s="9" t="str">
        <f t="shared" si="206"/>
        <v/>
      </c>
      <c r="L752" s="6">
        <f t="shared" si="207"/>
        <v>0</v>
      </c>
      <c r="M752" s="6">
        <f t="shared" si="208"/>
        <v>0</v>
      </c>
      <c r="N752" s="94" t="str">
        <f t="shared" si="209"/>
        <v/>
      </c>
      <c r="O752" s="6"/>
      <c r="P752" s="6"/>
      <c r="Q752" s="6"/>
      <c r="R752" s="6"/>
      <c r="T752" s="136" t="str">
        <f t="shared" si="210"/>
        <v/>
      </c>
      <c r="U752" s="137" t="str">
        <f t="shared" si="211"/>
        <v/>
      </c>
      <c r="V752" s="1"/>
      <c r="Y752" s="90" t="str">
        <f t="shared" si="212"/>
        <v/>
      </c>
      <c r="AC752" s="6" t="s">
        <v>93</v>
      </c>
      <c r="AD752" s="6" t="s">
        <v>7098</v>
      </c>
      <c r="AE752" s="158">
        <v>896413</v>
      </c>
      <c r="AF752" s="159" t="s">
        <v>8323</v>
      </c>
      <c r="AG752" s="160" t="s">
        <v>2100</v>
      </c>
      <c r="AH752" s="194" t="s">
        <v>679</v>
      </c>
      <c r="AI752" s="6" t="s">
        <v>5220</v>
      </c>
      <c r="AJ752" s="3" t="s">
        <v>8227</v>
      </c>
      <c r="AK752" t="s">
        <v>8227</v>
      </c>
      <c r="AM752" s="6" t="s">
        <v>5570</v>
      </c>
      <c r="AN752" t="s">
        <v>6562</v>
      </c>
      <c r="AV752"/>
      <c r="AX752"/>
      <c r="AZ752" t="str">
        <f t="shared" si="213"/>
        <v/>
      </c>
      <c r="BA752" t="str">
        <f t="shared" si="214"/>
        <v/>
      </c>
    </row>
    <row r="753" spans="1:53" ht="13.5">
      <c r="A753" s="135" t="str">
        <f t="shared" si="215"/>
        <v/>
      </c>
      <c r="B753" s="19" t="str">
        <f t="shared" si="216"/>
        <v/>
      </c>
      <c r="C753" s="19" t="str">
        <f t="shared" si="217"/>
        <v/>
      </c>
      <c r="D753" s="19" t="str">
        <f t="shared" si="218"/>
        <v/>
      </c>
      <c r="E753" s="5" t="str">
        <f t="shared" si="204"/>
        <v/>
      </c>
      <c r="F753" s="12" t="str">
        <f t="shared" si="205"/>
        <v/>
      </c>
      <c r="K753" s="9" t="str">
        <f t="shared" si="206"/>
        <v/>
      </c>
      <c r="L753" s="6">
        <f t="shared" si="207"/>
        <v>0</v>
      </c>
      <c r="M753" s="6">
        <f t="shared" si="208"/>
        <v>0</v>
      </c>
      <c r="N753" s="94" t="str">
        <f t="shared" si="209"/>
        <v/>
      </c>
      <c r="O753" s="6"/>
      <c r="P753" s="6"/>
      <c r="Q753" s="6"/>
      <c r="R753" s="6"/>
      <c r="T753" s="136" t="str">
        <f t="shared" si="210"/>
        <v/>
      </c>
      <c r="U753" s="137" t="str">
        <f t="shared" si="211"/>
        <v/>
      </c>
      <c r="V753" s="1"/>
      <c r="Y753" s="90" t="str">
        <f t="shared" si="212"/>
        <v/>
      </c>
      <c r="AC753" s="6" t="s">
        <v>100</v>
      </c>
      <c r="AD753" s="6" t="s">
        <v>7098</v>
      </c>
      <c r="AE753" s="158">
        <v>896414</v>
      </c>
      <c r="AF753" s="159" t="s">
        <v>8332</v>
      </c>
      <c r="AG753" s="160" t="s">
        <v>1150</v>
      </c>
      <c r="AH753" s="194" t="s">
        <v>678</v>
      </c>
      <c r="AI753" s="6" t="s">
        <v>4410</v>
      </c>
      <c r="AJ753" s="3" t="s">
        <v>8202</v>
      </c>
      <c r="AK753" t="s">
        <v>8202</v>
      </c>
      <c r="AM753" s="6" t="s">
        <v>5532</v>
      </c>
      <c r="AN753" t="s">
        <v>6563</v>
      </c>
      <c r="AV753"/>
      <c r="AX753"/>
      <c r="AZ753" t="str">
        <f t="shared" si="213"/>
        <v/>
      </c>
      <c r="BA753" t="str">
        <f t="shared" si="214"/>
        <v/>
      </c>
    </row>
    <row r="754" spans="1:53" ht="13.5">
      <c r="A754" s="135" t="str">
        <f t="shared" si="215"/>
        <v/>
      </c>
      <c r="B754" s="19" t="str">
        <f t="shared" si="216"/>
        <v/>
      </c>
      <c r="C754" s="19" t="str">
        <f t="shared" si="217"/>
        <v/>
      </c>
      <c r="D754" s="19" t="str">
        <f t="shared" si="218"/>
        <v/>
      </c>
      <c r="E754" s="5" t="str">
        <f t="shared" si="204"/>
        <v/>
      </c>
      <c r="F754" s="12" t="str">
        <f t="shared" si="205"/>
        <v/>
      </c>
      <c r="K754" s="9" t="str">
        <f t="shared" si="206"/>
        <v/>
      </c>
      <c r="L754" s="6">
        <f t="shared" si="207"/>
        <v>0</v>
      </c>
      <c r="M754" s="6">
        <f t="shared" si="208"/>
        <v>0</v>
      </c>
      <c r="N754" s="94" t="str">
        <f t="shared" si="209"/>
        <v/>
      </c>
      <c r="O754" s="6"/>
      <c r="P754" s="6"/>
      <c r="Q754" s="6"/>
      <c r="R754" s="6"/>
      <c r="T754" s="136" t="str">
        <f t="shared" si="210"/>
        <v/>
      </c>
      <c r="U754" s="137" t="str">
        <f t="shared" si="211"/>
        <v/>
      </c>
      <c r="V754" s="1"/>
      <c r="Y754" s="90" t="str">
        <f t="shared" si="212"/>
        <v/>
      </c>
      <c r="AC754" s="6" t="s">
        <v>4053</v>
      </c>
      <c r="AD754" s="6" t="s">
        <v>7086</v>
      </c>
      <c r="AE754" s="158">
        <v>896415</v>
      </c>
      <c r="AF754" s="159" t="s">
        <v>8340</v>
      </c>
      <c r="AG754" s="160" t="s">
        <v>2101</v>
      </c>
      <c r="AH754" s="194" t="s">
        <v>678</v>
      </c>
      <c r="AI754" s="6" t="s">
        <v>5152</v>
      </c>
      <c r="AJ754" s="3" t="s">
        <v>8233</v>
      </c>
      <c r="AK754" t="s">
        <v>8233</v>
      </c>
      <c r="AM754" s="6" t="s">
        <v>5604</v>
      </c>
      <c r="AN754" t="s">
        <v>6564</v>
      </c>
      <c r="AV754"/>
      <c r="AX754"/>
      <c r="AZ754" t="str">
        <f t="shared" si="213"/>
        <v/>
      </c>
      <c r="BA754" t="str">
        <f t="shared" si="214"/>
        <v/>
      </c>
    </row>
    <row r="755" spans="1:53" ht="13.5">
      <c r="A755" s="135" t="str">
        <f t="shared" si="215"/>
        <v/>
      </c>
      <c r="B755" s="19" t="str">
        <f t="shared" si="216"/>
        <v/>
      </c>
      <c r="C755" s="19" t="str">
        <f t="shared" si="217"/>
        <v/>
      </c>
      <c r="D755" s="19" t="str">
        <f t="shared" si="218"/>
        <v/>
      </c>
      <c r="E755" s="5" t="str">
        <f t="shared" si="204"/>
        <v/>
      </c>
      <c r="F755" s="12" t="str">
        <f t="shared" si="205"/>
        <v/>
      </c>
      <c r="K755" s="9" t="str">
        <f t="shared" si="206"/>
        <v/>
      </c>
      <c r="L755" s="6">
        <f t="shared" si="207"/>
        <v>0</v>
      </c>
      <c r="M755" s="6">
        <f t="shared" si="208"/>
        <v>0</v>
      </c>
      <c r="N755" s="94" t="str">
        <f t="shared" si="209"/>
        <v/>
      </c>
      <c r="O755" s="6"/>
      <c r="P755" s="6"/>
      <c r="Q755" s="6"/>
      <c r="R755" s="6"/>
      <c r="T755" s="136" t="str">
        <f t="shared" si="210"/>
        <v/>
      </c>
      <c r="U755" s="137" t="str">
        <f t="shared" si="211"/>
        <v/>
      </c>
      <c r="V755" s="1"/>
      <c r="Y755" s="90" t="str">
        <f t="shared" si="212"/>
        <v/>
      </c>
      <c r="AC755" s="6" t="s">
        <v>2470</v>
      </c>
      <c r="AD755" s="6" t="s">
        <v>6897</v>
      </c>
      <c r="AE755" s="158">
        <v>206416</v>
      </c>
      <c r="AF755" s="159" t="s">
        <v>8299</v>
      </c>
      <c r="AG755" s="160" t="s">
        <v>2102</v>
      </c>
      <c r="AH755" s="194" t="s">
        <v>679</v>
      </c>
      <c r="AI755" s="6" t="s">
        <v>5215</v>
      </c>
      <c r="AJ755" s="3" t="s">
        <v>8213</v>
      </c>
      <c r="AK755" t="s">
        <v>8213</v>
      </c>
      <c r="AM755" s="6" t="s">
        <v>5533</v>
      </c>
      <c r="AN755" t="s">
        <v>6565</v>
      </c>
      <c r="AV755"/>
      <c r="AX755"/>
      <c r="AZ755" t="str">
        <f t="shared" si="213"/>
        <v/>
      </c>
      <c r="BA755" t="str">
        <f t="shared" si="214"/>
        <v/>
      </c>
    </row>
    <row r="756" spans="1:53" ht="13.5">
      <c r="A756" s="135" t="str">
        <f t="shared" si="215"/>
        <v/>
      </c>
      <c r="B756" s="19" t="str">
        <f t="shared" si="216"/>
        <v/>
      </c>
      <c r="C756" s="19" t="str">
        <f t="shared" si="217"/>
        <v/>
      </c>
      <c r="D756" s="19" t="str">
        <f t="shared" si="218"/>
        <v/>
      </c>
      <c r="E756" s="5" t="str">
        <f t="shared" si="204"/>
        <v/>
      </c>
      <c r="F756" s="12" t="str">
        <f t="shared" si="205"/>
        <v/>
      </c>
      <c r="K756" s="9" t="str">
        <f t="shared" si="206"/>
        <v/>
      </c>
      <c r="L756" s="6">
        <f t="shared" si="207"/>
        <v>0</v>
      </c>
      <c r="M756" s="6">
        <f t="shared" si="208"/>
        <v>0</v>
      </c>
      <c r="N756" s="94" t="str">
        <f t="shared" si="209"/>
        <v/>
      </c>
      <c r="O756" s="6"/>
      <c r="P756" s="6"/>
      <c r="Q756" s="6"/>
      <c r="R756" s="6"/>
      <c r="T756" s="136" t="str">
        <f t="shared" si="210"/>
        <v/>
      </c>
      <c r="U756" s="137" t="str">
        <f t="shared" si="211"/>
        <v/>
      </c>
      <c r="V756" s="1"/>
      <c r="Y756" s="90" t="str">
        <f t="shared" si="212"/>
        <v/>
      </c>
      <c r="AC756" s="6" t="s">
        <v>2429</v>
      </c>
      <c r="AD756" s="6" t="s">
        <v>6897</v>
      </c>
      <c r="AE756" s="158" t="s">
        <v>4369</v>
      </c>
      <c r="AF756" s="159" t="s">
        <v>8299</v>
      </c>
      <c r="AG756" s="160" t="s">
        <v>2103</v>
      </c>
      <c r="AH756" s="194" t="s">
        <v>679</v>
      </c>
      <c r="AI756" s="6" t="s">
        <v>5048</v>
      </c>
      <c r="AJ756" s="3" t="s">
        <v>8224</v>
      </c>
      <c r="AK756" t="s">
        <v>8224</v>
      </c>
      <c r="AM756" s="6" t="s">
        <v>5499</v>
      </c>
      <c r="AN756" t="s">
        <v>6566</v>
      </c>
      <c r="AV756"/>
      <c r="AX756"/>
      <c r="AZ756" t="str">
        <f t="shared" si="213"/>
        <v/>
      </c>
      <c r="BA756" t="str">
        <f t="shared" si="214"/>
        <v/>
      </c>
    </row>
    <row r="757" spans="1:53" ht="13.5">
      <c r="A757" s="135" t="str">
        <f t="shared" si="215"/>
        <v/>
      </c>
      <c r="B757" s="19" t="str">
        <f t="shared" si="216"/>
        <v/>
      </c>
      <c r="C757" s="19" t="str">
        <f t="shared" si="217"/>
        <v/>
      </c>
      <c r="D757" s="19" t="str">
        <f t="shared" si="218"/>
        <v/>
      </c>
      <c r="E757" s="5" t="str">
        <f t="shared" si="204"/>
        <v/>
      </c>
      <c r="F757" s="12" t="str">
        <f t="shared" si="205"/>
        <v/>
      </c>
      <c r="K757" s="9" t="str">
        <f t="shared" si="206"/>
        <v/>
      </c>
      <c r="L757" s="6">
        <f t="shared" si="207"/>
        <v>0</v>
      </c>
      <c r="M757" s="6">
        <f t="shared" si="208"/>
        <v>0</v>
      </c>
      <c r="N757" s="94" t="str">
        <f t="shared" si="209"/>
        <v/>
      </c>
      <c r="O757" s="6"/>
      <c r="P757" s="6"/>
      <c r="Q757" s="6"/>
      <c r="R757" s="6"/>
      <c r="T757" s="136" t="str">
        <f t="shared" si="210"/>
        <v/>
      </c>
      <c r="U757" s="137" t="str">
        <f t="shared" si="211"/>
        <v/>
      </c>
      <c r="V757" s="1"/>
      <c r="Y757" s="90" t="str">
        <f t="shared" si="212"/>
        <v/>
      </c>
      <c r="AC757" s="6" t="s">
        <v>3665</v>
      </c>
      <c r="AD757" s="6" t="s">
        <v>7095</v>
      </c>
      <c r="AE757" s="158" t="s">
        <v>5524</v>
      </c>
      <c r="AF757" s="159" t="s">
        <v>8309</v>
      </c>
      <c r="AG757" s="160" t="s">
        <v>2104</v>
      </c>
      <c r="AH757" s="194" t="s">
        <v>678</v>
      </c>
      <c r="AI757" s="6" t="s">
        <v>5367</v>
      </c>
      <c r="AJ757" s="3" t="s">
        <v>8224</v>
      </c>
      <c r="AK757" t="s">
        <v>8224</v>
      </c>
      <c r="AM757" s="6" t="s">
        <v>5511</v>
      </c>
      <c r="AN757" t="s">
        <v>6567</v>
      </c>
      <c r="AV757"/>
      <c r="AX757"/>
      <c r="AZ757" t="str">
        <f t="shared" si="213"/>
        <v/>
      </c>
      <c r="BA757" t="str">
        <f t="shared" si="214"/>
        <v/>
      </c>
    </row>
    <row r="758" spans="1:53" ht="13.5">
      <c r="A758" s="135" t="str">
        <f t="shared" si="215"/>
        <v/>
      </c>
      <c r="B758" s="19" t="str">
        <f t="shared" si="216"/>
        <v/>
      </c>
      <c r="C758" s="19" t="str">
        <f t="shared" si="217"/>
        <v/>
      </c>
      <c r="D758" s="19" t="str">
        <f t="shared" si="218"/>
        <v/>
      </c>
      <c r="E758" s="5" t="str">
        <f t="shared" si="204"/>
        <v/>
      </c>
      <c r="F758" s="12" t="str">
        <f t="shared" si="205"/>
        <v/>
      </c>
      <c r="K758" s="9" t="str">
        <f t="shared" si="206"/>
        <v/>
      </c>
      <c r="L758" s="6">
        <f t="shared" si="207"/>
        <v>0</v>
      </c>
      <c r="M758" s="6">
        <f t="shared" si="208"/>
        <v>0</v>
      </c>
      <c r="N758" s="94" t="str">
        <f t="shared" si="209"/>
        <v/>
      </c>
      <c r="O758" s="6"/>
      <c r="P758" s="6"/>
      <c r="Q758" s="6"/>
      <c r="R758" s="6"/>
      <c r="T758" s="136" t="str">
        <f t="shared" si="210"/>
        <v/>
      </c>
      <c r="U758" s="137" t="str">
        <f t="shared" si="211"/>
        <v/>
      </c>
      <c r="V758" s="1"/>
      <c r="Y758" s="90" t="str">
        <f t="shared" si="212"/>
        <v/>
      </c>
      <c r="AC758" s="6" t="s">
        <v>4033</v>
      </c>
      <c r="AD758" s="6" t="s">
        <v>7118</v>
      </c>
      <c r="AE758" s="158" t="s">
        <v>5525</v>
      </c>
      <c r="AF758" s="159" t="s">
        <v>8299</v>
      </c>
      <c r="AG758" s="160" t="s">
        <v>2105</v>
      </c>
      <c r="AH758" s="194" t="s">
        <v>679</v>
      </c>
      <c r="AI758" s="6">
        <v>315321</v>
      </c>
      <c r="AJ758" s="3" t="s">
        <v>8219</v>
      </c>
      <c r="AK758" t="s">
        <v>8219</v>
      </c>
      <c r="AM758" s="6" t="s">
        <v>5518</v>
      </c>
      <c r="AN758" t="s">
        <v>6568</v>
      </c>
      <c r="AV758"/>
      <c r="AX758"/>
      <c r="AZ758" t="str">
        <f t="shared" si="213"/>
        <v/>
      </c>
      <c r="BA758" t="str">
        <f t="shared" si="214"/>
        <v/>
      </c>
    </row>
    <row r="759" spans="1:53" ht="13.5">
      <c r="A759" s="135" t="str">
        <f t="shared" si="215"/>
        <v/>
      </c>
      <c r="B759" s="19" t="str">
        <f t="shared" si="216"/>
        <v/>
      </c>
      <c r="C759" s="19" t="str">
        <f t="shared" si="217"/>
        <v/>
      </c>
      <c r="D759" s="19" t="str">
        <f t="shared" si="218"/>
        <v/>
      </c>
      <c r="E759" s="5" t="str">
        <f t="shared" si="204"/>
        <v/>
      </c>
      <c r="F759" s="12" t="str">
        <f t="shared" si="205"/>
        <v/>
      </c>
      <c r="K759" s="9" t="str">
        <f t="shared" si="206"/>
        <v/>
      </c>
      <c r="L759" s="6">
        <f t="shared" si="207"/>
        <v>0</v>
      </c>
      <c r="M759" s="6">
        <f t="shared" si="208"/>
        <v>0</v>
      </c>
      <c r="N759" s="94" t="str">
        <f t="shared" si="209"/>
        <v/>
      </c>
      <c r="O759" s="6"/>
      <c r="P759" s="6"/>
      <c r="Q759" s="6"/>
      <c r="R759" s="6"/>
      <c r="T759" s="136" t="str">
        <f t="shared" si="210"/>
        <v/>
      </c>
      <c r="U759" s="137" t="str">
        <f t="shared" si="211"/>
        <v/>
      </c>
      <c r="V759" s="1"/>
      <c r="Y759" s="90" t="str">
        <f t="shared" si="212"/>
        <v/>
      </c>
      <c r="AC759" s="6" t="s">
        <v>4029</v>
      </c>
      <c r="AD759" s="6" t="s">
        <v>7098</v>
      </c>
      <c r="AE759" s="158">
        <v>886348</v>
      </c>
      <c r="AF759" s="159" t="s">
        <v>8368</v>
      </c>
      <c r="AG759" s="160" t="s">
        <v>2106</v>
      </c>
      <c r="AH759" s="194" t="s">
        <v>1314</v>
      </c>
      <c r="AI759" s="6" t="s">
        <v>5351</v>
      </c>
      <c r="AJ759" s="3" t="s">
        <v>8216</v>
      </c>
      <c r="AK759" t="s">
        <v>8216</v>
      </c>
      <c r="AM759" s="6" t="s">
        <v>5555</v>
      </c>
      <c r="AN759" t="s">
        <v>6569</v>
      </c>
      <c r="AV759"/>
      <c r="AX759"/>
      <c r="AZ759" t="str">
        <f t="shared" si="213"/>
        <v/>
      </c>
      <c r="BA759" t="str">
        <f t="shared" si="214"/>
        <v/>
      </c>
    </row>
    <row r="760" spans="1:53" ht="13.5">
      <c r="A760" s="135" t="str">
        <f t="shared" si="215"/>
        <v/>
      </c>
      <c r="B760" s="19" t="str">
        <f t="shared" si="216"/>
        <v/>
      </c>
      <c r="C760" s="19" t="str">
        <f t="shared" si="217"/>
        <v/>
      </c>
      <c r="D760" s="19" t="str">
        <f t="shared" si="218"/>
        <v/>
      </c>
      <c r="E760" s="5" t="str">
        <f t="shared" si="204"/>
        <v/>
      </c>
      <c r="F760" s="12" t="str">
        <f t="shared" si="205"/>
        <v/>
      </c>
      <c r="K760" s="9" t="str">
        <f t="shared" si="206"/>
        <v/>
      </c>
      <c r="L760" s="6">
        <f t="shared" si="207"/>
        <v>0</v>
      </c>
      <c r="M760" s="6">
        <f t="shared" si="208"/>
        <v>0</v>
      </c>
      <c r="N760" s="94" t="str">
        <f t="shared" si="209"/>
        <v/>
      </c>
      <c r="O760" s="6"/>
      <c r="P760" s="6"/>
      <c r="Q760" s="6"/>
      <c r="R760" s="6"/>
      <c r="T760" s="136" t="str">
        <f t="shared" si="210"/>
        <v/>
      </c>
      <c r="U760" s="137" t="str">
        <f t="shared" si="211"/>
        <v/>
      </c>
      <c r="V760" s="1"/>
      <c r="Y760" s="90" t="str">
        <f t="shared" si="212"/>
        <v/>
      </c>
      <c r="AC760" s="6" t="s">
        <v>4026</v>
      </c>
      <c r="AD760" s="6" t="s">
        <v>7098</v>
      </c>
      <c r="AE760" s="158">
        <v>886349</v>
      </c>
      <c r="AF760" s="159" t="s">
        <v>8291</v>
      </c>
      <c r="AG760" s="160" t="s">
        <v>2081</v>
      </c>
      <c r="AH760" s="194" t="s">
        <v>1314</v>
      </c>
      <c r="AI760" s="6" t="s">
        <v>5437</v>
      </c>
      <c r="AJ760" s="3" t="s">
        <v>8201</v>
      </c>
      <c r="AK760" t="s">
        <v>8666</v>
      </c>
      <c r="AM760" s="6" t="s">
        <v>5562</v>
      </c>
      <c r="AN760" t="s">
        <v>6570</v>
      </c>
      <c r="AV760"/>
      <c r="AX760"/>
      <c r="AZ760" t="str">
        <f t="shared" si="213"/>
        <v/>
      </c>
      <c r="BA760" t="str">
        <f t="shared" si="214"/>
        <v/>
      </c>
    </row>
    <row r="761" spans="1:53" ht="13.5">
      <c r="A761" s="135" t="str">
        <f t="shared" si="215"/>
        <v/>
      </c>
      <c r="B761" s="19" t="str">
        <f t="shared" si="216"/>
        <v/>
      </c>
      <c r="C761" s="19" t="str">
        <f t="shared" si="217"/>
        <v/>
      </c>
      <c r="D761" s="19" t="str">
        <f t="shared" si="218"/>
        <v/>
      </c>
      <c r="E761" s="5" t="str">
        <f t="shared" si="204"/>
        <v/>
      </c>
      <c r="F761" s="12" t="str">
        <f t="shared" si="205"/>
        <v/>
      </c>
      <c r="K761" s="9" t="str">
        <f t="shared" si="206"/>
        <v/>
      </c>
      <c r="L761" s="6">
        <f t="shared" si="207"/>
        <v>0</v>
      </c>
      <c r="M761" s="6">
        <f t="shared" si="208"/>
        <v>0</v>
      </c>
      <c r="N761" s="94" t="str">
        <f t="shared" si="209"/>
        <v/>
      </c>
      <c r="O761" s="6"/>
      <c r="P761" s="6"/>
      <c r="Q761" s="6"/>
      <c r="R761" s="6"/>
      <c r="T761" s="136" t="str">
        <f t="shared" si="210"/>
        <v/>
      </c>
      <c r="U761" s="137" t="str">
        <f t="shared" si="211"/>
        <v/>
      </c>
      <c r="V761" s="1"/>
      <c r="Y761" s="90" t="str">
        <f t="shared" si="212"/>
        <v/>
      </c>
      <c r="AC761" s="6" t="s">
        <v>5447</v>
      </c>
      <c r="AD761" s="6" t="s">
        <v>7119</v>
      </c>
      <c r="AE761" s="158">
        <v>886350</v>
      </c>
      <c r="AF761" s="159" t="s">
        <v>8315</v>
      </c>
      <c r="AG761" s="160" t="s">
        <v>2082</v>
      </c>
      <c r="AH761" s="194" t="s">
        <v>679</v>
      </c>
      <c r="AI761" s="6" t="s">
        <v>5434</v>
      </c>
      <c r="AJ761" s="3" t="s">
        <v>8228</v>
      </c>
      <c r="AK761" t="s">
        <v>8228</v>
      </c>
      <c r="AM761" s="6" t="s">
        <v>5552</v>
      </c>
      <c r="AN761" t="s">
        <v>6571</v>
      </c>
      <c r="AV761"/>
      <c r="AX761"/>
      <c r="AZ761" t="str">
        <f t="shared" si="213"/>
        <v/>
      </c>
      <c r="BA761" t="str">
        <f t="shared" si="214"/>
        <v/>
      </c>
    </row>
    <row r="762" spans="1:53" ht="13.5">
      <c r="A762" s="135" t="str">
        <f t="shared" si="215"/>
        <v/>
      </c>
      <c r="B762" s="19" t="str">
        <f t="shared" si="216"/>
        <v/>
      </c>
      <c r="C762" s="19" t="str">
        <f t="shared" si="217"/>
        <v/>
      </c>
      <c r="D762" s="19" t="str">
        <f t="shared" si="218"/>
        <v/>
      </c>
      <c r="E762" s="5" t="str">
        <f t="shared" si="204"/>
        <v/>
      </c>
      <c r="F762" s="12" t="str">
        <f t="shared" si="205"/>
        <v/>
      </c>
      <c r="K762" s="9" t="str">
        <f t="shared" si="206"/>
        <v/>
      </c>
      <c r="L762" s="6">
        <f t="shared" si="207"/>
        <v>0</v>
      </c>
      <c r="M762" s="6">
        <f t="shared" si="208"/>
        <v>0</v>
      </c>
      <c r="N762" s="94" t="str">
        <f t="shared" si="209"/>
        <v/>
      </c>
      <c r="O762" s="6"/>
      <c r="P762" s="6"/>
      <c r="Q762" s="6"/>
      <c r="R762" s="6"/>
      <c r="T762" s="136" t="str">
        <f t="shared" si="210"/>
        <v/>
      </c>
      <c r="U762" s="137" t="str">
        <f t="shared" si="211"/>
        <v/>
      </c>
      <c r="V762" s="1"/>
      <c r="Y762" s="90" t="str">
        <f t="shared" si="212"/>
        <v/>
      </c>
      <c r="AC762" s="6" t="s">
        <v>4018</v>
      </c>
      <c r="AD762" s="6" t="s">
        <v>7098</v>
      </c>
      <c r="AE762" s="158">
        <v>916423</v>
      </c>
      <c r="AF762" s="159" t="s">
        <v>8300</v>
      </c>
      <c r="AG762" s="160" t="s">
        <v>2083</v>
      </c>
      <c r="AH762" s="194" t="s">
        <v>679</v>
      </c>
      <c r="AI762" s="6" t="s">
        <v>1096</v>
      </c>
      <c r="AJ762" s="3" t="s">
        <v>8201</v>
      </c>
      <c r="AK762" t="s">
        <v>8666</v>
      </c>
      <c r="AM762" s="6" t="s">
        <v>5615</v>
      </c>
      <c r="AN762" t="s">
        <v>6572</v>
      </c>
      <c r="AV762"/>
      <c r="AX762"/>
      <c r="AZ762" t="str">
        <f t="shared" si="213"/>
        <v/>
      </c>
      <c r="BA762" t="str">
        <f t="shared" si="214"/>
        <v/>
      </c>
    </row>
    <row r="763" spans="1:53" ht="13.5">
      <c r="A763" s="135" t="str">
        <f t="shared" si="215"/>
        <v/>
      </c>
      <c r="B763" s="19" t="str">
        <f t="shared" si="216"/>
        <v/>
      </c>
      <c r="C763" s="19" t="str">
        <f t="shared" si="217"/>
        <v/>
      </c>
      <c r="D763" s="19" t="str">
        <f t="shared" si="218"/>
        <v/>
      </c>
      <c r="E763" s="5" t="str">
        <f t="shared" si="204"/>
        <v/>
      </c>
      <c r="F763" s="12" t="str">
        <f t="shared" si="205"/>
        <v/>
      </c>
      <c r="K763" s="9" t="str">
        <f t="shared" si="206"/>
        <v/>
      </c>
      <c r="L763" s="6">
        <f t="shared" si="207"/>
        <v>0</v>
      </c>
      <c r="M763" s="6">
        <f t="shared" si="208"/>
        <v>0</v>
      </c>
      <c r="N763" s="94" t="str">
        <f t="shared" si="209"/>
        <v/>
      </c>
      <c r="O763" s="6"/>
      <c r="P763" s="6"/>
      <c r="Q763" s="6"/>
      <c r="R763" s="6"/>
      <c r="T763" s="136" t="str">
        <f t="shared" si="210"/>
        <v/>
      </c>
      <c r="U763" s="137" t="str">
        <f t="shared" si="211"/>
        <v/>
      </c>
      <c r="V763" s="1"/>
      <c r="Y763" s="90" t="str">
        <f t="shared" si="212"/>
        <v/>
      </c>
      <c r="AC763" s="6" t="s">
        <v>2445</v>
      </c>
      <c r="AD763" s="6" t="s">
        <v>6897</v>
      </c>
      <c r="AE763" s="158" t="s">
        <v>4380</v>
      </c>
      <c r="AF763" s="159" t="s">
        <v>8297</v>
      </c>
      <c r="AG763" s="160" t="s">
        <v>2107</v>
      </c>
      <c r="AH763" s="194" t="s">
        <v>1314</v>
      </c>
      <c r="AI763" s="6" t="s">
        <v>1045</v>
      </c>
      <c r="AJ763" s="3" t="s">
        <v>8209</v>
      </c>
      <c r="AK763" t="s">
        <v>8209</v>
      </c>
      <c r="AM763" s="6" t="s">
        <v>490</v>
      </c>
      <c r="AN763" t="s">
        <v>6573</v>
      </c>
      <c r="AV763"/>
      <c r="AX763"/>
      <c r="AZ763" t="str">
        <f t="shared" si="213"/>
        <v/>
      </c>
      <c r="BA763" t="str">
        <f t="shared" si="214"/>
        <v/>
      </c>
    </row>
    <row r="764" spans="1:53" ht="13.5">
      <c r="A764" s="135" t="str">
        <f t="shared" si="215"/>
        <v/>
      </c>
      <c r="B764" s="19" t="str">
        <f t="shared" si="216"/>
        <v/>
      </c>
      <c r="C764" s="19" t="str">
        <f t="shared" si="217"/>
        <v/>
      </c>
      <c r="D764" s="19" t="str">
        <f t="shared" si="218"/>
        <v/>
      </c>
      <c r="E764" s="5" t="str">
        <f t="shared" si="204"/>
        <v/>
      </c>
      <c r="F764" s="12" t="str">
        <f t="shared" si="205"/>
        <v/>
      </c>
      <c r="K764" s="9" t="str">
        <f t="shared" si="206"/>
        <v/>
      </c>
      <c r="L764" s="6">
        <f t="shared" si="207"/>
        <v>0</v>
      </c>
      <c r="M764" s="6">
        <f t="shared" si="208"/>
        <v>0</v>
      </c>
      <c r="N764" s="94" t="str">
        <f t="shared" si="209"/>
        <v/>
      </c>
      <c r="O764" s="6"/>
      <c r="P764" s="6"/>
      <c r="Q764" s="6"/>
      <c r="R764" s="6"/>
      <c r="T764" s="136" t="str">
        <f t="shared" si="210"/>
        <v/>
      </c>
      <c r="U764" s="137" t="str">
        <f t="shared" si="211"/>
        <v/>
      </c>
      <c r="V764" s="1"/>
      <c r="Y764" s="90" t="str">
        <f t="shared" si="212"/>
        <v/>
      </c>
      <c r="AC764" s="6" t="s">
        <v>5812</v>
      </c>
      <c r="AD764" s="6" t="s">
        <v>7098</v>
      </c>
      <c r="AE764" s="158" t="s">
        <v>4381</v>
      </c>
      <c r="AF764" s="159" t="s">
        <v>8309</v>
      </c>
      <c r="AG764" s="160" t="s">
        <v>2108</v>
      </c>
      <c r="AH764" s="194" t="s">
        <v>679</v>
      </c>
      <c r="AI764" s="6" t="s">
        <v>5033</v>
      </c>
      <c r="AJ764" s="3" t="s">
        <v>8258</v>
      </c>
      <c r="AK764" t="s">
        <v>8258</v>
      </c>
      <c r="AM764" s="6" t="s">
        <v>5769</v>
      </c>
      <c r="AN764" t="s">
        <v>6574</v>
      </c>
      <c r="AV764"/>
      <c r="AX764"/>
      <c r="AZ764" t="str">
        <f t="shared" si="213"/>
        <v/>
      </c>
      <c r="BA764" t="str">
        <f t="shared" si="214"/>
        <v/>
      </c>
    </row>
    <row r="765" spans="1:53" ht="13.5">
      <c r="A765" s="135" t="str">
        <f t="shared" si="215"/>
        <v/>
      </c>
      <c r="B765" s="19" t="str">
        <f t="shared" si="216"/>
        <v/>
      </c>
      <c r="C765" s="19" t="str">
        <f t="shared" si="217"/>
        <v/>
      </c>
      <c r="D765" s="19" t="str">
        <f t="shared" si="218"/>
        <v/>
      </c>
      <c r="E765" s="5" t="str">
        <f t="shared" si="204"/>
        <v/>
      </c>
      <c r="F765" s="12" t="str">
        <f t="shared" si="205"/>
        <v/>
      </c>
      <c r="K765" s="9" t="str">
        <f t="shared" si="206"/>
        <v/>
      </c>
      <c r="L765" s="6">
        <f t="shared" si="207"/>
        <v>0</v>
      </c>
      <c r="M765" s="6">
        <f t="shared" si="208"/>
        <v>0</v>
      </c>
      <c r="N765" s="94" t="str">
        <f t="shared" si="209"/>
        <v/>
      </c>
      <c r="O765" s="6"/>
      <c r="P765" s="6"/>
      <c r="Q765" s="6"/>
      <c r="R765" s="6"/>
      <c r="T765" s="136" t="str">
        <f t="shared" si="210"/>
        <v/>
      </c>
      <c r="U765" s="137" t="str">
        <f t="shared" si="211"/>
        <v/>
      </c>
      <c r="V765" s="1"/>
      <c r="Y765" s="90" t="str">
        <f t="shared" si="212"/>
        <v/>
      </c>
      <c r="AC765" s="6" t="s">
        <v>4007</v>
      </c>
      <c r="AD765" s="6" t="s">
        <v>7098</v>
      </c>
      <c r="AE765" s="158" t="s">
        <v>4291</v>
      </c>
      <c r="AF765" s="159" t="s">
        <v>8296</v>
      </c>
      <c r="AG765" s="160" t="s">
        <v>2084</v>
      </c>
      <c r="AH765" s="194" t="s">
        <v>1314</v>
      </c>
      <c r="AI765" s="6" t="s">
        <v>5415</v>
      </c>
      <c r="AJ765" s="3" t="s">
        <v>8228</v>
      </c>
      <c r="AK765" t="s">
        <v>8228</v>
      </c>
      <c r="AM765" s="6" t="s">
        <v>5770</v>
      </c>
      <c r="AN765" t="s">
        <v>6575</v>
      </c>
      <c r="AV765"/>
      <c r="AX765"/>
      <c r="AZ765" t="str">
        <f t="shared" si="213"/>
        <v/>
      </c>
      <c r="BA765" t="str">
        <f t="shared" si="214"/>
        <v/>
      </c>
    </row>
    <row r="766" spans="1:53" ht="13.5">
      <c r="A766" s="135" t="str">
        <f t="shared" si="215"/>
        <v/>
      </c>
      <c r="B766" s="19" t="str">
        <f t="shared" si="216"/>
        <v/>
      </c>
      <c r="C766" s="19" t="str">
        <f t="shared" si="217"/>
        <v/>
      </c>
      <c r="D766" s="19" t="str">
        <f t="shared" si="218"/>
        <v/>
      </c>
      <c r="E766" s="5" t="str">
        <f t="shared" si="204"/>
        <v/>
      </c>
      <c r="F766" s="12" t="str">
        <f t="shared" si="205"/>
        <v/>
      </c>
      <c r="K766" s="9" t="str">
        <f t="shared" si="206"/>
        <v/>
      </c>
      <c r="L766" s="6">
        <f t="shared" si="207"/>
        <v>0</v>
      </c>
      <c r="M766" s="6">
        <f t="shared" si="208"/>
        <v>0</v>
      </c>
      <c r="N766" s="94" t="str">
        <f t="shared" si="209"/>
        <v/>
      </c>
      <c r="O766" s="6"/>
      <c r="P766" s="6"/>
      <c r="Q766" s="6"/>
      <c r="R766" s="6"/>
      <c r="T766" s="136" t="str">
        <f t="shared" si="210"/>
        <v/>
      </c>
      <c r="U766" s="137" t="str">
        <f t="shared" si="211"/>
        <v/>
      </c>
      <c r="V766" s="1"/>
      <c r="Y766" s="90" t="str">
        <f t="shared" si="212"/>
        <v/>
      </c>
      <c r="AC766" s="6" t="s">
        <v>104</v>
      </c>
      <c r="AD766" s="6" t="s">
        <v>7098</v>
      </c>
      <c r="AE766" s="158" t="s">
        <v>4292</v>
      </c>
      <c r="AF766" s="159" t="s">
        <v>8299</v>
      </c>
      <c r="AG766" s="160" t="s">
        <v>1151</v>
      </c>
      <c r="AH766" s="194" t="s">
        <v>679</v>
      </c>
      <c r="AI766" s="6" t="s">
        <v>5180</v>
      </c>
      <c r="AJ766" s="3" t="s">
        <v>8233</v>
      </c>
      <c r="AK766" t="s">
        <v>8233</v>
      </c>
      <c r="AM766" s="6" t="s">
        <v>5759</v>
      </c>
      <c r="AN766" t="s">
        <v>6576</v>
      </c>
      <c r="AV766"/>
      <c r="AX766"/>
      <c r="AZ766" t="str">
        <f t="shared" si="213"/>
        <v/>
      </c>
      <c r="BA766" t="str">
        <f t="shared" si="214"/>
        <v/>
      </c>
    </row>
    <row r="767" spans="1:53" ht="13.5">
      <c r="A767" s="135" t="str">
        <f t="shared" si="215"/>
        <v/>
      </c>
      <c r="B767" s="19" t="str">
        <f t="shared" si="216"/>
        <v/>
      </c>
      <c r="C767" s="19" t="str">
        <f t="shared" si="217"/>
        <v/>
      </c>
      <c r="D767" s="19" t="str">
        <f t="shared" si="218"/>
        <v/>
      </c>
      <c r="E767" s="5" t="str">
        <f t="shared" si="204"/>
        <v/>
      </c>
      <c r="F767" s="12" t="str">
        <f t="shared" si="205"/>
        <v/>
      </c>
      <c r="K767" s="9" t="str">
        <f t="shared" si="206"/>
        <v/>
      </c>
      <c r="L767" s="6">
        <f t="shared" si="207"/>
        <v>0</v>
      </c>
      <c r="M767" s="6">
        <f t="shared" si="208"/>
        <v>0</v>
      </c>
      <c r="N767" s="94" t="str">
        <f t="shared" si="209"/>
        <v/>
      </c>
      <c r="O767" s="6"/>
      <c r="P767" s="6"/>
      <c r="Q767" s="6"/>
      <c r="R767" s="6"/>
      <c r="T767" s="136" t="str">
        <f t="shared" si="210"/>
        <v/>
      </c>
      <c r="U767" s="137" t="str">
        <f t="shared" si="211"/>
        <v/>
      </c>
      <c r="V767" s="1"/>
      <c r="Y767" s="90" t="str">
        <f t="shared" si="212"/>
        <v/>
      </c>
      <c r="AC767" s="6" t="s">
        <v>2465</v>
      </c>
      <c r="AD767" s="6" t="s">
        <v>6897</v>
      </c>
      <c r="AE767" s="158" t="s">
        <v>4293</v>
      </c>
      <c r="AF767" s="159" t="s">
        <v>8299</v>
      </c>
      <c r="AG767" s="160" t="s">
        <v>130</v>
      </c>
      <c r="AH767" s="194" t="s">
        <v>1314</v>
      </c>
      <c r="AI767" s="6" t="s">
        <v>4435</v>
      </c>
      <c r="AJ767" s="3" t="s">
        <v>8207</v>
      </c>
      <c r="AK767" t="s">
        <v>8207</v>
      </c>
      <c r="AM767" s="6" t="s">
        <v>5773</v>
      </c>
      <c r="AN767" t="s">
        <v>6577</v>
      </c>
      <c r="AV767"/>
      <c r="AX767"/>
      <c r="AZ767" t="str">
        <f t="shared" si="213"/>
        <v/>
      </c>
      <c r="BA767" t="str">
        <f t="shared" si="214"/>
        <v/>
      </c>
    </row>
    <row r="768" spans="1:53" ht="13.5">
      <c r="A768" s="135" t="str">
        <f t="shared" si="215"/>
        <v/>
      </c>
      <c r="B768" s="19" t="str">
        <f t="shared" si="216"/>
        <v/>
      </c>
      <c r="C768" s="19" t="str">
        <f t="shared" si="217"/>
        <v/>
      </c>
      <c r="D768" s="19" t="str">
        <f t="shared" si="218"/>
        <v/>
      </c>
      <c r="E768" s="5" t="str">
        <f t="shared" si="204"/>
        <v/>
      </c>
      <c r="F768" s="12" t="str">
        <f t="shared" si="205"/>
        <v/>
      </c>
      <c r="K768" s="9" t="str">
        <f t="shared" si="206"/>
        <v/>
      </c>
      <c r="L768" s="6">
        <f t="shared" si="207"/>
        <v>0</v>
      </c>
      <c r="M768" s="6">
        <f t="shared" si="208"/>
        <v>0</v>
      </c>
      <c r="N768" s="94" t="str">
        <f t="shared" si="209"/>
        <v/>
      </c>
      <c r="O768" s="6"/>
      <c r="P768" s="6"/>
      <c r="Q768" s="6"/>
      <c r="R768" s="6"/>
      <c r="T768" s="136" t="str">
        <f t="shared" si="210"/>
        <v/>
      </c>
      <c r="U768" s="137" t="str">
        <f t="shared" si="211"/>
        <v/>
      </c>
      <c r="V768" s="1"/>
      <c r="Y768" s="90" t="str">
        <f t="shared" si="212"/>
        <v/>
      </c>
      <c r="AC768" s="6" t="s">
        <v>2455</v>
      </c>
      <c r="AD768" s="6" t="s">
        <v>6897</v>
      </c>
      <c r="AE768" s="158" t="s">
        <v>4181</v>
      </c>
      <c r="AF768" s="159" t="s">
        <v>8299</v>
      </c>
      <c r="AG768" s="161" t="s">
        <v>2085</v>
      </c>
      <c r="AH768" s="194" t="s">
        <v>679</v>
      </c>
      <c r="AI768" s="6" t="s">
        <v>5194</v>
      </c>
      <c r="AJ768" s="3" t="s">
        <v>8210</v>
      </c>
      <c r="AK768" t="s">
        <v>8210</v>
      </c>
      <c r="AM768" s="6" t="s">
        <v>5774</v>
      </c>
      <c r="AN768" t="s">
        <v>6578</v>
      </c>
      <c r="AV768"/>
      <c r="AX768"/>
      <c r="AZ768" t="str">
        <f t="shared" si="213"/>
        <v/>
      </c>
      <c r="BA768" t="str">
        <f t="shared" si="214"/>
        <v/>
      </c>
    </row>
    <row r="769" spans="1:53" ht="13.5">
      <c r="A769" s="135" t="str">
        <f t="shared" si="215"/>
        <v/>
      </c>
      <c r="B769" s="19" t="str">
        <f t="shared" si="216"/>
        <v/>
      </c>
      <c r="C769" s="19" t="str">
        <f t="shared" si="217"/>
        <v/>
      </c>
      <c r="D769" s="19" t="str">
        <f t="shared" si="218"/>
        <v/>
      </c>
      <c r="E769" s="5" t="str">
        <f t="shared" si="204"/>
        <v/>
      </c>
      <c r="F769" s="12" t="str">
        <f t="shared" si="205"/>
        <v/>
      </c>
      <c r="K769" s="9" t="str">
        <f t="shared" si="206"/>
        <v/>
      </c>
      <c r="L769" s="6">
        <f t="shared" si="207"/>
        <v>0</v>
      </c>
      <c r="M769" s="6">
        <f t="shared" si="208"/>
        <v>0</v>
      </c>
      <c r="N769" s="94" t="str">
        <f t="shared" si="209"/>
        <v/>
      </c>
      <c r="O769" s="6"/>
      <c r="P769" s="6"/>
      <c r="Q769" s="6"/>
      <c r="R769" s="6"/>
      <c r="T769" s="136" t="str">
        <f t="shared" si="210"/>
        <v/>
      </c>
      <c r="U769" s="137" t="str">
        <f t="shared" si="211"/>
        <v/>
      </c>
      <c r="V769" s="1"/>
      <c r="Y769" s="90" t="str">
        <f t="shared" si="212"/>
        <v/>
      </c>
      <c r="AC769" s="6" t="s">
        <v>2437</v>
      </c>
      <c r="AD769" s="6" t="s">
        <v>6897</v>
      </c>
      <c r="AE769" s="158" t="s">
        <v>4182</v>
      </c>
      <c r="AF769" s="159" t="s">
        <v>8299</v>
      </c>
      <c r="AG769" s="160" t="s">
        <v>2109</v>
      </c>
      <c r="AH769" s="194" t="s">
        <v>1314</v>
      </c>
      <c r="AI769" s="6" t="s">
        <v>1199</v>
      </c>
      <c r="AJ769" s="3" t="s">
        <v>8224</v>
      </c>
      <c r="AK769" t="s">
        <v>8224</v>
      </c>
      <c r="AM769" s="6" t="s">
        <v>5781</v>
      </c>
      <c r="AN769" t="s">
        <v>6579</v>
      </c>
      <c r="AV769"/>
      <c r="AX769"/>
      <c r="AZ769" t="str">
        <f t="shared" si="213"/>
        <v/>
      </c>
      <c r="BA769" t="str">
        <f t="shared" si="214"/>
        <v/>
      </c>
    </row>
    <row r="770" spans="1:53" ht="13.5">
      <c r="A770" s="135" t="str">
        <f t="shared" si="215"/>
        <v/>
      </c>
      <c r="B770" s="19" t="str">
        <f t="shared" si="216"/>
        <v/>
      </c>
      <c r="C770" s="19" t="str">
        <f t="shared" si="217"/>
        <v/>
      </c>
      <c r="D770" s="19" t="str">
        <f t="shared" si="218"/>
        <v/>
      </c>
      <c r="E770" s="5" t="str">
        <f t="shared" si="204"/>
        <v/>
      </c>
      <c r="F770" s="12" t="str">
        <f t="shared" si="205"/>
        <v/>
      </c>
      <c r="K770" s="9" t="str">
        <f t="shared" si="206"/>
        <v/>
      </c>
      <c r="L770" s="6">
        <f t="shared" si="207"/>
        <v>0</v>
      </c>
      <c r="M770" s="6">
        <f t="shared" si="208"/>
        <v>0</v>
      </c>
      <c r="N770" s="94" t="str">
        <f t="shared" si="209"/>
        <v/>
      </c>
      <c r="O770" s="6"/>
      <c r="P770" s="6"/>
      <c r="Q770" s="6"/>
      <c r="R770" s="6"/>
      <c r="T770" s="136" t="str">
        <f t="shared" si="210"/>
        <v/>
      </c>
      <c r="U770" s="137" t="str">
        <f t="shared" si="211"/>
        <v/>
      </c>
      <c r="V770" s="1"/>
      <c r="Y770" s="90" t="str">
        <f t="shared" si="212"/>
        <v/>
      </c>
      <c r="AC770" s="6" t="s">
        <v>4013</v>
      </c>
      <c r="AD770" s="6" t="s">
        <v>7098</v>
      </c>
      <c r="AE770" s="158" t="s">
        <v>4218</v>
      </c>
      <c r="AF770" s="159" t="s">
        <v>8299</v>
      </c>
      <c r="AG770" s="160" t="s">
        <v>4348</v>
      </c>
      <c r="AH770" s="194" t="s">
        <v>679</v>
      </c>
      <c r="AI770" s="6" t="s">
        <v>5521</v>
      </c>
      <c r="AJ770" s="3" t="s">
        <v>8202</v>
      </c>
      <c r="AK770" t="s">
        <v>8202</v>
      </c>
      <c r="AM770" s="6" t="s">
        <v>3146</v>
      </c>
      <c r="AN770" t="s">
        <v>6580</v>
      </c>
      <c r="AV770"/>
      <c r="AX770"/>
      <c r="AZ770" t="str">
        <f t="shared" si="213"/>
        <v/>
      </c>
      <c r="BA770" t="str">
        <f t="shared" si="214"/>
        <v/>
      </c>
    </row>
    <row r="771" spans="1:53" ht="13.5">
      <c r="A771" s="135" t="str">
        <f t="shared" si="215"/>
        <v/>
      </c>
      <c r="B771" s="19" t="str">
        <f t="shared" si="216"/>
        <v/>
      </c>
      <c r="C771" s="19" t="str">
        <f t="shared" si="217"/>
        <v/>
      </c>
      <c r="D771" s="19" t="str">
        <f t="shared" si="218"/>
        <v/>
      </c>
      <c r="E771" s="5" t="str">
        <f t="shared" si="204"/>
        <v/>
      </c>
      <c r="F771" s="12" t="str">
        <f t="shared" si="205"/>
        <v/>
      </c>
      <c r="K771" s="9" t="str">
        <f t="shared" si="206"/>
        <v/>
      </c>
      <c r="L771" s="6">
        <f t="shared" si="207"/>
        <v>0</v>
      </c>
      <c r="M771" s="6">
        <f t="shared" si="208"/>
        <v>0</v>
      </c>
      <c r="N771" s="94" t="str">
        <f t="shared" si="209"/>
        <v/>
      </c>
      <c r="O771" s="6"/>
      <c r="P771" s="6"/>
      <c r="Q771" s="6"/>
      <c r="R771" s="6"/>
      <c r="T771" s="136" t="str">
        <f t="shared" si="210"/>
        <v/>
      </c>
      <c r="U771" s="137" t="str">
        <f t="shared" si="211"/>
        <v/>
      </c>
      <c r="V771" s="1"/>
      <c r="Y771" s="90" t="str">
        <f t="shared" si="212"/>
        <v/>
      </c>
      <c r="AC771" s="6" t="s">
        <v>4009</v>
      </c>
      <c r="AD771" s="6" t="s">
        <v>7098</v>
      </c>
      <c r="AE771" s="158" t="s">
        <v>4400</v>
      </c>
      <c r="AF771" s="159" t="s">
        <v>8299</v>
      </c>
      <c r="AG771" s="160" t="s">
        <v>4349</v>
      </c>
      <c r="AH771" s="194" t="s">
        <v>1314</v>
      </c>
      <c r="AI771" s="6" t="s">
        <v>5094</v>
      </c>
      <c r="AJ771" s="3" t="s">
        <v>8216</v>
      </c>
      <c r="AK771" t="s">
        <v>8216</v>
      </c>
      <c r="AM771" s="6" t="s">
        <v>5783</v>
      </c>
      <c r="AN771" t="s">
        <v>6581</v>
      </c>
      <c r="AV771"/>
      <c r="AX771"/>
      <c r="AZ771" t="str">
        <f t="shared" si="213"/>
        <v/>
      </c>
      <c r="BA771" t="str">
        <f t="shared" si="214"/>
        <v/>
      </c>
    </row>
    <row r="772" spans="1:53" ht="13.5">
      <c r="A772" s="135" t="str">
        <f t="shared" si="215"/>
        <v/>
      </c>
      <c r="B772" s="19" t="str">
        <f t="shared" si="216"/>
        <v/>
      </c>
      <c r="C772" s="19" t="str">
        <f t="shared" si="217"/>
        <v/>
      </c>
      <c r="D772" s="19" t="str">
        <f t="shared" si="218"/>
        <v/>
      </c>
      <c r="E772" s="5" t="str">
        <f t="shared" si="204"/>
        <v/>
      </c>
      <c r="F772" s="12" t="str">
        <f t="shared" si="205"/>
        <v/>
      </c>
      <c r="K772" s="9" t="str">
        <f t="shared" si="206"/>
        <v/>
      </c>
      <c r="L772" s="6">
        <f t="shared" si="207"/>
        <v>0</v>
      </c>
      <c r="M772" s="6">
        <f t="shared" si="208"/>
        <v>0</v>
      </c>
      <c r="N772" s="94" t="str">
        <f t="shared" si="209"/>
        <v/>
      </c>
      <c r="O772" s="6"/>
      <c r="P772" s="6"/>
      <c r="Q772" s="6"/>
      <c r="R772" s="6"/>
      <c r="T772" s="136" t="str">
        <f t="shared" si="210"/>
        <v/>
      </c>
      <c r="U772" s="137" t="str">
        <f t="shared" si="211"/>
        <v/>
      </c>
      <c r="V772" s="1"/>
      <c r="Y772" s="90" t="str">
        <f t="shared" si="212"/>
        <v/>
      </c>
      <c r="AC772" s="6" t="s">
        <v>44</v>
      </c>
      <c r="AD772" s="6" t="s">
        <v>7098</v>
      </c>
      <c r="AE772" s="163" t="s">
        <v>4401</v>
      </c>
      <c r="AF772" s="159" t="s">
        <v>8299</v>
      </c>
      <c r="AG772" s="160" t="s">
        <v>4350</v>
      </c>
      <c r="AH772" s="194" t="s">
        <v>679</v>
      </c>
      <c r="AI772" s="6" t="s">
        <v>4516</v>
      </c>
      <c r="AJ772" s="3" t="s">
        <v>8216</v>
      </c>
      <c r="AK772" t="s">
        <v>8216</v>
      </c>
      <c r="AM772" s="6" t="s">
        <v>5730</v>
      </c>
      <c r="AN772" t="s">
        <v>6582</v>
      </c>
      <c r="AV772"/>
      <c r="AX772"/>
      <c r="AZ772" t="str">
        <f t="shared" si="213"/>
        <v/>
      </c>
      <c r="BA772" t="str">
        <f t="shared" si="214"/>
        <v/>
      </c>
    </row>
    <row r="773" spans="1:53" ht="13.5">
      <c r="A773" s="135" t="str">
        <f t="shared" si="215"/>
        <v/>
      </c>
      <c r="B773" s="19" t="str">
        <f t="shared" si="216"/>
        <v/>
      </c>
      <c r="C773" s="19" t="str">
        <f t="shared" si="217"/>
        <v/>
      </c>
      <c r="D773" s="19" t="str">
        <f t="shared" si="218"/>
        <v/>
      </c>
      <c r="E773" s="5" t="str">
        <f t="shared" si="204"/>
        <v/>
      </c>
      <c r="F773" s="12" t="str">
        <f t="shared" si="205"/>
        <v/>
      </c>
      <c r="K773" s="9" t="str">
        <f t="shared" si="206"/>
        <v/>
      </c>
      <c r="L773" s="6">
        <f t="shared" si="207"/>
        <v>0</v>
      </c>
      <c r="M773" s="6">
        <f t="shared" si="208"/>
        <v>0</v>
      </c>
      <c r="N773" s="94" t="str">
        <f t="shared" si="209"/>
        <v/>
      </c>
      <c r="O773" s="6"/>
      <c r="P773" s="6"/>
      <c r="Q773" s="6"/>
      <c r="R773" s="6"/>
      <c r="T773" s="136" t="str">
        <f t="shared" si="210"/>
        <v/>
      </c>
      <c r="U773" s="137" t="str">
        <f t="shared" si="211"/>
        <v/>
      </c>
      <c r="V773" s="1"/>
      <c r="Y773" s="90" t="str">
        <f t="shared" si="212"/>
        <v/>
      </c>
      <c r="AC773" s="6" t="s">
        <v>4006</v>
      </c>
      <c r="AD773" s="6" t="s">
        <v>7098</v>
      </c>
      <c r="AE773" s="158" t="s">
        <v>4402</v>
      </c>
      <c r="AF773" s="159" t="s">
        <v>8299</v>
      </c>
      <c r="AG773" s="160" t="s">
        <v>1726</v>
      </c>
      <c r="AH773" s="194" t="s">
        <v>679</v>
      </c>
      <c r="AI773" s="6" t="s">
        <v>1001</v>
      </c>
      <c r="AJ773" s="3" t="s">
        <v>8212</v>
      </c>
      <c r="AK773" t="s">
        <v>8212</v>
      </c>
      <c r="AM773" s="6" t="s">
        <v>2058</v>
      </c>
      <c r="AN773" t="s">
        <v>6583</v>
      </c>
      <c r="AV773"/>
      <c r="AX773"/>
      <c r="AZ773" t="str">
        <f t="shared" si="213"/>
        <v/>
      </c>
      <c r="BA773" t="str">
        <f t="shared" si="214"/>
        <v/>
      </c>
    </row>
    <row r="774" spans="1:53" ht="13.5">
      <c r="A774" s="135" t="str">
        <f t="shared" si="215"/>
        <v/>
      </c>
      <c r="B774" s="19" t="str">
        <f t="shared" si="216"/>
        <v/>
      </c>
      <c r="C774" s="19" t="str">
        <f t="shared" si="217"/>
        <v/>
      </c>
      <c r="D774" s="19" t="str">
        <f t="shared" si="218"/>
        <v/>
      </c>
      <c r="E774" s="5" t="str">
        <f t="shared" ref="E774:E837" si="219">IF(ISNA(VLOOKUP(I774,AI:AK,2,FALSE)),"",VLOOKUP(I774,AI:AK,2,FALSE))</f>
        <v/>
      </c>
      <c r="F774" s="12" t="str">
        <f t="shared" ref="F774:F837" si="220">IF(ISNA(VLOOKUP(I774,AI:AK,3,FALSE)),"",VLOOKUP(I774,AI:AK,3,FALSE))</f>
        <v/>
      </c>
      <c r="K774" s="9" t="str">
        <f t="shared" ref="K774:K837" si="221">IF(AND(LEFT(L774,3)&lt;&gt;"IB0",LEFT(L774,3)&lt;&gt;"ME0",LEFT(L774,3)&lt;&gt;"PS0",LEFT(L774,3)&lt;&gt;"RY0",LEFT(L774,3)&lt;&gt;"BU0",LEFT(L774,3)&lt;&gt;"IS0",LEFT(L774,3)&lt;&gt;"KA0",LEFT(L774,3)&lt;&gt;"FB0",LEFT(L774,3)&lt;&gt;"MB0",LEFT(L774,3)&lt;&gt;"LH0",LEFT(L774,3)&lt;&gt;"MU0",LEFT(L774,3)&lt;&gt;"AB0"),"",L774)</f>
        <v/>
      </c>
      <c r="L774" s="6">
        <f t="shared" ref="L774:L837" si="222">IF(ISNA(VLOOKUP(I774,$S$5:$S$900,1,FALSE)),I774,"")</f>
        <v>0</v>
      </c>
      <c r="M774" s="6">
        <f t="shared" ref="M774:M837" si="223">IF(OR(LEFT(L774,3)="IB0",LEFT(L774,3)="ME0",LEFT(L774,3)="PS0",LEFT(L774,3)="RY0",LEFT(L774,3)="BU0",LEFT(L774,3)="IS0",LEFT(L774,3)="KA0",LEFT(L774,3)="FB0",LEFT(L774,3)="MB0",LEFT(L774,3)="LH0",LEFT(L774,3)="MU0",LEFT(L774,3)="AB0",),"",L774)</f>
        <v>0</v>
      </c>
      <c r="N774" s="94" t="str">
        <f t="shared" ref="N774:N837" si="224">IF(I774="","",(IF(ISNA(VLOOKUP(M774,$AJ$4:$AK$4000,2,FALSE)),M774,VLOOKUP(M774,$AJ$4:$AK$4000,2,FALSE))))</f>
        <v/>
      </c>
      <c r="O774" s="6"/>
      <c r="P774" s="6"/>
      <c r="Q774" s="6"/>
      <c r="R774" s="6"/>
      <c r="T774" s="136" t="str">
        <f t="shared" ref="T774:T837" si="225">IF(ISNA(VLOOKUP(S774,$I$5:$I$900,1,FALSE)),IF(ISBLANK(S774),"","up"),"")</f>
        <v/>
      </c>
      <c r="U774" s="137" t="str">
        <f t="shared" ref="U774:U837" si="226">IF(T774="up",(IF(ISNA(VLOOKUP(S774,$AV$1:$AX$1200,3,FALSE)),"",VLOOKUP(S774,$AV$1:$AX$1200,3,FALSE))),"")</f>
        <v/>
      </c>
      <c r="V774" s="1"/>
      <c r="Y774" s="90" t="str">
        <f t="shared" ref="Y774:Y837" si="227">IFERROR(VLOOKUP(S774,$AV$1:$BA$1200,6,0),"")</f>
        <v/>
      </c>
      <c r="AC774" s="6" t="s">
        <v>2454</v>
      </c>
      <c r="AD774" s="6" t="s">
        <v>6897</v>
      </c>
      <c r="AE774" s="158" t="s">
        <v>4403</v>
      </c>
      <c r="AF774" s="159" t="s">
        <v>8299</v>
      </c>
      <c r="AG774" s="160" t="s">
        <v>1727</v>
      </c>
      <c r="AH774" s="194" t="s">
        <v>679</v>
      </c>
      <c r="AI774" s="6" t="s">
        <v>5344</v>
      </c>
      <c r="AJ774" s="3" t="s">
        <v>8210</v>
      </c>
      <c r="AK774" t="s">
        <v>8210</v>
      </c>
      <c r="AM774" s="6" t="s">
        <v>5756</v>
      </c>
      <c r="AN774" t="s">
        <v>6584</v>
      </c>
      <c r="AV774"/>
      <c r="AX774"/>
      <c r="AZ774" t="str">
        <f t="shared" si="213"/>
        <v/>
      </c>
      <c r="BA774" t="str">
        <f t="shared" si="214"/>
        <v/>
      </c>
    </row>
    <row r="775" spans="1:53" ht="13.5">
      <c r="A775" s="135" t="str">
        <f t="shared" si="215"/>
        <v/>
      </c>
      <c r="B775" s="19" t="str">
        <f t="shared" si="216"/>
        <v/>
      </c>
      <c r="C775" s="19" t="str">
        <f t="shared" si="217"/>
        <v/>
      </c>
      <c r="D775" s="19" t="str">
        <f t="shared" si="218"/>
        <v/>
      </c>
      <c r="E775" s="5" t="str">
        <f t="shared" si="219"/>
        <v/>
      </c>
      <c r="F775" s="12" t="str">
        <f t="shared" si="220"/>
        <v/>
      </c>
      <c r="K775" s="9" t="str">
        <f t="shared" si="221"/>
        <v/>
      </c>
      <c r="L775" s="6">
        <f t="shared" si="222"/>
        <v>0</v>
      </c>
      <c r="M775" s="6">
        <f t="shared" si="223"/>
        <v>0</v>
      </c>
      <c r="N775" s="94" t="str">
        <f t="shared" si="224"/>
        <v/>
      </c>
      <c r="O775" s="6"/>
      <c r="P775" s="6"/>
      <c r="Q775" s="6"/>
      <c r="R775" s="6"/>
      <c r="T775" s="136" t="str">
        <f t="shared" si="225"/>
        <v/>
      </c>
      <c r="U775" s="137" t="str">
        <f t="shared" si="226"/>
        <v/>
      </c>
      <c r="V775" s="1"/>
      <c r="Y775" s="90" t="str">
        <f t="shared" si="227"/>
        <v/>
      </c>
      <c r="AC775" s="6" t="s">
        <v>4014</v>
      </c>
      <c r="AD775" s="6" t="s">
        <v>7098</v>
      </c>
      <c r="AE775" s="158" t="s">
        <v>4404</v>
      </c>
      <c r="AF775" s="159" t="s">
        <v>8299</v>
      </c>
      <c r="AG775" s="160" t="s">
        <v>1728</v>
      </c>
      <c r="AH775" s="194" t="s">
        <v>679</v>
      </c>
      <c r="AI775" s="6" t="s">
        <v>5350</v>
      </c>
      <c r="AJ775" s="3" t="s">
        <v>8197</v>
      </c>
      <c r="AK775" t="s">
        <v>8197</v>
      </c>
      <c r="AM775" s="6" t="s">
        <v>5743</v>
      </c>
      <c r="AN775" t="s">
        <v>6585</v>
      </c>
      <c r="AV775"/>
      <c r="AX775"/>
      <c r="AZ775" t="str">
        <f t="shared" si="213"/>
        <v/>
      </c>
      <c r="BA775" t="str">
        <f t="shared" si="214"/>
        <v/>
      </c>
    </row>
    <row r="776" spans="1:53" ht="13.5">
      <c r="A776" s="135" t="str">
        <f t="shared" si="215"/>
        <v/>
      </c>
      <c r="B776" s="19" t="str">
        <f t="shared" si="216"/>
        <v/>
      </c>
      <c r="C776" s="19" t="str">
        <f t="shared" si="217"/>
        <v/>
      </c>
      <c r="D776" s="19" t="str">
        <f t="shared" si="218"/>
        <v/>
      </c>
      <c r="E776" s="5" t="str">
        <f t="shared" si="219"/>
        <v/>
      </c>
      <c r="F776" s="12" t="str">
        <f t="shared" si="220"/>
        <v/>
      </c>
      <c r="K776" s="9" t="str">
        <f t="shared" si="221"/>
        <v/>
      </c>
      <c r="L776" s="6">
        <f t="shared" si="222"/>
        <v>0</v>
      </c>
      <c r="M776" s="6">
        <f t="shared" si="223"/>
        <v>0</v>
      </c>
      <c r="N776" s="94" t="str">
        <f t="shared" si="224"/>
        <v/>
      </c>
      <c r="O776" s="6"/>
      <c r="P776" s="6"/>
      <c r="Q776" s="6"/>
      <c r="R776" s="6"/>
      <c r="T776" s="136" t="str">
        <f t="shared" si="225"/>
        <v/>
      </c>
      <c r="U776" s="137" t="str">
        <f t="shared" si="226"/>
        <v/>
      </c>
      <c r="V776" s="1"/>
      <c r="Y776" s="90" t="str">
        <f t="shared" si="227"/>
        <v/>
      </c>
      <c r="AC776" s="6" t="s">
        <v>4023</v>
      </c>
      <c r="AD776" s="6" t="s">
        <v>7098</v>
      </c>
      <c r="AE776" s="158" t="s">
        <v>4406</v>
      </c>
      <c r="AF776" s="159" t="s">
        <v>8299</v>
      </c>
      <c r="AG776" s="160" t="s">
        <v>1729</v>
      </c>
      <c r="AH776" s="194" t="s">
        <v>679</v>
      </c>
      <c r="AI776" s="6" t="s">
        <v>2277</v>
      </c>
      <c r="AJ776" s="3" t="s">
        <v>8258</v>
      </c>
      <c r="AK776" t="s">
        <v>8258</v>
      </c>
      <c r="AM776" s="6" t="s">
        <v>5812</v>
      </c>
      <c r="AN776" t="s">
        <v>6586</v>
      </c>
      <c r="AV776"/>
      <c r="AX776"/>
      <c r="AZ776" t="str">
        <f t="shared" si="213"/>
        <v/>
      </c>
      <c r="BA776" t="str">
        <f t="shared" si="214"/>
        <v/>
      </c>
    </row>
    <row r="777" spans="1:53" ht="13.5">
      <c r="A777" s="135" t="str">
        <f t="shared" si="215"/>
        <v/>
      </c>
      <c r="B777" s="19" t="str">
        <f t="shared" si="216"/>
        <v/>
      </c>
      <c r="C777" s="19" t="str">
        <f t="shared" si="217"/>
        <v/>
      </c>
      <c r="D777" s="19" t="str">
        <f t="shared" si="218"/>
        <v/>
      </c>
      <c r="E777" s="5" t="str">
        <f t="shared" si="219"/>
        <v/>
      </c>
      <c r="F777" s="12" t="str">
        <f t="shared" si="220"/>
        <v/>
      </c>
      <c r="K777" s="9" t="str">
        <f t="shared" si="221"/>
        <v/>
      </c>
      <c r="L777" s="6">
        <f t="shared" si="222"/>
        <v>0</v>
      </c>
      <c r="M777" s="6">
        <f t="shared" si="223"/>
        <v>0</v>
      </c>
      <c r="N777" s="94" t="str">
        <f t="shared" si="224"/>
        <v/>
      </c>
      <c r="O777" s="6"/>
      <c r="P777" s="6"/>
      <c r="Q777" s="6"/>
      <c r="R777" s="6"/>
      <c r="T777" s="136" t="str">
        <f t="shared" si="225"/>
        <v/>
      </c>
      <c r="U777" s="137" t="str">
        <f t="shared" si="226"/>
        <v/>
      </c>
      <c r="V777" s="1"/>
      <c r="Y777" s="90" t="str">
        <f t="shared" si="227"/>
        <v/>
      </c>
      <c r="AC777" s="6" t="s">
        <v>2435</v>
      </c>
      <c r="AD777" s="6" t="s">
        <v>6897</v>
      </c>
      <c r="AE777" s="158" t="s">
        <v>4407</v>
      </c>
      <c r="AF777" s="159" t="s">
        <v>8299</v>
      </c>
      <c r="AG777" s="160" t="s">
        <v>2110</v>
      </c>
      <c r="AH777" s="194" t="s">
        <v>1314</v>
      </c>
      <c r="AI777" s="6" t="s">
        <v>4495</v>
      </c>
      <c r="AJ777" s="3" t="s">
        <v>8263</v>
      </c>
      <c r="AK777" t="s">
        <v>8263</v>
      </c>
      <c r="AM777" s="6" t="s">
        <v>5801</v>
      </c>
      <c r="AN777" t="s">
        <v>6587</v>
      </c>
      <c r="AV777"/>
      <c r="AX777"/>
      <c r="AZ777" t="str">
        <f t="shared" si="213"/>
        <v/>
      </c>
      <c r="BA777" t="str">
        <f t="shared" si="214"/>
        <v/>
      </c>
    </row>
    <row r="778" spans="1:53" ht="13.5">
      <c r="A778" s="135" t="str">
        <f t="shared" si="215"/>
        <v/>
      </c>
      <c r="B778" s="19" t="str">
        <f t="shared" si="216"/>
        <v/>
      </c>
      <c r="C778" s="19" t="str">
        <f t="shared" si="217"/>
        <v/>
      </c>
      <c r="D778" s="19" t="str">
        <f t="shared" si="218"/>
        <v/>
      </c>
      <c r="E778" s="5" t="str">
        <f t="shared" si="219"/>
        <v/>
      </c>
      <c r="F778" s="12" t="str">
        <f t="shared" si="220"/>
        <v/>
      </c>
      <c r="K778" s="9" t="str">
        <f t="shared" si="221"/>
        <v/>
      </c>
      <c r="L778" s="6">
        <f t="shared" si="222"/>
        <v>0</v>
      </c>
      <c r="M778" s="6">
        <f t="shared" si="223"/>
        <v>0</v>
      </c>
      <c r="N778" s="94" t="str">
        <f t="shared" si="224"/>
        <v/>
      </c>
      <c r="O778" s="6"/>
      <c r="P778" s="6"/>
      <c r="Q778" s="6"/>
      <c r="R778" s="6"/>
      <c r="T778" s="136" t="str">
        <f t="shared" si="225"/>
        <v/>
      </c>
      <c r="U778" s="137" t="str">
        <f t="shared" si="226"/>
        <v/>
      </c>
      <c r="V778" s="1"/>
      <c r="Y778" s="90" t="str">
        <f t="shared" si="227"/>
        <v/>
      </c>
      <c r="AC778" s="6" t="s">
        <v>4027</v>
      </c>
      <c r="AD778" s="6" t="s">
        <v>7098</v>
      </c>
      <c r="AE778" s="158" t="s">
        <v>4408</v>
      </c>
      <c r="AF778" s="159" t="s">
        <v>8299</v>
      </c>
      <c r="AG778" s="160" t="s">
        <v>2111</v>
      </c>
      <c r="AH778" s="194" t="s">
        <v>679</v>
      </c>
      <c r="AI778" s="6" t="s">
        <v>4503</v>
      </c>
      <c r="AJ778" s="3" t="s">
        <v>8213</v>
      </c>
      <c r="AK778" t="s">
        <v>8213</v>
      </c>
      <c r="AM778" s="6" t="s">
        <v>5746</v>
      </c>
      <c r="AN778" t="s">
        <v>6588</v>
      </c>
      <c r="AV778"/>
      <c r="AX778"/>
      <c r="AZ778" t="str">
        <f t="shared" si="213"/>
        <v/>
      </c>
      <c r="BA778" t="str">
        <f t="shared" si="214"/>
        <v/>
      </c>
    </row>
    <row r="779" spans="1:53" ht="13.5">
      <c r="A779" s="135" t="str">
        <f t="shared" si="215"/>
        <v/>
      </c>
      <c r="B779" s="19" t="str">
        <f t="shared" si="216"/>
        <v/>
      </c>
      <c r="C779" s="19" t="str">
        <f t="shared" si="217"/>
        <v/>
      </c>
      <c r="D779" s="19" t="str">
        <f t="shared" si="218"/>
        <v/>
      </c>
      <c r="E779" s="5" t="str">
        <f t="shared" si="219"/>
        <v/>
      </c>
      <c r="F779" s="12" t="str">
        <f t="shared" si="220"/>
        <v/>
      </c>
      <c r="K779" s="9" t="str">
        <f t="shared" si="221"/>
        <v/>
      </c>
      <c r="L779" s="6">
        <f t="shared" si="222"/>
        <v>0</v>
      </c>
      <c r="M779" s="6">
        <f t="shared" si="223"/>
        <v>0</v>
      </c>
      <c r="N779" s="94" t="str">
        <f t="shared" si="224"/>
        <v/>
      </c>
      <c r="O779" s="6"/>
      <c r="P779" s="6"/>
      <c r="Q779" s="6"/>
      <c r="R779" s="6"/>
      <c r="T779" s="136" t="str">
        <f t="shared" si="225"/>
        <v/>
      </c>
      <c r="U779" s="137" t="str">
        <f t="shared" si="226"/>
        <v/>
      </c>
      <c r="V779" s="1"/>
      <c r="Y779" s="90" t="str">
        <f t="shared" si="227"/>
        <v/>
      </c>
      <c r="AC779" s="6" t="s">
        <v>3565</v>
      </c>
      <c r="AD779" s="6" t="s">
        <v>7120</v>
      </c>
      <c r="AE779" s="158" t="s">
        <v>3551</v>
      </c>
      <c r="AF779" s="159" t="s">
        <v>8299</v>
      </c>
      <c r="AG779" s="160" t="s">
        <v>2112</v>
      </c>
      <c r="AH779" s="194" t="s">
        <v>679</v>
      </c>
      <c r="AI779" s="6" t="s">
        <v>5225</v>
      </c>
      <c r="AJ779" s="3" t="s">
        <v>8216</v>
      </c>
      <c r="AK779" t="s">
        <v>8216</v>
      </c>
      <c r="AM779" s="6" t="s">
        <v>5751</v>
      </c>
      <c r="AN779" t="s">
        <v>6588</v>
      </c>
      <c r="AV779"/>
      <c r="AX779"/>
      <c r="AZ779" t="str">
        <f t="shared" si="213"/>
        <v/>
      </c>
      <c r="BA779" t="str">
        <f t="shared" si="214"/>
        <v/>
      </c>
    </row>
    <row r="780" spans="1:53" ht="13.5">
      <c r="A780" s="135" t="str">
        <f t="shared" si="215"/>
        <v/>
      </c>
      <c r="B780" s="19" t="str">
        <f t="shared" si="216"/>
        <v/>
      </c>
      <c r="C780" s="19" t="str">
        <f t="shared" si="217"/>
        <v/>
      </c>
      <c r="D780" s="19" t="str">
        <f t="shared" si="218"/>
        <v/>
      </c>
      <c r="E780" s="5" t="str">
        <f t="shared" si="219"/>
        <v/>
      </c>
      <c r="F780" s="12" t="str">
        <f t="shared" si="220"/>
        <v/>
      </c>
      <c r="K780" s="9" t="str">
        <f t="shared" si="221"/>
        <v/>
      </c>
      <c r="L780" s="6">
        <f t="shared" si="222"/>
        <v>0</v>
      </c>
      <c r="M780" s="6">
        <f t="shared" si="223"/>
        <v>0</v>
      </c>
      <c r="N780" s="94" t="str">
        <f t="shared" si="224"/>
        <v/>
      </c>
      <c r="O780" s="6"/>
      <c r="P780" s="6"/>
      <c r="Q780" s="6"/>
      <c r="R780" s="6"/>
      <c r="T780" s="136" t="str">
        <f t="shared" si="225"/>
        <v/>
      </c>
      <c r="U780" s="137" t="str">
        <f t="shared" si="226"/>
        <v/>
      </c>
      <c r="V780" s="1"/>
      <c r="Y780" s="90" t="str">
        <f t="shared" si="227"/>
        <v/>
      </c>
      <c r="AC780" s="6" t="s">
        <v>4017</v>
      </c>
      <c r="AD780" s="6" t="s">
        <v>7098</v>
      </c>
      <c r="AE780" s="158" t="s">
        <v>3552</v>
      </c>
      <c r="AF780" s="159" t="s">
        <v>8299</v>
      </c>
      <c r="AG780" s="160" t="s">
        <v>2113</v>
      </c>
      <c r="AH780" s="194" t="s">
        <v>1314</v>
      </c>
      <c r="AI780" s="6" t="s">
        <v>5555</v>
      </c>
      <c r="AJ780" s="3" t="s">
        <v>8248</v>
      </c>
      <c r="AK780" t="s">
        <v>8248</v>
      </c>
      <c r="AM780" s="6" t="s">
        <v>1007</v>
      </c>
      <c r="AN780" t="s">
        <v>6589</v>
      </c>
      <c r="AV780"/>
      <c r="AX780"/>
      <c r="AZ780" t="str">
        <f t="shared" si="213"/>
        <v/>
      </c>
      <c r="BA780" t="str">
        <f t="shared" si="214"/>
        <v/>
      </c>
    </row>
    <row r="781" spans="1:53" ht="13.5">
      <c r="A781" s="135" t="str">
        <f t="shared" si="215"/>
        <v/>
      </c>
      <c r="B781" s="19" t="str">
        <f t="shared" si="216"/>
        <v/>
      </c>
      <c r="C781" s="19" t="str">
        <f t="shared" si="217"/>
        <v/>
      </c>
      <c r="D781" s="19" t="str">
        <f t="shared" si="218"/>
        <v/>
      </c>
      <c r="E781" s="5" t="str">
        <f t="shared" si="219"/>
        <v/>
      </c>
      <c r="F781" s="12" t="str">
        <f t="shared" si="220"/>
        <v/>
      </c>
      <c r="K781" s="9" t="str">
        <f t="shared" si="221"/>
        <v/>
      </c>
      <c r="L781" s="6">
        <f t="shared" si="222"/>
        <v>0</v>
      </c>
      <c r="M781" s="6">
        <f t="shared" si="223"/>
        <v>0</v>
      </c>
      <c r="N781" s="94" t="str">
        <f t="shared" si="224"/>
        <v/>
      </c>
      <c r="O781" s="6"/>
      <c r="P781" s="6"/>
      <c r="Q781" s="6"/>
      <c r="R781" s="6"/>
      <c r="T781" s="136" t="str">
        <f t="shared" si="225"/>
        <v/>
      </c>
      <c r="U781" s="137" t="str">
        <f t="shared" si="226"/>
        <v/>
      </c>
      <c r="V781" s="1"/>
      <c r="Y781" s="90" t="str">
        <f t="shared" si="227"/>
        <v/>
      </c>
      <c r="AC781" s="6" t="s">
        <v>2464</v>
      </c>
      <c r="AD781" s="6" t="s">
        <v>6897</v>
      </c>
      <c r="AE781" s="158" t="s">
        <v>3724</v>
      </c>
      <c r="AF781" s="159" t="s">
        <v>8299</v>
      </c>
      <c r="AG781" s="160" t="s">
        <v>2114</v>
      </c>
      <c r="AH781" s="194" t="s">
        <v>4700</v>
      </c>
      <c r="AI781" s="6" t="s">
        <v>5554</v>
      </c>
      <c r="AJ781" s="3" t="s">
        <v>8248</v>
      </c>
      <c r="AK781" t="s">
        <v>8248</v>
      </c>
      <c r="AM781" s="6" t="s">
        <v>5748</v>
      </c>
      <c r="AN781" t="s">
        <v>6590</v>
      </c>
      <c r="AV781"/>
      <c r="AX781"/>
      <c r="AZ781" t="str">
        <f t="shared" si="213"/>
        <v/>
      </c>
      <c r="BA781" t="str">
        <f t="shared" si="214"/>
        <v/>
      </c>
    </row>
    <row r="782" spans="1:53" ht="13.5">
      <c r="A782" s="135" t="str">
        <f t="shared" si="215"/>
        <v/>
      </c>
      <c r="B782" s="19" t="str">
        <f t="shared" si="216"/>
        <v/>
      </c>
      <c r="C782" s="19" t="str">
        <f t="shared" si="217"/>
        <v/>
      </c>
      <c r="D782" s="19" t="str">
        <f t="shared" si="218"/>
        <v/>
      </c>
      <c r="E782" s="5" t="str">
        <f t="shared" si="219"/>
        <v/>
      </c>
      <c r="F782" s="12" t="str">
        <f t="shared" si="220"/>
        <v/>
      </c>
      <c r="K782" s="9" t="str">
        <f t="shared" si="221"/>
        <v/>
      </c>
      <c r="L782" s="6">
        <f t="shared" si="222"/>
        <v>0</v>
      </c>
      <c r="M782" s="6">
        <f t="shared" si="223"/>
        <v>0</v>
      </c>
      <c r="N782" s="94" t="str">
        <f t="shared" si="224"/>
        <v/>
      </c>
      <c r="O782" s="6"/>
      <c r="P782" s="6"/>
      <c r="Q782" s="6"/>
      <c r="R782" s="6"/>
      <c r="T782" s="136" t="str">
        <f t="shared" si="225"/>
        <v/>
      </c>
      <c r="U782" s="137" t="str">
        <f t="shared" si="226"/>
        <v/>
      </c>
      <c r="V782" s="1"/>
      <c r="Y782" s="90" t="str">
        <f t="shared" si="227"/>
        <v/>
      </c>
      <c r="AC782" s="6" t="s">
        <v>4024</v>
      </c>
      <c r="AD782" s="6" t="s">
        <v>7098</v>
      </c>
      <c r="AE782" s="158" t="s">
        <v>1684</v>
      </c>
      <c r="AF782" s="159" t="s">
        <v>8369</v>
      </c>
      <c r="AG782" s="160" t="s">
        <v>1730</v>
      </c>
      <c r="AH782" s="194" t="s">
        <v>679</v>
      </c>
      <c r="AI782" s="6" t="s">
        <v>5530</v>
      </c>
      <c r="AJ782" s="3" t="s">
        <v>8265</v>
      </c>
      <c r="AK782" t="s">
        <v>8265</v>
      </c>
      <c r="AM782" s="6" t="s">
        <v>5749</v>
      </c>
      <c r="AN782" t="s">
        <v>6591</v>
      </c>
      <c r="AV782"/>
      <c r="AX782"/>
      <c r="AZ782" t="str">
        <f t="shared" si="213"/>
        <v/>
      </c>
      <c r="BA782" t="str">
        <f t="shared" si="214"/>
        <v/>
      </c>
    </row>
    <row r="783" spans="1:53" ht="13.5">
      <c r="A783" s="135" t="str">
        <f t="shared" si="215"/>
        <v/>
      </c>
      <c r="B783" s="19" t="str">
        <f t="shared" si="216"/>
        <v/>
      </c>
      <c r="C783" s="19" t="str">
        <f t="shared" si="217"/>
        <v/>
      </c>
      <c r="D783" s="19" t="str">
        <f t="shared" si="218"/>
        <v/>
      </c>
      <c r="E783" s="5" t="str">
        <f t="shared" si="219"/>
        <v/>
      </c>
      <c r="F783" s="12" t="str">
        <f t="shared" si="220"/>
        <v/>
      </c>
      <c r="K783" s="9" t="str">
        <f t="shared" si="221"/>
        <v/>
      </c>
      <c r="L783" s="6">
        <f t="shared" si="222"/>
        <v>0</v>
      </c>
      <c r="M783" s="6">
        <f t="shared" si="223"/>
        <v>0</v>
      </c>
      <c r="N783" s="94" t="str">
        <f t="shared" si="224"/>
        <v/>
      </c>
      <c r="O783" s="6"/>
      <c r="P783" s="6"/>
      <c r="Q783" s="6"/>
      <c r="R783" s="6"/>
      <c r="T783" s="136" t="str">
        <f t="shared" si="225"/>
        <v/>
      </c>
      <c r="U783" s="137" t="str">
        <f t="shared" si="226"/>
        <v/>
      </c>
      <c r="V783" s="1"/>
      <c r="Y783" s="90" t="str">
        <f t="shared" si="227"/>
        <v/>
      </c>
      <c r="AC783" s="6" t="s">
        <v>2430</v>
      </c>
      <c r="AD783" s="6" t="s">
        <v>6897</v>
      </c>
      <c r="AE783" s="158" t="s">
        <v>1688</v>
      </c>
      <c r="AF783" s="159" t="s">
        <v>8367</v>
      </c>
      <c r="AG783" s="160" t="s">
        <v>2115</v>
      </c>
      <c r="AH783" s="194" t="s">
        <v>678</v>
      </c>
      <c r="AI783" s="6" t="s">
        <v>5162</v>
      </c>
      <c r="AJ783" s="3" t="s">
        <v>8253</v>
      </c>
      <c r="AK783" t="s">
        <v>8253</v>
      </c>
      <c r="AM783" s="6" t="s">
        <v>5813</v>
      </c>
      <c r="AN783" t="s">
        <v>6592</v>
      </c>
      <c r="AV783"/>
      <c r="AX783"/>
      <c r="AZ783" t="str">
        <f t="shared" si="213"/>
        <v/>
      </c>
      <c r="BA783" t="str">
        <f t="shared" si="214"/>
        <v/>
      </c>
    </row>
    <row r="784" spans="1:53" ht="13.5">
      <c r="A784" s="135" t="str">
        <f t="shared" si="215"/>
        <v/>
      </c>
      <c r="B784" s="19" t="str">
        <f t="shared" si="216"/>
        <v/>
      </c>
      <c r="C784" s="19" t="str">
        <f t="shared" si="217"/>
        <v/>
      </c>
      <c r="D784" s="19" t="str">
        <f t="shared" si="218"/>
        <v/>
      </c>
      <c r="E784" s="5" t="str">
        <f t="shared" si="219"/>
        <v/>
      </c>
      <c r="F784" s="12" t="str">
        <f t="shared" si="220"/>
        <v/>
      </c>
      <c r="K784" s="9" t="str">
        <f t="shared" si="221"/>
        <v/>
      </c>
      <c r="L784" s="6">
        <f t="shared" si="222"/>
        <v>0</v>
      </c>
      <c r="M784" s="6">
        <f t="shared" si="223"/>
        <v>0</v>
      </c>
      <c r="N784" s="94" t="str">
        <f t="shared" si="224"/>
        <v/>
      </c>
      <c r="O784" s="6"/>
      <c r="P784" s="6"/>
      <c r="Q784" s="6"/>
      <c r="R784" s="6"/>
      <c r="T784" s="136" t="str">
        <f t="shared" si="225"/>
        <v/>
      </c>
      <c r="U784" s="137" t="str">
        <f t="shared" si="226"/>
        <v/>
      </c>
      <c r="V784" s="1"/>
      <c r="Y784" s="90" t="str">
        <f t="shared" si="227"/>
        <v/>
      </c>
      <c r="AC784" s="6">
        <v>425705</v>
      </c>
      <c r="AD784" s="6" t="s">
        <v>7121</v>
      </c>
      <c r="AE784" s="158">
        <v>946437</v>
      </c>
      <c r="AF784" s="159" t="s">
        <v>8309</v>
      </c>
      <c r="AG784" s="160" t="s">
        <v>2116</v>
      </c>
      <c r="AH784" s="194" t="s">
        <v>679</v>
      </c>
      <c r="AI784" s="6" t="s">
        <v>1208</v>
      </c>
      <c r="AJ784" s="3" t="s">
        <v>8272</v>
      </c>
      <c r="AK784" t="s">
        <v>8272</v>
      </c>
      <c r="AM784" s="6" t="s">
        <v>5724</v>
      </c>
      <c r="AN784" t="s">
        <v>6593</v>
      </c>
      <c r="AV784"/>
      <c r="AX784"/>
      <c r="AZ784" t="str">
        <f t="shared" si="213"/>
        <v/>
      </c>
      <c r="BA784" t="str">
        <f t="shared" si="214"/>
        <v/>
      </c>
    </row>
    <row r="785" spans="1:53" ht="13.5">
      <c r="A785" s="135" t="str">
        <f t="shared" si="215"/>
        <v/>
      </c>
      <c r="B785" s="19" t="str">
        <f t="shared" si="216"/>
        <v/>
      </c>
      <c r="C785" s="19" t="str">
        <f t="shared" si="217"/>
        <v/>
      </c>
      <c r="D785" s="19" t="str">
        <f t="shared" si="218"/>
        <v/>
      </c>
      <c r="E785" s="5" t="str">
        <f t="shared" si="219"/>
        <v/>
      </c>
      <c r="F785" s="12" t="str">
        <f t="shared" si="220"/>
        <v/>
      </c>
      <c r="K785" s="9" t="str">
        <f t="shared" si="221"/>
        <v/>
      </c>
      <c r="L785" s="6">
        <f t="shared" si="222"/>
        <v>0</v>
      </c>
      <c r="M785" s="6">
        <f t="shared" si="223"/>
        <v>0</v>
      </c>
      <c r="N785" s="94" t="str">
        <f t="shared" si="224"/>
        <v/>
      </c>
      <c r="O785" s="6"/>
      <c r="P785" s="6"/>
      <c r="Q785" s="6"/>
      <c r="R785" s="6"/>
      <c r="T785" s="136" t="str">
        <f t="shared" si="225"/>
        <v/>
      </c>
      <c r="U785" s="137" t="str">
        <f t="shared" si="226"/>
        <v/>
      </c>
      <c r="V785" s="1"/>
      <c r="Y785" s="90" t="str">
        <f t="shared" si="227"/>
        <v/>
      </c>
      <c r="AC785" s="6" t="s">
        <v>4010</v>
      </c>
      <c r="AD785" s="6" t="s">
        <v>7098</v>
      </c>
      <c r="AE785" s="158" t="s">
        <v>1693</v>
      </c>
      <c r="AF785" s="159" t="s">
        <v>8370</v>
      </c>
      <c r="AG785" s="160" t="s">
        <v>2117</v>
      </c>
      <c r="AH785" s="194" t="s">
        <v>679</v>
      </c>
      <c r="AI785" s="6" t="s">
        <v>1109</v>
      </c>
      <c r="AJ785" s="3" t="s">
        <v>8272</v>
      </c>
      <c r="AK785" t="s">
        <v>8272</v>
      </c>
      <c r="AM785" s="6" t="s">
        <v>5747</v>
      </c>
      <c r="AN785" t="s">
        <v>6591</v>
      </c>
      <c r="AV785"/>
      <c r="AX785"/>
      <c r="AZ785" t="str">
        <f t="shared" si="213"/>
        <v/>
      </c>
      <c r="BA785" t="str">
        <f t="shared" si="214"/>
        <v/>
      </c>
    </row>
    <row r="786" spans="1:53" ht="13.5">
      <c r="A786" s="135" t="str">
        <f t="shared" si="215"/>
        <v/>
      </c>
      <c r="B786" s="19" t="str">
        <f t="shared" si="216"/>
        <v/>
      </c>
      <c r="C786" s="19" t="str">
        <f t="shared" si="217"/>
        <v/>
      </c>
      <c r="D786" s="19" t="str">
        <f t="shared" si="218"/>
        <v/>
      </c>
      <c r="E786" s="5" t="str">
        <f t="shared" si="219"/>
        <v/>
      </c>
      <c r="F786" s="12" t="str">
        <f t="shared" si="220"/>
        <v/>
      </c>
      <c r="K786" s="9" t="str">
        <f t="shared" si="221"/>
        <v/>
      </c>
      <c r="L786" s="6">
        <f t="shared" si="222"/>
        <v>0</v>
      </c>
      <c r="M786" s="6">
        <f t="shared" si="223"/>
        <v>0</v>
      </c>
      <c r="N786" s="94" t="str">
        <f t="shared" si="224"/>
        <v/>
      </c>
      <c r="O786" s="6"/>
      <c r="P786" s="6"/>
      <c r="Q786" s="6"/>
      <c r="R786" s="6"/>
      <c r="T786" s="136" t="str">
        <f t="shared" si="225"/>
        <v/>
      </c>
      <c r="U786" s="137" t="str">
        <f t="shared" si="226"/>
        <v/>
      </c>
      <c r="V786" s="1"/>
      <c r="Y786" s="90" t="str">
        <f t="shared" si="227"/>
        <v/>
      </c>
      <c r="AC786" s="6" t="s">
        <v>2703</v>
      </c>
      <c r="AD786" s="6" t="s">
        <v>6897</v>
      </c>
      <c r="AE786" s="158">
        <v>946438</v>
      </c>
      <c r="AF786" s="159" t="s">
        <v>8299</v>
      </c>
      <c r="AG786" s="160" t="s">
        <v>1731</v>
      </c>
      <c r="AH786" s="194" t="s">
        <v>678</v>
      </c>
      <c r="AI786" s="6" t="s">
        <v>109</v>
      </c>
      <c r="AJ786" s="3" t="s">
        <v>8269</v>
      </c>
      <c r="AK786" t="s">
        <v>8269</v>
      </c>
      <c r="AM786" s="6" t="s">
        <v>399</v>
      </c>
      <c r="AN786" t="s">
        <v>6594</v>
      </c>
      <c r="AV786"/>
      <c r="AX786"/>
      <c r="AZ786" t="str">
        <f t="shared" si="213"/>
        <v/>
      </c>
      <c r="BA786" t="str">
        <f t="shared" si="214"/>
        <v/>
      </c>
    </row>
    <row r="787" spans="1:53" ht="13.5">
      <c r="A787" s="135" t="str">
        <f t="shared" si="215"/>
        <v/>
      </c>
      <c r="B787" s="19" t="str">
        <f t="shared" si="216"/>
        <v/>
      </c>
      <c r="C787" s="19" t="str">
        <f t="shared" si="217"/>
        <v/>
      </c>
      <c r="D787" s="19" t="str">
        <f t="shared" si="218"/>
        <v/>
      </c>
      <c r="E787" s="5" t="str">
        <f t="shared" si="219"/>
        <v/>
      </c>
      <c r="F787" s="12" t="str">
        <f t="shared" si="220"/>
        <v/>
      </c>
      <c r="K787" s="9" t="str">
        <f t="shared" si="221"/>
        <v/>
      </c>
      <c r="L787" s="6">
        <f t="shared" si="222"/>
        <v>0</v>
      </c>
      <c r="M787" s="6">
        <f t="shared" si="223"/>
        <v>0</v>
      </c>
      <c r="N787" s="94" t="str">
        <f t="shared" si="224"/>
        <v/>
      </c>
      <c r="O787" s="6"/>
      <c r="P787" s="6"/>
      <c r="Q787" s="6"/>
      <c r="R787" s="6"/>
      <c r="T787" s="136" t="str">
        <f t="shared" si="225"/>
        <v/>
      </c>
      <c r="U787" s="137" t="str">
        <f t="shared" si="226"/>
        <v/>
      </c>
      <c r="V787" s="1"/>
      <c r="Y787" s="90" t="str">
        <f t="shared" si="227"/>
        <v/>
      </c>
      <c r="AC787" s="6" t="s">
        <v>4005</v>
      </c>
      <c r="AD787" s="6" t="s">
        <v>7098</v>
      </c>
      <c r="AE787" s="158" t="s">
        <v>4468</v>
      </c>
      <c r="AF787" s="159" t="s">
        <v>8300</v>
      </c>
      <c r="AG787" s="160" t="s">
        <v>1732</v>
      </c>
      <c r="AH787" s="194" t="s">
        <v>678</v>
      </c>
      <c r="AI787" s="6" t="s">
        <v>4787</v>
      </c>
      <c r="AJ787" s="3" t="s">
        <v>8213</v>
      </c>
      <c r="AK787" t="s">
        <v>8213</v>
      </c>
      <c r="AM787" s="6" t="s">
        <v>5721</v>
      </c>
      <c r="AN787" t="s">
        <v>6595</v>
      </c>
      <c r="AV787"/>
      <c r="AX787"/>
      <c r="AZ787" t="str">
        <f t="shared" si="213"/>
        <v/>
      </c>
      <c r="BA787" t="str">
        <f t="shared" si="214"/>
        <v/>
      </c>
    </row>
    <row r="788" spans="1:53" ht="13.5">
      <c r="A788" s="135" t="str">
        <f t="shared" si="215"/>
        <v/>
      </c>
      <c r="B788" s="19" t="str">
        <f t="shared" si="216"/>
        <v/>
      </c>
      <c r="C788" s="19" t="str">
        <f t="shared" si="217"/>
        <v/>
      </c>
      <c r="D788" s="19" t="str">
        <f t="shared" si="218"/>
        <v/>
      </c>
      <c r="E788" s="5" t="str">
        <f t="shared" si="219"/>
        <v/>
      </c>
      <c r="F788" s="12" t="str">
        <f t="shared" si="220"/>
        <v/>
      </c>
      <c r="K788" s="9" t="str">
        <f t="shared" si="221"/>
        <v/>
      </c>
      <c r="L788" s="6">
        <f t="shared" si="222"/>
        <v>0</v>
      </c>
      <c r="M788" s="6">
        <f t="shared" si="223"/>
        <v>0</v>
      </c>
      <c r="N788" s="94" t="str">
        <f t="shared" si="224"/>
        <v/>
      </c>
      <c r="O788" s="6"/>
      <c r="P788" s="6"/>
      <c r="Q788" s="6"/>
      <c r="R788" s="6"/>
      <c r="T788" s="136" t="str">
        <f t="shared" si="225"/>
        <v/>
      </c>
      <c r="U788" s="137" t="str">
        <f t="shared" si="226"/>
        <v/>
      </c>
      <c r="V788" s="1"/>
      <c r="Y788" s="90" t="str">
        <f t="shared" si="227"/>
        <v/>
      </c>
      <c r="AC788" s="6" t="s">
        <v>5068</v>
      </c>
      <c r="AD788" s="6" t="s">
        <v>7120</v>
      </c>
      <c r="AE788" s="158" t="s">
        <v>4028</v>
      </c>
      <c r="AF788" s="159" t="s">
        <v>8312</v>
      </c>
      <c r="AG788" s="160" t="s">
        <v>1733</v>
      </c>
      <c r="AH788" s="194" t="s">
        <v>679</v>
      </c>
      <c r="AI788" s="6" t="s">
        <v>5221</v>
      </c>
      <c r="AJ788" s="3" t="s">
        <v>8235</v>
      </c>
      <c r="AK788" t="s">
        <v>8672</v>
      </c>
      <c r="AM788" s="6" t="s">
        <v>5750</v>
      </c>
      <c r="AN788" t="s">
        <v>6591</v>
      </c>
      <c r="AV788"/>
      <c r="AX788"/>
      <c r="AZ788" t="str">
        <f t="shared" si="213"/>
        <v/>
      </c>
      <c r="BA788" t="str">
        <f t="shared" si="214"/>
        <v/>
      </c>
    </row>
    <row r="789" spans="1:53" ht="13.5">
      <c r="A789" s="135" t="str">
        <f t="shared" si="215"/>
        <v/>
      </c>
      <c r="B789" s="19" t="str">
        <f t="shared" si="216"/>
        <v/>
      </c>
      <c r="C789" s="19" t="str">
        <f t="shared" si="217"/>
        <v/>
      </c>
      <c r="D789" s="19" t="str">
        <f t="shared" si="218"/>
        <v/>
      </c>
      <c r="E789" s="5" t="str">
        <f t="shared" si="219"/>
        <v/>
      </c>
      <c r="F789" s="12" t="str">
        <f t="shared" si="220"/>
        <v/>
      </c>
      <c r="K789" s="9" t="str">
        <f t="shared" si="221"/>
        <v/>
      </c>
      <c r="L789" s="6">
        <f t="shared" si="222"/>
        <v>0</v>
      </c>
      <c r="M789" s="6">
        <f t="shared" si="223"/>
        <v>0</v>
      </c>
      <c r="N789" s="94" t="str">
        <f t="shared" si="224"/>
        <v/>
      </c>
      <c r="O789" s="6"/>
      <c r="P789" s="6"/>
      <c r="Q789" s="6"/>
      <c r="R789" s="6"/>
      <c r="T789" s="136" t="str">
        <f t="shared" si="225"/>
        <v/>
      </c>
      <c r="U789" s="137" t="str">
        <f t="shared" si="226"/>
        <v/>
      </c>
      <c r="V789" s="1"/>
      <c r="Y789" s="90" t="str">
        <f t="shared" si="227"/>
        <v/>
      </c>
      <c r="AC789" s="6" t="s">
        <v>2463</v>
      </c>
      <c r="AD789" s="6" t="s">
        <v>6897</v>
      </c>
      <c r="AE789" s="158" t="s">
        <v>1687</v>
      </c>
      <c r="AF789" s="159" t="s">
        <v>8334</v>
      </c>
      <c r="AG789" s="160" t="s">
        <v>1487</v>
      </c>
      <c r="AH789" s="194" t="s">
        <v>678</v>
      </c>
      <c r="AI789" s="6" t="s">
        <v>5163</v>
      </c>
      <c r="AJ789" s="3" t="s">
        <v>8222</v>
      </c>
      <c r="AK789" t="s">
        <v>8670</v>
      </c>
      <c r="AM789" s="6" t="s">
        <v>156</v>
      </c>
      <c r="AN789" t="s">
        <v>6596</v>
      </c>
      <c r="AV789"/>
      <c r="AX789"/>
      <c r="AZ789" t="str">
        <f t="shared" si="213"/>
        <v/>
      </c>
      <c r="BA789" t="str">
        <f t="shared" si="214"/>
        <v/>
      </c>
    </row>
    <row r="790" spans="1:53" ht="13.5">
      <c r="A790" s="135" t="str">
        <f t="shared" si="215"/>
        <v/>
      </c>
      <c r="B790" s="19" t="str">
        <f t="shared" si="216"/>
        <v/>
      </c>
      <c r="C790" s="19" t="str">
        <f t="shared" si="217"/>
        <v/>
      </c>
      <c r="D790" s="19" t="str">
        <f t="shared" si="218"/>
        <v/>
      </c>
      <c r="E790" s="5" t="str">
        <f t="shared" si="219"/>
        <v/>
      </c>
      <c r="F790" s="12" t="str">
        <f t="shared" si="220"/>
        <v/>
      </c>
      <c r="K790" s="9" t="str">
        <f t="shared" si="221"/>
        <v/>
      </c>
      <c r="L790" s="6">
        <f t="shared" si="222"/>
        <v>0</v>
      </c>
      <c r="M790" s="6">
        <f t="shared" si="223"/>
        <v>0</v>
      </c>
      <c r="N790" s="94" t="str">
        <f t="shared" si="224"/>
        <v/>
      </c>
      <c r="O790" s="6"/>
      <c r="P790" s="6"/>
      <c r="Q790" s="6"/>
      <c r="R790" s="6"/>
      <c r="T790" s="136" t="str">
        <f t="shared" si="225"/>
        <v/>
      </c>
      <c r="U790" s="137" t="str">
        <f t="shared" si="226"/>
        <v/>
      </c>
      <c r="V790" s="1"/>
      <c r="Y790" s="90" t="str">
        <f t="shared" si="227"/>
        <v/>
      </c>
      <c r="AC790" s="6" t="s">
        <v>4008</v>
      </c>
      <c r="AD790" s="6" t="s">
        <v>7098</v>
      </c>
      <c r="AE790" s="158" t="s">
        <v>1689</v>
      </c>
      <c r="AF790" s="159" t="s">
        <v>8318</v>
      </c>
      <c r="AG790" s="160" t="s">
        <v>1503</v>
      </c>
      <c r="AH790" s="194" t="s">
        <v>679</v>
      </c>
      <c r="AI790" s="6" t="s">
        <v>5159</v>
      </c>
      <c r="AJ790" s="3" t="s">
        <v>8222</v>
      </c>
      <c r="AK790" t="s">
        <v>8670</v>
      </c>
      <c r="AM790" s="6" t="s">
        <v>5814</v>
      </c>
      <c r="AN790" t="s">
        <v>6597</v>
      </c>
      <c r="AV790"/>
      <c r="AX790"/>
      <c r="AZ790" t="str">
        <f t="shared" si="213"/>
        <v/>
      </c>
      <c r="BA790" t="str">
        <f t="shared" si="214"/>
        <v/>
      </c>
    </row>
    <row r="791" spans="1:53" ht="13.5">
      <c r="A791" s="135" t="str">
        <f t="shared" si="215"/>
        <v/>
      </c>
      <c r="B791" s="19" t="str">
        <f t="shared" si="216"/>
        <v/>
      </c>
      <c r="C791" s="19" t="str">
        <f t="shared" si="217"/>
        <v/>
      </c>
      <c r="D791" s="19" t="str">
        <f t="shared" si="218"/>
        <v/>
      </c>
      <c r="E791" s="5" t="str">
        <f t="shared" si="219"/>
        <v/>
      </c>
      <c r="F791" s="12" t="str">
        <f t="shared" si="220"/>
        <v/>
      </c>
      <c r="K791" s="9" t="str">
        <f t="shared" si="221"/>
        <v/>
      </c>
      <c r="L791" s="6">
        <f t="shared" si="222"/>
        <v>0</v>
      </c>
      <c r="M791" s="6">
        <f t="shared" si="223"/>
        <v>0</v>
      </c>
      <c r="N791" s="94" t="str">
        <f t="shared" si="224"/>
        <v/>
      </c>
      <c r="O791" s="6"/>
      <c r="P791" s="6"/>
      <c r="Q791" s="6"/>
      <c r="R791" s="6"/>
      <c r="T791" s="136" t="str">
        <f t="shared" si="225"/>
        <v/>
      </c>
      <c r="U791" s="137" t="str">
        <f t="shared" si="226"/>
        <v/>
      </c>
      <c r="V791" s="1"/>
      <c r="Y791" s="90" t="str">
        <f t="shared" si="227"/>
        <v/>
      </c>
      <c r="AC791" s="6" t="s">
        <v>1680</v>
      </c>
      <c r="AD791" s="6" t="s">
        <v>7122</v>
      </c>
      <c r="AE791" s="158" t="s">
        <v>1692</v>
      </c>
      <c r="AF791" s="159" t="s">
        <v>8371</v>
      </c>
      <c r="AG791" s="160" t="s">
        <v>1504</v>
      </c>
      <c r="AH791" s="194" t="s">
        <v>679</v>
      </c>
      <c r="AI791" s="6" t="s">
        <v>5232</v>
      </c>
      <c r="AJ791" s="3" t="s">
        <v>8258</v>
      </c>
      <c r="AK791" t="s">
        <v>8258</v>
      </c>
      <c r="AV791"/>
      <c r="AX791"/>
      <c r="AZ791" t="str">
        <f t="shared" si="213"/>
        <v/>
      </c>
      <c r="BA791" t="str">
        <f t="shared" si="214"/>
        <v/>
      </c>
    </row>
    <row r="792" spans="1:53" ht="13.5">
      <c r="A792" s="135" t="str">
        <f t="shared" si="215"/>
        <v/>
      </c>
      <c r="B792" s="19" t="str">
        <f t="shared" si="216"/>
        <v/>
      </c>
      <c r="C792" s="19" t="str">
        <f t="shared" si="217"/>
        <v/>
      </c>
      <c r="D792" s="19" t="str">
        <f t="shared" si="218"/>
        <v/>
      </c>
      <c r="E792" s="5" t="str">
        <f t="shared" si="219"/>
        <v/>
      </c>
      <c r="F792" s="12" t="str">
        <f t="shared" si="220"/>
        <v/>
      </c>
      <c r="K792" s="9" t="str">
        <f t="shared" si="221"/>
        <v/>
      </c>
      <c r="L792" s="6">
        <f t="shared" si="222"/>
        <v>0</v>
      </c>
      <c r="M792" s="6">
        <f t="shared" si="223"/>
        <v>0</v>
      </c>
      <c r="N792" s="94" t="str">
        <f t="shared" si="224"/>
        <v/>
      </c>
      <c r="O792" s="6"/>
      <c r="P792" s="6"/>
      <c r="Q792" s="6"/>
      <c r="R792" s="6"/>
      <c r="T792" s="136" t="str">
        <f t="shared" si="225"/>
        <v/>
      </c>
      <c r="U792" s="137" t="str">
        <f t="shared" si="226"/>
        <v/>
      </c>
      <c r="V792" s="1"/>
      <c r="Y792" s="90" t="str">
        <f t="shared" si="227"/>
        <v/>
      </c>
      <c r="AC792" s="6" t="s">
        <v>2443</v>
      </c>
      <c r="AD792" s="6" t="s">
        <v>6897</v>
      </c>
      <c r="AE792" s="158" t="s">
        <v>1709</v>
      </c>
      <c r="AF792" s="159" t="s">
        <v>8299</v>
      </c>
      <c r="AG792" s="160" t="s">
        <v>1505</v>
      </c>
      <c r="AH792" s="194" t="s">
        <v>679</v>
      </c>
      <c r="AI792" s="6" t="s">
        <v>5559</v>
      </c>
      <c r="AJ792" s="3" t="s">
        <v>8234</v>
      </c>
      <c r="AK792" t="s">
        <v>8234</v>
      </c>
      <c r="AV792"/>
      <c r="AX792"/>
      <c r="AZ792" t="str">
        <f t="shared" si="213"/>
        <v/>
      </c>
      <c r="BA792" t="str">
        <f t="shared" si="214"/>
        <v/>
      </c>
    </row>
    <row r="793" spans="1:53" ht="13.5">
      <c r="A793" s="135" t="str">
        <f t="shared" si="215"/>
        <v/>
      </c>
      <c r="B793" s="19" t="str">
        <f t="shared" si="216"/>
        <v/>
      </c>
      <c r="C793" s="19" t="str">
        <f t="shared" si="217"/>
        <v/>
      </c>
      <c r="D793" s="19" t="str">
        <f t="shared" si="218"/>
        <v/>
      </c>
      <c r="E793" s="5" t="str">
        <f t="shared" si="219"/>
        <v/>
      </c>
      <c r="F793" s="12" t="str">
        <f t="shared" si="220"/>
        <v/>
      </c>
      <c r="K793" s="9" t="str">
        <f t="shared" si="221"/>
        <v/>
      </c>
      <c r="L793" s="6">
        <f t="shared" si="222"/>
        <v>0</v>
      </c>
      <c r="M793" s="6">
        <f t="shared" si="223"/>
        <v>0</v>
      </c>
      <c r="N793" s="94" t="str">
        <f t="shared" si="224"/>
        <v/>
      </c>
      <c r="O793" s="6"/>
      <c r="P793" s="6"/>
      <c r="Q793" s="6"/>
      <c r="R793" s="6"/>
      <c r="T793" s="136" t="str">
        <f t="shared" si="225"/>
        <v/>
      </c>
      <c r="U793" s="137" t="str">
        <f t="shared" si="226"/>
        <v/>
      </c>
      <c r="V793" s="1"/>
      <c r="Y793" s="90" t="str">
        <f t="shared" si="227"/>
        <v/>
      </c>
      <c r="AC793" s="6" t="s">
        <v>3666</v>
      </c>
      <c r="AD793" s="6" t="s">
        <v>7095</v>
      </c>
      <c r="AE793" s="158" t="s">
        <v>1710</v>
      </c>
      <c r="AF793" s="159" t="s">
        <v>8299</v>
      </c>
      <c r="AG793" s="160" t="s">
        <v>1658</v>
      </c>
      <c r="AH793" s="194" t="s">
        <v>679</v>
      </c>
      <c r="AI793" s="6" t="s">
        <v>5750</v>
      </c>
      <c r="AJ793" s="3" t="s">
        <v>8234</v>
      </c>
      <c r="AK793" t="s">
        <v>8234</v>
      </c>
      <c r="AV793"/>
      <c r="AX793"/>
      <c r="AZ793" t="str">
        <f t="shared" si="213"/>
        <v/>
      </c>
      <c r="BA793" t="str">
        <f t="shared" si="214"/>
        <v/>
      </c>
    </row>
    <row r="794" spans="1:53" ht="13.5">
      <c r="A794" s="135" t="str">
        <f t="shared" si="215"/>
        <v/>
      </c>
      <c r="B794" s="19" t="str">
        <f t="shared" si="216"/>
        <v/>
      </c>
      <c r="C794" s="19" t="str">
        <f t="shared" si="217"/>
        <v/>
      </c>
      <c r="D794" s="19" t="str">
        <f t="shared" si="218"/>
        <v/>
      </c>
      <c r="E794" s="5" t="str">
        <f t="shared" si="219"/>
        <v/>
      </c>
      <c r="F794" s="12" t="str">
        <f t="shared" si="220"/>
        <v/>
      </c>
      <c r="K794" s="9" t="str">
        <f t="shared" si="221"/>
        <v/>
      </c>
      <c r="L794" s="6">
        <f t="shared" si="222"/>
        <v>0</v>
      </c>
      <c r="M794" s="6">
        <f t="shared" si="223"/>
        <v>0</v>
      </c>
      <c r="N794" s="94" t="str">
        <f t="shared" si="224"/>
        <v/>
      </c>
      <c r="O794" s="6"/>
      <c r="P794" s="6"/>
      <c r="Q794" s="6"/>
      <c r="R794" s="6"/>
      <c r="T794" s="136" t="str">
        <f t="shared" si="225"/>
        <v/>
      </c>
      <c r="U794" s="137" t="str">
        <f t="shared" si="226"/>
        <v/>
      </c>
      <c r="V794" s="1"/>
      <c r="Y794" s="90" t="str">
        <f t="shared" si="227"/>
        <v/>
      </c>
      <c r="AC794" s="6" t="s">
        <v>4011</v>
      </c>
      <c r="AD794" s="6" t="s">
        <v>7098</v>
      </c>
      <c r="AE794" s="158" t="s">
        <v>1688</v>
      </c>
      <c r="AF794" s="159" t="s">
        <v>8299</v>
      </c>
      <c r="AG794" s="160" t="s">
        <v>2118</v>
      </c>
      <c r="AH794" s="194" t="s">
        <v>1314</v>
      </c>
      <c r="AI794" s="6" t="s">
        <v>5751</v>
      </c>
      <c r="AJ794" s="3" t="s">
        <v>8234</v>
      </c>
      <c r="AK794" t="s">
        <v>8234</v>
      </c>
      <c r="AV794"/>
      <c r="AX794"/>
      <c r="AZ794" t="str">
        <f t="shared" si="213"/>
        <v/>
      </c>
      <c r="BA794" t="str">
        <f t="shared" si="214"/>
        <v/>
      </c>
    </row>
    <row r="795" spans="1:53" ht="13.5">
      <c r="A795" s="135" t="str">
        <f t="shared" si="215"/>
        <v/>
      </c>
      <c r="B795" s="19" t="str">
        <f t="shared" si="216"/>
        <v/>
      </c>
      <c r="C795" s="19" t="str">
        <f t="shared" si="217"/>
        <v/>
      </c>
      <c r="D795" s="19" t="str">
        <f t="shared" si="218"/>
        <v/>
      </c>
      <c r="E795" s="5" t="str">
        <f t="shared" si="219"/>
        <v/>
      </c>
      <c r="F795" s="12" t="str">
        <f t="shared" si="220"/>
        <v/>
      </c>
      <c r="K795" s="9" t="str">
        <f t="shared" si="221"/>
        <v/>
      </c>
      <c r="L795" s="6">
        <f t="shared" si="222"/>
        <v>0</v>
      </c>
      <c r="M795" s="6">
        <f t="shared" si="223"/>
        <v>0</v>
      </c>
      <c r="N795" s="94" t="str">
        <f t="shared" si="224"/>
        <v/>
      </c>
      <c r="O795" s="6"/>
      <c r="P795" s="6"/>
      <c r="Q795" s="6"/>
      <c r="R795" s="6"/>
      <c r="T795" s="136" t="str">
        <f t="shared" si="225"/>
        <v/>
      </c>
      <c r="U795" s="137" t="str">
        <f t="shared" si="226"/>
        <v/>
      </c>
      <c r="V795" s="1"/>
      <c r="Y795" s="90" t="str">
        <f t="shared" si="227"/>
        <v/>
      </c>
      <c r="AC795" s="6">
        <v>115593</v>
      </c>
      <c r="AD795" s="6" t="s">
        <v>7072</v>
      </c>
      <c r="AE795" s="158" t="s">
        <v>1712</v>
      </c>
      <c r="AF795" s="159" t="s">
        <v>8299</v>
      </c>
      <c r="AG795" s="160" t="s">
        <v>2119</v>
      </c>
      <c r="AH795" s="194" t="s">
        <v>1314</v>
      </c>
      <c r="AI795" s="6" t="s">
        <v>5253</v>
      </c>
      <c r="AJ795" s="3" t="s">
        <v>8235</v>
      </c>
      <c r="AK795" t="s">
        <v>8672</v>
      </c>
      <c r="AV795"/>
      <c r="AX795"/>
      <c r="AZ795" t="str">
        <f t="shared" ref="AZ795:AZ858" si="228">IF(ISBLANK(AW795),"",CONCATENATE("(",RIGHT(AW795,5),"-",TEXT(AX795,"h:mm;@"),")"))</f>
        <v/>
      </c>
      <c r="BA795" t="str">
        <f t="shared" ref="BA795:BA858" si="229">IF(AV811=AV795,"",CONCATENATE(IF(AV810=AV795,BA810,""),IF(AV809=AV795,BA809,""),IF(AV808=AV795,BA808,""),IF(AV807=AV795,BA807,""),IF(AV806=AV795,BA806,""),IF(AV805=AV795,BA805,""),IF(AV804=AV795,BA804,""),IF(AV803=AV795,BA803,""),IF(AV802=AV795,BA802,""),IF(AV801=AV795,BA801,""),IF(AV800=AV795,BA800,""),IF(AV799=AV795,BA799,""),IF(AV798=AV795,BA798,""),IF(AV797=AV795,BA797,""),IF(AV796=AV795,BA796,""),IF(AV794=AV795,BA794,""),BA795))</f>
        <v/>
      </c>
    </row>
    <row r="796" spans="1:53" ht="13.5">
      <c r="A796" s="135" t="str">
        <f t="shared" si="215"/>
        <v/>
      </c>
      <c r="B796" s="19" t="str">
        <f t="shared" si="216"/>
        <v/>
      </c>
      <c r="C796" s="19" t="str">
        <f t="shared" si="217"/>
        <v/>
      </c>
      <c r="D796" s="19" t="str">
        <f t="shared" si="218"/>
        <v/>
      </c>
      <c r="E796" s="5" t="str">
        <f t="shared" si="219"/>
        <v/>
      </c>
      <c r="F796" s="12" t="str">
        <f t="shared" si="220"/>
        <v/>
      </c>
      <c r="K796" s="9" t="str">
        <f t="shared" si="221"/>
        <v/>
      </c>
      <c r="L796" s="6">
        <f t="shared" si="222"/>
        <v>0</v>
      </c>
      <c r="M796" s="6">
        <f t="shared" si="223"/>
        <v>0</v>
      </c>
      <c r="N796" s="94" t="str">
        <f t="shared" si="224"/>
        <v/>
      </c>
      <c r="O796" s="6"/>
      <c r="P796" s="6"/>
      <c r="Q796" s="6"/>
      <c r="R796" s="6"/>
      <c r="T796" s="136" t="str">
        <f t="shared" si="225"/>
        <v/>
      </c>
      <c r="U796" s="137" t="str">
        <f t="shared" si="226"/>
        <v/>
      </c>
      <c r="V796" s="1"/>
      <c r="Y796" s="90" t="str">
        <f t="shared" si="227"/>
        <v/>
      </c>
      <c r="AC796" s="6" t="s">
        <v>4247</v>
      </c>
      <c r="AD796" s="6" t="s">
        <v>7123</v>
      </c>
      <c r="AE796" s="158" t="s">
        <v>1695</v>
      </c>
      <c r="AF796" s="159" t="s">
        <v>8299</v>
      </c>
      <c r="AG796" s="160" t="s">
        <v>4351</v>
      </c>
      <c r="AH796" s="194" t="s">
        <v>1314</v>
      </c>
      <c r="AI796" s="6" t="s">
        <v>6734</v>
      </c>
      <c r="AJ796" s="3" t="s">
        <v>8221</v>
      </c>
      <c r="AK796" t="s">
        <v>8669</v>
      </c>
      <c r="AV796"/>
      <c r="AX796"/>
      <c r="AZ796" t="str">
        <f t="shared" si="228"/>
        <v/>
      </c>
      <c r="BA796" t="str">
        <f t="shared" si="229"/>
        <v/>
      </c>
    </row>
    <row r="797" spans="1:53" ht="13.5">
      <c r="A797" s="135" t="str">
        <f t="shared" si="215"/>
        <v/>
      </c>
      <c r="B797" s="19" t="str">
        <f t="shared" si="216"/>
        <v/>
      </c>
      <c r="C797" s="19" t="str">
        <f t="shared" si="217"/>
        <v/>
      </c>
      <c r="D797" s="19" t="str">
        <f t="shared" si="218"/>
        <v/>
      </c>
      <c r="E797" s="5" t="str">
        <f t="shared" si="219"/>
        <v/>
      </c>
      <c r="F797" s="12" t="str">
        <f t="shared" si="220"/>
        <v/>
      </c>
      <c r="K797" s="9" t="str">
        <f t="shared" si="221"/>
        <v/>
      </c>
      <c r="L797" s="6">
        <f t="shared" si="222"/>
        <v>0</v>
      </c>
      <c r="M797" s="6">
        <f t="shared" si="223"/>
        <v>0</v>
      </c>
      <c r="N797" s="94" t="str">
        <f t="shared" si="224"/>
        <v/>
      </c>
      <c r="O797" s="6"/>
      <c r="P797" s="6"/>
      <c r="Q797" s="6"/>
      <c r="R797" s="6"/>
      <c r="T797" s="136" t="str">
        <f t="shared" si="225"/>
        <v/>
      </c>
      <c r="U797" s="137" t="str">
        <f t="shared" si="226"/>
        <v/>
      </c>
      <c r="V797" s="1"/>
      <c r="Y797" s="90" t="str">
        <f t="shared" si="227"/>
        <v/>
      </c>
      <c r="AC797" s="6" t="s">
        <v>2441</v>
      </c>
      <c r="AD797" s="6" t="s">
        <v>6897</v>
      </c>
      <c r="AE797" s="158" t="s">
        <v>1693</v>
      </c>
      <c r="AF797" s="159" t="s">
        <v>8299</v>
      </c>
      <c r="AG797" s="160" t="s">
        <v>4352</v>
      </c>
      <c r="AH797" s="194" t="s">
        <v>1314</v>
      </c>
      <c r="AI797" s="6">
        <v>35327</v>
      </c>
      <c r="AJ797" s="3" t="s">
        <v>8194</v>
      </c>
      <c r="AK797" t="s">
        <v>8194</v>
      </c>
      <c r="AV797"/>
      <c r="AX797"/>
      <c r="AZ797" t="str">
        <f t="shared" si="228"/>
        <v/>
      </c>
      <c r="BA797" t="str">
        <f t="shared" si="229"/>
        <v/>
      </c>
    </row>
    <row r="798" spans="1:53" ht="13.5">
      <c r="A798" s="135" t="str">
        <f t="shared" si="215"/>
        <v/>
      </c>
      <c r="B798" s="19" t="str">
        <f t="shared" si="216"/>
        <v/>
      </c>
      <c r="C798" s="19" t="str">
        <f t="shared" si="217"/>
        <v/>
      </c>
      <c r="D798" s="19" t="str">
        <f t="shared" si="218"/>
        <v/>
      </c>
      <c r="E798" s="5" t="str">
        <f t="shared" si="219"/>
        <v/>
      </c>
      <c r="F798" s="12" t="str">
        <f t="shared" si="220"/>
        <v/>
      </c>
      <c r="K798" s="9" t="str">
        <f t="shared" si="221"/>
        <v/>
      </c>
      <c r="L798" s="6">
        <f t="shared" si="222"/>
        <v>0</v>
      </c>
      <c r="M798" s="6">
        <f t="shared" si="223"/>
        <v>0</v>
      </c>
      <c r="N798" s="94" t="str">
        <f t="shared" si="224"/>
        <v/>
      </c>
      <c r="O798" s="6"/>
      <c r="P798" s="6"/>
      <c r="Q798" s="6"/>
      <c r="R798" s="6"/>
      <c r="T798" s="136" t="str">
        <f t="shared" si="225"/>
        <v/>
      </c>
      <c r="U798" s="137" t="str">
        <f t="shared" si="226"/>
        <v/>
      </c>
      <c r="V798" s="1"/>
      <c r="Y798" s="90" t="str">
        <f t="shared" si="227"/>
        <v/>
      </c>
      <c r="AC798" s="6" t="s">
        <v>2452</v>
      </c>
      <c r="AD798" s="6" t="s">
        <v>6897</v>
      </c>
      <c r="AE798" s="158" t="s">
        <v>1691</v>
      </c>
      <c r="AF798" s="159" t="s">
        <v>8299</v>
      </c>
      <c r="AG798" s="160" t="s">
        <v>4353</v>
      </c>
      <c r="AH798" s="194" t="s">
        <v>1314</v>
      </c>
      <c r="AI798" s="6" t="s">
        <v>5187</v>
      </c>
      <c r="AJ798" s="3" t="s">
        <v>8227</v>
      </c>
      <c r="AK798" t="s">
        <v>8227</v>
      </c>
      <c r="AV798"/>
      <c r="AX798"/>
      <c r="AZ798" t="str">
        <f t="shared" si="228"/>
        <v/>
      </c>
      <c r="BA798" t="str">
        <f t="shared" si="229"/>
        <v/>
      </c>
    </row>
    <row r="799" spans="1:53" ht="13.5">
      <c r="A799" s="135" t="str">
        <f t="shared" si="215"/>
        <v/>
      </c>
      <c r="B799" s="19" t="str">
        <f t="shared" si="216"/>
        <v/>
      </c>
      <c r="C799" s="19" t="str">
        <f t="shared" si="217"/>
        <v/>
      </c>
      <c r="D799" s="19" t="str">
        <f t="shared" si="218"/>
        <v/>
      </c>
      <c r="E799" s="5" t="str">
        <f t="shared" si="219"/>
        <v/>
      </c>
      <c r="F799" s="12" t="str">
        <f t="shared" si="220"/>
        <v/>
      </c>
      <c r="K799" s="9" t="str">
        <f t="shared" si="221"/>
        <v/>
      </c>
      <c r="L799" s="6">
        <f t="shared" si="222"/>
        <v>0</v>
      </c>
      <c r="M799" s="6">
        <f t="shared" si="223"/>
        <v>0</v>
      </c>
      <c r="N799" s="94" t="str">
        <f t="shared" si="224"/>
        <v/>
      </c>
      <c r="O799" s="6"/>
      <c r="P799" s="6"/>
      <c r="Q799" s="6"/>
      <c r="R799" s="6"/>
      <c r="T799" s="136" t="str">
        <f t="shared" si="225"/>
        <v/>
      </c>
      <c r="U799" s="137" t="str">
        <f t="shared" si="226"/>
        <v/>
      </c>
      <c r="V799" s="1"/>
      <c r="Y799" s="90" t="str">
        <f t="shared" si="227"/>
        <v/>
      </c>
      <c r="AC799" s="6" t="s">
        <v>4022</v>
      </c>
      <c r="AD799" s="6" t="s">
        <v>7098</v>
      </c>
      <c r="AE799" s="158" t="s">
        <v>1708</v>
      </c>
      <c r="AF799" s="159" t="s">
        <v>8299</v>
      </c>
      <c r="AG799" s="160" t="s">
        <v>4354</v>
      </c>
      <c r="AH799" s="194" t="s">
        <v>1314</v>
      </c>
      <c r="AI799" s="6" t="s">
        <v>5553</v>
      </c>
      <c r="AJ799" s="3" t="s">
        <v>8194</v>
      </c>
      <c r="AK799" t="s">
        <v>8194</v>
      </c>
      <c r="AV799"/>
      <c r="AX799"/>
      <c r="AZ799" t="str">
        <f t="shared" si="228"/>
        <v/>
      </c>
      <c r="BA799" t="str">
        <f t="shared" si="229"/>
        <v/>
      </c>
    </row>
    <row r="800" spans="1:53" ht="13.5">
      <c r="A800" s="135" t="str">
        <f t="shared" si="215"/>
        <v/>
      </c>
      <c r="B800" s="19" t="str">
        <f t="shared" si="216"/>
        <v/>
      </c>
      <c r="C800" s="19" t="str">
        <f t="shared" si="217"/>
        <v/>
      </c>
      <c r="D800" s="19" t="str">
        <f t="shared" si="218"/>
        <v/>
      </c>
      <c r="E800" s="5" t="str">
        <f t="shared" si="219"/>
        <v/>
      </c>
      <c r="F800" s="12" t="str">
        <f t="shared" si="220"/>
        <v/>
      </c>
      <c r="K800" s="9" t="str">
        <f t="shared" si="221"/>
        <v/>
      </c>
      <c r="L800" s="6">
        <f t="shared" si="222"/>
        <v>0</v>
      </c>
      <c r="M800" s="6">
        <f t="shared" si="223"/>
        <v>0</v>
      </c>
      <c r="N800" s="94" t="str">
        <f t="shared" si="224"/>
        <v/>
      </c>
      <c r="O800" s="6"/>
      <c r="P800" s="6"/>
      <c r="Q800" s="6"/>
      <c r="R800" s="6"/>
      <c r="T800" s="136" t="str">
        <f t="shared" si="225"/>
        <v/>
      </c>
      <c r="U800" s="137" t="str">
        <f t="shared" si="226"/>
        <v/>
      </c>
      <c r="V800" s="1"/>
      <c r="Y800" s="90" t="str">
        <f t="shared" si="227"/>
        <v/>
      </c>
      <c r="AC800" s="6" t="s">
        <v>2453</v>
      </c>
      <c r="AD800" s="6" t="s">
        <v>6897</v>
      </c>
      <c r="AE800" s="158" t="s">
        <v>1683</v>
      </c>
      <c r="AF800" s="159" t="s">
        <v>8299</v>
      </c>
      <c r="AG800" s="160" t="s">
        <v>4355</v>
      </c>
      <c r="AH800" s="194" t="s">
        <v>1314</v>
      </c>
      <c r="AI800" s="6" t="s">
        <v>2058</v>
      </c>
      <c r="AJ800" s="3" t="s">
        <v>8238</v>
      </c>
      <c r="AK800" t="s">
        <v>8673</v>
      </c>
      <c r="AV800"/>
      <c r="AX800"/>
      <c r="AZ800" t="str">
        <f t="shared" si="228"/>
        <v/>
      </c>
      <c r="BA800" t="str">
        <f t="shared" si="229"/>
        <v/>
      </c>
    </row>
    <row r="801" spans="1:53" ht="13.5">
      <c r="A801" s="135" t="str">
        <f t="shared" si="215"/>
        <v/>
      </c>
      <c r="B801" s="19" t="str">
        <f t="shared" si="216"/>
        <v/>
      </c>
      <c r="C801" s="19" t="str">
        <f t="shared" si="217"/>
        <v/>
      </c>
      <c r="D801" s="19" t="str">
        <f t="shared" si="218"/>
        <v/>
      </c>
      <c r="E801" s="5" t="str">
        <f t="shared" si="219"/>
        <v/>
      </c>
      <c r="F801" s="12" t="str">
        <f t="shared" si="220"/>
        <v/>
      </c>
      <c r="K801" s="9" t="str">
        <f t="shared" si="221"/>
        <v/>
      </c>
      <c r="L801" s="6">
        <f t="shared" si="222"/>
        <v>0</v>
      </c>
      <c r="M801" s="6">
        <f t="shared" si="223"/>
        <v>0</v>
      </c>
      <c r="N801" s="94" t="str">
        <f t="shared" si="224"/>
        <v/>
      </c>
      <c r="O801" s="6"/>
      <c r="P801" s="6"/>
      <c r="Q801" s="6"/>
      <c r="R801" s="6"/>
      <c r="T801" s="136" t="str">
        <f t="shared" si="225"/>
        <v/>
      </c>
      <c r="U801" s="137" t="str">
        <f t="shared" si="226"/>
        <v/>
      </c>
      <c r="V801" s="1"/>
      <c r="Y801" s="90" t="str">
        <f t="shared" si="227"/>
        <v/>
      </c>
      <c r="AC801" s="6" t="s">
        <v>5227</v>
      </c>
      <c r="AD801" s="6" t="s">
        <v>7098</v>
      </c>
      <c r="AE801" s="158" t="s">
        <v>1689</v>
      </c>
      <c r="AF801" s="159" t="s">
        <v>8299</v>
      </c>
      <c r="AG801" s="160" t="s">
        <v>4356</v>
      </c>
      <c r="AH801" s="194" t="s">
        <v>1314</v>
      </c>
      <c r="AI801" s="6" t="s">
        <v>4774</v>
      </c>
      <c r="AJ801" s="3" t="s">
        <v>8238</v>
      </c>
      <c r="AK801" t="s">
        <v>8673</v>
      </c>
      <c r="AV801"/>
      <c r="AX801"/>
      <c r="AZ801" t="str">
        <f t="shared" si="228"/>
        <v/>
      </c>
      <c r="BA801" t="str">
        <f t="shared" si="229"/>
        <v/>
      </c>
    </row>
    <row r="802" spans="1:53" ht="13.5">
      <c r="A802" s="135" t="str">
        <f t="shared" si="215"/>
        <v/>
      </c>
      <c r="B802" s="19" t="str">
        <f t="shared" si="216"/>
        <v/>
      </c>
      <c r="C802" s="19" t="str">
        <f t="shared" si="217"/>
        <v/>
      </c>
      <c r="D802" s="19" t="str">
        <f t="shared" si="218"/>
        <v/>
      </c>
      <c r="E802" s="5" t="str">
        <f t="shared" si="219"/>
        <v/>
      </c>
      <c r="F802" s="12" t="str">
        <f t="shared" si="220"/>
        <v/>
      </c>
      <c r="K802" s="9" t="str">
        <f t="shared" si="221"/>
        <v/>
      </c>
      <c r="L802" s="6">
        <f t="shared" si="222"/>
        <v>0</v>
      </c>
      <c r="M802" s="6">
        <f t="shared" si="223"/>
        <v>0</v>
      </c>
      <c r="N802" s="94" t="str">
        <f t="shared" si="224"/>
        <v/>
      </c>
      <c r="O802" s="6"/>
      <c r="P802" s="6"/>
      <c r="Q802" s="6"/>
      <c r="R802" s="6"/>
      <c r="T802" s="136" t="str">
        <f t="shared" si="225"/>
        <v/>
      </c>
      <c r="U802" s="137" t="str">
        <f t="shared" si="226"/>
        <v/>
      </c>
      <c r="V802" s="1"/>
      <c r="Y802" s="90" t="str">
        <f t="shared" si="227"/>
        <v/>
      </c>
      <c r="AC802" s="6" t="s">
        <v>4019</v>
      </c>
      <c r="AD802" s="6" t="s">
        <v>7098</v>
      </c>
      <c r="AE802" s="158" t="s">
        <v>1692</v>
      </c>
      <c r="AF802" s="159" t="s">
        <v>8299</v>
      </c>
      <c r="AG802" s="160" t="s">
        <v>4357</v>
      </c>
      <c r="AH802" s="194" t="s">
        <v>679</v>
      </c>
      <c r="AI802" s="6" t="s">
        <v>5160</v>
      </c>
      <c r="AJ802" s="3" t="s">
        <v>8238</v>
      </c>
      <c r="AK802" t="s">
        <v>8673</v>
      </c>
      <c r="AV802"/>
      <c r="AX802"/>
      <c r="AZ802" t="str">
        <f t="shared" si="228"/>
        <v/>
      </c>
      <c r="BA802" t="str">
        <f t="shared" si="229"/>
        <v/>
      </c>
    </row>
    <row r="803" spans="1:53" ht="13.5">
      <c r="A803" s="135" t="str">
        <f t="shared" si="215"/>
        <v/>
      </c>
      <c r="B803" s="19" t="str">
        <f t="shared" si="216"/>
        <v/>
      </c>
      <c r="C803" s="19" t="str">
        <f t="shared" si="217"/>
        <v/>
      </c>
      <c r="D803" s="19" t="str">
        <f t="shared" si="218"/>
        <v/>
      </c>
      <c r="E803" s="5" t="str">
        <f t="shared" si="219"/>
        <v/>
      </c>
      <c r="F803" s="12" t="str">
        <f t="shared" si="220"/>
        <v/>
      </c>
      <c r="K803" s="9" t="str">
        <f t="shared" si="221"/>
        <v/>
      </c>
      <c r="L803" s="6">
        <f t="shared" si="222"/>
        <v>0</v>
      </c>
      <c r="M803" s="6">
        <f t="shared" si="223"/>
        <v>0</v>
      </c>
      <c r="N803" s="94" t="str">
        <f t="shared" si="224"/>
        <v/>
      </c>
      <c r="O803" s="6"/>
      <c r="P803" s="6"/>
      <c r="Q803" s="6"/>
      <c r="R803" s="6"/>
      <c r="T803" s="136" t="str">
        <f t="shared" si="225"/>
        <v/>
      </c>
      <c r="U803" s="137" t="str">
        <f t="shared" si="226"/>
        <v/>
      </c>
      <c r="V803" s="1"/>
      <c r="Y803" s="90" t="str">
        <f t="shared" si="227"/>
        <v/>
      </c>
      <c r="AC803" s="6" t="s">
        <v>3598</v>
      </c>
      <c r="AD803" s="6" t="s">
        <v>7124</v>
      </c>
      <c r="AE803" s="158" t="s">
        <v>1690</v>
      </c>
      <c r="AF803" s="159" t="s">
        <v>8299</v>
      </c>
      <c r="AG803" s="160" t="s">
        <v>4358</v>
      </c>
      <c r="AH803" s="194" t="s">
        <v>679</v>
      </c>
      <c r="AI803" s="6" t="s">
        <v>1015</v>
      </c>
      <c r="AJ803" s="3" t="s">
        <v>8273</v>
      </c>
      <c r="AK803" t="s">
        <v>8273</v>
      </c>
      <c r="AV803"/>
      <c r="AX803"/>
      <c r="AZ803" t="str">
        <f t="shared" si="228"/>
        <v/>
      </c>
      <c r="BA803" t="str">
        <f t="shared" si="229"/>
        <v/>
      </c>
    </row>
    <row r="804" spans="1:53" ht="13.5">
      <c r="A804" s="135" t="str">
        <f t="shared" si="215"/>
        <v/>
      </c>
      <c r="B804" s="19" t="str">
        <f t="shared" si="216"/>
        <v/>
      </c>
      <c r="C804" s="19" t="str">
        <f t="shared" si="217"/>
        <v/>
      </c>
      <c r="D804" s="19" t="str">
        <f t="shared" si="218"/>
        <v/>
      </c>
      <c r="E804" s="5" t="str">
        <f t="shared" si="219"/>
        <v/>
      </c>
      <c r="F804" s="12" t="str">
        <f t="shared" si="220"/>
        <v/>
      </c>
      <c r="K804" s="9" t="str">
        <f t="shared" si="221"/>
        <v/>
      </c>
      <c r="L804" s="6">
        <f t="shared" si="222"/>
        <v>0</v>
      </c>
      <c r="M804" s="6">
        <f t="shared" si="223"/>
        <v>0</v>
      </c>
      <c r="N804" s="94" t="str">
        <f t="shared" si="224"/>
        <v/>
      </c>
      <c r="O804" s="6"/>
      <c r="P804" s="6"/>
      <c r="Q804" s="6"/>
      <c r="R804" s="6"/>
      <c r="T804" s="136" t="str">
        <f t="shared" si="225"/>
        <v/>
      </c>
      <c r="U804" s="137" t="str">
        <f t="shared" si="226"/>
        <v/>
      </c>
      <c r="V804" s="1"/>
      <c r="Y804" s="90" t="str">
        <f t="shared" si="227"/>
        <v/>
      </c>
      <c r="AC804" s="6" t="s">
        <v>1208</v>
      </c>
      <c r="AD804" s="6" t="s">
        <v>7098</v>
      </c>
      <c r="AE804" s="158" t="s">
        <v>1204</v>
      </c>
      <c r="AF804" s="159" t="s">
        <v>8300</v>
      </c>
      <c r="AG804" s="160" t="s">
        <v>4359</v>
      </c>
      <c r="AH804" s="194" t="s">
        <v>1314</v>
      </c>
      <c r="AI804" s="6" t="s">
        <v>715</v>
      </c>
      <c r="AJ804" s="3" t="s">
        <v>8263</v>
      </c>
      <c r="AK804" t="s">
        <v>8263</v>
      </c>
      <c r="AV804"/>
      <c r="AX804"/>
      <c r="AZ804" t="str">
        <f t="shared" si="228"/>
        <v/>
      </c>
      <c r="BA804" t="str">
        <f t="shared" si="229"/>
        <v/>
      </c>
    </row>
    <row r="805" spans="1:53" ht="13.5">
      <c r="A805" s="135" t="str">
        <f t="shared" si="215"/>
        <v/>
      </c>
      <c r="B805" s="19" t="str">
        <f t="shared" si="216"/>
        <v/>
      </c>
      <c r="C805" s="19" t="str">
        <f t="shared" si="217"/>
        <v/>
      </c>
      <c r="D805" s="19" t="str">
        <f t="shared" si="218"/>
        <v/>
      </c>
      <c r="E805" s="5" t="str">
        <f t="shared" si="219"/>
        <v/>
      </c>
      <c r="F805" s="12" t="str">
        <f t="shared" si="220"/>
        <v/>
      </c>
      <c r="K805" s="9" t="str">
        <f t="shared" si="221"/>
        <v/>
      </c>
      <c r="L805" s="6">
        <f t="shared" si="222"/>
        <v>0</v>
      </c>
      <c r="M805" s="6">
        <f t="shared" si="223"/>
        <v>0</v>
      </c>
      <c r="N805" s="94" t="str">
        <f t="shared" si="224"/>
        <v/>
      </c>
      <c r="O805" s="6"/>
      <c r="P805" s="6"/>
      <c r="Q805" s="6"/>
      <c r="R805" s="6"/>
      <c r="T805" s="136" t="str">
        <f t="shared" si="225"/>
        <v/>
      </c>
      <c r="U805" s="137" t="str">
        <f t="shared" si="226"/>
        <v/>
      </c>
      <c r="V805" s="1"/>
      <c r="Y805" s="90" t="str">
        <f t="shared" si="227"/>
        <v/>
      </c>
      <c r="AC805" s="6" t="s">
        <v>4021</v>
      </c>
      <c r="AD805" s="6" t="s">
        <v>7098</v>
      </c>
      <c r="AE805" s="158" t="s">
        <v>5526</v>
      </c>
      <c r="AF805" s="159" t="s">
        <v>8299</v>
      </c>
      <c r="AG805" s="160" t="s">
        <v>2268</v>
      </c>
      <c r="AH805" s="194" t="s">
        <v>679</v>
      </c>
      <c r="AI805" s="6" t="s">
        <v>1260</v>
      </c>
      <c r="AJ805" s="3" t="s">
        <v>8222</v>
      </c>
      <c r="AK805" t="s">
        <v>8670</v>
      </c>
      <c r="AV805"/>
      <c r="AX805"/>
      <c r="AZ805" t="str">
        <f t="shared" si="228"/>
        <v/>
      </c>
      <c r="BA805" t="str">
        <f t="shared" si="229"/>
        <v/>
      </c>
    </row>
    <row r="806" spans="1:53" ht="13.5">
      <c r="A806" s="135" t="str">
        <f t="shared" si="215"/>
        <v/>
      </c>
      <c r="B806" s="19" t="str">
        <f t="shared" si="216"/>
        <v/>
      </c>
      <c r="C806" s="19" t="str">
        <f t="shared" si="217"/>
        <v/>
      </c>
      <c r="D806" s="19" t="str">
        <f t="shared" si="218"/>
        <v/>
      </c>
      <c r="E806" s="5" t="str">
        <f t="shared" si="219"/>
        <v/>
      </c>
      <c r="F806" s="12" t="str">
        <f t="shared" si="220"/>
        <v/>
      </c>
      <c r="K806" s="9" t="str">
        <f t="shared" si="221"/>
        <v/>
      </c>
      <c r="L806" s="6">
        <f t="shared" si="222"/>
        <v>0</v>
      </c>
      <c r="M806" s="6">
        <f t="shared" si="223"/>
        <v>0</v>
      </c>
      <c r="N806" s="94" t="str">
        <f t="shared" si="224"/>
        <v/>
      </c>
      <c r="O806" s="6"/>
      <c r="P806" s="6"/>
      <c r="Q806" s="6"/>
      <c r="R806" s="6"/>
      <c r="T806" s="136" t="str">
        <f t="shared" si="225"/>
        <v/>
      </c>
      <c r="U806" s="137" t="str">
        <f t="shared" si="226"/>
        <v/>
      </c>
      <c r="V806" s="1"/>
      <c r="Y806" s="90" t="str">
        <f t="shared" si="227"/>
        <v/>
      </c>
      <c r="AC806" s="6" t="s">
        <v>2433</v>
      </c>
      <c r="AD806" s="6" t="s">
        <v>6897</v>
      </c>
      <c r="AE806" s="158" t="s">
        <v>1199</v>
      </c>
      <c r="AF806" s="159" t="s">
        <v>8299</v>
      </c>
      <c r="AG806" s="160" t="s">
        <v>2267</v>
      </c>
      <c r="AH806" s="194" t="s">
        <v>679</v>
      </c>
      <c r="AI806" s="6" t="s">
        <v>5249</v>
      </c>
      <c r="AJ806" s="3" t="s">
        <v>8217</v>
      </c>
      <c r="AK806" t="s">
        <v>8668</v>
      </c>
      <c r="AV806"/>
      <c r="AX806"/>
      <c r="AZ806" t="str">
        <f t="shared" si="228"/>
        <v/>
      </c>
      <c r="BA806" t="str">
        <f t="shared" si="229"/>
        <v/>
      </c>
    </row>
    <row r="807" spans="1:53" ht="13.5">
      <c r="A807" s="135" t="str">
        <f t="shared" si="215"/>
        <v/>
      </c>
      <c r="B807" s="19" t="str">
        <f t="shared" si="216"/>
        <v/>
      </c>
      <c r="C807" s="19" t="str">
        <f t="shared" si="217"/>
        <v/>
      </c>
      <c r="D807" s="19" t="str">
        <f t="shared" si="218"/>
        <v/>
      </c>
      <c r="E807" s="5" t="str">
        <f t="shared" si="219"/>
        <v/>
      </c>
      <c r="F807" s="12" t="str">
        <f t="shared" si="220"/>
        <v/>
      </c>
      <c r="K807" s="9" t="str">
        <f t="shared" si="221"/>
        <v/>
      </c>
      <c r="L807" s="6">
        <f t="shared" si="222"/>
        <v>0</v>
      </c>
      <c r="M807" s="6">
        <f t="shared" si="223"/>
        <v>0</v>
      </c>
      <c r="N807" s="94" t="str">
        <f t="shared" si="224"/>
        <v/>
      </c>
      <c r="O807" s="6"/>
      <c r="P807" s="6"/>
      <c r="Q807" s="6"/>
      <c r="R807" s="6"/>
      <c r="T807" s="136" t="str">
        <f t="shared" si="225"/>
        <v/>
      </c>
      <c r="U807" s="137" t="str">
        <f t="shared" si="226"/>
        <v/>
      </c>
      <c r="V807" s="1"/>
      <c r="Y807" s="90" t="str">
        <f t="shared" si="227"/>
        <v/>
      </c>
      <c r="AC807" s="6" t="s">
        <v>5061</v>
      </c>
      <c r="AD807" s="6" t="s">
        <v>7111</v>
      </c>
      <c r="AE807" s="158" t="s">
        <v>1198</v>
      </c>
      <c r="AF807" s="159" t="s">
        <v>8299</v>
      </c>
      <c r="AG807" s="160" t="s">
        <v>2273</v>
      </c>
      <c r="AH807" s="194" t="s">
        <v>679</v>
      </c>
      <c r="AI807" s="6" t="s">
        <v>5252</v>
      </c>
      <c r="AJ807" s="3" t="s">
        <v>8258</v>
      </c>
      <c r="AK807" t="s">
        <v>8258</v>
      </c>
      <c r="AV807"/>
      <c r="AX807"/>
      <c r="AZ807" t="str">
        <f t="shared" si="228"/>
        <v/>
      </c>
      <c r="BA807" t="str">
        <f t="shared" si="229"/>
        <v/>
      </c>
    </row>
    <row r="808" spans="1:53" ht="13.5">
      <c r="A808" s="135" t="str">
        <f t="shared" ref="A808:A871" si="230">IF(ISNA(VLOOKUP(I808,AC:AD,2,FALSE)),"",VLOOKUP(I808,AC:AD,2,FALSE))</f>
        <v/>
      </c>
      <c r="B808" s="19" t="str">
        <f t="shared" ref="B808:B871" si="231">IF(ISNA(VLOOKUP(I808,AE:AF,2,FALSE)),"",VLOOKUP(I808,AE:AF,2,FALSE))</f>
        <v/>
      </c>
      <c r="C808" s="19" t="str">
        <f t="shared" ref="C808:C871" si="232">IF(ISNA(VLOOKUP(I808,AM:AN,2,FALSE)),"",VLOOKUP(I808,AM:AN,2,FALSE))</f>
        <v/>
      </c>
      <c r="D808" s="19" t="str">
        <f t="shared" ref="D808:D871" si="233">IF(ISNA(VLOOKUP(I808,AG:AH,2,FALSE)),"",VLOOKUP(I808,AG:AH,2,FALSE))</f>
        <v/>
      </c>
      <c r="E808" s="5" t="str">
        <f t="shared" si="219"/>
        <v/>
      </c>
      <c r="F808" s="12" t="str">
        <f t="shared" si="220"/>
        <v/>
      </c>
      <c r="K808" s="9" t="str">
        <f t="shared" si="221"/>
        <v/>
      </c>
      <c r="L808" s="6">
        <f t="shared" si="222"/>
        <v>0</v>
      </c>
      <c r="M808" s="6">
        <f t="shared" si="223"/>
        <v>0</v>
      </c>
      <c r="N808" s="94" t="str">
        <f t="shared" si="224"/>
        <v/>
      </c>
      <c r="O808" s="6"/>
      <c r="P808" s="6"/>
      <c r="Q808" s="6"/>
      <c r="R808" s="6"/>
      <c r="T808" s="136" t="str">
        <f t="shared" si="225"/>
        <v/>
      </c>
      <c r="U808" s="137" t="str">
        <f t="shared" si="226"/>
        <v/>
      </c>
      <c r="V808" s="1"/>
      <c r="Y808" s="90" t="str">
        <f t="shared" si="227"/>
        <v/>
      </c>
      <c r="AC808" s="6">
        <v>916422</v>
      </c>
      <c r="AD808" s="6" t="s">
        <v>7125</v>
      </c>
      <c r="AE808" s="158" t="s">
        <v>5227</v>
      </c>
      <c r="AF808" s="159" t="s">
        <v>8300</v>
      </c>
      <c r="AG808" s="160" t="s">
        <v>2274</v>
      </c>
      <c r="AH808" s="194" t="s">
        <v>1314</v>
      </c>
      <c r="AI808" s="6" t="s">
        <v>5239</v>
      </c>
      <c r="AJ808" s="3" t="s">
        <v>8261</v>
      </c>
      <c r="AK808" t="s">
        <v>8261</v>
      </c>
      <c r="AV808"/>
      <c r="AX808"/>
      <c r="AZ808" t="str">
        <f t="shared" si="228"/>
        <v/>
      </c>
      <c r="BA808" t="str">
        <f t="shared" si="229"/>
        <v/>
      </c>
    </row>
    <row r="809" spans="1:53" ht="13.5">
      <c r="A809" s="135" t="str">
        <f t="shared" si="230"/>
        <v/>
      </c>
      <c r="B809" s="19" t="str">
        <f t="shared" si="231"/>
        <v/>
      </c>
      <c r="C809" s="19" t="str">
        <f t="shared" si="232"/>
        <v/>
      </c>
      <c r="D809" s="19" t="str">
        <f t="shared" si="233"/>
        <v/>
      </c>
      <c r="E809" s="5" t="str">
        <f t="shared" si="219"/>
        <v/>
      </c>
      <c r="F809" s="12" t="str">
        <f t="shared" si="220"/>
        <v/>
      </c>
      <c r="K809" s="9" t="str">
        <f t="shared" si="221"/>
        <v/>
      </c>
      <c r="L809" s="6">
        <f t="shared" si="222"/>
        <v>0</v>
      </c>
      <c r="M809" s="6">
        <f t="shared" si="223"/>
        <v>0</v>
      </c>
      <c r="N809" s="94" t="str">
        <f t="shared" si="224"/>
        <v/>
      </c>
      <c r="O809" s="6"/>
      <c r="P809" s="6"/>
      <c r="Q809" s="6"/>
      <c r="R809" s="6"/>
      <c r="T809" s="136" t="str">
        <f t="shared" si="225"/>
        <v/>
      </c>
      <c r="U809" s="137" t="str">
        <f t="shared" si="226"/>
        <v/>
      </c>
      <c r="V809" s="1"/>
      <c r="Y809" s="90" t="str">
        <f t="shared" si="227"/>
        <v/>
      </c>
      <c r="AC809" s="6" t="s">
        <v>3599</v>
      </c>
      <c r="AD809" s="6" t="s">
        <v>7124</v>
      </c>
      <c r="AE809" s="158" t="s">
        <v>3660</v>
      </c>
      <c r="AF809" s="159" t="s">
        <v>8299</v>
      </c>
      <c r="AG809" s="160" t="s">
        <v>2120</v>
      </c>
      <c r="AH809" s="194" t="s">
        <v>1314</v>
      </c>
      <c r="AI809" s="6" t="s">
        <v>2263</v>
      </c>
      <c r="AJ809" s="3" t="s">
        <v>8248</v>
      </c>
      <c r="AK809" t="s">
        <v>8248</v>
      </c>
      <c r="AV809"/>
      <c r="AX809"/>
      <c r="AZ809" t="str">
        <f t="shared" si="228"/>
        <v/>
      </c>
      <c r="BA809" t="str">
        <f t="shared" si="229"/>
        <v/>
      </c>
    </row>
    <row r="810" spans="1:53" ht="13.5">
      <c r="A810" s="135" t="str">
        <f t="shared" si="230"/>
        <v/>
      </c>
      <c r="B810" s="19" t="str">
        <f t="shared" si="231"/>
        <v/>
      </c>
      <c r="C810" s="19" t="str">
        <f t="shared" si="232"/>
        <v/>
      </c>
      <c r="D810" s="19" t="str">
        <f t="shared" si="233"/>
        <v/>
      </c>
      <c r="E810" s="5" t="str">
        <f t="shared" si="219"/>
        <v/>
      </c>
      <c r="F810" s="12" t="str">
        <f t="shared" si="220"/>
        <v/>
      </c>
      <c r="K810" s="9" t="str">
        <f t="shared" si="221"/>
        <v/>
      </c>
      <c r="L810" s="6">
        <f t="shared" si="222"/>
        <v>0</v>
      </c>
      <c r="M810" s="6">
        <f t="shared" si="223"/>
        <v>0</v>
      </c>
      <c r="N810" s="94" t="str">
        <f t="shared" si="224"/>
        <v/>
      </c>
      <c r="O810" s="6"/>
      <c r="P810" s="6"/>
      <c r="Q810" s="6"/>
      <c r="R810" s="6"/>
      <c r="T810" s="136" t="str">
        <f t="shared" si="225"/>
        <v/>
      </c>
      <c r="U810" s="137" t="str">
        <f t="shared" si="226"/>
        <v/>
      </c>
      <c r="V810" s="1"/>
      <c r="Y810" s="90" t="str">
        <f t="shared" si="227"/>
        <v/>
      </c>
      <c r="AC810" s="6" t="s">
        <v>2444</v>
      </c>
      <c r="AD810" s="6" t="s">
        <v>6897</v>
      </c>
      <c r="AE810" s="158" t="s">
        <v>3661</v>
      </c>
      <c r="AF810" s="159" t="s">
        <v>8299</v>
      </c>
      <c r="AG810" s="160" t="s">
        <v>2121</v>
      </c>
      <c r="AH810" s="194" t="s">
        <v>679</v>
      </c>
      <c r="AI810" s="6" t="s">
        <v>5150</v>
      </c>
      <c r="AJ810" s="3" t="s">
        <v>8249</v>
      </c>
      <c r="AK810" t="s">
        <v>8249</v>
      </c>
      <c r="AV810"/>
      <c r="AX810"/>
      <c r="AZ810" t="str">
        <f t="shared" si="228"/>
        <v/>
      </c>
      <c r="BA810" t="str">
        <f t="shared" si="229"/>
        <v/>
      </c>
    </row>
    <row r="811" spans="1:53" ht="13.5">
      <c r="A811" s="135" t="str">
        <f t="shared" si="230"/>
        <v/>
      </c>
      <c r="B811" s="19" t="str">
        <f t="shared" si="231"/>
        <v/>
      </c>
      <c r="C811" s="19" t="str">
        <f t="shared" si="232"/>
        <v/>
      </c>
      <c r="D811" s="19" t="str">
        <f t="shared" si="233"/>
        <v/>
      </c>
      <c r="E811" s="5" t="str">
        <f t="shared" si="219"/>
        <v/>
      </c>
      <c r="F811" s="12" t="str">
        <f t="shared" si="220"/>
        <v/>
      </c>
      <c r="K811" s="9" t="str">
        <f t="shared" si="221"/>
        <v/>
      </c>
      <c r="L811" s="6">
        <f t="shared" si="222"/>
        <v>0</v>
      </c>
      <c r="M811" s="6">
        <f t="shared" si="223"/>
        <v>0</v>
      </c>
      <c r="N811" s="94" t="str">
        <f t="shared" si="224"/>
        <v/>
      </c>
      <c r="O811" s="6"/>
      <c r="P811" s="6"/>
      <c r="Q811" s="6"/>
      <c r="R811" s="6"/>
      <c r="T811" s="136" t="str">
        <f t="shared" si="225"/>
        <v/>
      </c>
      <c r="U811" s="137" t="str">
        <f t="shared" si="226"/>
        <v/>
      </c>
      <c r="V811" s="1"/>
      <c r="Y811" s="90" t="str">
        <f t="shared" si="227"/>
        <v/>
      </c>
      <c r="AC811" s="6" t="s">
        <v>5035</v>
      </c>
      <c r="AD811" s="6" t="s">
        <v>7126</v>
      </c>
      <c r="AE811" s="158" t="s">
        <v>3662</v>
      </c>
      <c r="AF811" s="159" t="s">
        <v>8299</v>
      </c>
      <c r="AG811" s="160" t="s">
        <v>2122</v>
      </c>
      <c r="AH811" s="194" t="s">
        <v>679</v>
      </c>
      <c r="AI811" s="6" t="s">
        <v>948</v>
      </c>
      <c r="AJ811" s="3" t="s">
        <v>8234</v>
      </c>
      <c r="AK811" t="s">
        <v>8234</v>
      </c>
      <c r="AV811"/>
      <c r="AX811"/>
      <c r="AZ811" t="str">
        <f t="shared" si="228"/>
        <v/>
      </c>
      <c r="BA811" t="str">
        <f t="shared" si="229"/>
        <v/>
      </c>
    </row>
    <row r="812" spans="1:53" ht="13.5">
      <c r="A812" s="135" t="str">
        <f t="shared" si="230"/>
        <v/>
      </c>
      <c r="B812" s="19" t="str">
        <f t="shared" si="231"/>
        <v/>
      </c>
      <c r="C812" s="19" t="str">
        <f t="shared" si="232"/>
        <v/>
      </c>
      <c r="D812" s="19" t="str">
        <f t="shared" si="233"/>
        <v/>
      </c>
      <c r="E812" s="5" t="str">
        <f t="shared" si="219"/>
        <v/>
      </c>
      <c r="F812" s="12" t="str">
        <f t="shared" si="220"/>
        <v/>
      </c>
      <c r="K812" s="9" t="str">
        <f t="shared" si="221"/>
        <v/>
      </c>
      <c r="L812" s="6">
        <f t="shared" si="222"/>
        <v>0</v>
      </c>
      <c r="M812" s="6">
        <f t="shared" si="223"/>
        <v>0</v>
      </c>
      <c r="N812" s="94" t="str">
        <f t="shared" si="224"/>
        <v/>
      </c>
      <c r="O812" s="6"/>
      <c r="P812" s="6"/>
      <c r="Q812" s="6"/>
      <c r="R812" s="6"/>
      <c r="T812" s="136" t="str">
        <f t="shared" si="225"/>
        <v/>
      </c>
      <c r="U812" s="137" t="str">
        <f t="shared" si="226"/>
        <v/>
      </c>
      <c r="V812" s="1"/>
      <c r="Y812" s="90" t="str">
        <f t="shared" si="227"/>
        <v/>
      </c>
      <c r="AC812" s="6">
        <v>936430</v>
      </c>
      <c r="AD812" s="6" t="s">
        <v>7049</v>
      </c>
      <c r="AE812" s="158" t="s">
        <v>3926</v>
      </c>
      <c r="AF812" s="159" t="s">
        <v>8299</v>
      </c>
      <c r="AG812" s="160" t="s">
        <v>2123</v>
      </c>
      <c r="AH812" s="194" t="s">
        <v>1314</v>
      </c>
      <c r="AI812" s="6" t="s">
        <v>1118</v>
      </c>
      <c r="AJ812" s="3" t="s">
        <v>8215</v>
      </c>
      <c r="AK812" t="s">
        <v>8215</v>
      </c>
      <c r="AV812"/>
      <c r="AX812"/>
      <c r="AZ812" t="str">
        <f t="shared" si="228"/>
        <v/>
      </c>
      <c r="BA812" t="str">
        <f t="shared" si="229"/>
        <v/>
      </c>
    </row>
    <row r="813" spans="1:53" ht="13.5">
      <c r="A813" s="135" t="str">
        <f t="shared" si="230"/>
        <v/>
      </c>
      <c r="B813" s="19" t="str">
        <f t="shared" si="231"/>
        <v/>
      </c>
      <c r="C813" s="19" t="str">
        <f t="shared" si="232"/>
        <v/>
      </c>
      <c r="D813" s="19" t="str">
        <f t="shared" si="233"/>
        <v/>
      </c>
      <c r="E813" s="5" t="str">
        <f t="shared" si="219"/>
        <v/>
      </c>
      <c r="F813" s="12" t="str">
        <f t="shared" si="220"/>
        <v/>
      </c>
      <c r="K813" s="9" t="str">
        <f t="shared" si="221"/>
        <v/>
      </c>
      <c r="L813" s="6">
        <f t="shared" si="222"/>
        <v>0</v>
      </c>
      <c r="M813" s="6">
        <f t="shared" si="223"/>
        <v>0</v>
      </c>
      <c r="N813" s="94" t="str">
        <f t="shared" si="224"/>
        <v/>
      </c>
      <c r="O813" s="6"/>
      <c r="P813" s="6"/>
      <c r="Q813" s="6"/>
      <c r="R813" s="6"/>
      <c r="T813" s="136" t="str">
        <f t="shared" si="225"/>
        <v/>
      </c>
      <c r="U813" s="137" t="str">
        <f t="shared" si="226"/>
        <v/>
      </c>
      <c r="V813" s="1"/>
      <c r="Y813" s="90" t="str">
        <f t="shared" si="227"/>
        <v/>
      </c>
      <c r="AC813" s="6" t="s">
        <v>4003</v>
      </c>
      <c r="AD813" s="6" t="s">
        <v>7098</v>
      </c>
      <c r="AE813" s="158" t="s">
        <v>3927</v>
      </c>
      <c r="AF813" s="159" t="s">
        <v>8320</v>
      </c>
      <c r="AG813" s="160" t="s">
        <v>2124</v>
      </c>
      <c r="AH813" s="194" t="s">
        <v>679</v>
      </c>
      <c r="AI813" s="6" t="s">
        <v>5568</v>
      </c>
      <c r="AJ813" s="3" t="s">
        <v>8213</v>
      </c>
      <c r="AK813" t="s">
        <v>8213</v>
      </c>
      <c r="AV813"/>
      <c r="AX813"/>
      <c r="AZ813" t="str">
        <f t="shared" si="228"/>
        <v/>
      </c>
      <c r="BA813" t="str">
        <f t="shared" si="229"/>
        <v/>
      </c>
    </row>
    <row r="814" spans="1:53" ht="13.5">
      <c r="A814" s="135" t="str">
        <f t="shared" si="230"/>
        <v/>
      </c>
      <c r="B814" s="19" t="str">
        <f t="shared" si="231"/>
        <v/>
      </c>
      <c r="C814" s="19" t="str">
        <f t="shared" si="232"/>
        <v/>
      </c>
      <c r="D814" s="19" t="str">
        <f t="shared" si="233"/>
        <v/>
      </c>
      <c r="E814" s="5" t="str">
        <f t="shared" si="219"/>
        <v/>
      </c>
      <c r="F814" s="12" t="str">
        <f t="shared" si="220"/>
        <v/>
      </c>
      <c r="K814" s="9" t="str">
        <f t="shared" si="221"/>
        <v/>
      </c>
      <c r="L814" s="6">
        <f t="shared" si="222"/>
        <v>0</v>
      </c>
      <c r="M814" s="6">
        <f t="shared" si="223"/>
        <v>0</v>
      </c>
      <c r="N814" s="94" t="str">
        <f t="shared" si="224"/>
        <v/>
      </c>
      <c r="O814" s="6"/>
      <c r="P814" s="6"/>
      <c r="Q814" s="6"/>
      <c r="R814" s="6"/>
      <c r="T814" s="136" t="str">
        <f t="shared" si="225"/>
        <v/>
      </c>
      <c r="U814" s="137" t="str">
        <f t="shared" si="226"/>
        <v/>
      </c>
      <c r="V814" s="1"/>
      <c r="Y814" s="90" t="str">
        <f t="shared" si="227"/>
        <v/>
      </c>
      <c r="AC814" s="6" t="s">
        <v>4227</v>
      </c>
      <c r="AD814" s="6" t="s">
        <v>7127</v>
      </c>
      <c r="AE814" s="158" t="s">
        <v>3928</v>
      </c>
      <c r="AF814" s="159" t="s">
        <v>8297</v>
      </c>
      <c r="AG814" s="160" t="s">
        <v>2125</v>
      </c>
      <c r="AH814" s="194" t="s">
        <v>679</v>
      </c>
      <c r="AI814" s="6" t="s">
        <v>5376</v>
      </c>
      <c r="AJ814" s="3" t="s">
        <v>8222</v>
      </c>
      <c r="AK814" t="s">
        <v>8670</v>
      </c>
      <c r="AV814"/>
      <c r="AX814"/>
      <c r="AZ814" t="str">
        <f t="shared" si="228"/>
        <v/>
      </c>
      <c r="BA814" t="str">
        <f t="shared" si="229"/>
        <v/>
      </c>
    </row>
    <row r="815" spans="1:53" ht="13.5">
      <c r="A815" s="135" t="str">
        <f t="shared" si="230"/>
        <v/>
      </c>
      <c r="B815" s="19" t="str">
        <f t="shared" si="231"/>
        <v/>
      </c>
      <c r="C815" s="19" t="str">
        <f t="shared" si="232"/>
        <v/>
      </c>
      <c r="D815" s="19" t="str">
        <f t="shared" si="233"/>
        <v/>
      </c>
      <c r="E815" s="5" t="str">
        <f t="shared" si="219"/>
        <v/>
      </c>
      <c r="F815" s="12" t="str">
        <f t="shared" si="220"/>
        <v/>
      </c>
      <c r="K815" s="9" t="str">
        <f t="shared" si="221"/>
        <v/>
      </c>
      <c r="L815" s="6">
        <f t="shared" si="222"/>
        <v>0</v>
      </c>
      <c r="M815" s="6">
        <f t="shared" si="223"/>
        <v>0</v>
      </c>
      <c r="N815" s="94" t="str">
        <f t="shared" si="224"/>
        <v/>
      </c>
      <c r="O815" s="6"/>
      <c r="P815" s="6"/>
      <c r="Q815" s="6"/>
      <c r="R815" s="6"/>
      <c r="T815" s="136" t="str">
        <f t="shared" si="225"/>
        <v/>
      </c>
      <c r="U815" s="137" t="str">
        <f t="shared" si="226"/>
        <v/>
      </c>
      <c r="V815" s="1"/>
      <c r="Y815" s="90" t="str">
        <f t="shared" si="227"/>
        <v/>
      </c>
      <c r="AC815" s="6" t="s">
        <v>4025</v>
      </c>
      <c r="AD815" s="6" t="s">
        <v>7098</v>
      </c>
      <c r="AE815" s="158" t="s">
        <v>4049</v>
      </c>
      <c r="AF815" s="159" t="s">
        <v>8299</v>
      </c>
      <c r="AG815" s="160" t="s">
        <v>2126</v>
      </c>
      <c r="AH815" s="194" t="s">
        <v>679</v>
      </c>
      <c r="AI815" s="6" t="s">
        <v>5564</v>
      </c>
      <c r="AJ815" s="3" t="s">
        <v>8258</v>
      </c>
      <c r="AK815" t="s">
        <v>8258</v>
      </c>
      <c r="AV815"/>
      <c r="AX815"/>
      <c r="AZ815" t="str">
        <f t="shared" si="228"/>
        <v/>
      </c>
      <c r="BA815" t="str">
        <f t="shared" si="229"/>
        <v/>
      </c>
    </row>
    <row r="816" spans="1:53" ht="13.5">
      <c r="A816" s="135" t="str">
        <f t="shared" si="230"/>
        <v/>
      </c>
      <c r="B816" s="19" t="str">
        <f t="shared" si="231"/>
        <v/>
      </c>
      <c r="C816" s="19" t="str">
        <f t="shared" si="232"/>
        <v/>
      </c>
      <c r="D816" s="19" t="str">
        <f t="shared" si="233"/>
        <v/>
      </c>
      <c r="E816" s="5" t="str">
        <f t="shared" si="219"/>
        <v/>
      </c>
      <c r="F816" s="12" t="str">
        <f t="shared" si="220"/>
        <v/>
      </c>
      <c r="K816" s="9" t="str">
        <f t="shared" si="221"/>
        <v/>
      </c>
      <c r="L816" s="6">
        <f t="shared" si="222"/>
        <v>0</v>
      </c>
      <c r="M816" s="6">
        <f t="shared" si="223"/>
        <v>0</v>
      </c>
      <c r="N816" s="94" t="str">
        <f t="shared" si="224"/>
        <v/>
      </c>
      <c r="O816" s="6"/>
      <c r="P816" s="6"/>
      <c r="Q816" s="6"/>
      <c r="R816" s="6"/>
      <c r="T816" s="136" t="str">
        <f t="shared" si="225"/>
        <v/>
      </c>
      <c r="U816" s="137" t="str">
        <f t="shared" si="226"/>
        <v/>
      </c>
      <c r="V816" s="1"/>
      <c r="Y816" s="90" t="str">
        <f t="shared" si="227"/>
        <v/>
      </c>
      <c r="AC816" s="6" t="s">
        <v>3572</v>
      </c>
      <c r="AD816" s="6" t="s">
        <v>7117</v>
      </c>
      <c r="AE816" s="158" t="s">
        <v>4050</v>
      </c>
      <c r="AF816" s="159" t="s">
        <v>8299</v>
      </c>
      <c r="AG816" s="160" t="s">
        <v>2127</v>
      </c>
      <c r="AH816" s="194" t="s">
        <v>679</v>
      </c>
      <c r="AI816" s="6" t="s">
        <v>5740</v>
      </c>
      <c r="AJ816" s="3" t="s">
        <v>8258</v>
      </c>
      <c r="AK816" t="s">
        <v>8258</v>
      </c>
      <c r="AV816"/>
      <c r="AX816"/>
      <c r="AZ816" t="str">
        <f t="shared" si="228"/>
        <v/>
      </c>
      <c r="BA816" t="str">
        <f t="shared" si="229"/>
        <v/>
      </c>
    </row>
    <row r="817" spans="1:53" ht="13.5">
      <c r="A817" s="135" t="str">
        <f t="shared" si="230"/>
        <v/>
      </c>
      <c r="B817" s="19" t="str">
        <f t="shared" si="231"/>
        <v/>
      </c>
      <c r="C817" s="19" t="str">
        <f t="shared" si="232"/>
        <v/>
      </c>
      <c r="D817" s="19" t="str">
        <f t="shared" si="233"/>
        <v/>
      </c>
      <c r="E817" s="5" t="str">
        <f t="shared" si="219"/>
        <v/>
      </c>
      <c r="F817" s="12" t="str">
        <f t="shared" si="220"/>
        <v/>
      </c>
      <c r="K817" s="9" t="str">
        <f t="shared" si="221"/>
        <v/>
      </c>
      <c r="L817" s="6">
        <f t="shared" si="222"/>
        <v>0</v>
      </c>
      <c r="M817" s="6">
        <f t="shared" si="223"/>
        <v>0</v>
      </c>
      <c r="N817" s="94" t="str">
        <f t="shared" si="224"/>
        <v/>
      </c>
      <c r="O817" s="6"/>
      <c r="P817" s="6"/>
      <c r="Q817" s="6"/>
      <c r="R817" s="6"/>
      <c r="T817" s="136" t="str">
        <f t="shared" si="225"/>
        <v/>
      </c>
      <c r="U817" s="137" t="str">
        <f t="shared" si="226"/>
        <v/>
      </c>
      <c r="V817" s="1"/>
      <c r="Y817" s="90" t="str">
        <f t="shared" si="227"/>
        <v/>
      </c>
      <c r="AC817" s="6" t="s">
        <v>2704</v>
      </c>
      <c r="AD817" s="6" t="s">
        <v>6897</v>
      </c>
      <c r="AE817" s="158" t="s">
        <v>4051</v>
      </c>
      <c r="AF817" s="159" t="s">
        <v>8299</v>
      </c>
      <c r="AG817" s="160" t="s">
        <v>2128</v>
      </c>
      <c r="AH817" s="194" t="s">
        <v>679</v>
      </c>
      <c r="AI817" s="6" t="s">
        <v>5087</v>
      </c>
      <c r="AJ817" s="3" t="s">
        <v>8237</v>
      </c>
      <c r="AK817" t="s">
        <v>8237</v>
      </c>
      <c r="AV817"/>
      <c r="AX817"/>
      <c r="AZ817" t="str">
        <f t="shared" si="228"/>
        <v/>
      </c>
      <c r="BA817" t="str">
        <f t="shared" si="229"/>
        <v/>
      </c>
    </row>
    <row r="818" spans="1:53" ht="13.5">
      <c r="A818" s="135" t="str">
        <f t="shared" si="230"/>
        <v/>
      </c>
      <c r="B818" s="19" t="str">
        <f t="shared" si="231"/>
        <v/>
      </c>
      <c r="C818" s="19" t="str">
        <f t="shared" si="232"/>
        <v/>
      </c>
      <c r="D818" s="19" t="str">
        <f t="shared" si="233"/>
        <v/>
      </c>
      <c r="E818" s="5" t="str">
        <f t="shared" si="219"/>
        <v/>
      </c>
      <c r="F818" s="12" t="str">
        <f t="shared" si="220"/>
        <v/>
      </c>
      <c r="K818" s="9" t="str">
        <f t="shared" si="221"/>
        <v/>
      </c>
      <c r="L818" s="6">
        <f t="shared" si="222"/>
        <v>0</v>
      </c>
      <c r="M818" s="6">
        <f t="shared" si="223"/>
        <v>0</v>
      </c>
      <c r="N818" s="94" t="str">
        <f t="shared" si="224"/>
        <v/>
      </c>
      <c r="O818" s="6"/>
      <c r="P818" s="6"/>
      <c r="Q818" s="6"/>
      <c r="R818" s="6"/>
      <c r="T818" s="136" t="str">
        <f t="shared" si="225"/>
        <v/>
      </c>
      <c r="U818" s="137" t="str">
        <f t="shared" si="226"/>
        <v/>
      </c>
      <c r="V818" s="1"/>
      <c r="Y818" s="90" t="str">
        <f t="shared" si="227"/>
        <v/>
      </c>
      <c r="AC818" s="6" t="s">
        <v>4204</v>
      </c>
      <c r="AD818" s="6" t="s">
        <v>7128</v>
      </c>
      <c r="AE818" s="158" t="s">
        <v>4052</v>
      </c>
      <c r="AF818" s="159" t="s">
        <v>8299</v>
      </c>
      <c r="AG818" s="160" t="s">
        <v>4360</v>
      </c>
      <c r="AH818" s="194" t="s">
        <v>1314</v>
      </c>
      <c r="AI818" s="6" t="s">
        <v>5043</v>
      </c>
      <c r="AJ818" s="3" t="s">
        <v>8237</v>
      </c>
      <c r="AK818" t="s">
        <v>8237</v>
      </c>
      <c r="AV818"/>
      <c r="AX818"/>
      <c r="AZ818" t="str">
        <f t="shared" si="228"/>
        <v/>
      </c>
      <c r="BA818" t="str">
        <f t="shared" si="229"/>
        <v/>
      </c>
    </row>
    <row r="819" spans="1:53" ht="13.5">
      <c r="A819" s="135" t="str">
        <f t="shared" si="230"/>
        <v/>
      </c>
      <c r="B819" s="19" t="str">
        <f t="shared" si="231"/>
        <v/>
      </c>
      <c r="C819" s="19" t="str">
        <f t="shared" si="232"/>
        <v/>
      </c>
      <c r="D819" s="19" t="str">
        <f t="shared" si="233"/>
        <v/>
      </c>
      <c r="E819" s="5" t="str">
        <f t="shared" si="219"/>
        <v/>
      </c>
      <c r="F819" s="12" t="str">
        <f t="shared" si="220"/>
        <v/>
      </c>
      <c r="K819" s="9" t="str">
        <f t="shared" si="221"/>
        <v/>
      </c>
      <c r="L819" s="6">
        <f t="shared" si="222"/>
        <v>0</v>
      </c>
      <c r="M819" s="6">
        <f t="shared" si="223"/>
        <v>0</v>
      </c>
      <c r="N819" s="94" t="str">
        <f t="shared" si="224"/>
        <v/>
      </c>
      <c r="O819" s="6"/>
      <c r="P819" s="6"/>
      <c r="Q819" s="6"/>
      <c r="R819" s="6"/>
      <c r="T819" s="136" t="str">
        <f t="shared" si="225"/>
        <v/>
      </c>
      <c r="U819" s="137" t="str">
        <f t="shared" si="226"/>
        <v/>
      </c>
      <c r="V819" s="1"/>
      <c r="Y819" s="90" t="str">
        <f t="shared" si="227"/>
        <v/>
      </c>
      <c r="AC819" s="6" t="s">
        <v>3938</v>
      </c>
      <c r="AD819" s="6" t="s">
        <v>7129</v>
      </c>
      <c r="AE819" s="158" t="s">
        <v>3960</v>
      </c>
      <c r="AF819" s="159" t="s">
        <v>8299</v>
      </c>
      <c r="AG819" s="160" t="s">
        <v>2129</v>
      </c>
      <c r="AH819" s="194" t="s">
        <v>679</v>
      </c>
      <c r="AI819" s="6" t="s">
        <v>56</v>
      </c>
      <c r="AJ819" s="3" t="s">
        <v>8199</v>
      </c>
      <c r="AK819" t="s">
        <v>8199</v>
      </c>
      <c r="AV819"/>
      <c r="AX819"/>
      <c r="AZ819" t="str">
        <f t="shared" si="228"/>
        <v/>
      </c>
      <c r="BA819" t="str">
        <f t="shared" si="229"/>
        <v/>
      </c>
    </row>
    <row r="820" spans="1:53" ht="13.5">
      <c r="A820" s="135" t="str">
        <f t="shared" si="230"/>
        <v/>
      </c>
      <c r="B820" s="19" t="str">
        <f t="shared" si="231"/>
        <v/>
      </c>
      <c r="C820" s="19" t="str">
        <f t="shared" si="232"/>
        <v/>
      </c>
      <c r="D820" s="19" t="str">
        <f t="shared" si="233"/>
        <v/>
      </c>
      <c r="E820" s="5" t="str">
        <f t="shared" si="219"/>
        <v/>
      </c>
      <c r="F820" s="12" t="str">
        <f t="shared" si="220"/>
        <v/>
      </c>
      <c r="K820" s="9" t="str">
        <f t="shared" si="221"/>
        <v/>
      </c>
      <c r="L820" s="6">
        <f t="shared" si="222"/>
        <v>0</v>
      </c>
      <c r="M820" s="6">
        <f t="shared" si="223"/>
        <v>0</v>
      </c>
      <c r="N820" s="94" t="str">
        <f t="shared" si="224"/>
        <v/>
      </c>
      <c r="O820" s="6"/>
      <c r="P820" s="6"/>
      <c r="Q820" s="6"/>
      <c r="R820" s="6"/>
      <c r="T820" s="136" t="str">
        <f t="shared" si="225"/>
        <v/>
      </c>
      <c r="U820" s="137" t="str">
        <f t="shared" si="226"/>
        <v/>
      </c>
      <c r="V820" s="1"/>
      <c r="Y820" s="90" t="str">
        <f t="shared" si="227"/>
        <v/>
      </c>
      <c r="AC820" s="6" t="s">
        <v>2451</v>
      </c>
      <c r="AD820" s="6" t="s">
        <v>6897</v>
      </c>
      <c r="AE820" s="158" t="s">
        <v>3961</v>
      </c>
      <c r="AF820" s="159" t="s">
        <v>8299</v>
      </c>
      <c r="AG820" s="160" t="s">
        <v>2130</v>
      </c>
      <c r="AH820" s="194" t="s">
        <v>679</v>
      </c>
      <c r="AI820" s="6" t="s">
        <v>5467</v>
      </c>
      <c r="AJ820" s="3" t="s">
        <v>8250</v>
      </c>
      <c r="AK820" t="s">
        <v>8250</v>
      </c>
      <c r="AV820"/>
      <c r="AX820"/>
      <c r="AZ820" t="str">
        <f t="shared" si="228"/>
        <v/>
      </c>
      <c r="BA820" t="str">
        <f t="shared" si="229"/>
        <v/>
      </c>
    </row>
    <row r="821" spans="1:53" ht="13.5">
      <c r="A821" s="135" t="str">
        <f t="shared" si="230"/>
        <v/>
      </c>
      <c r="B821" s="19" t="str">
        <f t="shared" si="231"/>
        <v/>
      </c>
      <c r="C821" s="19" t="str">
        <f t="shared" si="232"/>
        <v/>
      </c>
      <c r="D821" s="19" t="str">
        <f t="shared" si="233"/>
        <v/>
      </c>
      <c r="E821" s="5" t="str">
        <f t="shared" si="219"/>
        <v/>
      </c>
      <c r="F821" s="12" t="str">
        <f t="shared" si="220"/>
        <v/>
      </c>
      <c r="K821" s="9" t="str">
        <f t="shared" si="221"/>
        <v/>
      </c>
      <c r="L821" s="6">
        <f t="shared" si="222"/>
        <v>0</v>
      </c>
      <c r="M821" s="6">
        <f t="shared" si="223"/>
        <v>0</v>
      </c>
      <c r="N821" s="94" t="str">
        <f t="shared" si="224"/>
        <v/>
      </c>
      <c r="O821" s="6"/>
      <c r="P821" s="6"/>
      <c r="Q821" s="6"/>
      <c r="R821" s="6"/>
      <c r="T821" s="136" t="str">
        <f t="shared" si="225"/>
        <v/>
      </c>
      <c r="U821" s="137" t="str">
        <f t="shared" si="226"/>
        <v/>
      </c>
      <c r="V821" s="1"/>
      <c r="Y821" s="90" t="str">
        <f t="shared" si="227"/>
        <v/>
      </c>
      <c r="AC821" s="6" t="s">
        <v>4016</v>
      </c>
      <c r="AD821" s="6" t="s">
        <v>7098</v>
      </c>
      <c r="AE821" s="158" t="s">
        <v>3962</v>
      </c>
      <c r="AF821" s="159" t="s">
        <v>8299</v>
      </c>
      <c r="AG821" s="160" t="s">
        <v>2131</v>
      </c>
      <c r="AH821" s="194" t="s">
        <v>1314</v>
      </c>
      <c r="AI821" s="6" t="s">
        <v>4094</v>
      </c>
      <c r="AJ821" s="3" t="s">
        <v>8250</v>
      </c>
      <c r="AK821" t="s">
        <v>8250</v>
      </c>
      <c r="AV821"/>
      <c r="AX821"/>
      <c r="AZ821" t="str">
        <f t="shared" si="228"/>
        <v/>
      </c>
      <c r="BA821" t="str">
        <f t="shared" si="229"/>
        <v/>
      </c>
    </row>
    <row r="822" spans="1:53" ht="13.5">
      <c r="A822" s="135" t="str">
        <f t="shared" si="230"/>
        <v/>
      </c>
      <c r="B822" s="19" t="str">
        <f t="shared" si="231"/>
        <v/>
      </c>
      <c r="C822" s="19" t="str">
        <f t="shared" si="232"/>
        <v/>
      </c>
      <c r="D822" s="19" t="str">
        <f t="shared" si="233"/>
        <v/>
      </c>
      <c r="E822" s="5" t="str">
        <f t="shared" si="219"/>
        <v/>
      </c>
      <c r="F822" s="12" t="str">
        <f t="shared" si="220"/>
        <v/>
      </c>
      <c r="K822" s="9" t="str">
        <f t="shared" si="221"/>
        <v/>
      </c>
      <c r="L822" s="6">
        <f t="shared" si="222"/>
        <v>0</v>
      </c>
      <c r="M822" s="6">
        <f t="shared" si="223"/>
        <v>0</v>
      </c>
      <c r="N822" s="94" t="str">
        <f t="shared" si="224"/>
        <v/>
      </c>
      <c r="O822" s="6"/>
      <c r="P822" s="6"/>
      <c r="Q822" s="6"/>
      <c r="R822" s="6"/>
      <c r="T822" s="136" t="str">
        <f t="shared" si="225"/>
        <v/>
      </c>
      <c r="U822" s="137" t="str">
        <f t="shared" si="226"/>
        <v/>
      </c>
      <c r="V822" s="1"/>
      <c r="Y822" s="90" t="str">
        <f t="shared" si="227"/>
        <v/>
      </c>
      <c r="AC822" s="6">
        <v>806334</v>
      </c>
      <c r="AD822" s="6" t="s">
        <v>7130</v>
      </c>
      <c r="AE822" s="158" t="s">
        <v>3964</v>
      </c>
      <c r="AF822" s="159" t="s">
        <v>8299</v>
      </c>
      <c r="AG822" s="160" t="s">
        <v>4361</v>
      </c>
      <c r="AH822" s="194" t="s">
        <v>1314</v>
      </c>
      <c r="AI822" s="6" t="s">
        <v>5181</v>
      </c>
      <c r="AJ822" s="3" t="s">
        <v>8233</v>
      </c>
      <c r="AK822" t="s">
        <v>8233</v>
      </c>
      <c r="AV822"/>
      <c r="AX822"/>
      <c r="AZ822" t="str">
        <f t="shared" si="228"/>
        <v/>
      </c>
      <c r="BA822" t="str">
        <f t="shared" si="229"/>
        <v/>
      </c>
    </row>
    <row r="823" spans="1:53" ht="13.5">
      <c r="A823" s="135" t="str">
        <f t="shared" si="230"/>
        <v/>
      </c>
      <c r="B823" s="19" t="str">
        <f t="shared" si="231"/>
        <v/>
      </c>
      <c r="C823" s="19" t="str">
        <f t="shared" si="232"/>
        <v/>
      </c>
      <c r="D823" s="19" t="str">
        <f t="shared" si="233"/>
        <v/>
      </c>
      <c r="E823" s="5" t="str">
        <f t="shared" si="219"/>
        <v/>
      </c>
      <c r="F823" s="12" t="str">
        <f t="shared" si="220"/>
        <v/>
      </c>
      <c r="K823" s="9" t="str">
        <f t="shared" si="221"/>
        <v/>
      </c>
      <c r="L823" s="6">
        <f t="shared" si="222"/>
        <v>0</v>
      </c>
      <c r="M823" s="6">
        <f t="shared" si="223"/>
        <v>0</v>
      </c>
      <c r="N823" s="94" t="str">
        <f t="shared" si="224"/>
        <v/>
      </c>
      <c r="O823" s="6"/>
      <c r="P823" s="6"/>
      <c r="Q823" s="6"/>
      <c r="R823" s="6"/>
      <c r="T823" s="136" t="str">
        <f t="shared" si="225"/>
        <v/>
      </c>
      <c r="U823" s="137" t="str">
        <f t="shared" si="226"/>
        <v/>
      </c>
      <c r="V823" s="1"/>
      <c r="Y823" s="90" t="str">
        <f t="shared" si="227"/>
        <v/>
      </c>
      <c r="AC823" s="6">
        <v>116559</v>
      </c>
      <c r="AD823" s="6" t="s">
        <v>7111</v>
      </c>
      <c r="AE823" s="158" t="s">
        <v>3965</v>
      </c>
      <c r="AF823" s="159" t="s">
        <v>8299</v>
      </c>
      <c r="AG823" s="160" t="s">
        <v>1268</v>
      </c>
      <c r="AH823" s="194" t="s">
        <v>1314</v>
      </c>
      <c r="AI823" s="6" t="s">
        <v>4439</v>
      </c>
      <c r="AJ823" s="3" t="s">
        <v>8219</v>
      </c>
      <c r="AK823" t="s">
        <v>8219</v>
      </c>
      <c r="AV823"/>
      <c r="AX823"/>
      <c r="AZ823" t="str">
        <f t="shared" si="228"/>
        <v/>
      </c>
      <c r="BA823" t="str">
        <f t="shared" si="229"/>
        <v/>
      </c>
    </row>
    <row r="824" spans="1:53" ht="13.5">
      <c r="A824" s="135" t="str">
        <f t="shared" si="230"/>
        <v/>
      </c>
      <c r="B824" s="19" t="str">
        <f t="shared" si="231"/>
        <v/>
      </c>
      <c r="C824" s="19" t="str">
        <f t="shared" si="232"/>
        <v/>
      </c>
      <c r="D824" s="19" t="str">
        <f t="shared" si="233"/>
        <v/>
      </c>
      <c r="E824" s="5" t="str">
        <f t="shared" si="219"/>
        <v/>
      </c>
      <c r="F824" s="12" t="str">
        <f t="shared" si="220"/>
        <v/>
      </c>
      <c r="K824" s="9" t="str">
        <f t="shared" si="221"/>
        <v/>
      </c>
      <c r="L824" s="6">
        <f t="shared" si="222"/>
        <v>0</v>
      </c>
      <c r="M824" s="6">
        <f t="shared" si="223"/>
        <v>0</v>
      </c>
      <c r="N824" s="94" t="str">
        <f t="shared" si="224"/>
        <v/>
      </c>
      <c r="O824" s="6"/>
      <c r="P824" s="6"/>
      <c r="Q824" s="6"/>
      <c r="R824" s="6"/>
      <c r="T824" s="136" t="str">
        <f t="shared" si="225"/>
        <v/>
      </c>
      <c r="U824" s="137" t="str">
        <f t="shared" si="226"/>
        <v/>
      </c>
      <c r="V824" s="1"/>
      <c r="Y824" s="90" t="str">
        <f t="shared" si="227"/>
        <v/>
      </c>
      <c r="AC824" s="6" t="s">
        <v>4478</v>
      </c>
      <c r="AD824" s="6" t="s">
        <v>7098</v>
      </c>
      <c r="AE824" s="158" t="s">
        <v>3966</v>
      </c>
      <c r="AF824" s="159" t="s">
        <v>8311</v>
      </c>
      <c r="AG824" s="160" t="s">
        <v>4362</v>
      </c>
      <c r="AH824" s="194" t="s">
        <v>1314</v>
      </c>
      <c r="AI824" s="6" t="s">
        <v>4409</v>
      </c>
      <c r="AJ824" s="3" t="s">
        <v>8197</v>
      </c>
      <c r="AK824" t="s">
        <v>8197</v>
      </c>
      <c r="AV824"/>
      <c r="AX824"/>
      <c r="AZ824" t="str">
        <f t="shared" si="228"/>
        <v/>
      </c>
      <c r="BA824" t="str">
        <f t="shared" si="229"/>
        <v/>
      </c>
    </row>
    <row r="825" spans="1:53" ht="13.5">
      <c r="A825" s="135" t="str">
        <f t="shared" si="230"/>
        <v/>
      </c>
      <c r="B825" s="19" t="str">
        <f t="shared" si="231"/>
        <v/>
      </c>
      <c r="C825" s="19" t="str">
        <f t="shared" si="232"/>
        <v/>
      </c>
      <c r="D825" s="19" t="str">
        <f t="shared" si="233"/>
        <v/>
      </c>
      <c r="E825" s="5" t="str">
        <f t="shared" si="219"/>
        <v/>
      </c>
      <c r="F825" s="12" t="str">
        <f t="shared" si="220"/>
        <v/>
      </c>
      <c r="K825" s="9" t="str">
        <f t="shared" si="221"/>
        <v/>
      </c>
      <c r="L825" s="6">
        <f t="shared" si="222"/>
        <v>0</v>
      </c>
      <c r="M825" s="6">
        <f t="shared" si="223"/>
        <v>0</v>
      </c>
      <c r="N825" s="94" t="str">
        <f t="shared" si="224"/>
        <v/>
      </c>
      <c r="O825" s="6"/>
      <c r="P825" s="6"/>
      <c r="Q825" s="6"/>
      <c r="R825" s="6"/>
      <c r="T825" s="136" t="str">
        <f t="shared" si="225"/>
        <v/>
      </c>
      <c r="U825" s="137" t="str">
        <f t="shared" si="226"/>
        <v/>
      </c>
      <c r="V825" s="1"/>
      <c r="Y825" s="90" t="str">
        <f t="shared" si="227"/>
        <v/>
      </c>
      <c r="AC825" s="6">
        <v>95629</v>
      </c>
      <c r="AD825" s="6" t="s">
        <v>7131</v>
      </c>
      <c r="AE825" s="158" t="s">
        <v>4053</v>
      </c>
      <c r="AF825" s="159" t="s">
        <v>8299</v>
      </c>
      <c r="AG825" s="160" t="s">
        <v>4363</v>
      </c>
      <c r="AH825" s="194" t="s">
        <v>1314</v>
      </c>
      <c r="AI825" s="6" t="s">
        <v>4433</v>
      </c>
      <c r="AJ825" s="3" t="s">
        <v>8233</v>
      </c>
      <c r="AK825" t="s">
        <v>8233</v>
      </c>
      <c r="AV825"/>
      <c r="AX825"/>
      <c r="AZ825" t="str">
        <f t="shared" si="228"/>
        <v/>
      </c>
      <c r="BA825" t="str">
        <f t="shared" si="229"/>
        <v/>
      </c>
    </row>
    <row r="826" spans="1:53" ht="13.5">
      <c r="A826" s="135" t="str">
        <f t="shared" si="230"/>
        <v/>
      </c>
      <c r="B826" s="19" t="str">
        <f t="shared" si="231"/>
        <v/>
      </c>
      <c r="C826" s="19" t="str">
        <f t="shared" si="232"/>
        <v/>
      </c>
      <c r="D826" s="19" t="str">
        <f t="shared" si="233"/>
        <v/>
      </c>
      <c r="E826" s="5" t="str">
        <f t="shared" si="219"/>
        <v/>
      </c>
      <c r="F826" s="12" t="str">
        <f t="shared" si="220"/>
        <v/>
      </c>
      <c r="K826" s="9" t="str">
        <f t="shared" si="221"/>
        <v/>
      </c>
      <c r="L826" s="6">
        <f t="shared" si="222"/>
        <v>0</v>
      </c>
      <c r="M826" s="6">
        <f t="shared" si="223"/>
        <v>0</v>
      </c>
      <c r="N826" s="94" t="str">
        <f t="shared" si="224"/>
        <v/>
      </c>
      <c r="O826" s="6"/>
      <c r="P826" s="6"/>
      <c r="Q826" s="6"/>
      <c r="R826" s="6"/>
      <c r="T826" s="136" t="str">
        <f t="shared" si="225"/>
        <v/>
      </c>
      <c r="U826" s="137" t="str">
        <f t="shared" si="226"/>
        <v/>
      </c>
      <c r="V826" s="1"/>
      <c r="Y826" s="90" t="str">
        <f t="shared" si="227"/>
        <v/>
      </c>
      <c r="AC826" s="6" t="s">
        <v>5732</v>
      </c>
      <c r="AD826" s="6" t="s">
        <v>7098</v>
      </c>
      <c r="AE826" s="158" t="s">
        <v>4054</v>
      </c>
      <c r="AF826" s="159" t="s">
        <v>8299</v>
      </c>
      <c r="AG826" s="160" t="s">
        <v>4364</v>
      </c>
      <c r="AH826" s="194" t="s">
        <v>679</v>
      </c>
      <c r="AI826" s="6" t="s">
        <v>5256</v>
      </c>
      <c r="AJ826" s="3" t="s">
        <v>8222</v>
      </c>
      <c r="AK826" t="s">
        <v>8670</v>
      </c>
      <c r="AV826"/>
      <c r="AX826"/>
      <c r="AZ826" t="str">
        <f t="shared" si="228"/>
        <v/>
      </c>
      <c r="BA826" t="str">
        <f t="shared" si="229"/>
        <v/>
      </c>
    </row>
    <row r="827" spans="1:53" ht="13.5">
      <c r="A827" s="135" t="str">
        <f t="shared" si="230"/>
        <v/>
      </c>
      <c r="B827" s="19" t="str">
        <f t="shared" si="231"/>
        <v/>
      </c>
      <c r="C827" s="19" t="str">
        <f t="shared" si="232"/>
        <v/>
      </c>
      <c r="D827" s="19" t="str">
        <f t="shared" si="233"/>
        <v/>
      </c>
      <c r="E827" s="5" t="str">
        <f t="shared" si="219"/>
        <v/>
      </c>
      <c r="F827" s="12" t="str">
        <f t="shared" si="220"/>
        <v/>
      </c>
      <c r="K827" s="9" t="str">
        <f t="shared" si="221"/>
        <v/>
      </c>
      <c r="L827" s="6">
        <f t="shared" si="222"/>
        <v>0</v>
      </c>
      <c r="M827" s="6">
        <f t="shared" si="223"/>
        <v>0</v>
      </c>
      <c r="N827" s="94" t="str">
        <f t="shared" si="224"/>
        <v/>
      </c>
      <c r="O827" s="6"/>
      <c r="P827" s="6"/>
      <c r="Q827" s="6"/>
      <c r="R827" s="6"/>
      <c r="T827" s="136" t="str">
        <f t="shared" si="225"/>
        <v/>
      </c>
      <c r="U827" s="137" t="str">
        <f t="shared" si="226"/>
        <v/>
      </c>
      <c r="V827" s="1"/>
      <c r="Y827" s="90" t="str">
        <f t="shared" si="227"/>
        <v/>
      </c>
      <c r="AC827" s="6" t="s">
        <v>2777</v>
      </c>
      <c r="AD827" s="6" t="s">
        <v>7132</v>
      </c>
      <c r="AE827" s="158" t="s">
        <v>3929</v>
      </c>
      <c r="AF827" s="159" t="s">
        <v>8309</v>
      </c>
      <c r="AG827" s="160" t="s">
        <v>1269</v>
      </c>
      <c r="AH827" s="194" t="s">
        <v>1314</v>
      </c>
      <c r="AI827" s="6" t="s">
        <v>5200</v>
      </c>
      <c r="AJ827" s="3" t="s">
        <v>8210</v>
      </c>
      <c r="AK827" t="s">
        <v>8210</v>
      </c>
      <c r="AV827"/>
      <c r="AX827"/>
      <c r="AZ827" t="str">
        <f t="shared" si="228"/>
        <v/>
      </c>
      <c r="BA827" t="str">
        <f t="shared" si="229"/>
        <v/>
      </c>
    </row>
    <row r="828" spans="1:53" ht="13.5">
      <c r="A828" s="135" t="str">
        <f t="shared" si="230"/>
        <v/>
      </c>
      <c r="B828" s="19" t="str">
        <f t="shared" si="231"/>
        <v/>
      </c>
      <c r="C828" s="19" t="str">
        <f t="shared" si="232"/>
        <v/>
      </c>
      <c r="D828" s="19" t="str">
        <f t="shared" si="233"/>
        <v/>
      </c>
      <c r="E828" s="5" t="str">
        <f t="shared" si="219"/>
        <v/>
      </c>
      <c r="F828" s="12" t="str">
        <f t="shared" si="220"/>
        <v/>
      </c>
      <c r="K828" s="9" t="str">
        <f t="shared" si="221"/>
        <v/>
      </c>
      <c r="L828" s="6">
        <f t="shared" si="222"/>
        <v>0</v>
      </c>
      <c r="M828" s="6">
        <f t="shared" si="223"/>
        <v>0</v>
      </c>
      <c r="N828" s="94" t="str">
        <f t="shared" si="224"/>
        <v/>
      </c>
      <c r="O828" s="6"/>
      <c r="P828" s="6"/>
      <c r="Q828" s="6"/>
      <c r="R828" s="6"/>
      <c r="T828" s="136" t="str">
        <f t="shared" si="225"/>
        <v/>
      </c>
      <c r="U828" s="137" t="str">
        <f t="shared" si="226"/>
        <v/>
      </c>
      <c r="V828" s="1"/>
      <c r="Y828" s="90" t="str">
        <f t="shared" si="227"/>
        <v/>
      </c>
      <c r="AC828" s="6" t="s">
        <v>3457</v>
      </c>
      <c r="AD828" s="6" t="s">
        <v>7133</v>
      </c>
      <c r="AE828" s="158" t="s">
        <v>3930</v>
      </c>
      <c r="AF828" s="159" t="s">
        <v>8299</v>
      </c>
      <c r="AG828" s="160" t="s">
        <v>2265</v>
      </c>
      <c r="AH828" s="194" t="s">
        <v>1314</v>
      </c>
      <c r="AI828" s="6" t="s">
        <v>4437</v>
      </c>
      <c r="AJ828" s="3" t="s">
        <v>8223</v>
      </c>
      <c r="AK828" t="s">
        <v>8223</v>
      </c>
      <c r="AV828"/>
      <c r="AX828"/>
      <c r="AZ828" t="str">
        <f t="shared" si="228"/>
        <v/>
      </c>
      <c r="BA828" t="str">
        <f t="shared" si="229"/>
        <v/>
      </c>
    </row>
    <row r="829" spans="1:53" ht="13.5">
      <c r="A829" s="135" t="str">
        <f t="shared" si="230"/>
        <v/>
      </c>
      <c r="B829" s="19" t="str">
        <f t="shared" si="231"/>
        <v/>
      </c>
      <c r="C829" s="19" t="str">
        <f t="shared" si="232"/>
        <v/>
      </c>
      <c r="D829" s="19" t="str">
        <f t="shared" si="233"/>
        <v/>
      </c>
      <c r="E829" s="5" t="str">
        <f t="shared" si="219"/>
        <v/>
      </c>
      <c r="F829" s="12" t="str">
        <f t="shared" si="220"/>
        <v/>
      </c>
      <c r="K829" s="9" t="str">
        <f t="shared" si="221"/>
        <v/>
      </c>
      <c r="L829" s="6">
        <f t="shared" si="222"/>
        <v>0</v>
      </c>
      <c r="M829" s="6">
        <f t="shared" si="223"/>
        <v>0</v>
      </c>
      <c r="N829" s="94" t="str">
        <f t="shared" si="224"/>
        <v/>
      </c>
      <c r="O829" s="6"/>
      <c r="P829" s="6"/>
      <c r="Q829" s="6"/>
      <c r="R829" s="6"/>
      <c r="T829" s="136" t="str">
        <f t="shared" si="225"/>
        <v/>
      </c>
      <c r="U829" s="137" t="str">
        <f t="shared" si="226"/>
        <v/>
      </c>
      <c r="V829" s="1"/>
      <c r="Y829" s="90" t="str">
        <f t="shared" si="227"/>
        <v/>
      </c>
      <c r="AC829" s="6" t="s">
        <v>3930</v>
      </c>
      <c r="AD829" s="6" t="s">
        <v>7134</v>
      </c>
      <c r="AE829" s="158" t="s">
        <v>3968</v>
      </c>
      <c r="AF829" s="159" t="s">
        <v>8299</v>
      </c>
      <c r="AG829" s="160" t="s">
        <v>2132</v>
      </c>
      <c r="AH829" s="194" t="s">
        <v>679</v>
      </c>
      <c r="AI829" s="6" t="s">
        <v>5411</v>
      </c>
      <c r="AJ829" s="3" t="s">
        <v>8212</v>
      </c>
      <c r="AK829" t="s">
        <v>8212</v>
      </c>
      <c r="AV829"/>
      <c r="AX829"/>
      <c r="AZ829" t="str">
        <f t="shared" si="228"/>
        <v/>
      </c>
      <c r="BA829" t="str">
        <f t="shared" si="229"/>
        <v/>
      </c>
    </row>
    <row r="830" spans="1:53" ht="13.5">
      <c r="A830" s="135" t="str">
        <f t="shared" si="230"/>
        <v/>
      </c>
      <c r="B830" s="19" t="str">
        <f t="shared" si="231"/>
        <v/>
      </c>
      <c r="C830" s="19" t="str">
        <f t="shared" si="232"/>
        <v/>
      </c>
      <c r="D830" s="19" t="str">
        <f t="shared" si="233"/>
        <v/>
      </c>
      <c r="E830" s="5" t="str">
        <f t="shared" si="219"/>
        <v/>
      </c>
      <c r="F830" s="12" t="str">
        <f t="shared" si="220"/>
        <v/>
      </c>
      <c r="K830" s="9" t="str">
        <f t="shared" si="221"/>
        <v/>
      </c>
      <c r="L830" s="6">
        <f t="shared" si="222"/>
        <v>0</v>
      </c>
      <c r="M830" s="6">
        <f t="shared" si="223"/>
        <v>0</v>
      </c>
      <c r="N830" s="94" t="str">
        <f t="shared" si="224"/>
        <v/>
      </c>
      <c r="O830" s="6"/>
      <c r="P830" s="6"/>
      <c r="Q830" s="6"/>
      <c r="R830" s="6"/>
      <c r="T830" s="136" t="str">
        <f t="shared" si="225"/>
        <v/>
      </c>
      <c r="U830" s="137" t="str">
        <f t="shared" si="226"/>
        <v/>
      </c>
      <c r="V830" s="1"/>
      <c r="Y830" s="90" t="str">
        <f t="shared" si="227"/>
        <v/>
      </c>
      <c r="AC830" s="6" t="s">
        <v>2438</v>
      </c>
      <c r="AD830" s="6" t="s">
        <v>6897</v>
      </c>
      <c r="AE830" s="158" t="s">
        <v>3931</v>
      </c>
      <c r="AF830" s="159" t="s">
        <v>8309</v>
      </c>
      <c r="AG830" s="160" t="s">
        <v>2133</v>
      </c>
      <c r="AH830" s="194" t="s">
        <v>679</v>
      </c>
      <c r="AI830" s="6" t="s">
        <v>5209</v>
      </c>
      <c r="AJ830" s="3" t="s">
        <v>8219</v>
      </c>
      <c r="AK830" t="s">
        <v>8219</v>
      </c>
      <c r="AV830"/>
      <c r="AX830"/>
      <c r="AZ830" t="str">
        <f t="shared" si="228"/>
        <v/>
      </c>
      <c r="BA830" t="str">
        <f t="shared" si="229"/>
        <v/>
      </c>
    </row>
    <row r="831" spans="1:53" ht="13.5">
      <c r="A831" s="135" t="str">
        <f t="shared" si="230"/>
        <v/>
      </c>
      <c r="B831" s="19" t="str">
        <f t="shared" si="231"/>
        <v/>
      </c>
      <c r="C831" s="19" t="str">
        <f t="shared" si="232"/>
        <v/>
      </c>
      <c r="D831" s="19" t="str">
        <f t="shared" si="233"/>
        <v/>
      </c>
      <c r="E831" s="5" t="str">
        <f t="shared" si="219"/>
        <v/>
      </c>
      <c r="F831" s="12" t="str">
        <f t="shared" si="220"/>
        <v/>
      </c>
      <c r="K831" s="9" t="str">
        <f t="shared" si="221"/>
        <v/>
      </c>
      <c r="L831" s="6">
        <f t="shared" si="222"/>
        <v>0</v>
      </c>
      <c r="M831" s="6">
        <f t="shared" si="223"/>
        <v>0</v>
      </c>
      <c r="N831" s="94" t="str">
        <f t="shared" si="224"/>
        <v/>
      </c>
      <c r="O831" s="6"/>
      <c r="P831" s="6"/>
      <c r="Q831" s="6"/>
      <c r="R831" s="6"/>
      <c r="T831" s="136" t="str">
        <f t="shared" si="225"/>
        <v/>
      </c>
      <c r="U831" s="137" t="str">
        <f t="shared" si="226"/>
        <v/>
      </c>
      <c r="V831" s="1"/>
      <c r="Y831" s="90" t="str">
        <f t="shared" si="227"/>
        <v/>
      </c>
      <c r="AC831" s="6" t="s">
        <v>3937</v>
      </c>
      <c r="AD831" s="6" t="s">
        <v>7129</v>
      </c>
      <c r="AE831" s="158" t="s">
        <v>3932</v>
      </c>
      <c r="AF831" s="159" t="s">
        <v>8299</v>
      </c>
      <c r="AG831" s="160" t="s">
        <v>2134</v>
      </c>
      <c r="AH831" s="194" t="s">
        <v>4700</v>
      </c>
      <c r="AI831" s="6" t="s">
        <v>5265</v>
      </c>
      <c r="AJ831" s="3" t="s">
        <v>8224</v>
      </c>
      <c r="AK831" t="s">
        <v>8224</v>
      </c>
      <c r="AV831"/>
      <c r="AX831"/>
      <c r="AZ831" t="str">
        <f t="shared" si="228"/>
        <v/>
      </c>
      <c r="BA831" t="str">
        <f t="shared" si="229"/>
        <v/>
      </c>
    </row>
    <row r="832" spans="1:53" ht="13.5">
      <c r="A832" s="135" t="str">
        <f t="shared" si="230"/>
        <v/>
      </c>
      <c r="B832" s="19" t="str">
        <f t="shared" si="231"/>
        <v/>
      </c>
      <c r="C832" s="19" t="str">
        <f t="shared" si="232"/>
        <v/>
      </c>
      <c r="D832" s="19" t="str">
        <f t="shared" si="233"/>
        <v/>
      </c>
      <c r="E832" s="5" t="str">
        <f t="shared" si="219"/>
        <v/>
      </c>
      <c r="F832" s="12" t="str">
        <f t="shared" si="220"/>
        <v/>
      </c>
      <c r="K832" s="9" t="str">
        <f t="shared" si="221"/>
        <v/>
      </c>
      <c r="L832" s="6">
        <f t="shared" si="222"/>
        <v>0</v>
      </c>
      <c r="M832" s="6">
        <f t="shared" si="223"/>
        <v>0</v>
      </c>
      <c r="N832" s="94" t="str">
        <f t="shared" si="224"/>
        <v/>
      </c>
      <c r="O832" s="6"/>
      <c r="P832" s="6"/>
      <c r="Q832" s="6"/>
      <c r="R832" s="6"/>
      <c r="T832" s="136" t="str">
        <f t="shared" si="225"/>
        <v/>
      </c>
      <c r="U832" s="137" t="str">
        <f t="shared" si="226"/>
        <v/>
      </c>
      <c r="V832" s="1"/>
      <c r="Y832" s="90" t="str">
        <f t="shared" si="227"/>
        <v/>
      </c>
      <c r="AC832" s="6">
        <v>115594</v>
      </c>
      <c r="AD832" s="6" t="s">
        <v>7072</v>
      </c>
      <c r="AE832" s="158" t="s">
        <v>1208</v>
      </c>
      <c r="AF832" s="159" t="s">
        <v>8299</v>
      </c>
      <c r="AG832" s="160" t="s">
        <v>2135</v>
      </c>
      <c r="AH832" s="194" t="s">
        <v>1314</v>
      </c>
      <c r="AI832" s="6" t="s">
        <v>5409</v>
      </c>
      <c r="AJ832" s="3" t="s">
        <v>8224</v>
      </c>
      <c r="AK832" t="s">
        <v>8224</v>
      </c>
      <c r="AV832"/>
      <c r="AX832"/>
      <c r="AZ832" t="str">
        <f t="shared" si="228"/>
        <v/>
      </c>
      <c r="BA832" t="str">
        <f t="shared" si="229"/>
        <v/>
      </c>
    </row>
    <row r="833" spans="1:53" ht="13.5">
      <c r="A833" s="135" t="str">
        <f t="shared" si="230"/>
        <v/>
      </c>
      <c r="B833" s="19" t="str">
        <f t="shared" si="231"/>
        <v/>
      </c>
      <c r="C833" s="19" t="str">
        <f t="shared" si="232"/>
        <v/>
      </c>
      <c r="D833" s="19" t="str">
        <f t="shared" si="233"/>
        <v/>
      </c>
      <c r="E833" s="5" t="str">
        <f t="shared" si="219"/>
        <v/>
      </c>
      <c r="F833" s="12" t="str">
        <f t="shared" si="220"/>
        <v/>
      </c>
      <c r="K833" s="9" t="str">
        <f t="shared" si="221"/>
        <v/>
      </c>
      <c r="L833" s="6">
        <f t="shared" si="222"/>
        <v>0</v>
      </c>
      <c r="M833" s="6">
        <f t="shared" si="223"/>
        <v>0</v>
      </c>
      <c r="N833" s="94" t="str">
        <f t="shared" si="224"/>
        <v/>
      </c>
      <c r="O833" s="6"/>
      <c r="P833" s="6"/>
      <c r="Q833" s="6"/>
      <c r="R833" s="6"/>
      <c r="T833" s="136" t="str">
        <f t="shared" si="225"/>
        <v/>
      </c>
      <c r="U833" s="137" t="str">
        <f t="shared" si="226"/>
        <v/>
      </c>
      <c r="V833" s="1"/>
      <c r="Y833" s="90" t="str">
        <f t="shared" si="227"/>
        <v/>
      </c>
      <c r="AC833" s="6">
        <v>765232</v>
      </c>
      <c r="AD833" s="6" t="s">
        <v>7129</v>
      </c>
      <c r="AE833" s="158" t="s">
        <v>4001</v>
      </c>
      <c r="AF833" s="159" t="s">
        <v>8299</v>
      </c>
      <c r="AG833" s="160" t="s">
        <v>2136</v>
      </c>
      <c r="AH833" s="194" t="s">
        <v>679</v>
      </c>
      <c r="AI833" s="6" t="s">
        <v>5517</v>
      </c>
      <c r="AJ833" s="3" t="s">
        <v>8224</v>
      </c>
      <c r="AK833" t="s">
        <v>8224</v>
      </c>
      <c r="AV833"/>
      <c r="AX833"/>
      <c r="AZ833" t="str">
        <f t="shared" si="228"/>
        <v/>
      </c>
      <c r="BA833" t="str">
        <f t="shared" si="229"/>
        <v/>
      </c>
    </row>
    <row r="834" spans="1:53" ht="13.5">
      <c r="A834" s="135" t="str">
        <f t="shared" si="230"/>
        <v/>
      </c>
      <c r="B834" s="19" t="str">
        <f t="shared" si="231"/>
        <v/>
      </c>
      <c r="C834" s="19" t="str">
        <f t="shared" si="232"/>
        <v/>
      </c>
      <c r="D834" s="19" t="str">
        <f t="shared" si="233"/>
        <v/>
      </c>
      <c r="E834" s="5" t="str">
        <f t="shared" si="219"/>
        <v/>
      </c>
      <c r="F834" s="12" t="str">
        <f t="shared" si="220"/>
        <v/>
      </c>
      <c r="K834" s="9" t="str">
        <f t="shared" si="221"/>
        <v/>
      </c>
      <c r="L834" s="6">
        <f t="shared" si="222"/>
        <v>0</v>
      </c>
      <c r="M834" s="6">
        <f t="shared" si="223"/>
        <v>0</v>
      </c>
      <c r="N834" s="94" t="str">
        <f t="shared" si="224"/>
        <v/>
      </c>
      <c r="O834" s="6"/>
      <c r="P834" s="6"/>
      <c r="Q834" s="6"/>
      <c r="R834" s="6"/>
      <c r="T834" s="136" t="str">
        <f t="shared" si="225"/>
        <v/>
      </c>
      <c r="U834" s="137" t="str">
        <f t="shared" si="226"/>
        <v/>
      </c>
      <c r="V834" s="1"/>
      <c r="Y834" s="90" t="str">
        <f t="shared" si="227"/>
        <v/>
      </c>
      <c r="AC834" s="6" t="s">
        <v>2728</v>
      </c>
      <c r="AD834" s="6" t="s">
        <v>7135</v>
      </c>
      <c r="AE834" s="158" t="s">
        <v>1109</v>
      </c>
      <c r="AF834" s="159" t="s">
        <v>8299</v>
      </c>
      <c r="AG834" s="160" t="s">
        <v>2137</v>
      </c>
      <c r="AH834" s="194" t="s">
        <v>679</v>
      </c>
      <c r="AI834" s="6" t="s">
        <v>5207</v>
      </c>
      <c r="AJ834" s="3" t="s">
        <v>8219</v>
      </c>
      <c r="AK834" t="s">
        <v>8219</v>
      </c>
      <c r="AV834"/>
      <c r="AX834"/>
      <c r="AZ834" t="str">
        <f t="shared" si="228"/>
        <v/>
      </c>
      <c r="BA834" t="str">
        <f t="shared" si="229"/>
        <v/>
      </c>
    </row>
    <row r="835" spans="1:53" ht="13.5">
      <c r="A835" s="135" t="str">
        <f t="shared" si="230"/>
        <v/>
      </c>
      <c r="B835" s="19" t="str">
        <f t="shared" si="231"/>
        <v/>
      </c>
      <c r="C835" s="19" t="str">
        <f t="shared" si="232"/>
        <v/>
      </c>
      <c r="D835" s="19" t="str">
        <f t="shared" si="233"/>
        <v/>
      </c>
      <c r="E835" s="5" t="str">
        <f t="shared" si="219"/>
        <v/>
      </c>
      <c r="F835" s="12" t="str">
        <f t="shared" si="220"/>
        <v/>
      </c>
      <c r="K835" s="9" t="str">
        <f t="shared" si="221"/>
        <v/>
      </c>
      <c r="L835" s="6">
        <f t="shared" si="222"/>
        <v>0</v>
      </c>
      <c r="M835" s="6">
        <f t="shared" si="223"/>
        <v>0</v>
      </c>
      <c r="N835" s="94" t="str">
        <f t="shared" si="224"/>
        <v/>
      </c>
      <c r="O835" s="6"/>
      <c r="P835" s="6"/>
      <c r="Q835" s="6"/>
      <c r="R835" s="6"/>
      <c r="T835" s="136" t="str">
        <f t="shared" si="225"/>
        <v/>
      </c>
      <c r="U835" s="137" t="str">
        <f t="shared" si="226"/>
        <v/>
      </c>
      <c r="V835" s="1"/>
      <c r="Y835" s="90" t="str">
        <f t="shared" si="227"/>
        <v/>
      </c>
      <c r="AC835" s="6" t="s">
        <v>4235</v>
      </c>
      <c r="AD835" s="6" t="s">
        <v>7063</v>
      </c>
      <c r="AE835" s="158" t="s">
        <v>107</v>
      </c>
      <c r="AF835" s="159" t="s">
        <v>8299</v>
      </c>
      <c r="AG835" s="160" t="s">
        <v>2138</v>
      </c>
      <c r="AH835" s="194" t="s">
        <v>679</v>
      </c>
      <c r="AI835" s="6" t="s">
        <v>5226</v>
      </c>
      <c r="AJ835" s="3" t="s">
        <v>8219</v>
      </c>
      <c r="AK835" t="s">
        <v>8219</v>
      </c>
      <c r="AV835"/>
      <c r="AX835"/>
      <c r="AZ835" t="str">
        <f t="shared" si="228"/>
        <v/>
      </c>
      <c r="BA835" t="str">
        <f t="shared" si="229"/>
        <v/>
      </c>
    </row>
    <row r="836" spans="1:53" ht="13.5">
      <c r="A836" s="135" t="str">
        <f t="shared" si="230"/>
        <v/>
      </c>
      <c r="B836" s="19" t="str">
        <f t="shared" si="231"/>
        <v/>
      </c>
      <c r="C836" s="19" t="str">
        <f t="shared" si="232"/>
        <v/>
      </c>
      <c r="D836" s="19" t="str">
        <f t="shared" si="233"/>
        <v/>
      </c>
      <c r="E836" s="5" t="str">
        <f t="shared" si="219"/>
        <v/>
      </c>
      <c r="F836" s="12" t="str">
        <f t="shared" si="220"/>
        <v/>
      </c>
      <c r="K836" s="9" t="str">
        <f t="shared" si="221"/>
        <v/>
      </c>
      <c r="L836" s="6">
        <f t="shared" si="222"/>
        <v>0</v>
      </c>
      <c r="M836" s="6">
        <f t="shared" si="223"/>
        <v>0</v>
      </c>
      <c r="N836" s="94" t="str">
        <f t="shared" si="224"/>
        <v/>
      </c>
      <c r="O836" s="6"/>
      <c r="P836" s="6"/>
      <c r="Q836" s="6"/>
      <c r="R836" s="6"/>
      <c r="T836" s="136" t="str">
        <f t="shared" si="225"/>
        <v/>
      </c>
      <c r="U836" s="137" t="str">
        <f t="shared" si="226"/>
        <v/>
      </c>
      <c r="V836" s="1"/>
      <c r="Y836" s="90" t="str">
        <f t="shared" si="227"/>
        <v/>
      </c>
      <c r="AC836" s="6" t="s">
        <v>2727</v>
      </c>
      <c r="AD836" s="6" t="s">
        <v>7135</v>
      </c>
      <c r="AE836" s="158" t="s">
        <v>3663</v>
      </c>
      <c r="AF836" s="159" t="s">
        <v>8299</v>
      </c>
      <c r="AG836" s="160" t="s">
        <v>2139</v>
      </c>
      <c r="AH836" s="194" t="s">
        <v>679</v>
      </c>
      <c r="AI836" s="6" t="s">
        <v>5139</v>
      </c>
      <c r="AJ836" s="3" t="s">
        <v>8207</v>
      </c>
      <c r="AK836" t="s">
        <v>8207</v>
      </c>
      <c r="AV836"/>
      <c r="AX836"/>
      <c r="AZ836" t="str">
        <f t="shared" si="228"/>
        <v/>
      </c>
      <c r="BA836" t="str">
        <f t="shared" si="229"/>
        <v/>
      </c>
    </row>
    <row r="837" spans="1:53" ht="13.5">
      <c r="A837" s="135" t="str">
        <f t="shared" si="230"/>
        <v/>
      </c>
      <c r="B837" s="19" t="str">
        <f t="shared" si="231"/>
        <v/>
      </c>
      <c r="C837" s="19" t="str">
        <f t="shared" si="232"/>
        <v/>
      </c>
      <c r="D837" s="19" t="str">
        <f t="shared" si="233"/>
        <v/>
      </c>
      <c r="E837" s="5" t="str">
        <f t="shared" si="219"/>
        <v/>
      </c>
      <c r="F837" s="12" t="str">
        <f t="shared" si="220"/>
        <v/>
      </c>
      <c r="K837" s="9" t="str">
        <f t="shared" si="221"/>
        <v/>
      </c>
      <c r="L837" s="6">
        <f t="shared" si="222"/>
        <v>0</v>
      </c>
      <c r="M837" s="6">
        <f t="shared" si="223"/>
        <v>0</v>
      </c>
      <c r="N837" s="94" t="str">
        <f t="shared" si="224"/>
        <v/>
      </c>
      <c r="O837" s="6"/>
      <c r="P837" s="6"/>
      <c r="Q837" s="6"/>
      <c r="R837" s="6"/>
      <c r="T837" s="136" t="str">
        <f t="shared" si="225"/>
        <v/>
      </c>
      <c r="U837" s="137" t="str">
        <f t="shared" si="226"/>
        <v/>
      </c>
      <c r="V837" s="1"/>
      <c r="Y837" s="90" t="str">
        <f t="shared" si="227"/>
        <v/>
      </c>
      <c r="AC837" s="6" t="s">
        <v>3949</v>
      </c>
      <c r="AD837" s="6" t="s">
        <v>7136</v>
      </c>
      <c r="AE837" s="158" t="s">
        <v>3664</v>
      </c>
      <c r="AF837" s="159" t="s">
        <v>8333</v>
      </c>
      <c r="AG837" s="160" t="s">
        <v>2140</v>
      </c>
      <c r="AH837" s="194" t="s">
        <v>1314</v>
      </c>
      <c r="AI837" s="6" t="s">
        <v>5145</v>
      </c>
      <c r="AJ837" s="3" t="s">
        <v>8213</v>
      </c>
      <c r="AK837" t="s">
        <v>8213</v>
      </c>
      <c r="AV837"/>
      <c r="AX837"/>
      <c r="AZ837" t="str">
        <f t="shared" si="228"/>
        <v/>
      </c>
      <c r="BA837" t="str">
        <f t="shared" si="229"/>
        <v/>
      </c>
    </row>
    <row r="838" spans="1:53" ht="13.5">
      <c r="A838" s="135" t="str">
        <f t="shared" si="230"/>
        <v/>
      </c>
      <c r="B838" s="19" t="str">
        <f t="shared" si="231"/>
        <v/>
      </c>
      <c r="C838" s="19" t="str">
        <f t="shared" si="232"/>
        <v/>
      </c>
      <c r="D838" s="19" t="str">
        <f t="shared" si="233"/>
        <v/>
      </c>
      <c r="E838" s="5" t="str">
        <f t="shared" ref="E838:E900" si="234">IF(ISNA(VLOOKUP(I838,AI:AK,2,FALSE)),"",VLOOKUP(I838,AI:AK,2,FALSE))</f>
        <v/>
      </c>
      <c r="F838" s="12" t="str">
        <f t="shared" ref="F838:F900" si="235">IF(ISNA(VLOOKUP(I838,AI:AK,3,FALSE)),"",VLOOKUP(I838,AI:AK,3,FALSE))</f>
        <v/>
      </c>
      <c r="K838" s="9" t="str">
        <f t="shared" ref="K838:K900" si="236">IF(AND(LEFT(L838,3)&lt;&gt;"IB0",LEFT(L838,3)&lt;&gt;"ME0",LEFT(L838,3)&lt;&gt;"PS0",LEFT(L838,3)&lt;&gt;"RY0",LEFT(L838,3)&lt;&gt;"BU0",LEFT(L838,3)&lt;&gt;"IS0",LEFT(L838,3)&lt;&gt;"KA0",LEFT(L838,3)&lt;&gt;"FB0",LEFT(L838,3)&lt;&gt;"MB0",LEFT(L838,3)&lt;&gt;"LH0",LEFT(L838,3)&lt;&gt;"MU0",LEFT(L838,3)&lt;&gt;"AB0"),"",L838)</f>
        <v/>
      </c>
      <c r="L838" s="6">
        <f t="shared" ref="L838:L900" si="237">IF(ISNA(VLOOKUP(I838,$S$5:$S$900,1,FALSE)),I838,"")</f>
        <v>0</v>
      </c>
      <c r="M838" s="6">
        <f t="shared" ref="M838:M900" si="238">IF(OR(LEFT(L838,3)="IB0",LEFT(L838,3)="ME0",LEFT(L838,3)="PS0",LEFT(L838,3)="RY0",LEFT(L838,3)="BU0",LEFT(L838,3)="IS0",LEFT(L838,3)="KA0",LEFT(L838,3)="FB0",LEFT(L838,3)="MB0",LEFT(L838,3)="LH0",LEFT(L838,3)="MU0",LEFT(L838,3)="AB0",),"",L838)</f>
        <v>0</v>
      </c>
      <c r="N838" s="94" t="str">
        <f t="shared" ref="N838:N900" si="239">IF(I838="","",(IF(ISNA(VLOOKUP(M838,$AJ$4:$AK$4000,2,FALSE)),M838,VLOOKUP(M838,$AJ$4:$AK$4000,2,FALSE))))</f>
        <v/>
      </c>
      <c r="O838" s="6"/>
      <c r="P838" s="6"/>
      <c r="Q838" s="6"/>
      <c r="R838" s="6"/>
      <c r="T838" s="136" t="str">
        <f t="shared" ref="T838:T900" si="240">IF(ISNA(VLOOKUP(S838,$I$5:$I$900,1,FALSE)),IF(ISBLANK(S838),"","up"),"")</f>
        <v/>
      </c>
      <c r="U838" s="137" t="str">
        <f t="shared" ref="U838:U900" si="241">IF(T838="up",(IF(ISNA(VLOOKUP(S838,$AV$1:$AX$1200,3,FALSE)),"",VLOOKUP(S838,$AV$1:$AX$1200,3,FALSE))),"")</f>
        <v/>
      </c>
      <c r="V838" s="1"/>
      <c r="Y838" s="90" t="str">
        <f t="shared" ref="Y838:Y900" si="242">IFERROR(VLOOKUP(S838,$AV$1:$BA$1200,6,0),"")</f>
        <v/>
      </c>
      <c r="AC838" s="6" t="s">
        <v>5059</v>
      </c>
      <c r="AD838" s="6" t="s">
        <v>7137</v>
      </c>
      <c r="AE838" s="158" t="s">
        <v>3969</v>
      </c>
      <c r="AF838" s="159" t="s">
        <v>8340</v>
      </c>
      <c r="AG838" s="160" t="s">
        <v>2141</v>
      </c>
      <c r="AH838" s="194" t="s">
        <v>1314</v>
      </c>
      <c r="AI838" s="6" t="s">
        <v>5381</v>
      </c>
      <c r="AJ838" s="3" t="s">
        <v>8218</v>
      </c>
      <c r="AK838" t="s">
        <v>8218</v>
      </c>
      <c r="AV838"/>
      <c r="AX838"/>
      <c r="AZ838" t="str">
        <f t="shared" si="228"/>
        <v/>
      </c>
      <c r="BA838" t="str">
        <f t="shared" si="229"/>
        <v/>
      </c>
    </row>
    <row r="839" spans="1:53" ht="13.5">
      <c r="A839" s="135" t="str">
        <f t="shared" si="230"/>
        <v/>
      </c>
      <c r="B839" s="19" t="str">
        <f t="shared" si="231"/>
        <v/>
      </c>
      <c r="C839" s="19" t="str">
        <f t="shared" si="232"/>
        <v/>
      </c>
      <c r="D839" s="19" t="str">
        <f t="shared" si="233"/>
        <v/>
      </c>
      <c r="E839" s="5" t="str">
        <f t="shared" si="234"/>
        <v/>
      </c>
      <c r="F839" s="12" t="str">
        <f t="shared" si="235"/>
        <v/>
      </c>
      <c r="K839" s="9" t="str">
        <f t="shared" si="236"/>
        <v/>
      </c>
      <c r="L839" s="6">
        <f t="shared" si="237"/>
        <v>0</v>
      </c>
      <c r="M839" s="6">
        <f t="shared" si="238"/>
        <v>0</v>
      </c>
      <c r="N839" s="94" t="str">
        <f t="shared" si="239"/>
        <v/>
      </c>
      <c r="O839" s="6"/>
      <c r="P839" s="6"/>
      <c r="Q839" s="6"/>
      <c r="R839" s="6"/>
      <c r="T839" s="136" t="str">
        <f t="shared" si="240"/>
        <v/>
      </c>
      <c r="U839" s="137" t="str">
        <f t="shared" si="241"/>
        <v/>
      </c>
      <c r="V839" s="1"/>
      <c r="Y839" s="90" t="str">
        <f t="shared" si="242"/>
        <v/>
      </c>
      <c r="AC839" s="6" t="s">
        <v>3667</v>
      </c>
      <c r="AD839" s="6" t="s">
        <v>7095</v>
      </c>
      <c r="AE839" s="158" t="s">
        <v>3970</v>
      </c>
      <c r="AF839" s="159" t="s">
        <v>8299</v>
      </c>
      <c r="AG839" s="160" t="s">
        <v>2142</v>
      </c>
      <c r="AH839" s="194" t="s">
        <v>1314</v>
      </c>
      <c r="AI839" s="6" t="s">
        <v>5245</v>
      </c>
      <c r="AJ839" s="3" t="s">
        <v>8248</v>
      </c>
      <c r="AK839" t="s">
        <v>8248</v>
      </c>
      <c r="AV839"/>
      <c r="AX839"/>
      <c r="AZ839" t="str">
        <f t="shared" si="228"/>
        <v/>
      </c>
      <c r="BA839" t="str">
        <f t="shared" si="229"/>
        <v/>
      </c>
    </row>
    <row r="840" spans="1:53" ht="13.5">
      <c r="A840" s="135" t="str">
        <f t="shared" si="230"/>
        <v/>
      </c>
      <c r="B840" s="19" t="str">
        <f t="shared" si="231"/>
        <v/>
      </c>
      <c r="C840" s="19" t="str">
        <f t="shared" si="232"/>
        <v/>
      </c>
      <c r="D840" s="19" t="str">
        <f t="shared" si="233"/>
        <v/>
      </c>
      <c r="E840" s="5" t="str">
        <f t="shared" si="234"/>
        <v/>
      </c>
      <c r="F840" s="12" t="str">
        <f t="shared" si="235"/>
        <v/>
      </c>
      <c r="K840" s="9" t="str">
        <f t="shared" si="236"/>
        <v/>
      </c>
      <c r="L840" s="6">
        <f t="shared" si="237"/>
        <v>0</v>
      </c>
      <c r="M840" s="6">
        <f t="shared" si="238"/>
        <v>0</v>
      </c>
      <c r="N840" s="94" t="str">
        <f t="shared" si="239"/>
        <v/>
      </c>
      <c r="O840" s="6"/>
      <c r="P840" s="6"/>
      <c r="Q840" s="6"/>
      <c r="R840" s="6"/>
      <c r="T840" s="136" t="str">
        <f t="shared" si="240"/>
        <v/>
      </c>
      <c r="U840" s="137" t="str">
        <f t="shared" si="241"/>
        <v/>
      </c>
      <c r="V840" s="1"/>
      <c r="Y840" s="90" t="str">
        <f t="shared" si="242"/>
        <v/>
      </c>
      <c r="AC840" s="6" t="s">
        <v>4099</v>
      </c>
      <c r="AD840" s="6" t="s">
        <v>7138</v>
      </c>
      <c r="AE840" s="158" t="s">
        <v>1211</v>
      </c>
      <c r="AF840" s="159" t="s">
        <v>8299</v>
      </c>
      <c r="AG840" s="160" t="s">
        <v>2143</v>
      </c>
      <c r="AH840" s="194" t="s">
        <v>679</v>
      </c>
      <c r="AI840" s="6" t="s">
        <v>4501</v>
      </c>
      <c r="AJ840" s="3" t="s">
        <v>8194</v>
      </c>
      <c r="AK840" t="s">
        <v>8194</v>
      </c>
      <c r="AV840"/>
      <c r="AX840"/>
      <c r="AZ840" t="str">
        <f t="shared" si="228"/>
        <v/>
      </c>
      <c r="BA840" t="str">
        <f t="shared" si="229"/>
        <v/>
      </c>
    </row>
    <row r="841" spans="1:53" ht="13.5">
      <c r="A841" s="135" t="str">
        <f t="shared" si="230"/>
        <v/>
      </c>
      <c r="B841" s="19" t="str">
        <f t="shared" si="231"/>
        <v/>
      </c>
      <c r="C841" s="19" t="str">
        <f t="shared" si="232"/>
        <v/>
      </c>
      <c r="D841" s="19" t="str">
        <f t="shared" si="233"/>
        <v/>
      </c>
      <c r="E841" s="5" t="str">
        <f t="shared" si="234"/>
        <v/>
      </c>
      <c r="F841" s="12" t="str">
        <f t="shared" si="235"/>
        <v/>
      </c>
      <c r="K841" s="9" t="str">
        <f t="shared" si="236"/>
        <v/>
      </c>
      <c r="L841" s="6">
        <f t="shared" si="237"/>
        <v>0</v>
      </c>
      <c r="M841" s="6">
        <f t="shared" si="238"/>
        <v>0</v>
      </c>
      <c r="N841" s="94" t="str">
        <f t="shared" si="239"/>
        <v/>
      </c>
      <c r="O841" s="6"/>
      <c r="P841" s="6"/>
      <c r="Q841" s="6"/>
      <c r="R841" s="6"/>
      <c r="T841" s="136" t="str">
        <f t="shared" si="240"/>
        <v/>
      </c>
      <c r="U841" s="137" t="str">
        <f t="shared" si="241"/>
        <v/>
      </c>
      <c r="V841" s="1"/>
      <c r="Y841" s="90" t="str">
        <f t="shared" si="242"/>
        <v/>
      </c>
      <c r="AC841" s="6" t="s">
        <v>4028</v>
      </c>
      <c r="AD841" s="6" t="s">
        <v>7098</v>
      </c>
      <c r="AE841" s="158" t="s">
        <v>4246</v>
      </c>
      <c r="AF841" s="159" t="s">
        <v>8365</v>
      </c>
      <c r="AG841" s="160" t="s">
        <v>2144</v>
      </c>
      <c r="AH841" s="194" t="s">
        <v>1314</v>
      </c>
      <c r="AI841" s="6" t="s">
        <v>5083</v>
      </c>
      <c r="AJ841" s="3" t="s">
        <v>8197</v>
      </c>
      <c r="AK841" t="s">
        <v>8197</v>
      </c>
      <c r="AV841"/>
      <c r="AX841"/>
      <c r="AZ841" t="str">
        <f t="shared" si="228"/>
        <v/>
      </c>
      <c r="BA841" t="str">
        <f t="shared" si="229"/>
        <v/>
      </c>
    </row>
    <row r="842" spans="1:53" ht="13.5">
      <c r="A842" s="135" t="str">
        <f t="shared" si="230"/>
        <v/>
      </c>
      <c r="B842" s="19" t="str">
        <f t="shared" si="231"/>
        <v/>
      </c>
      <c r="C842" s="19" t="str">
        <f t="shared" si="232"/>
        <v/>
      </c>
      <c r="D842" s="19" t="str">
        <f t="shared" si="233"/>
        <v/>
      </c>
      <c r="E842" s="5" t="str">
        <f t="shared" si="234"/>
        <v/>
      </c>
      <c r="F842" s="12" t="str">
        <f t="shared" si="235"/>
        <v/>
      </c>
      <c r="K842" s="9" t="str">
        <f t="shared" si="236"/>
        <v/>
      </c>
      <c r="L842" s="6">
        <f t="shared" si="237"/>
        <v>0</v>
      </c>
      <c r="M842" s="6">
        <f t="shared" si="238"/>
        <v>0</v>
      </c>
      <c r="N842" s="94" t="str">
        <f t="shared" si="239"/>
        <v/>
      </c>
      <c r="O842" s="6"/>
      <c r="P842" s="6"/>
      <c r="Q842" s="6"/>
      <c r="R842" s="6"/>
      <c r="T842" s="136" t="str">
        <f t="shared" si="240"/>
        <v/>
      </c>
      <c r="U842" s="137" t="str">
        <f t="shared" si="241"/>
        <v/>
      </c>
      <c r="V842" s="1"/>
      <c r="Y842" s="90" t="str">
        <f t="shared" si="242"/>
        <v/>
      </c>
      <c r="AC842" s="6" t="s">
        <v>3566</v>
      </c>
      <c r="AD842" s="6" t="s">
        <v>7120</v>
      </c>
      <c r="AE842" s="158" t="s">
        <v>4247</v>
      </c>
      <c r="AF842" s="159" t="s">
        <v>8309</v>
      </c>
      <c r="AG842" s="160" t="s">
        <v>2145</v>
      </c>
      <c r="AH842" s="194" t="s">
        <v>1314</v>
      </c>
      <c r="AI842" s="6" t="s">
        <v>5246</v>
      </c>
      <c r="AJ842" s="3" t="s">
        <v>8202</v>
      </c>
      <c r="AK842" t="s">
        <v>8202</v>
      </c>
      <c r="AV842"/>
      <c r="AX842"/>
      <c r="AZ842" t="str">
        <f t="shared" si="228"/>
        <v/>
      </c>
      <c r="BA842" t="str">
        <f t="shared" si="229"/>
        <v/>
      </c>
    </row>
    <row r="843" spans="1:53" ht="13.5">
      <c r="A843" s="135" t="str">
        <f t="shared" si="230"/>
        <v/>
      </c>
      <c r="B843" s="19" t="str">
        <f t="shared" si="231"/>
        <v/>
      </c>
      <c r="C843" s="19" t="str">
        <f t="shared" si="232"/>
        <v/>
      </c>
      <c r="D843" s="19" t="str">
        <f t="shared" si="233"/>
        <v/>
      </c>
      <c r="E843" s="5" t="str">
        <f t="shared" si="234"/>
        <v/>
      </c>
      <c r="F843" s="12" t="str">
        <f t="shared" si="235"/>
        <v/>
      </c>
      <c r="K843" s="9" t="str">
        <f t="shared" si="236"/>
        <v/>
      </c>
      <c r="L843" s="6">
        <f t="shared" si="237"/>
        <v>0</v>
      </c>
      <c r="M843" s="6">
        <f t="shared" si="238"/>
        <v>0</v>
      </c>
      <c r="N843" s="94" t="str">
        <f t="shared" si="239"/>
        <v/>
      </c>
      <c r="O843" s="6"/>
      <c r="P843" s="6"/>
      <c r="Q843" s="6"/>
      <c r="R843" s="6"/>
      <c r="T843" s="136" t="str">
        <f t="shared" si="240"/>
        <v/>
      </c>
      <c r="U843" s="137" t="str">
        <f t="shared" si="241"/>
        <v/>
      </c>
      <c r="V843" s="1"/>
      <c r="Y843" s="90" t="str">
        <f t="shared" si="242"/>
        <v/>
      </c>
      <c r="AC843" s="6" t="s">
        <v>3943</v>
      </c>
      <c r="AD843" s="6" t="s">
        <v>7097</v>
      </c>
      <c r="AE843" s="158" t="s">
        <v>4248</v>
      </c>
      <c r="AF843" s="159" t="s">
        <v>8299</v>
      </c>
      <c r="AG843" s="160" t="s">
        <v>2146</v>
      </c>
      <c r="AH843" s="194" t="s">
        <v>679</v>
      </c>
      <c r="AI843" s="6" t="s">
        <v>4782</v>
      </c>
      <c r="AJ843" s="3" t="s">
        <v>8202</v>
      </c>
      <c r="AK843" t="s">
        <v>8202</v>
      </c>
      <c r="AV843"/>
      <c r="AX843"/>
      <c r="AZ843" t="str">
        <f t="shared" si="228"/>
        <v/>
      </c>
      <c r="BA843" t="str">
        <f t="shared" si="229"/>
        <v/>
      </c>
    </row>
    <row r="844" spans="1:53" ht="13.5">
      <c r="A844" s="135" t="str">
        <f t="shared" si="230"/>
        <v/>
      </c>
      <c r="B844" s="19" t="str">
        <f t="shared" si="231"/>
        <v/>
      </c>
      <c r="C844" s="19" t="str">
        <f t="shared" si="232"/>
        <v/>
      </c>
      <c r="D844" s="19" t="str">
        <f t="shared" si="233"/>
        <v/>
      </c>
      <c r="E844" s="5" t="str">
        <f t="shared" si="234"/>
        <v/>
      </c>
      <c r="F844" s="12" t="str">
        <f t="shared" si="235"/>
        <v/>
      </c>
      <c r="K844" s="9" t="str">
        <f t="shared" si="236"/>
        <v/>
      </c>
      <c r="L844" s="6">
        <f t="shared" si="237"/>
        <v>0</v>
      </c>
      <c r="M844" s="6">
        <f t="shared" si="238"/>
        <v>0</v>
      </c>
      <c r="N844" s="94" t="str">
        <f t="shared" si="239"/>
        <v/>
      </c>
      <c r="O844" s="6"/>
      <c r="P844" s="6"/>
      <c r="Q844" s="6"/>
      <c r="R844" s="6"/>
      <c r="T844" s="136" t="str">
        <f t="shared" si="240"/>
        <v/>
      </c>
      <c r="U844" s="137" t="str">
        <f t="shared" si="241"/>
        <v/>
      </c>
      <c r="V844" s="1"/>
      <c r="Y844" s="90" t="str">
        <f t="shared" si="242"/>
        <v/>
      </c>
      <c r="AC844" s="6" t="s">
        <v>3568</v>
      </c>
      <c r="AD844" s="6" t="s">
        <v>7120</v>
      </c>
      <c r="AE844" s="158" t="s">
        <v>4254</v>
      </c>
      <c r="AF844" s="159" t="s">
        <v>8340</v>
      </c>
      <c r="AG844" s="160" t="s">
        <v>2147</v>
      </c>
      <c r="AH844" s="194" t="s">
        <v>1314</v>
      </c>
      <c r="AI844" s="6" t="s">
        <v>5193</v>
      </c>
      <c r="AJ844" s="3" t="s">
        <v>8266</v>
      </c>
      <c r="AK844" t="s">
        <v>8266</v>
      </c>
      <c r="AV844"/>
      <c r="AX844"/>
      <c r="AZ844" t="str">
        <f t="shared" si="228"/>
        <v/>
      </c>
      <c r="BA844" t="str">
        <f t="shared" si="229"/>
        <v/>
      </c>
    </row>
    <row r="845" spans="1:53" ht="13.5">
      <c r="A845" s="135" t="str">
        <f t="shared" si="230"/>
        <v/>
      </c>
      <c r="B845" s="19" t="str">
        <f t="shared" si="231"/>
        <v/>
      </c>
      <c r="C845" s="19" t="str">
        <f t="shared" si="232"/>
        <v/>
      </c>
      <c r="D845" s="19" t="str">
        <f t="shared" si="233"/>
        <v/>
      </c>
      <c r="E845" s="5" t="str">
        <f t="shared" si="234"/>
        <v/>
      </c>
      <c r="F845" s="12" t="str">
        <f t="shared" si="235"/>
        <v/>
      </c>
      <c r="K845" s="9" t="str">
        <f t="shared" si="236"/>
        <v/>
      </c>
      <c r="L845" s="6">
        <f t="shared" si="237"/>
        <v>0</v>
      </c>
      <c r="M845" s="6">
        <f t="shared" si="238"/>
        <v>0</v>
      </c>
      <c r="N845" s="94" t="str">
        <f t="shared" si="239"/>
        <v/>
      </c>
      <c r="O845" s="6"/>
      <c r="P845" s="6"/>
      <c r="Q845" s="6"/>
      <c r="R845" s="6"/>
      <c r="T845" s="136" t="str">
        <f t="shared" si="240"/>
        <v/>
      </c>
      <c r="U845" s="137" t="str">
        <f t="shared" si="241"/>
        <v/>
      </c>
      <c r="V845" s="1"/>
      <c r="Y845" s="90" t="str">
        <f t="shared" si="242"/>
        <v/>
      </c>
      <c r="AC845" s="6">
        <v>95636</v>
      </c>
      <c r="AD845" s="6" t="s">
        <v>7139</v>
      </c>
      <c r="AE845" s="158" t="s">
        <v>4255</v>
      </c>
      <c r="AF845" s="159" t="s">
        <v>8321</v>
      </c>
      <c r="AG845" s="160" t="s">
        <v>1734</v>
      </c>
      <c r="AH845" s="194" t="s">
        <v>679</v>
      </c>
      <c r="AI845" s="6" t="s">
        <v>5487</v>
      </c>
      <c r="AJ845" s="3" t="s">
        <v>8214</v>
      </c>
      <c r="AK845" t="s">
        <v>8214</v>
      </c>
      <c r="AV845"/>
      <c r="AX845"/>
      <c r="AZ845" t="str">
        <f t="shared" si="228"/>
        <v/>
      </c>
      <c r="BA845" t="str">
        <f t="shared" si="229"/>
        <v/>
      </c>
    </row>
    <row r="846" spans="1:53" ht="13.5">
      <c r="A846" s="135" t="str">
        <f t="shared" si="230"/>
        <v/>
      </c>
      <c r="B846" s="19" t="str">
        <f t="shared" si="231"/>
        <v/>
      </c>
      <c r="C846" s="19" t="str">
        <f t="shared" si="232"/>
        <v/>
      </c>
      <c r="D846" s="19" t="str">
        <f t="shared" si="233"/>
        <v/>
      </c>
      <c r="E846" s="5" t="str">
        <f t="shared" si="234"/>
        <v/>
      </c>
      <c r="F846" s="12" t="str">
        <f t="shared" si="235"/>
        <v/>
      </c>
      <c r="K846" s="9" t="str">
        <f t="shared" si="236"/>
        <v/>
      </c>
      <c r="L846" s="6">
        <f t="shared" si="237"/>
        <v>0</v>
      </c>
      <c r="M846" s="6">
        <f t="shared" si="238"/>
        <v>0</v>
      </c>
      <c r="N846" s="94" t="str">
        <f t="shared" si="239"/>
        <v/>
      </c>
      <c r="O846" s="6"/>
      <c r="P846" s="6"/>
      <c r="Q846" s="6"/>
      <c r="R846" s="6"/>
      <c r="T846" s="136" t="str">
        <f t="shared" si="240"/>
        <v/>
      </c>
      <c r="U846" s="137" t="str">
        <f t="shared" si="241"/>
        <v/>
      </c>
      <c r="V846" s="1"/>
      <c r="Y846" s="90" t="str">
        <f t="shared" si="242"/>
        <v/>
      </c>
      <c r="AC846" s="6" t="s">
        <v>5734</v>
      </c>
      <c r="AD846" s="6" t="s">
        <v>7140</v>
      </c>
      <c r="AE846" s="158" t="s">
        <v>4256</v>
      </c>
      <c r="AF846" s="159" t="s">
        <v>8332</v>
      </c>
      <c r="AG846" s="160" t="s">
        <v>1735</v>
      </c>
      <c r="AH846" s="194" t="s">
        <v>679</v>
      </c>
      <c r="AI846" s="6" t="s">
        <v>4777</v>
      </c>
      <c r="AJ846" s="3" t="s">
        <v>8225</v>
      </c>
      <c r="AK846" t="s">
        <v>8225</v>
      </c>
      <c r="AV846"/>
      <c r="AX846"/>
      <c r="AZ846" t="str">
        <f t="shared" si="228"/>
        <v/>
      </c>
      <c r="BA846" t="str">
        <f t="shared" si="229"/>
        <v/>
      </c>
    </row>
    <row r="847" spans="1:53" ht="13.5">
      <c r="A847" s="135" t="str">
        <f t="shared" si="230"/>
        <v/>
      </c>
      <c r="B847" s="19" t="str">
        <f t="shared" si="231"/>
        <v/>
      </c>
      <c r="C847" s="19" t="str">
        <f t="shared" si="232"/>
        <v/>
      </c>
      <c r="D847" s="19" t="str">
        <f t="shared" si="233"/>
        <v/>
      </c>
      <c r="E847" s="5" t="str">
        <f t="shared" si="234"/>
        <v/>
      </c>
      <c r="F847" s="12" t="str">
        <f t="shared" si="235"/>
        <v/>
      </c>
      <c r="K847" s="9" t="str">
        <f t="shared" si="236"/>
        <v/>
      </c>
      <c r="L847" s="6">
        <f t="shared" si="237"/>
        <v>0</v>
      </c>
      <c r="M847" s="6">
        <f t="shared" si="238"/>
        <v>0</v>
      </c>
      <c r="N847" s="94" t="str">
        <f t="shared" si="239"/>
        <v/>
      </c>
      <c r="O847" s="6"/>
      <c r="P847" s="6"/>
      <c r="Q847" s="6"/>
      <c r="R847" s="6"/>
      <c r="T847" s="136" t="str">
        <f t="shared" si="240"/>
        <v/>
      </c>
      <c r="U847" s="137" t="str">
        <f t="shared" si="241"/>
        <v/>
      </c>
      <c r="V847" s="1"/>
      <c r="Y847" s="90" t="str">
        <f t="shared" si="242"/>
        <v/>
      </c>
      <c r="AC847" s="6" t="s">
        <v>3945</v>
      </c>
      <c r="AD847" s="6" t="s">
        <v>7097</v>
      </c>
      <c r="AE847" s="158" t="s">
        <v>4275</v>
      </c>
      <c r="AF847" s="159" t="s">
        <v>8321</v>
      </c>
      <c r="AG847" s="160" t="s">
        <v>2148</v>
      </c>
      <c r="AH847" s="194" t="s">
        <v>1314</v>
      </c>
      <c r="AI847" s="6" t="s">
        <v>5558</v>
      </c>
      <c r="AJ847" s="3" t="s">
        <v>8238</v>
      </c>
      <c r="AK847" t="s">
        <v>8673</v>
      </c>
      <c r="AV847"/>
      <c r="AX847"/>
      <c r="AZ847" t="str">
        <f t="shared" si="228"/>
        <v/>
      </c>
      <c r="BA847" t="str">
        <f t="shared" si="229"/>
        <v/>
      </c>
    </row>
    <row r="848" spans="1:53" ht="13.5">
      <c r="A848" s="135" t="str">
        <f t="shared" si="230"/>
        <v/>
      </c>
      <c r="B848" s="19" t="str">
        <f t="shared" si="231"/>
        <v/>
      </c>
      <c r="C848" s="19" t="str">
        <f t="shared" si="232"/>
        <v/>
      </c>
      <c r="D848" s="19" t="str">
        <f t="shared" si="233"/>
        <v/>
      </c>
      <c r="E848" s="5" t="str">
        <f t="shared" si="234"/>
        <v/>
      </c>
      <c r="F848" s="12" t="str">
        <f t="shared" si="235"/>
        <v/>
      </c>
      <c r="K848" s="9" t="str">
        <f t="shared" si="236"/>
        <v/>
      </c>
      <c r="L848" s="6">
        <f t="shared" si="237"/>
        <v>0</v>
      </c>
      <c r="M848" s="6">
        <f t="shared" si="238"/>
        <v>0</v>
      </c>
      <c r="N848" s="94" t="str">
        <f t="shared" si="239"/>
        <v/>
      </c>
      <c r="O848" s="6"/>
      <c r="P848" s="6"/>
      <c r="Q848" s="6"/>
      <c r="R848" s="6"/>
      <c r="T848" s="136" t="str">
        <f t="shared" si="240"/>
        <v/>
      </c>
      <c r="U848" s="137" t="str">
        <f t="shared" si="241"/>
        <v/>
      </c>
      <c r="V848" s="1"/>
      <c r="Y848" s="90" t="str">
        <f t="shared" si="242"/>
        <v/>
      </c>
      <c r="AC848" s="6" t="s">
        <v>3569</v>
      </c>
      <c r="AD848" s="6" t="s">
        <v>7120</v>
      </c>
      <c r="AE848" s="158" t="s">
        <v>4283</v>
      </c>
      <c r="AF848" s="159" t="s">
        <v>8299</v>
      </c>
      <c r="AG848" s="160" t="s">
        <v>2149</v>
      </c>
      <c r="AH848" s="194" t="s">
        <v>679</v>
      </c>
      <c r="AI848" s="6" t="s">
        <v>4441</v>
      </c>
      <c r="AJ848" s="3" t="s">
        <v>8224</v>
      </c>
      <c r="AK848" t="s">
        <v>8224</v>
      </c>
      <c r="AV848"/>
      <c r="AX848"/>
      <c r="AZ848" t="str">
        <f t="shared" si="228"/>
        <v/>
      </c>
      <c r="BA848" t="str">
        <f t="shared" si="229"/>
        <v/>
      </c>
    </row>
    <row r="849" spans="1:53" ht="13.5">
      <c r="A849" s="135" t="str">
        <f t="shared" si="230"/>
        <v/>
      </c>
      <c r="B849" s="19" t="str">
        <f t="shared" si="231"/>
        <v/>
      </c>
      <c r="C849" s="19" t="str">
        <f t="shared" si="232"/>
        <v/>
      </c>
      <c r="D849" s="19" t="str">
        <f t="shared" si="233"/>
        <v/>
      </c>
      <c r="E849" s="5" t="str">
        <f t="shared" si="234"/>
        <v/>
      </c>
      <c r="F849" s="12" t="str">
        <f t="shared" si="235"/>
        <v/>
      </c>
      <c r="K849" s="9" t="str">
        <f t="shared" si="236"/>
        <v/>
      </c>
      <c r="L849" s="6">
        <f t="shared" si="237"/>
        <v>0</v>
      </c>
      <c r="M849" s="6">
        <f t="shared" si="238"/>
        <v>0</v>
      </c>
      <c r="N849" s="94" t="str">
        <f t="shared" si="239"/>
        <v/>
      </c>
      <c r="O849" s="6"/>
      <c r="P849" s="6"/>
      <c r="Q849" s="6"/>
      <c r="R849" s="6"/>
      <c r="T849" s="136" t="str">
        <f t="shared" si="240"/>
        <v/>
      </c>
      <c r="U849" s="137" t="str">
        <f t="shared" si="241"/>
        <v/>
      </c>
      <c r="V849" s="1"/>
      <c r="Y849" s="90" t="str">
        <f t="shared" si="242"/>
        <v/>
      </c>
      <c r="AC849" s="6" t="s">
        <v>5058</v>
      </c>
      <c r="AD849" s="6" t="s">
        <v>7137</v>
      </c>
      <c r="AE849" s="158" t="s">
        <v>4284</v>
      </c>
      <c r="AF849" s="159" t="s">
        <v>8299</v>
      </c>
      <c r="AG849" s="160" t="s">
        <v>2793</v>
      </c>
      <c r="AH849" s="194" t="s">
        <v>1314</v>
      </c>
      <c r="AI849" s="6" t="s">
        <v>5086</v>
      </c>
      <c r="AJ849" s="3" t="s">
        <v>8198</v>
      </c>
      <c r="AK849" t="s">
        <v>8198</v>
      </c>
      <c r="AV849"/>
      <c r="AX849"/>
      <c r="AZ849" t="str">
        <f t="shared" si="228"/>
        <v/>
      </c>
      <c r="BA849" t="str">
        <f t="shared" si="229"/>
        <v/>
      </c>
    </row>
    <row r="850" spans="1:53" ht="13.5">
      <c r="A850" s="135" t="str">
        <f t="shared" si="230"/>
        <v/>
      </c>
      <c r="B850" s="19" t="str">
        <f t="shared" si="231"/>
        <v/>
      </c>
      <c r="C850" s="19" t="str">
        <f t="shared" si="232"/>
        <v/>
      </c>
      <c r="D850" s="19" t="str">
        <f t="shared" si="233"/>
        <v/>
      </c>
      <c r="E850" s="5" t="str">
        <f t="shared" si="234"/>
        <v/>
      </c>
      <c r="F850" s="12" t="str">
        <f t="shared" si="235"/>
        <v/>
      </c>
      <c r="K850" s="9" t="str">
        <f t="shared" si="236"/>
        <v/>
      </c>
      <c r="L850" s="6">
        <f t="shared" si="237"/>
        <v>0</v>
      </c>
      <c r="M850" s="6">
        <f t="shared" si="238"/>
        <v>0</v>
      </c>
      <c r="N850" s="94" t="str">
        <f t="shared" si="239"/>
        <v/>
      </c>
      <c r="O850" s="6"/>
      <c r="P850" s="6"/>
      <c r="Q850" s="6"/>
      <c r="R850" s="6"/>
      <c r="T850" s="136" t="str">
        <f t="shared" si="240"/>
        <v/>
      </c>
      <c r="U850" s="137" t="str">
        <f t="shared" si="241"/>
        <v/>
      </c>
      <c r="V850" s="1"/>
      <c r="Y850" s="90" t="str">
        <f t="shared" si="242"/>
        <v/>
      </c>
      <c r="AC850" s="6" t="s">
        <v>4196</v>
      </c>
      <c r="AD850" s="6" t="s">
        <v>7141</v>
      </c>
      <c r="AE850" s="158" t="s">
        <v>4288</v>
      </c>
      <c r="AF850" s="159" t="s">
        <v>8299</v>
      </c>
      <c r="AG850" s="160" t="s">
        <v>2791</v>
      </c>
      <c r="AH850" s="194" t="s">
        <v>1314</v>
      </c>
      <c r="AI850" s="6" t="s">
        <v>5231</v>
      </c>
      <c r="AJ850" s="3" t="s">
        <v>8219</v>
      </c>
      <c r="AK850" t="s">
        <v>8219</v>
      </c>
      <c r="AV850"/>
      <c r="AX850"/>
      <c r="AZ850" t="str">
        <f t="shared" si="228"/>
        <v/>
      </c>
      <c r="BA850" t="str">
        <f t="shared" si="229"/>
        <v/>
      </c>
    </row>
    <row r="851" spans="1:53" ht="13.5">
      <c r="A851" s="135" t="str">
        <f t="shared" si="230"/>
        <v/>
      </c>
      <c r="B851" s="19" t="str">
        <f t="shared" si="231"/>
        <v/>
      </c>
      <c r="C851" s="19" t="str">
        <f t="shared" si="232"/>
        <v/>
      </c>
      <c r="D851" s="19" t="str">
        <f t="shared" si="233"/>
        <v/>
      </c>
      <c r="E851" s="5" t="str">
        <f t="shared" si="234"/>
        <v/>
      </c>
      <c r="F851" s="12" t="str">
        <f t="shared" si="235"/>
        <v/>
      </c>
      <c r="K851" s="9" t="str">
        <f t="shared" si="236"/>
        <v/>
      </c>
      <c r="L851" s="6">
        <f t="shared" si="237"/>
        <v>0</v>
      </c>
      <c r="M851" s="6">
        <f t="shared" si="238"/>
        <v>0</v>
      </c>
      <c r="N851" s="94" t="str">
        <f t="shared" si="239"/>
        <v/>
      </c>
      <c r="O851" s="6"/>
      <c r="P851" s="6"/>
      <c r="Q851" s="6"/>
      <c r="R851" s="6"/>
      <c r="T851" s="136" t="str">
        <f t="shared" si="240"/>
        <v/>
      </c>
      <c r="U851" s="137" t="str">
        <f t="shared" si="241"/>
        <v/>
      </c>
      <c r="V851" s="1"/>
      <c r="Y851" s="90" t="str">
        <f t="shared" si="242"/>
        <v/>
      </c>
      <c r="AC851" s="6" t="s">
        <v>4701</v>
      </c>
      <c r="AD851" s="6" t="s">
        <v>7004</v>
      </c>
      <c r="AE851" s="158" t="s">
        <v>4298</v>
      </c>
      <c r="AF851" s="159" t="s">
        <v>8309</v>
      </c>
      <c r="AG851" s="160" t="s">
        <v>2811</v>
      </c>
      <c r="AH851" s="194" t="s">
        <v>679</v>
      </c>
      <c r="AI851" s="6" t="s">
        <v>4779</v>
      </c>
      <c r="AJ851" s="3" t="s">
        <v>8210</v>
      </c>
      <c r="AK851" t="s">
        <v>8210</v>
      </c>
      <c r="AV851"/>
      <c r="AX851"/>
      <c r="AZ851" t="str">
        <f t="shared" si="228"/>
        <v/>
      </c>
      <c r="BA851" t="str">
        <f t="shared" si="229"/>
        <v/>
      </c>
    </row>
    <row r="852" spans="1:53" ht="13.5">
      <c r="A852" s="135" t="str">
        <f t="shared" si="230"/>
        <v/>
      </c>
      <c r="B852" s="19" t="str">
        <f t="shared" si="231"/>
        <v/>
      </c>
      <c r="C852" s="19" t="str">
        <f t="shared" si="232"/>
        <v/>
      </c>
      <c r="D852" s="19" t="str">
        <f t="shared" si="233"/>
        <v/>
      </c>
      <c r="E852" s="5" t="str">
        <f t="shared" si="234"/>
        <v/>
      </c>
      <c r="F852" s="12" t="str">
        <f t="shared" si="235"/>
        <v/>
      </c>
      <c r="K852" s="9" t="str">
        <f t="shared" si="236"/>
        <v/>
      </c>
      <c r="L852" s="6">
        <f t="shared" si="237"/>
        <v>0</v>
      </c>
      <c r="M852" s="6">
        <f t="shared" si="238"/>
        <v>0</v>
      </c>
      <c r="N852" s="94" t="str">
        <f t="shared" si="239"/>
        <v/>
      </c>
      <c r="O852" s="6"/>
      <c r="P852" s="6"/>
      <c r="Q852" s="6"/>
      <c r="R852" s="6"/>
      <c r="T852" s="136" t="str">
        <f t="shared" si="240"/>
        <v/>
      </c>
      <c r="U852" s="137" t="str">
        <f t="shared" si="241"/>
        <v/>
      </c>
      <c r="V852" s="1"/>
      <c r="Y852" s="90" t="str">
        <f t="shared" si="242"/>
        <v/>
      </c>
      <c r="AC852" s="6" t="s">
        <v>3567</v>
      </c>
      <c r="AD852" s="6" t="s">
        <v>7120</v>
      </c>
      <c r="AE852" s="158" t="s">
        <v>4299</v>
      </c>
      <c r="AF852" s="159" t="s">
        <v>8299</v>
      </c>
      <c r="AG852" s="160" t="s">
        <v>2812</v>
      </c>
      <c r="AH852" s="194" t="s">
        <v>679</v>
      </c>
      <c r="AI852" s="6" t="s">
        <v>4440</v>
      </c>
      <c r="AJ852" s="3" t="s">
        <v>8219</v>
      </c>
      <c r="AK852" t="s">
        <v>8219</v>
      </c>
      <c r="AV852"/>
      <c r="AX852"/>
      <c r="AZ852" t="str">
        <f t="shared" si="228"/>
        <v/>
      </c>
      <c r="BA852" t="str">
        <f t="shared" si="229"/>
        <v/>
      </c>
    </row>
    <row r="853" spans="1:53" ht="13.5">
      <c r="A853" s="135" t="str">
        <f t="shared" si="230"/>
        <v/>
      </c>
      <c r="B853" s="19" t="str">
        <f t="shared" si="231"/>
        <v/>
      </c>
      <c r="C853" s="19" t="str">
        <f t="shared" si="232"/>
        <v/>
      </c>
      <c r="D853" s="19" t="str">
        <f t="shared" si="233"/>
        <v/>
      </c>
      <c r="E853" s="5" t="str">
        <f t="shared" si="234"/>
        <v/>
      </c>
      <c r="F853" s="12" t="str">
        <f t="shared" si="235"/>
        <v/>
      </c>
      <c r="K853" s="9" t="str">
        <f t="shared" si="236"/>
        <v/>
      </c>
      <c r="L853" s="6">
        <f t="shared" si="237"/>
        <v>0</v>
      </c>
      <c r="M853" s="6">
        <f t="shared" si="238"/>
        <v>0</v>
      </c>
      <c r="N853" s="94" t="str">
        <f t="shared" si="239"/>
        <v/>
      </c>
      <c r="O853" s="6"/>
      <c r="P853" s="6"/>
      <c r="Q853" s="6"/>
      <c r="R853" s="6"/>
      <c r="T853" s="136" t="str">
        <f t="shared" si="240"/>
        <v/>
      </c>
      <c r="U853" s="137" t="str">
        <f t="shared" si="241"/>
        <v/>
      </c>
      <c r="V853" s="1"/>
      <c r="Y853" s="90" t="str">
        <f t="shared" si="242"/>
        <v/>
      </c>
      <c r="AC853" s="6" t="s">
        <v>4330</v>
      </c>
      <c r="AD853" s="6" t="s">
        <v>7142</v>
      </c>
      <c r="AE853" s="158" t="s">
        <v>4300</v>
      </c>
      <c r="AF853" s="159" t="s">
        <v>8299</v>
      </c>
      <c r="AG853" s="160" t="s">
        <v>1262</v>
      </c>
      <c r="AH853" s="194" t="s">
        <v>1314</v>
      </c>
      <c r="AI853" s="6" t="s">
        <v>5490</v>
      </c>
      <c r="AJ853" s="3" t="s">
        <v>8219</v>
      </c>
      <c r="AK853" t="s">
        <v>8219</v>
      </c>
      <c r="AV853"/>
      <c r="AX853"/>
      <c r="AZ853" t="str">
        <f t="shared" si="228"/>
        <v/>
      </c>
      <c r="BA853" t="str">
        <f t="shared" si="229"/>
        <v/>
      </c>
    </row>
    <row r="854" spans="1:53" ht="13.5">
      <c r="A854" s="135" t="str">
        <f t="shared" si="230"/>
        <v/>
      </c>
      <c r="B854" s="19" t="str">
        <f t="shared" si="231"/>
        <v/>
      </c>
      <c r="C854" s="19" t="str">
        <f t="shared" si="232"/>
        <v/>
      </c>
      <c r="D854" s="19" t="str">
        <f t="shared" si="233"/>
        <v/>
      </c>
      <c r="E854" s="5" t="str">
        <f t="shared" si="234"/>
        <v/>
      </c>
      <c r="F854" s="12" t="str">
        <f t="shared" si="235"/>
        <v/>
      </c>
      <c r="K854" s="9" t="str">
        <f t="shared" si="236"/>
        <v/>
      </c>
      <c r="L854" s="6">
        <f t="shared" si="237"/>
        <v>0</v>
      </c>
      <c r="M854" s="6">
        <f t="shared" si="238"/>
        <v>0</v>
      </c>
      <c r="N854" s="94" t="str">
        <f t="shared" si="239"/>
        <v/>
      </c>
      <c r="O854" s="6"/>
      <c r="P854" s="6"/>
      <c r="Q854" s="6"/>
      <c r="R854" s="6"/>
      <c r="T854" s="136" t="str">
        <f t="shared" si="240"/>
        <v/>
      </c>
      <c r="U854" s="137" t="str">
        <f t="shared" si="241"/>
        <v/>
      </c>
      <c r="V854" s="1"/>
      <c r="Y854" s="90" t="str">
        <f t="shared" si="242"/>
        <v/>
      </c>
      <c r="AC854" s="6" t="s">
        <v>3939</v>
      </c>
      <c r="AD854" s="6" t="s">
        <v>7097</v>
      </c>
      <c r="AE854" s="158">
        <v>343696</v>
      </c>
      <c r="AF854" s="159" t="s">
        <v>8299</v>
      </c>
      <c r="AG854" s="160" t="s">
        <v>2815</v>
      </c>
      <c r="AH854" s="194" t="s">
        <v>679</v>
      </c>
      <c r="AI854" s="6" t="s">
        <v>5182</v>
      </c>
      <c r="AJ854" s="3" t="s">
        <v>8216</v>
      </c>
      <c r="AK854" t="s">
        <v>8216</v>
      </c>
      <c r="AV854"/>
      <c r="AX854"/>
      <c r="AZ854" t="str">
        <f t="shared" si="228"/>
        <v/>
      </c>
      <c r="BA854" t="str">
        <f t="shared" si="229"/>
        <v/>
      </c>
    </row>
    <row r="855" spans="1:53" ht="13.5">
      <c r="A855" s="135" t="str">
        <f t="shared" si="230"/>
        <v/>
      </c>
      <c r="B855" s="19" t="str">
        <f t="shared" si="231"/>
        <v/>
      </c>
      <c r="C855" s="19" t="str">
        <f t="shared" si="232"/>
        <v/>
      </c>
      <c r="D855" s="19" t="str">
        <f t="shared" si="233"/>
        <v/>
      </c>
      <c r="E855" s="5" t="str">
        <f t="shared" si="234"/>
        <v/>
      </c>
      <c r="F855" s="12" t="str">
        <f t="shared" si="235"/>
        <v/>
      </c>
      <c r="K855" s="9" t="str">
        <f t="shared" si="236"/>
        <v/>
      </c>
      <c r="L855" s="6">
        <f t="shared" si="237"/>
        <v>0</v>
      </c>
      <c r="M855" s="6">
        <f t="shared" si="238"/>
        <v>0</v>
      </c>
      <c r="N855" s="94" t="str">
        <f t="shared" si="239"/>
        <v/>
      </c>
      <c r="O855" s="6"/>
      <c r="P855" s="6"/>
      <c r="Q855" s="6"/>
      <c r="R855" s="6"/>
      <c r="T855" s="136" t="str">
        <f t="shared" si="240"/>
        <v/>
      </c>
      <c r="U855" s="137" t="str">
        <f t="shared" si="241"/>
        <v/>
      </c>
      <c r="V855" s="1"/>
      <c r="Y855" s="90" t="str">
        <f t="shared" si="242"/>
        <v/>
      </c>
      <c r="AC855" s="6" t="s">
        <v>3944</v>
      </c>
      <c r="AD855" s="6" t="s">
        <v>7097</v>
      </c>
      <c r="AE855" s="158" t="s">
        <v>4329</v>
      </c>
      <c r="AF855" s="159" t="s">
        <v>8309</v>
      </c>
      <c r="AG855" s="160" t="s">
        <v>2816</v>
      </c>
      <c r="AH855" s="194" t="s">
        <v>679</v>
      </c>
      <c r="AI855" s="6" t="s">
        <v>5185</v>
      </c>
      <c r="AJ855" s="3" t="s">
        <v>8210</v>
      </c>
      <c r="AK855" t="s">
        <v>8210</v>
      </c>
      <c r="AV855"/>
      <c r="AX855"/>
      <c r="AZ855" t="str">
        <f t="shared" si="228"/>
        <v/>
      </c>
      <c r="BA855" t="str">
        <f t="shared" si="229"/>
        <v/>
      </c>
    </row>
    <row r="856" spans="1:53" ht="13.5">
      <c r="A856" s="135" t="str">
        <f t="shared" si="230"/>
        <v/>
      </c>
      <c r="B856" s="19" t="str">
        <f t="shared" si="231"/>
        <v/>
      </c>
      <c r="C856" s="19" t="str">
        <f t="shared" si="232"/>
        <v/>
      </c>
      <c r="D856" s="19" t="str">
        <f t="shared" si="233"/>
        <v/>
      </c>
      <c r="E856" s="5" t="str">
        <f t="shared" si="234"/>
        <v/>
      </c>
      <c r="F856" s="12" t="str">
        <f t="shared" si="235"/>
        <v/>
      </c>
      <c r="K856" s="9" t="str">
        <f t="shared" si="236"/>
        <v/>
      </c>
      <c r="L856" s="6">
        <f t="shared" si="237"/>
        <v>0</v>
      </c>
      <c r="M856" s="6">
        <f t="shared" si="238"/>
        <v>0</v>
      </c>
      <c r="N856" s="94" t="str">
        <f t="shared" si="239"/>
        <v/>
      </c>
      <c r="O856" s="6"/>
      <c r="P856" s="6"/>
      <c r="Q856" s="6"/>
      <c r="R856" s="6"/>
      <c r="T856" s="136" t="str">
        <f t="shared" si="240"/>
        <v/>
      </c>
      <c r="U856" s="137" t="str">
        <f t="shared" si="241"/>
        <v/>
      </c>
      <c r="V856" s="1"/>
      <c r="Y856" s="90" t="str">
        <f t="shared" si="242"/>
        <v/>
      </c>
      <c r="AC856" s="6" t="s">
        <v>3946</v>
      </c>
      <c r="AD856" s="6" t="s">
        <v>7097</v>
      </c>
      <c r="AE856" s="158" t="s">
        <v>4330</v>
      </c>
      <c r="AF856" s="159" t="s">
        <v>8299</v>
      </c>
      <c r="AG856" s="160" t="s">
        <v>2821</v>
      </c>
      <c r="AH856" s="194" t="s">
        <v>679</v>
      </c>
      <c r="AI856" s="6" t="s">
        <v>5250</v>
      </c>
      <c r="AJ856" s="3" t="s">
        <v>8212</v>
      </c>
      <c r="AK856" t="s">
        <v>8212</v>
      </c>
      <c r="AV856"/>
      <c r="AX856"/>
      <c r="AZ856" t="str">
        <f t="shared" si="228"/>
        <v/>
      </c>
      <c r="BA856" t="str">
        <f t="shared" si="229"/>
        <v/>
      </c>
    </row>
    <row r="857" spans="1:53" ht="13.5">
      <c r="A857" s="135" t="str">
        <f t="shared" si="230"/>
        <v/>
      </c>
      <c r="B857" s="19" t="str">
        <f t="shared" si="231"/>
        <v/>
      </c>
      <c r="C857" s="19" t="str">
        <f t="shared" si="232"/>
        <v/>
      </c>
      <c r="D857" s="19" t="str">
        <f t="shared" si="233"/>
        <v/>
      </c>
      <c r="E857" s="5" t="str">
        <f t="shared" si="234"/>
        <v/>
      </c>
      <c r="F857" s="12" t="str">
        <f t="shared" si="235"/>
        <v/>
      </c>
      <c r="K857" s="9" t="str">
        <f t="shared" si="236"/>
        <v/>
      </c>
      <c r="L857" s="6">
        <f t="shared" si="237"/>
        <v>0</v>
      </c>
      <c r="M857" s="6">
        <f t="shared" si="238"/>
        <v>0</v>
      </c>
      <c r="N857" s="94" t="str">
        <f t="shared" si="239"/>
        <v/>
      </c>
      <c r="O857" s="6"/>
      <c r="P857" s="6"/>
      <c r="Q857" s="6"/>
      <c r="R857" s="6"/>
      <c r="T857" s="136" t="str">
        <f t="shared" si="240"/>
        <v/>
      </c>
      <c r="U857" s="137" t="str">
        <f t="shared" si="241"/>
        <v/>
      </c>
      <c r="V857" s="1"/>
      <c r="Y857" s="90" t="str">
        <f t="shared" si="242"/>
        <v/>
      </c>
      <c r="AC857" s="6" t="s">
        <v>5316</v>
      </c>
      <c r="AD857" s="6" t="s">
        <v>7097</v>
      </c>
      <c r="AE857" s="158" t="s">
        <v>4333</v>
      </c>
      <c r="AF857" s="159" t="s">
        <v>8299</v>
      </c>
      <c r="AG857" s="160" t="s">
        <v>2822</v>
      </c>
      <c r="AH857" s="194" t="s">
        <v>679</v>
      </c>
      <c r="AI857" s="6" t="s">
        <v>808</v>
      </c>
      <c r="AJ857" s="3" t="s">
        <v>8263</v>
      </c>
      <c r="AK857" t="s">
        <v>8263</v>
      </c>
      <c r="AV857"/>
      <c r="AX857"/>
      <c r="AZ857" t="str">
        <f t="shared" si="228"/>
        <v/>
      </c>
      <c r="BA857" t="str">
        <f t="shared" si="229"/>
        <v/>
      </c>
    </row>
    <row r="858" spans="1:53" ht="13.5">
      <c r="A858" s="135" t="str">
        <f t="shared" si="230"/>
        <v/>
      </c>
      <c r="B858" s="19" t="str">
        <f t="shared" si="231"/>
        <v/>
      </c>
      <c r="C858" s="19" t="str">
        <f t="shared" si="232"/>
        <v/>
      </c>
      <c r="D858" s="19" t="str">
        <f t="shared" si="233"/>
        <v/>
      </c>
      <c r="E858" s="5" t="str">
        <f t="shared" si="234"/>
        <v/>
      </c>
      <c r="F858" s="12" t="str">
        <f t="shared" si="235"/>
        <v/>
      </c>
      <c r="K858" s="9" t="str">
        <f t="shared" si="236"/>
        <v/>
      </c>
      <c r="L858" s="6">
        <f t="shared" si="237"/>
        <v>0</v>
      </c>
      <c r="M858" s="6">
        <f t="shared" si="238"/>
        <v>0</v>
      </c>
      <c r="N858" s="94" t="str">
        <f t="shared" si="239"/>
        <v/>
      </c>
      <c r="O858" s="6"/>
      <c r="P858" s="6"/>
      <c r="Q858" s="6"/>
      <c r="R858" s="6"/>
      <c r="T858" s="136" t="str">
        <f t="shared" si="240"/>
        <v/>
      </c>
      <c r="U858" s="137" t="str">
        <f t="shared" si="241"/>
        <v/>
      </c>
      <c r="V858" s="1"/>
      <c r="Y858" s="90" t="str">
        <f t="shared" si="242"/>
        <v/>
      </c>
      <c r="AC858" s="6" t="s">
        <v>6632</v>
      </c>
      <c r="AD858" s="6" t="s">
        <v>7143</v>
      </c>
      <c r="AE858" s="158" t="s">
        <v>4334</v>
      </c>
      <c r="AF858" s="159" t="s">
        <v>8320</v>
      </c>
      <c r="AG858" s="160" t="s">
        <v>2823</v>
      </c>
      <c r="AH858" s="194" t="s">
        <v>679</v>
      </c>
      <c r="AI858" s="6" t="s">
        <v>719</v>
      </c>
      <c r="AJ858" s="3" t="s">
        <v>8263</v>
      </c>
      <c r="AK858" t="s">
        <v>8263</v>
      </c>
      <c r="AV858"/>
      <c r="AX858"/>
      <c r="AZ858" t="str">
        <f t="shared" si="228"/>
        <v/>
      </c>
      <c r="BA858" t="str">
        <f t="shared" si="229"/>
        <v/>
      </c>
    </row>
    <row r="859" spans="1:53" ht="13.5">
      <c r="A859" s="135" t="str">
        <f t="shared" si="230"/>
        <v/>
      </c>
      <c r="B859" s="19" t="str">
        <f t="shared" si="231"/>
        <v/>
      </c>
      <c r="C859" s="19" t="str">
        <f t="shared" si="232"/>
        <v/>
      </c>
      <c r="D859" s="19" t="str">
        <f t="shared" si="233"/>
        <v/>
      </c>
      <c r="E859" s="5" t="str">
        <f t="shared" si="234"/>
        <v/>
      </c>
      <c r="F859" s="12" t="str">
        <f t="shared" si="235"/>
        <v/>
      </c>
      <c r="K859" s="9" t="str">
        <f t="shared" si="236"/>
        <v/>
      </c>
      <c r="L859" s="6">
        <f t="shared" si="237"/>
        <v>0</v>
      </c>
      <c r="M859" s="6">
        <f t="shared" si="238"/>
        <v>0</v>
      </c>
      <c r="N859" s="94" t="str">
        <f t="shared" si="239"/>
        <v/>
      </c>
      <c r="O859" s="6"/>
      <c r="P859" s="6"/>
      <c r="Q859" s="6"/>
      <c r="R859" s="6"/>
      <c r="T859" s="136" t="str">
        <f t="shared" si="240"/>
        <v/>
      </c>
      <c r="U859" s="137" t="str">
        <f t="shared" si="241"/>
        <v/>
      </c>
      <c r="V859" s="1"/>
      <c r="Y859" s="90" t="str">
        <f t="shared" si="242"/>
        <v/>
      </c>
      <c r="AC859" s="6" t="s">
        <v>3942</v>
      </c>
      <c r="AD859" s="6" t="s">
        <v>7097</v>
      </c>
      <c r="AE859" s="158" t="s">
        <v>4335</v>
      </c>
      <c r="AF859" s="159" t="s">
        <v>8299</v>
      </c>
      <c r="AG859" s="160" t="s">
        <v>1263</v>
      </c>
      <c r="AH859" s="194" t="s">
        <v>679</v>
      </c>
      <c r="AI859" s="6" t="s">
        <v>1019</v>
      </c>
      <c r="AJ859" s="3" t="s">
        <v>8263</v>
      </c>
      <c r="AK859" t="s">
        <v>8263</v>
      </c>
      <c r="AV859"/>
      <c r="AX859"/>
      <c r="AZ859" t="str">
        <f t="shared" ref="AZ859:AZ922" si="243">IF(ISBLANK(AW859),"",CONCATENATE("(",RIGHT(AW859,5),"-",TEXT(AX859,"h:mm;@"),")"))</f>
        <v/>
      </c>
      <c r="BA859" t="str">
        <f t="shared" ref="BA859:BA922" si="244">IF(AV875=AV859,"",CONCATENATE(IF(AV874=AV859,BA874,""),IF(AV873=AV859,BA873,""),IF(AV872=AV859,BA872,""),IF(AV871=AV859,BA871,""),IF(AV870=AV859,BA870,""),IF(AV869=AV859,BA869,""),IF(AV868=AV859,BA868,""),IF(AV867=AV859,BA867,""),IF(AV866=AV859,BA866,""),IF(AV865=AV859,BA865,""),IF(AV864=AV859,BA864,""),IF(AV863=AV859,BA863,""),IF(AV862=AV859,BA862,""),IF(AV861=AV859,BA861,""),IF(AV860=AV859,BA860,""),IF(AV858=AV859,BA858,""),BA859))</f>
        <v/>
      </c>
    </row>
    <row r="860" spans="1:53" ht="13.5">
      <c r="A860" s="135" t="str">
        <f t="shared" si="230"/>
        <v/>
      </c>
      <c r="B860" s="19" t="str">
        <f t="shared" si="231"/>
        <v/>
      </c>
      <c r="C860" s="19" t="str">
        <f t="shared" si="232"/>
        <v/>
      </c>
      <c r="D860" s="19" t="str">
        <f t="shared" si="233"/>
        <v/>
      </c>
      <c r="E860" s="5" t="str">
        <f t="shared" si="234"/>
        <v/>
      </c>
      <c r="F860" s="12" t="str">
        <f t="shared" si="235"/>
        <v/>
      </c>
      <c r="K860" s="9" t="str">
        <f t="shared" si="236"/>
        <v/>
      </c>
      <c r="L860" s="6">
        <f t="shared" si="237"/>
        <v>0</v>
      </c>
      <c r="M860" s="6">
        <f t="shared" si="238"/>
        <v>0</v>
      </c>
      <c r="N860" s="94" t="str">
        <f t="shared" si="239"/>
        <v/>
      </c>
      <c r="O860" s="6"/>
      <c r="P860" s="6"/>
      <c r="Q860" s="6"/>
      <c r="R860" s="6"/>
      <c r="T860" s="136" t="str">
        <f t="shared" si="240"/>
        <v/>
      </c>
      <c r="U860" s="137" t="str">
        <f t="shared" si="241"/>
        <v/>
      </c>
      <c r="V860" s="1"/>
      <c r="Y860" s="90" t="str">
        <f t="shared" si="242"/>
        <v/>
      </c>
      <c r="AC860" s="6">
        <v>95630</v>
      </c>
      <c r="AD860" s="6" t="s">
        <v>7131</v>
      </c>
      <c r="AE860" s="158" t="s">
        <v>4336</v>
      </c>
      <c r="AF860" s="159" t="s">
        <v>8309</v>
      </c>
      <c r="AG860" s="160" t="s">
        <v>2348</v>
      </c>
      <c r="AH860" s="194" t="s">
        <v>1314</v>
      </c>
      <c r="AI860" s="6" t="s">
        <v>721</v>
      </c>
      <c r="AJ860" s="3" t="s">
        <v>8263</v>
      </c>
      <c r="AK860" t="s">
        <v>8263</v>
      </c>
      <c r="AV860"/>
      <c r="AX860"/>
      <c r="AZ860" t="str">
        <f t="shared" si="243"/>
        <v/>
      </c>
      <c r="BA860" t="str">
        <f t="shared" si="244"/>
        <v/>
      </c>
    </row>
    <row r="861" spans="1:53" ht="13.5">
      <c r="A861" s="135" t="str">
        <f t="shared" si="230"/>
        <v/>
      </c>
      <c r="B861" s="19" t="str">
        <f t="shared" si="231"/>
        <v/>
      </c>
      <c r="C861" s="19" t="str">
        <f t="shared" si="232"/>
        <v/>
      </c>
      <c r="D861" s="19" t="str">
        <f t="shared" si="233"/>
        <v/>
      </c>
      <c r="E861" s="5" t="str">
        <f t="shared" si="234"/>
        <v/>
      </c>
      <c r="F861" s="12" t="str">
        <f t="shared" si="235"/>
        <v/>
      </c>
      <c r="K861" s="9" t="str">
        <f t="shared" si="236"/>
        <v/>
      </c>
      <c r="L861" s="6">
        <f t="shared" si="237"/>
        <v>0</v>
      </c>
      <c r="M861" s="6">
        <f t="shared" si="238"/>
        <v>0</v>
      </c>
      <c r="N861" s="94" t="str">
        <f t="shared" si="239"/>
        <v/>
      </c>
      <c r="O861" s="6"/>
      <c r="P861" s="6"/>
      <c r="Q861" s="6"/>
      <c r="R861" s="6"/>
      <c r="T861" s="136" t="str">
        <f t="shared" si="240"/>
        <v/>
      </c>
      <c r="U861" s="137" t="str">
        <f t="shared" si="241"/>
        <v/>
      </c>
      <c r="V861" s="1"/>
      <c r="Y861" s="90" t="str">
        <f t="shared" si="242"/>
        <v/>
      </c>
      <c r="AC861" s="6" t="s">
        <v>3940</v>
      </c>
      <c r="AD861" s="6" t="s">
        <v>7097</v>
      </c>
      <c r="AE861" s="158" t="s">
        <v>4337</v>
      </c>
      <c r="AF861" s="159" t="s">
        <v>8299</v>
      </c>
      <c r="AG861" s="160" t="s">
        <v>2349</v>
      </c>
      <c r="AH861" s="194" t="s">
        <v>1314</v>
      </c>
      <c r="AI861" s="6" t="s">
        <v>713</v>
      </c>
      <c r="AJ861" s="3" t="s">
        <v>8273</v>
      </c>
      <c r="AK861" t="s">
        <v>8273</v>
      </c>
      <c r="AV861"/>
      <c r="AX861"/>
      <c r="AZ861" t="str">
        <f t="shared" si="243"/>
        <v/>
      </c>
      <c r="BA861" t="str">
        <f t="shared" si="244"/>
        <v/>
      </c>
    </row>
    <row r="862" spans="1:53" ht="13.5">
      <c r="A862" s="135" t="str">
        <f t="shared" si="230"/>
        <v/>
      </c>
      <c r="B862" s="19" t="str">
        <f t="shared" si="231"/>
        <v/>
      </c>
      <c r="C862" s="19" t="str">
        <f t="shared" si="232"/>
        <v/>
      </c>
      <c r="D862" s="19" t="str">
        <f t="shared" si="233"/>
        <v/>
      </c>
      <c r="E862" s="5" t="str">
        <f t="shared" si="234"/>
        <v/>
      </c>
      <c r="F862" s="12" t="str">
        <f t="shared" si="235"/>
        <v/>
      </c>
      <c r="K862" s="9" t="str">
        <f t="shared" si="236"/>
        <v/>
      </c>
      <c r="L862" s="6">
        <f t="shared" si="237"/>
        <v>0</v>
      </c>
      <c r="M862" s="6">
        <f t="shared" si="238"/>
        <v>0</v>
      </c>
      <c r="N862" s="94" t="str">
        <f t="shared" si="239"/>
        <v/>
      </c>
      <c r="O862" s="6"/>
      <c r="P862" s="6"/>
      <c r="Q862" s="6"/>
      <c r="R862" s="6"/>
      <c r="T862" s="136" t="str">
        <f t="shared" si="240"/>
        <v/>
      </c>
      <c r="U862" s="137" t="str">
        <f t="shared" si="241"/>
        <v/>
      </c>
      <c r="V862" s="1"/>
      <c r="Y862" s="90" t="str">
        <f t="shared" si="242"/>
        <v/>
      </c>
      <c r="AC862" s="6" t="s">
        <v>3950</v>
      </c>
      <c r="AD862" s="6" t="s">
        <v>7097</v>
      </c>
      <c r="AE862" s="158" t="s">
        <v>4338</v>
      </c>
      <c r="AF862" s="159" t="s">
        <v>8299</v>
      </c>
      <c r="AG862" s="160" t="s">
        <v>2350</v>
      </c>
      <c r="AH862" s="194" t="s">
        <v>1314</v>
      </c>
      <c r="AI862" s="6" t="s">
        <v>1027</v>
      </c>
      <c r="AJ862" s="3" t="s">
        <v>8263</v>
      </c>
      <c r="AK862" t="s">
        <v>8263</v>
      </c>
      <c r="AV862"/>
      <c r="AX862"/>
      <c r="AZ862" t="str">
        <f t="shared" si="243"/>
        <v/>
      </c>
      <c r="BA862" t="str">
        <f t="shared" si="244"/>
        <v/>
      </c>
    </row>
    <row r="863" spans="1:53" ht="13.5">
      <c r="A863" s="135" t="str">
        <f t="shared" si="230"/>
        <v/>
      </c>
      <c r="B863" s="19" t="str">
        <f t="shared" si="231"/>
        <v/>
      </c>
      <c r="C863" s="19" t="str">
        <f t="shared" si="232"/>
        <v/>
      </c>
      <c r="D863" s="19" t="str">
        <f t="shared" si="233"/>
        <v/>
      </c>
      <c r="E863" s="5" t="str">
        <f t="shared" si="234"/>
        <v/>
      </c>
      <c r="F863" s="12" t="str">
        <f t="shared" si="235"/>
        <v/>
      </c>
      <c r="K863" s="9" t="str">
        <f t="shared" si="236"/>
        <v/>
      </c>
      <c r="L863" s="6">
        <f t="shared" si="237"/>
        <v>0</v>
      </c>
      <c r="M863" s="6">
        <f t="shared" si="238"/>
        <v>0</v>
      </c>
      <c r="N863" s="94" t="str">
        <f t="shared" si="239"/>
        <v/>
      </c>
      <c r="O863" s="6"/>
      <c r="P863" s="6"/>
      <c r="Q863" s="6"/>
      <c r="R863" s="6"/>
      <c r="T863" s="136" t="str">
        <f t="shared" si="240"/>
        <v/>
      </c>
      <c r="U863" s="137" t="str">
        <f t="shared" si="241"/>
        <v/>
      </c>
      <c r="V863" s="1"/>
      <c r="Y863" s="90" t="str">
        <f t="shared" si="242"/>
        <v/>
      </c>
      <c r="AC863" s="6" t="s">
        <v>5073</v>
      </c>
      <c r="AD863" s="6" t="s">
        <v>7144</v>
      </c>
      <c r="AE863" s="158" t="s">
        <v>1110</v>
      </c>
      <c r="AF863" s="159" t="s">
        <v>8299</v>
      </c>
      <c r="AG863" s="160" t="s">
        <v>1264</v>
      </c>
      <c r="AH863" s="194" t="s">
        <v>1314</v>
      </c>
      <c r="AI863" s="6" t="s">
        <v>1007</v>
      </c>
      <c r="AJ863" s="3" t="s">
        <v>8261</v>
      </c>
      <c r="AK863" t="s">
        <v>8261</v>
      </c>
      <c r="AV863"/>
      <c r="AX863"/>
      <c r="AZ863" t="str">
        <f t="shared" si="243"/>
        <v/>
      </c>
      <c r="BA863" t="str">
        <f t="shared" si="244"/>
        <v/>
      </c>
    </row>
    <row r="864" spans="1:53" ht="13.5">
      <c r="A864" s="135" t="str">
        <f t="shared" si="230"/>
        <v/>
      </c>
      <c r="B864" s="19" t="str">
        <f t="shared" si="231"/>
        <v/>
      </c>
      <c r="C864" s="19" t="str">
        <f t="shared" si="232"/>
        <v/>
      </c>
      <c r="D864" s="19" t="str">
        <f t="shared" si="233"/>
        <v/>
      </c>
      <c r="E864" s="5" t="str">
        <f t="shared" si="234"/>
        <v/>
      </c>
      <c r="F864" s="12" t="str">
        <f t="shared" si="235"/>
        <v/>
      </c>
      <c r="K864" s="9" t="str">
        <f t="shared" si="236"/>
        <v/>
      </c>
      <c r="L864" s="6">
        <f t="shared" si="237"/>
        <v>0</v>
      </c>
      <c r="M864" s="6">
        <f t="shared" si="238"/>
        <v>0</v>
      </c>
      <c r="N864" s="94" t="str">
        <f t="shared" si="239"/>
        <v/>
      </c>
      <c r="O864" s="6"/>
      <c r="P864" s="6"/>
      <c r="Q864" s="6"/>
      <c r="R864" s="6"/>
      <c r="T864" s="136" t="str">
        <f t="shared" si="240"/>
        <v/>
      </c>
      <c r="U864" s="137" t="str">
        <f t="shared" si="241"/>
        <v/>
      </c>
      <c r="V864" s="1"/>
      <c r="Y864" s="90" t="str">
        <f t="shared" si="242"/>
        <v/>
      </c>
      <c r="AC864" s="6">
        <v>916421</v>
      </c>
      <c r="AD864" s="6" t="s">
        <v>7125</v>
      </c>
      <c r="AE864" s="158" t="s">
        <v>1111</v>
      </c>
      <c r="AF864" s="159" t="s">
        <v>8299</v>
      </c>
      <c r="AG864" s="160" t="s">
        <v>1266</v>
      </c>
      <c r="AH864" s="194" t="s">
        <v>1314</v>
      </c>
      <c r="AI864" s="6" t="s">
        <v>4786</v>
      </c>
      <c r="AJ864" s="3" t="s">
        <v>8213</v>
      </c>
      <c r="AK864" t="s">
        <v>8213</v>
      </c>
      <c r="AV864"/>
      <c r="AX864"/>
      <c r="AZ864" t="str">
        <f t="shared" si="243"/>
        <v/>
      </c>
      <c r="BA864" t="str">
        <f t="shared" si="244"/>
        <v/>
      </c>
    </row>
    <row r="865" spans="1:53" ht="13.5">
      <c r="A865" s="135" t="str">
        <f t="shared" si="230"/>
        <v/>
      </c>
      <c r="B865" s="19" t="str">
        <f t="shared" si="231"/>
        <v/>
      </c>
      <c r="C865" s="19" t="str">
        <f t="shared" si="232"/>
        <v/>
      </c>
      <c r="D865" s="19" t="str">
        <f t="shared" si="233"/>
        <v/>
      </c>
      <c r="E865" s="5" t="str">
        <f t="shared" si="234"/>
        <v/>
      </c>
      <c r="F865" s="12" t="str">
        <f t="shared" si="235"/>
        <v/>
      </c>
      <c r="K865" s="9" t="str">
        <f t="shared" si="236"/>
        <v/>
      </c>
      <c r="L865" s="6">
        <f t="shared" si="237"/>
        <v>0</v>
      </c>
      <c r="M865" s="6">
        <f t="shared" si="238"/>
        <v>0</v>
      </c>
      <c r="N865" s="94" t="str">
        <f t="shared" si="239"/>
        <v/>
      </c>
      <c r="O865" s="6"/>
      <c r="P865" s="6"/>
      <c r="Q865" s="6"/>
      <c r="R865" s="6"/>
      <c r="T865" s="136" t="str">
        <f t="shared" si="240"/>
        <v/>
      </c>
      <c r="U865" s="137" t="str">
        <f t="shared" si="241"/>
        <v/>
      </c>
      <c r="V865" s="1"/>
      <c r="Y865" s="90" t="str">
        <f t="shared" si="242"/>
        <v/>
      </c>
      <c r="AC865" s="6" t="s">
        <v>4240</v>
      </c>
      <c r="AD865" s="6" t="s">
        <v>7063</v>
      </c>
      <c r="AE865" s="158" t="s">
        <v>941</v>
      </c>
      <c r="AF865" s="159" t="s">
        <v>8309</v>
      </c>
      <c r="AG865" s="160" t="s">
        <v>2352</v>
      </c>
      <c r="AH865" s="194" t="s">
        <v>679</v>
      </c>
      <c r="AI865" s="6" t="s">
        <v>1270</v>
      </c>
      <c r="AJ865" s="3" t="s">
        <v>8241</v>
      </c>
      <c r="AK865" t="s">
        <v>8675</v>
      </c>
      <c r="AV865"/>
      <c r="AX865"/>
      <c r="AZ865" t="str">
        <f t="shared" si="243"/>
        <v/>
      </c>
      <c r="BA865" t="str">
        <f t="shared" si="244"/>
        <v/>
      </c>
    </row>
    <row r="866" spans="1:53" ht="13.5">
      <c r="A866" s="135" t="str">
        <f t="shared" si="230"/>
        <v/>
      </c>
      <c r="B866" s="19" t="str">
        <f t="shared" si="231"/>
        <v/>
      </c>
      <c r="C866" s="19" t="str">
        <f t="shared" si="232"/>
        <v/>
      </c>
      <c r="D866" s="19" t="str">
        <f t="shared" si="233"/>
        <v/>
      </c>
      <c r="E866" s="5" t="str">
        <f t="shared" si="234"/>
        <v/>
      </c>
      <c r="F866" s="12" t="str">
        <f t="shared" si="235"/>
        <v/>
      </c>
      <c r="K866" s="9" t="str">
        <f t="shared" si="236"/>
        <v/>
      </c>
      <c r="L866" s="6">
        <f t="shared" si="237"/>
        <v>0</v>
      </c>
      <c r="M866" s="6">
        <f t="shared" si="238"/>
        <v>0</v>
      </c>
      <c r="N866" s="94" t="str">
        <f t="shared" si="239"/>
        <v/>
      </c>
      <c r="O866" s="6"/>
      <c r="P866" s="6"/>
      <c r="Q866" s="6"/>
      <c r="R866" s="6"/>
      <c r="T866" s="136" t="str">
        <f t="shared" si="240"/>
        <v/>
      </c>
      <c r="U866" s="137" t="str">
        <f t="shared" si="241"/>
        <v/>
      </c>
      <c r="V866" s="1"/>
      <c r="Y866" s="90" t="str">
        <f t="shared" si="242"/>
        <v/>
      </c>
      <c r="AC866" s="6" t="s">
        <v>3929</v>
      </c>
      <c r="AD866" s="6" t="s">
        <v>7145</v>
      </c>
      <c r="AE866" s="158" t="s">
        <v>5070</v>
      </c>
      <c r="AF866" s="159" t="s">
        <v>8299</v>
      </c>
      <c r="AG866" s="160" t="s">
        <v>1267</v>
      </c>
      <c r="AH866" s="194" t="s">
        <v>1314</v>
      </c>
      <c r="AI866" s="6" t="s">
        <v>1237</v>
      </c>
      <c r="AJ866" s="3" t="s">
        <v>8256</v>
      </c>
      <c r="AK866" t="s">
        <v>8256</v>
      </c>
      <c r="AV866"/>
      <c r="AX866"/>
      <c r="AZ866" t="str">
        <f t="shared" si="243"/>
        <v/>
      </c>
      <c r="BA866" t="str">
        <f t="shared" si="244"/>
        <v/>
      </c>
    </row>
    <row r="867" spans="1:53" ht="13.5">
      <c r="A867" s="135" t="str">
        <f t="shared" si="230"/>
        <v/>
      </c>
      <c r="B867" s="19" t="str">
        <f t="shared" si="231"/>
        <v/>
      </c>
      <c r="C867" s="19" t="str">
        <f t="shared" si="232"/>
        <v/>
      </c>
      <c r="D867" s="19" t="str">
        <f t="shared" si="233"/>
        <v/>
      </c>
      <c r="E867" s="5" t="str">
        <f t="shared" si="234"/>
        <v/>
      </c>
      <c r="F867" s="12" t="str">
        <f t="shared" si="235"/>
        <v/>
      </c>
      <c r="K867" s="9" t="str">
        <f t="shared" si="236"/>
        <v/>
      </c>
      <c r="L867" s="6">
        <f t="shared" si="237"/>
        <v>0</v>
      </c>
      <c r="M867" s="6">
        <f t="shared" si="238"/>
        <v>0</v>
      </c>
      <c r="N867" s="94" t="str">
        <f t="shared" si="239"/>
        <v/>
      </c>
      <c r="O867" s="6"/>
      <c r="P867" s="6"/>
      <c r="Q867" s="6"/>
      <c r="R867" s="6"/>
      <c r="T867" s="136" t="str">
        <f t="shared" si="240"/>
        <v/>
      </c>
      <c r="U867" s="137" t="str">
        <f t="shared" si="241"/>
        <v/>
      </c>
      <c r="V867" s="1"/>
      <c r="Y867" s="90" t="str">
        <f t="shared" si="242"/>
        <v/>
      </c>
      <c r="AC867" s="6">
        <v>95632</v>
      </c>
      <c r="AD867" s="6" t="s">
        <v>7146</v>
      </c>
      <c r="AE867" s="158" t="s">
        <v>3665</v>
      </c>
      <c r="AF867" s="159" t="s">
        <v>8299</v>
      </c>
      <c r="AG867" s="160" t="s">
        <v>2353</v>
      </c>
      <c r="AH867" s="194" t="s">
        <v>1314</v>
      </c>
      <c r="AI867" s="6" t="s">
        <v>1289</v>
      </c>
      <c r="AJ867" s="3" t="s">
        <v>8214</v>
      </c>
      <c r="AK867" t="s">
        <v>8214</v>
      </c>
      <c r="AV867"/>
      <c r="AX867"/>
      <c r="AZ867" t="str">
        <f t="shared" si="243"/>
        <v/>
      </c>
      <c r="BA867" t="str">
        <f t="shared" si="244"/>
        <v/>
      </c>
    </row>
    <row r="868" spans="1:53" ht="13.5">
      <c r="A868" s="135" t="str">
        <f t="shared" si="230"/>
        <v/>
      </c>
      <c r="B868" s="19" t="str">
        <f t="shared" si="231"/>
        <v/>
      </c>
      <c r="C868" s="19" t="str">
        <f t="shared" si="232"/>
        <v/>
      </c>
      <c r="D868" s="19" t="str">
        <f t="shared" si="233"/>
        <v/>
      </c>
      <c r="E868" s="5" t="str">
        <f t="shared" si="234"/>
        <v/>
      </c>
      <c r="F868" s="12" t="str">
        <f t="shared" si="235"/>
        <v/>
      </c>
      <c r="K868" s="9" t="str">
        <f t="shared" si="236"/>
        <v/>
      </c>
      <c r="L868" s="6">
        <f t="shared" si="237"/>
        <v>0</v>
      </c>
      <c r="M868" s="6">
        <f t="shared" si="238"/>
        <v>0</v>
      </c>
      <c r="N868" s="94" t="str">
        <f t="shared" si="239"/>
        <v/>
      </c>
      <c r="O868" s="6"/>
      <c r="P868" s="6"/>
      <c r="Q868" s="6"/>
      <c r="R868" s="6"/>
      <c r="T868" s="136" t="str">
        <f t="shared" si="240"/>
        <v/>
      </c>
      <c r="U868" s="137" t="str">
        <f t="shared" si="241"/>
        <v/>
      </c>
      <c r="V868" s="1"/>
      <c r="Y868" s="90" t="str">
        <f t="shared" si="242"/>
        <v/>
      </c>
      <c r="AC868" s="6" t="s">
        <v>5176</v>
      </c>
      <c r="AD868" s="6" t="s">
        <v>7147</v>
      </c>
      <c r="AE868" s="158" t="s">
        <v>3666</v>
      </c>
      <c r="AF868" s="159" t="s">
        <v>8311</v>
      </c>
      <c r="AG868" s="160" t="s">
        <v>2351</v>
      </c>
      <c r="AH868" s="194" t="s">
        <v>679</v>
      </c>
      <c r="AI868" s="6" t="s">
        <v>1127</v>
      </c>
      <c r="AJ868" s="3" t="s">
        <v>8214</v>
      </c>
      <c r="AK868" t="s">
        <v>8214</v>
      </c>
      <c r="AV868"/>
      <c r="AX868"/>
      <c r="AZ868" t="str">
        <f t="shared" si="243"/>
        <v/>
      </c>
      <c r="BA868" t="str">
        <f t="shared" si="244"/>
        <v/>
      </c>
    </row>
    <row r="869" spans="1:53" ht="13.5">
      <c r="A869" s="135" t="str">
        <f t="shared" si="230"/>
        <v/>
      </c>
      <c r="B869" s="19" t="str">
        <f t="shared" si="231"/>
        <v/>
      </c>
      <c r="C869" s="19" t="str">
        <f t="shared" si="232"/>
        <v/>
      </c>
      <c r="D869" s="19" t="str">
        <f t="shared" si="233"/>
        <v/>
      </c>
      <c r="E869" s="5" t="str">
        <f t="shared" si="234"/>
        <v/>
      </c>
      <c r="F869" s="12" t="str">
        <f t="shared" si="235"/>
        <v/>
      </c>
      <c r="K869" s="9" t="str">
        <f t="shared" si="236"/>
        <v/>
      </c>
      <c r="L869" s="6">
        <f t="shared" si="237"/>
        <v>0</v>
      </c>
      <c r="M869" s="6">
        <f t="shared" si="238"/>
        <v>0</v>
      </c>
      <c r="N869" s="94" t="str">
        <f t="shared" si="239"/>
        <v/>
      </c>
      <c r="O869" s="6"/>
      <c r="P869" s="6"/>
      <c r="Q869" s="6"/>
      <c r="R869" s="6"/>
      <c r="T869" s="136" t="str">
        <f t="shared" si="240"/>
        <v/>
      </c>
      <c r="U869" s="137" t="str">
        <f t="shared" si="241"/>
        <v/>
      </c>
      <c r="V869" s="1"/>
      <c r="Y869" s="90" t="str">
        <f t="shared" si="242"/>
        <v/>
      </c>
      <c r="AC869" s="6" t="s">
        <v>4376</v>
      </c>
      <c r="AD869" s="6" t="s">
        <v>7148</v>
      </c>
      <c r="AE869" s="158" t="s">
        <v>3933</v>
      </c>
      <c r="AF869" s="159" t="s">
        <v>8299</v>
      </c>
      <c r="AG869" s="160" t="s">
        <v>2354</v>
      </c>
      <c r="AH869" s="194" t="s">
        <v>679</v>
      </c>
      <c r="AI869" s="6" t="s">
        <v>5198</v>
      </c>
      <c r="AJ869" s="3" t="s">
        <v>8256</v>
      </c>
      <c r="AK869" t="s">
        <v>8256</v>
      </c>
      <c r="AV869"/>
      <c r="AX869"/>
      <c r="AZ869" t="str">
        <f t="shared" si="243"/>
        <v/>
      </c>
      <c r="BA869" t="str">
        <f t="shared" si="244"/>
        <v/>
      </c>
    </row>
    <row r="870" spans="1:53" ht="13.5">
      <c r="A870" s="135" t="str">
        <f t="shared" si="230"/>
        <v/>
      </c>
      <c r="B870" s="19" t="str">
        <f t="shared" si="231"/>
        <v/>
      </c>
      <c r="C870" s="19" t="str">
        <f t="shared" si="232"/>
        <v/>
      </c>
      <c r="D870" s="19" t="str">
        <f t="shared" si="233"/>
        <v/>
      </c>
      <c r="E870" s="5" t="str">
        <f t="shared" si="234"/>
        <v/>
      </c>
      <c r="F870" s="12" t="str">
        <f t="shared" si="235"/>
        <v/>
      </c>
      <c r="K870" s="9" t="str">
        <f t="shared" si="236"/>
        <v/>
      </c>
      <c r="L870" s="6">
        <f t="shared" si="237"/>
        <v>0</v>
      </c>
      <c r="M870" s="6">
        <f t="shared" si="238"/>
        <v>0</v>
      </c>
      <c r="N870" s="94" t="str">
        <f t="shared" si="239"/>
        <v/>
      </c>
      <c r="O870" s="6"/>
      <c r="P870" s="6"/>
      <c r="Q870" s="6"/>
      <c r="R870" s="6"/>
      <c r="T870" s="136" t="str">
        <f t="shared" si="240"/>
        <v/>
      </c>
      <c r="U870" s="137" t="str">
        <f t="shared" si="241"/>
        <v/>
      </c>
      <c r="V870" s="1"/>
      <c r="Y870" s="90" t="str">
        <f t="shared" si="242"/>
        <v/>
      </c>
      <c r="AC870" s="6" t="s">
        <v>4246</v>
      </c>
      <c r="AD870" s="6" t="s">
        <v>7149</v>
      </c>
      <c r="AE870" s="158" t="s">
        <v>3934</v>
      </c>
      <c r="AF870" s="159" t="s">
        <v>8299</v>
      </c>
      <c r="AG870" s="160" t="s">
        <v>2790</v>
      </c>
      <c r="AH870" s="194" t="s">
        <v>1314</v>
      </c>
      <c r="AI870" s="6" t="s">
        <v>1234</v>
      </c>
      <c r="AJ870" s="3" t="s">
        <v>8237</v>
      </c>
      <c r="AK870" t="s">
        <v>8237</v>
      </c>
      <c r="AV870"/>
      <c r="AX870"/>
      <c r="AZ870" t="str">
        <f t="shared" si="243"/>
        <v/>
      </c>
      <c r="BA870" t="str">
        <f t="shared" si="244"/>
        <v/>
      </c>
    </row>
    <row r="871" spans="1:53" ht="13.5">
      <c r="A871" s="135" t="str">
        <f t="shared" si="230"/>
        <v/>
      </c>
      <c r="B871" s="19" t="str">
        <f t="shared" si="231"/>
        <v/>
      </c>
      <c r="C871" s="19" t="str">
        <f t="shared" si="232"/>
        <v/>
      </c>
      <c r="D871" s="19" t="str">
        <f t="shared" si="233"/>
        <v/>
      </c>
      <c r="E871" s="5" t="str">
        <f t="shared" si="234"/>
        <v/>
      </c>
      <c r="F871" s="12" t="str">
        <f t="shared" si="235"/>
        <v/>
      </c>
      <c r="K871" s="9" t="str">
        <f t="shared" si="236"/>
        <v/>
      </c>
      <c r="L871" s="6">
        <f t="shared" si="237"/>
        <v>0</v>
      </c>
      <c r="M871" s="6">
        <f t="shared" si="238"/>
        <v>0</v>
      </c>
      <c r="N871" s="94" t="str">
        <f t="shared" si="239"/>
        <v/>
      </c>
      <c r="O871" s="6"/>
      <c r="P871" s="6"/>
      <c r="Q871" s="6"/>
      <c r="R871" s="6"/>
      <c r="T871" s="136" t="str">
        <f t="shared" si="240"/>
        <v/>
      </c>
      <c r="U871" s="137" t="str">
        <f t="shared" si="241"/>
        <v/>
      </c>
      <c r="V871" s="1"/>
      <c r="Y871" s="90" t="str">
        <f t="shared" si="242"/>
        <v/>
      </c>
      <c r="AC871" s="6" t="s">
        <v>4096</v>
      </c>
      <c r="AD871" s="6" t="s">
        <v>7150</v>
      </c>
      <c r="AE871" s="158" t="s">
        <v>3667</v>
      </c>
      <c r="AF871" s="159" t="s">
        <v>8320</v>
      </c>
      <c r="AG871" s="160" t="s">
        <v>2355</v>
      </c>
      <c r="AH871" s="194" t="s">
        <v>1314</v>
      </c>
      <c r="AI871" s="6" t="s">
        <v>4434</v>
      </c>
      <c r="AJ871" s="3" t="s">
        <v>8207</v>
      </c>
      <c r="AK871" t="s">
        <v>8207</v>
      </c>
      <c r="AV871"/>
      <c r="AX871"/>
      <c r="AZ871" t="str">
        <f t="shared" si="243"/>
        <v/>
      </c>
      <c r="BA871" t="str">
        <f t="shared" si="244"/>
        <v/>
      </c>
    </row>
    <row r="872" spans="1:53" ht="13.5">
      <c r="A872" s="135" t="str">
        <f t="shared" ref="A872:A900" si="245">IF(ISNA(VLOOKUP(I872,AC:AD,2,FALSE)),"",VLOOKUP(I872,AC:AD,2,FALSE))</f>
        <v/>
      </c>
      <c r="B872" s="19" t="str">
        <f t="shared" ref="B872:B900" si="246">IF(ISNA(VLOOKUP(I872,AE:AF,2,FALSE)),"",VLOOKUP(I872,AE:AF,2,FALSE))</f>
        <v/>
      </c>
      <c r="C872" s="19" t="str">
        <f t="shared" ref="C872:C900" si="247">IF(ISNA(VLOOKUP(I872,AM:AN,2,FALSE)),"",VLOOKUP(I872,AM:AN,2,FALSE))</f>
        <v/>
      </c>
      <c r="D872" s="19" t="str">
        <f t="shared" ref="D872:D900" si="248">IF(ISNA(VLOOKUP(I872,AG:AH,2,FALSE)),"",VLOOKUP(I872,AG:AH,2,FALSE))</f>
        <v/>
      </c>
      <c r="E872" s="5" t="str">
        <f t="shared" si="234"/>
        <v/>
      </c>
      <c r="F872" s="12" t="str">
        <f t="shared" si="235"/>
        <v/>
      </c>
      <c r="K872" s="9" t="str">
        <f t="shared" si="236"/>
        <v/>
      </c>
      <c r="L872" s="6">
        <f t="shared" si="237"/>
        <v>0</v>
      </c>
      <c r="M872" s="6">
        <f t="shared" si="238"/>
        <v>0</v>
      </c>
      <c r="N872" s="94" t="str">
        <f t="shared" si="239"/>
        <v/>
      </c>
      <c r="O872" s="6"/>
      <c r="P872" s="6"/>
      <c r="Q872" s="6"/>
      <c r="R872" s="6"/>
      <c r="T872" s="136" t="str">
        <f t="shared" si="240"/>
        <v/>
      </c>
      <c r="U872" s="137" t="str">
        <f t="shared" si="241"/>
        <v/>
      </c>
      <c r="V872" s="1"/>
      <c r="Y872" s="90" t="str">
        <f t="shared" si="242"/>
        <v/>
      </c>
      <c r="AC872" s="6" t="s">
        <v>4097</v>
      </c>
      <c r="AD872" s="6" t="s">
        <v>7150</v>
      </c>
      <c r="AE872" s="158" t="s">
        <v>3935</v>
      </c>
      <c r="AF872" s="159" t="s">
        <v>8299</v>
      </c>
      <c r="AG872" s="160" t="s">
        <v>2356</v>
      </c>
      <c r="AH872" s="194" t="s">
        <v>679</v>
      </c>
      <c r="AI872" s="6" t="s">
        <v>3412</v>
      </c>
      <c r="AJ872" s="3" t="s">
        <v>8211</v>
      </c>
      <c r="AK872" t="s">
        <v>8242</v>
      </c>
      <c r="AV872"/>
      <c r="AX872"/>
      <c r="AZ872" t="str">
        <f t="shared" si="243"/>
        <v/>
      </c>
      <c r="BA872" t="str">
        <f t="shared" si="244"/>
        <v/>
      </c>
    </row>
    <row r="873" spans="1:53" ht="13.5">
      <c r="A873" s="135" t="str">
        <f t="shared" si="245"/>
        <v/>
      </c>
      <c r="B873" s="19" t="str">
        <f t="shared" si="246"/>
        <v/>
      </c>
      <c r="C873" s="19" t="str">
        <f t="shared" si="247"/>
        <v/>
      </c>
      <c r="D873" s="19" t="str">
        <f t="shared" si="248"/>
        <v/>
      </c>
      <c r="E873" s="5" t="str">
        <f t="shared" si="234"/>
        <v/>
      </c>
      <c r="F873" s="12" t="str">
        <f t="shared" si="235"/>
        <v/>
      </c>
      <c r="K873" s="9" t="str">
        <f t="shared" si="236"/>
        <v/>
      </c>
      <c r="L873" s="6">
        <f t="shared" si="237"/>
        <v>0</v>
      </c>
      <c r="M873" s="6">
        <f t="shared" si="238"/>
        <v>0</v>
      </c>
      <c r="N873" s="94" t="str">
        <f t="shared" si="239"/>
        <v/>
      </c>
      <c r="O873" s="6"/>
      <c r="P873" s="6"/>
      <c r="Q873" s="6"/>
      <c r="R873" s="6"/>
      <c r="T873" s="136" t="str">
        <f t="shared" si="240"/>
        <v/>
      </c>
      <c r="U873" s="137" t="str">
        <f t="shared" si="241"/>
        <v/>
      </c>
      <c r="V873" s="1"/>
      <c r="Y873" s="90" t="str">
        <f t="shared" si="242"/>
        <v/>
      </c>
      <c r="AC873" s="6" t="s">
        <v>4186</v>
      </c>
      <c r="AD873" s="6" t="s">
        <v>7151</v>
      </c>
      <c r="AE873" s="158" t="s">
        <v>4003</v>
      </c>
      <c r="AF873" s="159" t="s">
        <v>8372</v>
      </c>
      <c r="AG873" s="160" t="s">
        <v>2357</v>
      </c>
      <c r="AH873" s="194" t="s">
        <v>679</v>
      </c>
      <c r="AI873" s="6" t="s">
        <v>3287</v>
      </c>
      <c r="AJ873" s="3" t="s">
        <v>8205</v>
      </c>
      <c r="AK873" t="s">
        <v>8211</v>
      </c>
      <c r="AV873"/>
      <c r="AX873"/>
      <c r="AZ873" t="str">
        <f t="shared" si="243"/>
        <v/>
      </c>
      <c r="BA873" t="str">
        <f t="shared" si="244"/>
        <v/>
      </c>
    </row>
    <row r="874" spans="1:53" ht="13.5">
      <c r="A874" s="135" t="str">
        <f t="shared" si="245"/>
        <v/>
      </c>
      <c r="B874" s="19" t="str">
        <f t="shared" si="246"/>
        <v/>
      </c>
      <c r="C874" s="19" t="str">
        <f t="shared" si="247"/>
        <v/>
      </c>
      <c r="D874" s="19" t="str">
        <f t="shared" si="248"/>
        <v/>
      </c>
      <c r="E874" s="5" t="str">
        <f t="shared" si="234"/>
        <v/>
      </c>
      <c r="F874" s="12" t="str">
        <f t="shared" si="235"/>
        <v/>
      </c>
      <c r="K874" s="9" t="str">
        <f t="shared" si="236"/>
        <v/>
      </c>
      <c r="L874" s="6">
        <f t="shared" si="237"/>
        <v>0</v>
      </c>
      <c r="M874" s="6">
        <f t="shared" si="238"/>
        <v>0</v>
      </c>
      <c r="N874" s="94" t="str">
        <f t="shared" si="239"/>
        <v/>
      </c>
      <c r="O874" s="6"/>
      <c r="P874" s="6"/>
      <c r="Q874" s="6"/>
      <c r="R874" s="6"/>
      <c r="T874" s="136" t="str">
        <f t="shared" si="240"/>
        <v/>
      </c>
      <c r="U874" s="137" t="str">
        <f t="shared" si="241"/>
        <v/>
      </c>
      <c r="V874" s="1"/>
      <c r="Y874" s="90" t="str">
        <f t="shared" si="242"/>
        <v/>
      </c>
      <c r="AC874" s="6">
        <v>95633</v>
      </c>
      <c r="AD874" s="6" t="s">
        <v>7146</v>
      </c>
      <c r="AE874" s="158" t="s">
        <v>4004</v>
      </c>
      <c r="AF874" s="159" t="s">
        <v>8359</v>
      </c>
      <c r="AG874" s="160" t="s">
        <v>2358</v>
      </c>
      <c r="AH874" s="194" t="s">
        <v>679</v>
      </c>
      <c r="AI874" s="6" t="s">
        <v>1229</v>
      </c>
      <c r="AJ874" s="3" t="s">
        <v>8247</v>
      </c>
      <c r="AK874" t="s">
        <v>8247</v>
      </c>
      <c r="AV874"/>
      <c r="AX874"/>
      <c r="AZ874" t="str">
        <f t="shared" si="243"/>
        <v/>
      </c>
      <c r="BA874" t="str">
        <f t="shared" si="244"/>
        <v/>
      </c>
    </row>
    <row r="875" spans="1:53" ht="13.5">
      <c r="A875" s="135" t="str">
        <f t="shared" si="245"/>
        <v/>
      </c>
      <c r="B875" s="19" t="str">
        <f t="shared" si="246"/>
        <v/>
      </c>
      <c r="C875" s="19" t="str">
        <f t="shared" si="247"/>
        <v/>
      </c>
      <c r="D875" s="19" t="str">
        <f t="shared" si="248"/>
        <v/>
      </c>
      <c r="E875" s="5" t="str">
        <f t="shared" si="234"/>
        <v/>
      </c>
      <c r="F875" s="12" t="str">
        <f t="shared" si="235"/>
        <v/>
      </c>
      <c r="K875" s="9" t="str">
        <f t="shared" si="236"/>
        <v/>
      </c>
      <c r="L875" s="6">
        <f t="shared" si="237"/>
        <v>0</v>
      </c>
      <c r="M875" s="6">
        <f t="shared" si="238"/>
        <v>0</v>
      </c>
      <c r="N875" s="94" t="str">
        <f t="shared" si="239"/>
        <v/>
      </c>
      <c r="O875" s="6"/>
      <c r="P875" s="6"/>
      <c r="Q875" s="6"/>
      <c r="R875" s="6"/>
      <c r="T875" s="136" t="str">
        <f t="shared" si="240"/>
        <v/>
      </c>
      <c r="U875" s="137" t="str">
        <f t="shared" si="241"/>
        <v/>
      </c>
      <c r="V875" s="1"/>
      <c r="Y875" s="90" t="str">
        <f t="shared" si="242"/>
        <v/>
      </c>
      <c r="AC875" s="6" t="s">
        <v>2696</v>
      </c>
      <c r="AD875" s="6" t="s">
        <v>7152</v>
      </c>
      <c r="AE875" s="158" t="s">
        <v>85</v>
      </c>
      <c r="AF875" s="159" t="s">
        <v>8373</v>
      </c>
      <c r="AG875" s="160" t="s">
        <v>2802</v>
      </c>
      <c r="AH875" s="194" t="s">
        <v>679</v>
      </c>
      <c r="AI875" s="6" t="s">
        <v>3424</v>
      </c>
      <c r="AJ875" s="3" t="s">
        <v>8211</v>
      </c>
      <c r="AK875" t="s">
        <v>8242</v>
      </c>
      <c r="AV875"/>
      <c r="AX875"/>
      <c r="AZ875" t="str">
        <f t="shared" si="243"/>
        <v/>
      </c>
      <c r="BA875" t="str">
        <f t="shared" si="244"/>
        <v/>
      </c>
    </row>
    <row r="876" spans="1:53" ht="13.5">
      <c r="A876" s="135" t="str">
        <f t="shared" si="245"/>
        <v/>
      </c>
      <c r="B876" s="19" t="str">
        <f t="shared" si="246"/>
        <v/>
      </c>
      <c r="C876" s="19" t="str">
        <f t="shared" si="247"/>
        <v/>
      </c>
      <c r="D876" s="19" t="str">
        <f t="shared" si="248"/>
        <v/>
      </c>
      <c r="E876" s="5" t="str">
        <f t="shared" si="234"/>
        <v/>
      </c>
      <c r="F876" s="12" t="str">
        <f t="shared" si="235"/>
        <v/>
      </c>
      <c r="K876" s="9" t="str">
        <f t="shared" si="236"/>
        <v/>
      </c>
      <c r="L876" s="6">
        <f t="shared" si="237"/>
        <v>0</v>
      </c>
      <c r="M876" s="6">
        <f t="shared" si="238"/>
        <v>0</v>
      </c>
      <c r="N876" s="94" t="str">
        <f t="shared" si="239"/>
        <v/>
      </c>
      <c r="O876" s="6"/>
      <c r="P876" s="6"/>
      <c r="Q876" s="6"/>
      <c r="R876" s="6"/>
      <c r="T876" s="136" t="str">
        <f t="shared" si="240"/>
        <v/>
      </c>
      <c r="U876" s="137" t="str">
        <f t="shared" si="241"/>
        <v/>
      </c>
      <c r="V876" s="1"/>
      <c r="Y876" s="90" t="str">
        <f t="shared" si="242"/>
        <v/>
      </c>
      <c r="AC876" s="6" t="s">
        <v>4284</v>
      </c>
      <c r="AD876" s="6" t="s">
        <v>7063</v>
      </c>
      <c r="AE876" s="158" t="s">
        <v>86</v>
      </c>
      <c r="AF876" s="159" t="s">
        <v>8299</v>
      </c>
      <c r="AG876" s="161" t="s">
        <v>2359</v>
      </c>
      <c r="AH876" s="194" t="s">
        <v>1314</v>
      </c>
      <c r="AI876" s="6" t="s">
        <v>3417</v>
      </c>
      <c r="AJ876" s="3" t="s">
        <v>8205</v>
      </c>
      <c r="AK876" t="s">
        <v>8211</v>
      </c>
      <c r="AV876"/>
      <c r="AX876"/>
      <c r="AZ876" t="str">
        <f t="shared" si="243"/>
        <v/>
      </c>
      <c r="BA876" t="str">
        <f t="shared" si="244"/>
        <v/>
      </c>
    </row>
    <row r="877" spans="1:53" ht="13.5">
      <c r="A877" s="135" t="str">
        <f t="shared" si="245"/>
        <v/>
      </c>
      <c r="B877" s="19" t="str">
        <f t="shared" si="246"/>
        <v/>
      </c>
      <c r="C877" s="19" t="str">
        <f t="shared" si="247"/>
        <v/>
      </c>
      <c r="D877" s="19" t="str">
        <f t="shared" si="248"/>
        <v/>
      </c>
      <c r="E877" s="5" t="str">
        <f t="shared" si="234"/>
        <v/>
      </c>
      <c r="F877" s="12" t="str">
        <f t="shared" si="235"/>
        <v/>
      </c>
      <c r="K877" s="9" t="str">
        <f t="shared" si="236"/>
        <v/>
      </c>
      <c r="L877" s="6">
        <f t="shared" si="237"/>
        <v>0</v>
      </c>
      <c r="M877" s="6">
        <f t="shared" si="238"/>
        <v>0</v>
      </c>
      <c r="N877" s="94" t="str">
        <f t="shared" si="239"/>
        <v/>
      </c>
      <c r="O877" s="6"/>
      <c r="P877" s="6"/>
      <c r="Q877" s="6"/>
      <c r="R877" s="6"/>
      <c r="T877" s="136" t="str">
        <f t="shared" si="240"/>
        <v/>
      </c>
      <c r="U877" s="137" t="str">
        <f t="shared" si="241"/>
        <v/>
      </c>
      <c r="V877" s="1"/>
      <c r="Y877" s="90" t="str">
        <f t="shared" si="242"/>
        <v/>
      </c>
      <c r="AC877" s="6" t="s">
        <v>4232</v>
      </c>
      <c r="AD877" s="6" t="s">
        <v>7063</v>
      </c>
      <c r="AE877" s="158" t="s">
        <v>87</v>
      </c>
      <c r="AF877" s="159" t="s">
        <v>8356</v>
      </c>
      <c r="AG877" s="160" t="s">
        <v>2360</v>
      </c>
      <c r="AH877" s="194" t="s">
        <v>679</v>
      </c>
      <c r="AI877" s="6" t="s">
        <v>5405</v>
      </c>
      <c r="AJ877" s="3" t="s">
        <v>8204</v>
      </c>
      <c r="AK877" t="s">
        <v>8204</v>
      </c>
      <c r="AV877"/>
      <c r="AX877"/>
      <c r="AZ877" t="str">
        <f t="shared" si="243"/>
        <v/>
      </c>
      <c r="BA877" t="str">
        <f t="shared" si="244"/>
        <v/>
      </c>
    </row>
    <row r="878" spans="1:53" ht="13.5">
      <c r="A878" s="135" t="str">
        <f t="shared" si="245"/>
        <v/>
      </c>
      <c r="B878" s="19" t="str">
        <f t="shared" si="246"/>
        <v/>
      </c>
      <c r="C878" s="19" t="str">
        <f t="shared" si="247"/>
        <v/>
      </c>
      <c r="D878" s="19" t="str">
        <f t="shared" si="248"/>
        <v/>
      </c>
      <c r="E878" s="5" t="str">
        <f t="shared" si="234"/>
        <v/>
      </c>
      <c r="F878" s="12" t="str">
        <f t="shared" si="235"/>
        <v/>
      </c>
      <c r="K878" s="9" t="str">
        <f t="shared" si="236"/>
        <v/>
      </c>
      <c r="L878" s="6">
        <f t="shared" si="237"/>
        <v>0</v>
      </c>
      <c r="M878" s="6">
        <f t="shared" si="238"/>
        <v>0</v>
      </c>
      <c r="N878" s="94" t="str">
        <f t="shared" si="239"/>
        <v/>
      </c>
      <c r="O878" s="6"/>
      <c r="P878" s="6"/>
      <c r="Q878" s="6"/>
      <c r="R878" s="6"/>
      <c r="T878" s="136" t="str">
        <f t="shared" si="240"/>
        <v/>
      </c>
      <c r="U878" s="137" t="str">
        <f t="shared" si="241"/>
        <v/>
      </c>
      <c r="V878" s="1"/>
      <c r="Y878" s="90" t="str">
        <f t="shared" si="242"/>
        <v/>
      </c>
      <c r="AC878" s="6">
        <v>926429</v>
      </c>
      <c r="AD878" s="6" t="s">
        <v>7153</v>
      </c>
      <c r="AE878" s="158" t="s">
        <v>88</v>
      </c>
      <c r="AF878" s="159" t="s">
        <v>8374</v>
      </c>
      <c r="AG878" s="160" t="s">
        <v>2796</v>
      </c>
      <c r="AH878" s="194" t="s">
        <v>679</v>
      </c>
      <c r="AI878" s="6" t="s">
        <v>1272</v>
      </c>
      <c r="AJ878" s="3" t="s">
        <v>8247</v>
      </c>
      <c r="AK878" t="s">
        <v>8247</v>
      </c>
      <c r="AV878"/>
      <c r="AX878"/>
      <c r="AZ878" t="str">
        <f t="shared" si="243"/>
        <v/>
      </c>
      <c r="BA878" t="str">
        <f t="shared" si="244"/>
        <v/>
      </c>
    </row>
    <row r="879" spans="1:53" ht="13.5">
      <c r="A879" s="135" t="str">
        <f t="shared" si="245"/>
        <v/>
      </c>
      <c r="B879" s="19" t="str">
        <f t="shared" si="246"/>
        <v/>
      </c>
      <c r="C879" s="19" t="str">
        <f t="shared" si="247"/>
        <v/>
      </c>
      <c r="D879" s="19" t="str">
        <f t="shared" si="248"/>
        <v/>
      </c>
      <c r="E879" s="5" t="str">
        <f t="shared" si="234"/>
        <v/>
      </c>
      <c r="F879" s="12" t="str">
        <f t="shared" si="235"/>
        <v/>
      </c>
      <c r="K879" s="9" t="str">
        <f t="shared" si="236"/>
        <v/>
      </c>
      <c r="L879" s="6">
        <f t="shared" si="237"/>
        <v>0</v>
      </c>
      <c r="M879" s="6">
        <f t="shared" si="238"/>
        <v>0</v>
      </c>
      <c r="N879" s="94" t="str">
        <f t="shared" si="239"/>
        <v/>
      </c>
      <c r="O879" s="6"/>
      <c r="P879" s="6"/>
      <c r="Q879" s="6"/>
      <c r="R879" s="6"/>
      <c r="T879" s="136" t="str">
        <f t="shared" si="240"/>
        <v/>
      </c>
      <c r="U879" s="137" t="str">
        <f t="shared" si="241"/>
        <v/>
      </c>
      <c r="V879" s="1"/>
      <c r="Y879" s="90" t="str">
        <f t="shared" si="242"/>
        <v/>
      </c>
      <c r="AC879" s="6" t="s">
        <v>4789</v>
      </c>
      <c r="AD879" s="6" t="s">
        <v>7154</v>
      </c>
      <c r="AE879" s="158" t="s">
        <v>4005</v>
      </c>
      <c r="AF879" s="159" t="s">
        <v>8339</v>
      </c>
      <c r="AG879" s="160" t="s">
        <v>2361</v>
      </c>
      <c r="AH879" s="194" t="s">
        <v>1314</v>
      </c>
      <c r="AI879" s="6" t="s">
        <v>3421</v>
      </c>
      <c r="AJ879" s="3" t="s">
        <v>8240</v>
      </c>
      <c r="AK879" t="s">
        <v>8240</v>
      </c>
      <c r="AV879"/>
      <c r="AX879"/>
      <c r="AZ879" t="str">
        <f t="shared" si="243"/>
        <v/>
      </c>
      <c r="BA879" t="str">
        <f t="shared" si="244"/>
        <v/>
      </c>
    </row>
    <row r="880" spans="1:53" ht="13.5">
      <c r="A880" s="135" t="str">
        <f t="shared" si="245"/>
        <v/>
      </c>
      <c r="B880" s="19" t="str">
        <f t="shared" si="246"/>
        <v/>
      </c>
      <c r="C880" s="19" t="str">
        <f t="shared" si="247"/>
        <v/>
      </c>
      <c r="D880" s="19" t="str">
        <f t="shared" si="248"/>
        <v/>
      </c>
      <c r="E880" s="5" t="str">
        <f t="shared" si="234"/>
        <v/>
      </c>
      <c r="F880" s="12" t="str">
        <f t="shared" si="235"/>
        <v/>
      </c>
      <c r="K880" s="9" t="str">
        <f t="shared" si="236"/>
        <v/>
      </c>
      <c r="L880" s="6">
        <f t="shared" si="237"/>
        <v>0</v>
      </c>
      <c r="M880" s="6">
        <f t="shared" si="238"/>
        <v>0</v>
      </c>
      <c r="N880" s="94" t="str">
        <f t="shared" si="239"/>
        <v/>
      </c>
      <c r="O880" s="6"/>
      <c r="P880" s="6"/>
      <c r="Q880" s="6"/>
      <c r="R880" s="6"/>
      <c r="T880" s="136" t="str">
        <f t="shared" si="240"/>
        <v/>
      </c>
      <c r="U880" s="137" t="str">
        <f t="shared" si="241"/>
        <v/>
      </c>
      <c r="V880" s="1"/>
      <c r="Y880" s="90" t="str">
        <f t="shared" si="242"/>
        <v/>
      </c>
      <c r="AC880" s="6" t="s">
        <v>4468</v>
      </c>
      <c r="AD880" s="6" t="s">
        <v>7098</v>
      </c>
      <c r="AE880" s="158" t="s">
        <v>4006</v>
      </c>
      <c r="AF880" s="159" t="s">
        <v>8299</v>
      </c>
      <c r="AG880" s="160" t="s">
        <v>2362</v>
      </c>
      <c r="AH880" s="194" t="s">
        <v>679</v>
      </c>
      <c r="AI880" s="6" t="s">
        <v>1221</v>
      </c>
      <c r="AJ880" s="3" t="s">
        <v>8220</v>
      </c>
      <c r="AK880" t="s">
        <v>8220</v>
      </c>
      <c r="AV880"/>
      <c r="AX880"/>
      <c r="AZ880" t="str">
        <f t="shared" si="243"/>
        <v/>
      </c>
      <c r="BA880" t="str">
        <f t="shared" si="244"/>
        <v/>
      </c>
    </row>
    <row r="881" spans="1:53" ht="13.5">
      <c r="A881" s="135" t="str">
        <f t="shared" si="245"/>
        <v/>
      </c>
      <c r="B881" s="19" t="str">
        <f t="shared" si="246"/>
        <v/>
      </c>
      <c r="C881" s="19" t="str">
        <f t="shared" si="247"/>
        <v/>
      </c>
      <c r="D881" s="19" t="str">
        <f t="shared" si="248"/>
        <v/>
      </c>
      <c r="E881" s="5" t="str">
        <f t="shared" si="234"/>
        <v/>
      </c>
      <c r="F881" s="12" t="str">
        <f t="shared" si="235"/>
        <v/>
      </c>
      <c r="K881" s="9" t="str">
        <f t="shared" si="236"/>
        <v/>
      </c>
      <c r="L881" s="6">
        <f t="shared" si="237"/>
        <v>0</v>
      </c>
      <c r="M881" s="6">
        <f t="shared" si="238"/>
        <v>0</v>
      </c>
      <c r="N881" s="94" t="str">
        <f t="shared" si="239"/>
        <v/>
      </c>
      <c r="O881" s="6"/>
      <c r="P881" s="6"/>
      <c r="Q881" s="6"/>
      <c r="R881" s="6"/>
      <c r="T881" s="136" t="str">
        <f t="shared" si="240"/>
        <v/>
      </c>
      <c r="U881" s="137" t="str">
        <f t="shared" si="241"/>
        <v/>
      </c>
      <c r="V881" s="1"/>
      <c r="Y881" s="90" t="str">
        <f t="shared" si="242"/>
        <v/>
      </c>
      <c r="AC881" s="6" t="s">
        <v>5067</v>
      </c>
      <c r="AD881" s="6" t="s">
        <v>7120</v>
      </c>
      <c r="AE881" s="158" t="s">
        <v>89</v>
      </c>
      <c r="AF881" s="159" t="s">
        <v>8339</v>
      </c>
      <c r="AG881" s="160" t="s">
        <v>4365</v>
      </c>
      <c r="AH881" s="194" t="s">
        <v>679</v>
      </c>
      <c r="AI881" s="6" t="s">
        <v>3430</v>
      </c>
      <c r="AJ881" s="3" t="s">
        <v>8211</v>
      </c>
      <c r="AK881" t="s">
        <v>8242</v>
      </c>
      <c r="AV881"/>
      <c r="AX881"/>
      <c r="AZ881" t="str">
        <f t="shared" si="243"/>
        <v/>
      </c>
      <c r="BA881" t="str">
        <f t="shared" si="244"/>
        <v/>
      </c>
    </row>
    <row r="882" spans="1:53" ht="13.5">
      <c r="A882" s="135" t="str">
        <f t="shared" si="245"/>
        <v/>
      </c>
      <c r="B882" s="19" t="str">
        <f t="shared" si="246"/>
        <v/>
      </c>
      <c r="C882" s="19" t="str">
        <f t="shared" si="247"/>
        <v/>
      </c>
      <c r="D882" s="19" t="str">
        <f t="shared" si="248"/>
        <v/>
      </c>
      <c r="E882" s="5" t="str">
        <f t="shared" si="234"/>
        <v/>
      </c>
      <c r="F882" s="12" t="str">
        <f t="shared" si="235"/>
        <v/>
      </c>
      <c r="K882" s="9" t="str">
        <f t="shared" si="236"/>
        <v/>
      </c>
      <c r="L882" s="6">
        <f t="shared" si="237"/>
        <v>0</v>
      </c>
      <c r="M882" s="6">
        <f t="shared" si="238"/>
        <v>0</v>
      </c>
      <c r="N882" s="94" t="str">
        <f t="shared" si="239"/>
        <v/>
      </c>
      <c r="O882" s="6"/>
      <c r="P882" s="6"/>
      <c r="Q882" s="6"/>
      <c r="R882" s="6"/>
      <c r="T882" s="136" t="str">
        <f t="shared" si="240"/>
        <v/>
      </c>
      <c r="U882" s="137" t="str">
        <f t="shared" si="241"/>
        <v/>
      </c>
      <c r="V882" s="1"/>
      <c r="Y882" s="90" t="str">
        <f t="shared" si="242"/>
        <v/>
      </c>
      <c r="AC882" s="6" t="s">
        <v>4373</v>
      </c>
      <c r="AD882" s="6" t="s">
        <v>7155</v>
      </c>
      <c r="AE882" s="158" t="s">
        <v>4007</v>
      </c>
      <c r="AF882" s="159" t="s">
        <v>8375</v>
      </c>
      <c r="AG882" s="160" t="s">
        <v>2827</v>
      </c>
      <c r="AH882" s="194" t="s">
        <v>679</v>
      </c>
      <c r="AI882" s="6" t="s">
        <v>3419</v>
      </c>
      <c r="AJ882" s="3" t="s">
        <v>8211</v>
      </c>
      <c r="AK882" t="s">
        <v>8242</v>
      </c>
      <c r="AV882"/>
      <c r="AX882"/>
      <c r="AZ882" t="str">
        <f t="shared" si="243"/>
        <v/>
      </c>
      <c r="BA882" t="str">
        <f t="shared" si="244"/>
        <v/>
      </c>
    </row>
    <row r="883" spans="1:53" ht="13.5">
      <c r="A883" s="135" t="str">
        <f t="shared" si="245"/>
        <v/>
      </c>
      <c r="B883" s="19" t="str">
        <f t="shared" si="246"/>
        <v/>
      </c>
      <c r="C883" s="19" t="str">
        <f t="shared" si="247"/>
        <v/>
      </c>
      <c r="D883" s="19" t="str">
        <f t="shared" si="248"/>
        <v/>
      </c>
      <c r="E883" s="5" t="str">
        <f t="shared" si="234"/>
        <v/>
      </c>
      <c r="F883" s="12" t="str">
        <f t="shared" si="235"/>
        <v/>
      </c>
      <c r="K883" s="9" t="str">
        <f t="shared" si="236"/>
        <v/>
      </c>
      <c r="L883" s="6">
        <f t="shared" si="237"/>
        <v>0</v>
      </c>
      <c r="M883" s="6">
        <f t="shared" si="238"/>
        <v>0</v>
      </c>
      <c r="N883" s="94" t="str">
        <f t="shared" si="239"/>
        <v/>
      </c>
      <c r="O883" s="6"/>
      <c r="P883" s="6"/>
      <c r="Q883" s="6"/>
      <c r="R883" s="6"/>
      <c r="T883" s="136" t="str">
        <f t="shared" si="240"/>
        <v/>
      </c>
      <c r="U883" s="137" t="str">
        <f t="shared" si="241"/>
        <v/>
      </c>
      <c r="V883" s="1"/>
      <c r="Y883" s="90" t="str">
        <f t="shared" si="242"/>
        <v/>
      </c>
      <c r="AC883" s="6" t="s">
        <v>2662</v>
      </c>
      <c r="AD883" s="6" t="s">
        <v>7115</v>
      </c>
      <c r="AE883" s="158" t="s">
        <v>4008</v>
      </c>
      <c r="AF883" s="159" t="s">
        <v>8376</v>
      </c>
      <c r="AG883" s="160" t="s">
        <v>2363</v>
      </c>
      <c r="AH883" s="194" t="s">
        <v>679</v>
      </c>
      <c r="AI883" s="6" t="s">
        <v>5364</v>
      </c>
      <c r="AJ883" s="3" t="s">
        <v>8224</v>
      </c>
      <c r="AK883" t="s">
        <v>8224</v>
      </c>
      <c r="AV883"/>
      <c r="AX883"/>
      <c r="AZ883" t="str">
        <f t="shared" si="243"/>
        <v/>
      </c>
      <c r="BA883" t="str">
        <f t="shared" si="244"/>
        <v/>
      </c>
    </row>
    <row r="884" spans="1:53" ht="13.5">
      <c r="A884" s="135" t="str">
        <f t="shared" si="245"/>
        <v/>
      </c>
      <c r="B884" s="19" t="str">
        <f t="shared" si="246"/>
        <v/>
      </c>
      <c r="C884" s="19" t="str">
        <f t="shared" si="247"/>
        <v/>
      </c>
      <c r="D884" s="19" t="str">
        <f t="shared" si="248"/>
        <v/>
      </c>
      <c r="E884" s="5" t="str">
        <f t="shared" si="234"/>
        <v/>
      </c>
      <c r="F884" s="12" t="str">
        <f t="shared" si="235"/>
        <v/>
      </c>
      <c r="K884" s="9" t="str">
        <f t="shared" si="236"/>
        <v/>
      </c>
      <c r="L884" s="6">
        <f t="shared" si="237"/>
        <v>0</v>
      </c>
      <c r="M884" s="6">
        <f t="shared" si="238"/>
        <v>0</v>
      </c>
      <c r="N884" s="94" t="str">
        <f t="shared" si="239"/>
        <v/>
      </c>
      <c r="O884" s="6"/>
      <c r="P884" s="6"/>
      <c r="Q884" s="6"/>
      <c r="R884" s="6"/>
      <c r="T884" s="136" t="str">
        <f t="shared" si="240"/>
        <v/>
      </c>
      <c r="U884" s="137" t="str">
        <f t="shared" si="241"/>
        <v/>
      </c>
      <c r="V884" s="1"/>
      <c r="Y884" s="90" t="str">
        <f t="shared" si="242"/>
        <v/>
      </c>
      <c r="AC884" s="6" t="s">
        <v>4098</v>
      </c>
      <c r="AD884" s="6" t="s">
        <v>7150</v>
      </c>
      <c r="AE884" s="158" t="s">
        <v>4009</v>
      </c>
      <c r="AF884" s="159" t="s">
        <v>8342</v>
      </c>
      <c r="AG884" s="161" t="s">
        <v>2364</v>
      </c>
      <c r="AH884" s="194" t="s">
        <v>679</v>
      </c>
      <c r="AI884" s="6" t="s">
        <v>4365</v>
      </c>
      <c r="AJ884" s="3" t="s">
        <v>8206</v>
      </c>
      <c r="AK884" t="s">
        <v>8206</v>
      </c>
      <c r="AV884"/>
      <c r="AX884"/>
      <c r="AZ884" t="str">
        <f t="shared" si="243"/>
        <v/>
      </c>
      <c r="BA884" t="str">
        <f t="shared" si="244"/>
        <v/>
      </c>
    </row>
    <row r="885" spans="1:53" ht="13.5">
      <c r="A885" s="135" t="str">
        <f t="shared" si="245"/>
        <v/>
      </c>
      <c r="B885" s="19" t="str">
        <f t="shared" si="246"/>
        <v/>
      </c>
      <c r="C885" s="19" t="str">
        <f t="shared" si="247"/>
        <v/>
      </c>
      <c r="D885" s="19" t="str">
        <f t="shared" si="248"/>
        <v/>
      </c>
      <c r="E885" s="5" t="str">
        <f t="shared" si="234"/>
        <v/>
      </c>
      <c r="F885" s="12" t="str">
        <f t="shared" si="235"/>
        <v/>
      </c>
      <c r="K885" s="9" t="str">
        <f t="shared" si="236"/>
        <v/>
      </c>
      <c r="L885" s="6">
        <f t="shared" si="237"/>
        <v>0</v>
      </c>
      <c r="M885" s="6">
        <f t="shared" si="238"/>
        <v>0</v>
      </c>
      <c r="N885" s="94" t="str">
        <f t="shared" si="239"/>
        <v/>
      </c>
      <c r="O885" s="6"/>
      <c r="P885" s="6"/>
      <c r="Q885" s="6"/>
      <c r="R885" s="6"/>
      <c r="T885" s="136" t="str">
        <f t="shared" si="240"/>
        <v/>
      </c>
      <c r="U885" s="137" t="str">
        <f t="shared" si="241"/>
        <v/>
      </c>
      <c r="V885" s="1"/>
      <c r="Y885" s="90" t="str">
        <f t="shared" si="242"/>
        <v/>
      </c>
      <c r="AC885" s="6" t="s">
        <v>5108</v>
      </c>
      <c r="AD885" s="6" t="s">
        <v>7136</v>
      </c>
      <c r="AE885" s="158" t="s">
        <v>4010</v>
      </c>
      <c r="AF885" s="159" t="s">
        <v>8377</v>
      </c>
      <c r="AG885" s="160" t="s">
        <v>2365</v>
      </c>
      <c r="AH885" s="194" t="s">
        <v>679</v>
      </c>
      <c r="AI885" s="6" t="s">
        <v>5353</v>
      </c>
      <c r="AJ885" s="3" t="s">
        <v>8197</v>
      </c>
      <c r="AK885" t="s">
        <v>8197</v>
      </c>
      <c r="AV885"/>
      <c r="AX885"/>
      <c r="AZ885" t="str">
        <f t="shared" si="243"/>
        <v/>
      </c>
      <c r="BA885" t="str">
        <f t="shared" si="244"/>
        <v/>
      </c>
    </row>
    <row r="886" spans="1:53" ht="13.5">
      <c r="A886" s="135" t="str">
        <f t="shared" si="245"/>
        <v/>
      </c>
      <c r="B886" s="19" t="str">
        <f t="shared" si="246"/>
        <v/>
      </c>
      <c r="C886" s="19" t="str">
        <f t="shared" si="247"/>
        <v/>
      </c>
      <c r="D886" s="19" t="str">
        <f t="shared" si="248"/>
        <v/>
      </c>
      <c r="E886" s="5" t="str">
        <f t="shared" si="234"/>
        <v/>
      </c>
      <c r="F886" s="12" t="str">
        <f t="shared" si="235"/>
        <v/>
      </c>
      <c r="K886" s="9" t="str">
        <f t="shared" si="236"/>
        <v/>
      </c>
      <c r="L886" s="6">
        <f t="shared" si="237"/>
        <v>0</v>
      </c>
      <c r="M886" s="6">
        <f t="shared" si="238"/>
        <v>0</v>
      </c>
      <c r="N886" s="94" t="str">
        <f t="shared" si="239"/>
        <v/>
      </c>
      <c r="O886" s="6"/>
      <c r="P886" s="6"/>
      <c r="Q886" s="6"/>
      <c r="R886" s="6"/>
      <c r="T886" s="136" t="str">
        <f t="shared" si="240"/>
        <v/>
      </c>
      <c r="U886" s="137" t="str">
        <f t="shared" si="241"/>
        <v/>
      </c>
      <c r="V886" s="1"/>
      <c r="Y886" s="90" t="str">
        <f t="shared" si="242"/>
        <v/>
      </c>
      <c r="AC886" s="6" t="s">
        <v>4183</v>
      </c>
      <c r="AD886" s="6" t="s">
        <v>7063</v>
      </c>
      <c r="AE886" s="158" t="s">
        <v>90</v>
      </c>
      <c r="AF886" s="159" t="s">
        <v>8378</v>
      </c>
      <c r="AG886" s="160" t="s">
        <v>2366</v>
      </c>
      <c r="AH886" s="194" t="s">
        <v>679</v>
      </c>
      <c r="AI886" s="6" t="s">
        <v>1277</v>
      </c>
      <c r="AJ886" s="3" t="s">
        <v>8206</v>
      </c>
      <c r="AK886" t="s">
        <v>8206</v>
      </c>
      <c r="AV886"/>
      <c r="AX886"/>
      <c r="AZ886" t="str">
        <f t="shared" si="243"/>
        <v/>
      </c>
      <c r="BA886" t="str">
        <f t="shared" si="244"/>
        <v/>
      </c>
    </row>
    <row r="887" spans="1:53" ht="13.5">
      <c r="A887" s="135" t="str">
        <f t="shared" si="245"/>
        <v/>
      </c>
      <c r="B887" s="19" t="str">
        <f t="shared" si="246"/>
        <v/>
      </c>
      <c r="C887" s="19" t="str">
        <f t="shared" si="247"/>
        <v/>
      </c>
      <c r="D887" s="19" t="str">
        <f t="shared" si="248"/>
        <v/>
      </c>
      <c r="E887" s="5" t="str">
        <f t="shared" si="234"/>
        <v/>
      </c>
      <c r="F887" s="12" t="str">
        <f t="shared" si="235"/>
        <v/>
      </c>
      <c r="K887" s="9" t="str">
        <f t="shared" si="236"/>
        <v/>
      </c>
      <c r="L887" s="6">
        <f t="shared" si="237"/>
        <v>0</v>
      </c>
      <c r="M887" s="6">
        <f t="shared" si="238"/>
        <v>0</v>
      </c>
      <c r="N887" s="94" t="str">
        <f t="shared" si="239"/>
        <v/>
      </c>
      <c r="O887" s="6"/>
      <c r="P887" s="6"/>
      <c r="Q887" s="6"/>
      <c r="R887" s="6"/>
      <c r="T887" s="136" t="str">
        <f t="shared" si="240"/>
        <v/>
      </c>
      <c r="U887" s="137" t="str">
        <f t="shared" si="241"/>
        <v/>
      </c>
      <c r="V887" s="1"/>
      <c r="Y887" s="90" t="str">
        <f t="shared" si="242"/>
        <v/>
      </c>
      <c r="AC887" s="6" t="s">
        <v>2663</v>
      </c>
      <c r="AD887" s="6" t="s">
        <v>7115</v>
      </c>
      <c r="AE887" s="158" t="s">
        <v>4011</v>
      </c>
      <c r="AF887" s="159" t="s">
        <v>8379</v>
      </c>
      <c r="AG887" s="160" t="s">
        <v>2367</v>
      </c>
      <c r="AH887" s="194" t="s">
        <v>679</v>
      </c>
      <c r="AI887" s="6" t="s">
        <v>5034</v>
      </c>
      <c r="AJ887" s="3" t="s">
        <v>8206</v>
      </c>
      <c r="AK887" t="s">
        <v>8206</v>
      </c>
      <c r="AV887"/>
      <c r="AX887"/>
      <c r="AZ887" t="str">
        <f t="shared" si="243"/>
        <v/>
      </c>
      <c r="BA887" t="str">
        <f t="shared" si="244"/>
        <v/>
      </c>
    </row>
    <row r="888" spans="1:53" ht="13.5">
      <c r="A888" s="135" t="str">
        <f t="shared" si="245"/>
        <v/>
      </c>
      <c r="B888" s="19" t="str">
        <f t="shared" si="246"/>
        <v/>
      </c>
      <c r="C888" s="19" t="str">
        <f t="shared" si="247"/>
        <v/>
      </c>
      <c r="D888" s="19" t="str">
        <f t="shared" si="248"/>
        <v/>
      </c>
      <c r="E888" s="5" t="str">
        <f t="shared" si="234"/>
        <v/>
      </c>
      <c r="F888" s="12" t="str">
        <f t="shared" si="235"/>
        <v/>
      </c>
      <c r="K888" s="9" t="str">
        <f t="shared" si="236"/>
        <v/>
      </c>
      <c r="L888" s="6">
        <f t="shared" si="237"/>
        <v>0</v>
      </c>
      <c r="M888" s="6">
        <f t="shared" si="238"/>
        <v>0</v>
      </c>
      <c r="N888" s="94" t="str">
        <f t="shared" si="239"/>
        <v/>
      </c>
      <c r="O888" s="6"/>
      <c r="P888" s="6"/>
      <c r="Q888" s="6"/>
      <c r="R888" s="6"/>
      <c r="T888" s="136" t="str">
        <f t="shared" si="240"/>
        <v/>
      </c>
      <c r="U888" s="137" t="str">
        <f t="shared" si="241"/>
        <v/>
      </c>
      <c r="V888" s="1"/>
      <c r="Y888" s="90" t="str">
        <f t="shared" si="242"/>
        <v/>
      </c>
      <c r="AC888" s="6" t="s">
        <v>2664</v>
      </c>
      <c r="AD888" s="6" t="s">
        <v>7115</v>
      </c>
      <c r="AE888" s="158" t="s">
        <v>91</v>
      </c>
      <c r="AF888" s="159" t="s">
        <v>8363</v>
      </c>
      <c r="AG888" s="160" t="s">
        <v>4366</v>
      </c>
      <c r="AH888" s="194" t="s">
        <v>1314</v>
      </c>
      <c r="AI888" s="6" t="s">
        <v>1242</v>
      </c>
      <c r="AJ888" s="3" t="s">
        <v>8237</v>
      </c>
      <c r="AK888" t="s">
        <v>8237</v>
      </c>
      <c r="AV888"/>
      <c r="AX888"/>
      <c r="AZ888" t="str">
        <f t="shared" si="243"/>
        <v/>
      </c>
      <c r="BA888" t="str">
        <f t="shared" si="244"/>
        <v/>
      </c>
    </row>
    <row r="889" spans="1:53" ht="13.5">
      <c r="A889" s="135" t="str">
        <f t="shared" si="245"/>
        <v/>
      </c>
      <c r="B889" s="19" t="str">
        <f t="shared" si="246"/>
        <v/>
      </c>
      <c r="C889" s="19" t="str">
        <f t="shared" si="247"/>
        <v/>
      </c>
      <c r="D889" s="19" t="str">
        <f t="shared" si="248"/>
        <v/>
      </c>
      <c r="E889" s="5" t="str">
        <f t="shared" si="234"/>
        <v/>
      </c>
      <c r="F889" s="12" t="str">
        <f t="shared" si="235"/>
        <v/>
      </c>
      <c r="K889" s="9" t="str">
        <f t="shared" si="236"/>
        <v/>
      </c>
      <c r="L889" s="6">
        <f t="shared" si="237"/>
        <v>0</v>
      </c>
      <c r="M889" s="6">
        <f t="shared" si="238"/>
        <v>0</v>
      </c>
      <c r="N889" s="94" t="str">
        <f t="shared" si="239"/>
        <v/>
      </c>
      <c r="O889" s="6"/>
      <c r="P889" s="6"/>
      <c r="Q889" s="6"/>
      <c r="R889" s="6"/>
      <c r="T889" s="136" t="str">
        <f t="shared" si="240"/>
        <v/>
      </c>
      <c r="U889" s="137" t="str">
        <f t="shared" si="241"/>
        <v/>
      </c>
      <c r="V889" s="1"/>
      <c r="Y889" s="90" t="str">
        <f t="shared" si="242"/>
        <v/>
      </c>
      <c r="AC889" s="6" t="s">
        <v>4059</v>
      </c>
      <c r="AD889" s="6" t="s">
        <v>7156</v>
      </c>
      <c r="AE889" s="158" t="s">
        <v>92</v>
      </c>
      <c r="AF889" s="159" t="s">
        <v>8299</v>
      </c>
      <c r="AG889" s="160" t="s">
        <v>4367</v>
      </c>
      <c r="AH889" s="194" t="s">
        <v>1314</v>
      </c>
      <c r="AI889" s="6" t="s">
        <v>5379</v>
      </c>
      <c r="AJ889" s="3" t="s">
        <v>8224</v>
      </c>
      <c r="AK889" t="s">
        <v>8224</v>
      </c>
      <c r="AV889"/>
      <c r="AX889"/>
      <c r="AZ889" t="str">
        <f t="shared" si="243"/>
        <v/>
      </c>
      <c r="BA889" t="str">
        <f t="shared" si="244"/>
        <v/>
      </c>
    </row>
    <row r="890" spans="1:53" ht="13.5">
      <c r="A890" s="135" t="str">
        <f t="shared" si="245"/>
        <v/>
      </c>
      <c r="B890" s="19" t="str">
        <f t="shared" si="246"/>
        <v/>
      </c>
      <c r="C890" s="19" t="str">
        <f t="shared" si="247"/>
        <v/>
      </c>
      <c r="D890" s="19" t="str">
        <f t="shared" si="248"/>
        <v/>
      </c>
      <c r="E890" s="5" t="str">
        <f t="shared" si="234"/>
        <v/>
      </c>
      <c r="F890" s="12" t="str">
        <f t="shared" si="235"/>
        <v/>
      </c>
      <c r="K890" s="9" t="str">
        <f t="shared" si="236"/>
        <v/>
      </c>
      <c r="L890" s="6">
        <f t="shared" si="237"/>
        <v>0</v>
      </c>
      <c r="M890" s="6">
        <f t="shared" si="238"/>
        <v>0</v>
      </c>
      <c r="N890" s="94" t="str">
        <f t="shared" si="239"/>
        <v/>
      </c>
      <c r="O890" s="6"/>
      <c r="P890" s="6"/>
      <c r="Q890" s="6"/>
      <c r="R890" s="6"/>
      <c r="T890" s="136" t="str">
        <f t="shared" si="240"/>
        <v/>
      </c>
      <c r="U890" s="137" t="str">
        <f t="shared" si="241"/>
        <v/>
      </c>
      <c r="V890" s="1"/>
      <c r="Y890" s="90" t="str">
        <f t="shared" si="242"/>
        <v/>
      </c>
      <c r="AC890" s="6" t="s">
        <v>3947</v>
      </c>
      <c r="AD890" s="6" t="s">
        <v>7157</v>
      </c>
      <c r="AE890" s="158" t="s">
        <v>93</v>
      </c>
      <c r="AF890" s="159" t="s">
        <v>8380</v>
      </c>
      <c r="AG890" s="160" t="s">
        <v>4368</v>
      </c>
      <c r="AH890" s="194" t="s">
        <v>1314</v>
      </c>
      <c r="AI890" s="6" t="s">
        <v>5354</v>
      </c>
      <c r="AJ890" s="3" t="s">
        <v>8197</v>
      </c>
      <c r="AK890" t="s">
        <v>8197</v>
      </c>
      <c r="AV890"/>
      <c r="AX890"/>
      <c r="AZ890" t="str">
        <f t="shared" si="243"/>
        <v/>
      </c>
      <c r="BA890" t="str">
        <f t="shared" si="244"/>
        <v/>
      </c>
    </row>
    <row r="891" spans="1:53" ht="13.5">
      <c r="A891" s="135" t="str">
        <f t="shared" si="245"/>
        <v/>
      </c>
      <c r="B891" s="19" t="str">
        <f t="shared" si="246"/>
        <v/>
      </c>
      <c r="C891" s="19" t="str">
        <f t="shared" si="247"/>
        <v/>
      </c>
      <c r="D891" s="19" t="str">
        <f t="shared" si="248"/>
        <v/>
      </c>
      <c r="E891" s="5" t="str">
        <f t="shared" si="234"/>
        <v/>
      </c>
      <c r="F891" s="12" t="str">
        <f t="shared" si="235"/>
        <v/>
      </c>
      <c r="K891" s="9" t="str">
        <f t="shared" si="236"/>
        <v/>
      </c>
      <c r="L891" s="6">
        <f t="shared" si="237"/>
        <v>0</v>
      </c>
      <c r="M891" s="6">
        <f t="shared" si="238"/>
        <v>0</v>
      </c>
      <c r="N891" s="94" t="str">
        <f t="shared" si="239"/>
        <v/>
      </c>
      <c r="O891" s="6"/>
      <c r="P891" s="6"/>
      <c r="Q891" s="6"/>
      <c r="R891" s="6"/>
      <c r="T891" s="136" t="str">
        <f t="shared" si="240"/>
        <v/>
      </c>
      <c r="U891" s="137" t="str">
        <f t="shared" si="241"/>
        <v/>
      </c>
      <c r="V891" s="1"/>
      <c r="Y891" s="90" t="str">
        <f t="shared" si="242"/>
        <v/>
      </c>
      <c r="AC891" s="6" t="s">
        <v>2666</v>
      </c>
      <c r="AD891" s="6" t="s">
        <v>7115</v>
      </c>
      <c r="AE891" s="158" t="s">
        <v>94</v>
      </c>
      <c r="AF891" s="159" t="s">
        <v>8339</v>
      </c>
      <c r="AG891" s="160" t="s">
        <v>2772</v>
      </c>
      <c r="AH891" s="194" t="s">
        <v>1314</v>
      </c>
      <c r="AI891" s="6" t="s">
        <v>5814</v>
      </c>
      <c r="AJ891" s="3" t="s">
        <v>8213</v>
      </c>
      <c r="AK891" t="s">
        <v>8213</v>
      </c>
      <c r="AV891"/>
      <c r="AX891"/>
      <c r="AZ891" t="str">
        <f t="shared" si="243"/>
        <v/>
      </c>
      <c r="BA891" t="str">
        <f t="shared" si="244"/>
        <v/>
      </c>
    </row>
    <row r="892" spans="1:53" ht="13.5">
      <c r="A892" s="135" t="str">
        <f t="shared" si="245"/>
        <v/>
      </c>
      <c r="B892" s="19" t="str">
        <f t="shared" si="246"/>
        <v/>
      </c>
      <c r="C892" s="19" t="str">
        <f t="shared" si="247"/>
        <v/>
      </c>
      <c r="D892" s="19" t="str">
        <f t="shared" si="248"/>
        <v/>
      </c>
      <c r="E892" s="5" t="str">
        <f t="shared" si="234"/>
        <v/>
      </c>
      <c r="F892" s="12" t="str">
        <f t="shared" si="235"/>
        <v/>
      </c>
      <c r="K892" s="9" t="str">
        <f t="shared" si="236"/>
        <v/>
      </c>
      <c r="L892" s="6">
        <f t="shared" si="237"/>
        <v>0</v>
      </c>
      <c r="M892" s="6">
        <f t="shared" si="238"/>
        <v>0</v>
      </c>
      <c r="N892" s="94" t="str">
        <f t="shared" si="239"/>
        <v/>
      </c>
      <c r="O892" s="6"/>
      <c r="P892" s="6"/>
      <c r="Q892" s="6"/>
      <c r="R892" s="6"/>
      <c r="T892" s="136" t="str">
        <f t="shared" si="240"/>
        <v/>
      </c>
      <c r="U892" s="137" t="str">
        <f t="shared" si="241"/>
        <v/>
      </c>
      <c r="V892" s="1"/>
      <c r="Y892" s="90" t="str">
        <f t="shared" si="242"/>
        <v/>
      </c>
      <c r="AC892" s="6" t="s">
        <v>4195</v>
      </c>
      <c r="AD892" s="6" t="s">
        <v>7063</v>
      </c>
      <c r="AE892" s="158" t="s">
        <v>4012</v>
      </c>
      <c r="AF892" s="159" t="s">
        <v>8339</v>
      </c>
      <c r="AG892" s="160" t="s">
        <v>2773</v>
      </c>
      <c r="AH892" s="194" t="s">
        <v>1314</v>
      </c>
      <c r="AI892" s="6" t="s">
        <v>717</v>
      </c>
      <c r="AJ892" s="3" t="s">
        <v>8273</v>
      </c>
      <c r="AK892" t="s">
        <v>8273</v>
      </c>
      <c r="AV892"/>
      <c r="AX892"/>
      <c r="AZ892" t="str">
        <f t="shared" si="243"/>
        <v/>
      </c>
      <c r="BA892" t="str">
        <f t="shared" si="244"/>
        <v/>
      </c>
    </row>
    <row r="893" spans="1:53" ht="13.5">
      <c r="A893" s="135" t="str">
        <f t="shared" si="245"/>
        <v/>
      </c>
      <c r="B893" s="19" t="str">
        <f t="shared" si="246"/>
        <v/>
      </c>
      <c r="C893" s="19" t="str">
        <f t="shared" si="247"/>
        <v/>
      </c>
      <c r="D893" s="19" t="str">
        <f t="shared" si="248"/>
        <v/>
      </c>
      <c r="E893" s="5" t="str">
        <f t="shared" si="234"/>
        <v/>
      </c>
      <c r="F893" s="12" t="str">
        <f t="shared" si="235"/>
        <v/>
      </c>
      <c r="K893" s="9" t="str">
        <f t="shared" si="236"/>
        <v/>
      </c>
      <c r="L893" s="6">
        <f t="shared" si="237"/>
        <v>0</v>
      </c>
      <c r="M893" s="6">
        <f t="shared" si="238"/>
        <v>0</v>
      </c>
      <c r="N893" s="94" t="str">
        <f t="shared" si="239"/>
        <v/>
      </c>
      <c r="O893" s="6"/>
      <c r="P893" s="6"/>
      <c r="Q893" s="6"/>
      <c r="R893" s="6"/>
      <c r="T893" s="136" t="str">
        <f t="shared" si="240"/>
        <v/>
      </c>
      <c r="U893" s="137" t="str">
        <f t="shared" si="241"/>
        <v/>
      </c>
      <c r="V893" s="1"/>
      <c r="Y893" s="90" t="str">
        <f t="shared" si="242"/>
        <v/>
      </c>
      <c r="AC893" s="6" t="s">
        <v>1300</v>
      </c>
      <c r="AD893" s="6" t="s">
        <v>6897</v>
      </c>
      <c r="AE893" s="158" t="s">
        <v>95</v>
      </c>
      <c r="AF893" s="159" t="s">
        <v>8339</v>
      </c>
      <c r="AG893" s="160" t="s">
        <v>4369</v>
      </c>
      <c r="AH893" s="194" t="s">
        <v>1314</v>
      </c>
      <c r="AI893" s="6" t="s">
        <v>1016</v>
      </c>
      <c r="AJ893" s="3" t="s">
        <v>8273</v>
      </c>
      <c r="AK893" t="s">
        <v>8273</v>
      </c>
      <c r="AV893"/>
      <c r="AX893"/>
      <c r="AZ893" t="str">
        <f t="shared" si="243"/>
        <v/>
      </c>
      <c r="BA893" t="str">
        <f t="shared" si="244"/>
        <v/>
      </c>
    </row>
    <row r="894" spans="1:53" ht="13.5">
      <c r="A894" s="135" t="str">
        <f t="shared" si="245"/>
        <v/>
      </c>
      <c r="B894" s="19" t="str">
        <f t="shared" si="246"/>
        <v/>
      </c>
      <c r="C894" s="19" t="str">
        <f t="shared" si="247"/>
        <v/>
      </c>
      <c r="D894" s="19" t="str">
        <f t="shared" si="248"/>
        <v/>
      </c>
      <c r="E894" s="5" t="str">
        <f t="shared" si="234"/>
        <v/>
      </c>
      <c r="F894" s="12" t="str">
        <f t="shared" si="235"/>
        <v/>
      </c>
      <c r="K894" s="9" t="str">
        <f t="shared" si="236"/>
        <v/>
      </c>
      <c r="L894" s="6">
        <f t="shared" si="237"/>
        <v>0</v>
      </c>
      <c r="M894" s="6">
        <f t="shared" si="238"/>
        <v>0</v>
      </c>
      <c r="N894" s="94" t="str">
        <f t="shared" si="239"/>
        <v/>
      </c>
      <c r="O894" s="6"/>
      <c r="P894" s="6"/>
      <c r="Q894" s="6"/>
      <c r="R894" s="6"/>
      <c r="T894" s="136" t="str">
        <f t="shared" si="240"/>
        <v/>
      </c>
      <c r="U894" s="137" t="str">
        <f t="shared" si="241"/>
        <v/>
      </c>
      <c r="V894" s="1"/>
      <c r="Y894" s="90" t="str">
        <f t="shared" si="242"/>
        <v/>
      </c>
      <c r="AC894" s="6">
        <v>765231</v>
      </c>
      <c r="AD894" s="6" t="s">
        <v>7158</v>
      </c>
      <c r="AE894" s="158" t="s">
        <v>4013</v>
      </c>
      <c r="AF894" s="159" t="s">
        <v>8339</v>
      </c>
      <c r="AG894" s="160" t="s">
        <v>4370</v>
      </c>
      <c r="AH894" s="194" t="s">
        <v>1314</v>
      </c>
      <c r="AI894" s="6" t="s">
        <v>833</v>
      </c>
      <c r="AJ894" s="3" t="s">
        <v>8273</v>
      </c>
      <c r="AK894" t="s">
        <v>8273</v>
      </c>
      <c r="AV894"/>
      <c r="AX894"/>
      <c r="AZ894" t="str">
        <f t="shared" si="243"/>
        <v/>
      </c>
      <c r="BA894" t="str">
        <f t="shared" si="244"/>
        <v/>
      </c>
    </row>
    <row r="895" spans="1:53" ht="13.5">
      <c r="A895" s="135" t="str">
        <f t="shared" si="245"/>
        <v/>
      </c>
      <c r="B895" s="19" t="str">
        <f t="shared" si="246"/>
        <v/>
      </c>
      <c r="C895" s="19" t="str">
        <f t="shared" si="247"/>
        <v/>
      </c>
      <c r="D895" s="19" t="str">
        <f t="shared" si="248"/>
        <v/>
      </c>
      <c r="E895" s="5" t="str">
        <f t="shared" si="234"/>
        <v/>
      </c>
      <c r="F895" s="12" t="str">
        <f t="shared" si="235"/>
        <v/>
      </c>
      <c r="K895" s="9" t="str">
        <f t="shared" si="236"/>
        <v/>
      </c>
      <c r="L895" s="6">
        <f t="shared" si="237"/>
        <v>0</v>
      </c>
      <c r="M895" s="6">
        <f t="shared" si="238"/>
        <v>0</v>
      </c>
      <c r="N895" s="94" t="str">
        <f t="shared" si="239"/>
        <v/>
      </c>
      <c r="O895" s="6"/>
      <c r="P895" s="6"/>
      <c r="Q895" s="6"/>
      <c r="R895" s="6"/>
      <c r="T895" s="136" t="str">
        <f t="shared" si="240"/>
        <v/>
      </c>
      <c r="U895" s="137" t="str">
        <f t="shared" si="241"/>
        <v/>
      </c>
      <c r="V895" s="1"/>
      <c r="Y895" s="90" t="str">
        <f t="shared" si="242"/>
        <v/>
      </c>
      <c r="AC895" s="6" t="s">
        <v>2665</v>
      </c>
      <c r="AD895" s="6" t="s">
        <v>7115</v>
      </c>
      <c r="AE895" s="158" t="s">
        <v>4014</v>
      </c>
      <c r="AF895" s="159" t="s">
        <v>8299</v>
      </c>
      <c r="AG895" s="160" t="s">
        <v>4371</v>
      </c>
      <c r="AH895" s="194" t="s">
        <v>1314</v>
      </c>
      <c r="AI895" s="6" t="s">
        <v>2987</v>
      </c>
      <c r="AJ895" s="3" t="s">
        <v>8264</v>
      </c>
      <c r="AK895" t="s">
        <v>8264</v>
      </c>
      <c r="AV895"/>
      <c r="AX895"/>
      <c r="AZ895" t="str">
        <f t="shared" si="243"/>
        <v/>
      </c>
      <c r="BA895" t="str">
        <f t="shared" si="244"/>
        <v/>
      </c>
    </row>
    <row r="896" spans="1:53" ht="13.5">
      <c r="A896" s="135" t="str">
        <f t="shared" si="245"/>
        <v/>
      </c>
      <c r="B896" s="19" t="str">
        <f t="shared" si="246"/>
        <v/>
      </c>
      <c r="C896" s="19" t="str">
        <f t="shared" si="247"/>
        <v/>
      </c>
      <c r="D896" s="19" t="str">
        <f t="shared" si="248"/>
        <v/>
      </c>
      <c r="E896" s="5" t="str">
        <f t="shared" si="234"/>
        <v/>
      </c>
      <c r="F896" s="12" t="str">
        <f t="shared" si="235"/>
        <v/>
      </c>
      <c r="K896" s="9" t="str">
        <f t="shared" si="236"/>
        <v/>
      </c>
      <c r="L896" s="6">
        <f t="shared" si="237"/>
        <v>0</v>
      </c>
      <c r="M896" s="6">
        <f t="shared" si="238"/>
        <v>0</v>
      </c>
      <c r="N896" s="94" t="str">
        <f t="shared" si="239"/>
        <v/>
      </c>
      <c r="O896" s="6"/>
      <c r="P896" s="6"/>
      <c r="Q896" s="6"/>
      <c r="R896" s="6"/>
      <c r="T896" s="136" t="str">
        <f t="shared" si="240"/>
        <v/>
      </c>
      <c r="U896" s="137" t="str">
        <f t="shared" si="241"/>
        <v/>
      </c>
      <c r="V896" s="1"/>
      <c r="Y896" s="90" t="str">
        <f t="shared" si="242"/>
        <v/>
      </c>
      <c r="AC896" s="6" t="s">
        <v>4329</v>
      </c>
      <c r="AD896" s="6" t="s">
        <v>7159</v>
      </c>
      <c r="AE896" s="158" t="s">
        <v>96</v>
      </c>
      <c r="AF896" s="159" t="s">
        <v>8299</v>
      </c>
      <c r="AG896" s="160" t="s">
        <v>4372</v>
      </c>
      <c r="AH896" s="194" t="s">
        <v>1314</v>
      </c>
      <c r="AI896" s="6" t="s">
        <v>3083</v>
      </c>
      <c r="AJ896" s="3" t="s">
        <v>8204</v>
      </c>
      <c r="AK896" t="s">
        <v>8204</v>
      </c>
      <c r="AV896"/>
      <c r="AX896"/>
      <c r="AZ896" t="str">
        <f t="shared" si="243"/>
        <v/>
      </c>
      <c r="BA896" t="str">
        <f t="shared" si="244"/>
        <v/>
      </c>
    </row>
    <row r="897" spans="1:53" ht="13.5">
      <c r="A897" s="135" t="str">
        <f t="shared" si="245"/>
        <v/>
      </c>
      <c r="B897" s="19" t="str">
        <f t="shared" si="246"/>
        <v/>
      </c>
      <c r="C897" s="19" t="str">
        <f t="shared" si="247"/>
        <v/>
      </c>
      <c r="D897" s="19" t="str">
        <f t="shared" si="248"/>
        <v/>
      </c>
      <c r="E897" s="5" t="str">
        <f t="shared" si="234"/>
        <v/>
      </c>
      <c r="F897" s="12" t="str">
        <f t="shared" si="235"/>
        <v/>
      </c>
      <c r="K897" s="9" t="str">
        <f t="shared" si="236"/>
        <v/>
      </c>
      <c r="L897" s="6">
        <f t="shared" si="237"/>
        <v>0</v>
      </c>
      <c r="M897" s="6">
        <f t="shared" si="238"/>
        <v>0</v>
      </c>
      <c r="N897" s="94" t="str">
        <f t="shared" si="239"/>
        <v/>
      </c>
      <c r="O897" s="6"/>
      <c r="P897" s="6"/>
      <c r="Q897" s="6"/>
      <c r="R897" s="6"/>
      <c r="T897" s="136" t="str">
        <f t="shared" si="240"/>
        <v/>
      </c>
      <c r="U897" s="137" t="str">
        <f t="shared" si="241"/>
        <v/>
      </c>
      <c r="V897" s="1"/>
      <c r="Y897" s="90" t="str">
        <f t="shared" si="242"/>
        <v/>
      </c>
      <c r="AC897" s="6">
        <v>95634</v>
      </c>
      <c r="AD897" s="6" t="s">
        <v>7160</v>
      </c>
      <c r="AE897" s="158" t="s">
        <v>97</v>
      </c>
      <c r="AF897" s="159" t="s">
        <v>8339</v>
      </c>
      <c r="AG897" s="160" t="s">
        <v>4373</v>
      </c>
      <c r="AH897" s="194" t="s">
        <v>4700</v>
      </c>
      <c r="AI897" s="6" t="s">
        <v>3181</v>
      </c>
      <c r="AJ897" s="3" t="s">
        <v>8205</v>
      </c>
      <c r="AK897" t="s">
        <v>8211</v>
      </c>
      <c r="AV897"/>
      <c r="AX897"/>
      <c r="AZ897" t="str">
        <f t="shared" si="243"/>
        <v/>
      </c>
      <c r="BA897" t="str">
        <f t="shared" si="244"/>
        <v/>
      </c>
    </row>
    <row r="898" spans="1:53" ht="13.5">
      <c r="A898" s="135" t="str">
        <f t="shared" si="245"/>
        <v/>
      </c>
      <c r="B898" s="19" t="str">
        <f t="shared" si="246"/>
        <v/>
      </c>
      <c r="C898" s="19" t="str">
        <f t="shared" si="247"/>
        <v/>
      </c>
      <c r="D898" s="19" t="str">
        <f t="shared" si="248"/>
        <v/>
      </c>
      <c r="E898" s="5" t="str">
        <f t="shared" si="234"/>
        <v/>
      </c>
      <c r="F898" s="12" t="str">
        <f t="shared" si="235"/>
        <v/>
      </c>
      <c r="K898" s="9" t="str">
        <f t="shared" si="236"/>
        <v/>
      </c>
      <c r="L898" s="6">
        <f t="shared" si="237"/>
        <v>0</v>
      </c>
      <c r="M898" s="6">
        <f t="shared" si="238"/>
        <v>0</v>
      </c>
      <c r="N898" s="94" t="str">
        <f t="shared" si="239"/>
        <v/>
      </c>
      <c r="O898" s="6"/>
      <c r="P898" s="6"/>
      <c r="Q898" s="6"/>
      <c r="R898" s="6"/>
      <c r="T898" s="136" t="str">
        <f t="shared" si="240"/>
        <v/>
      </c>
      <c r="U898" s="137" t="str">
        <f t="shared" si="241"/>
        <v/>
      </c>
      <c r="V898" s="1"/>
      <c r="Y898" s="90" t="str">
        <f t="shared" si="242"/>
        <v/>
      </c>
      <c r="AC898" s="6" t="s">
        <v>3837</v>
      </c>
      <c r="AD898" s="6" t="s">
        <v>7161</v>
      </c>
      <c r="AE898" s="158" t="s">
        <v>108</v>
      </c>
      <c r="AF898" s="159" t="s">
        <v>8339</v>
      </c>
      <c r="AG898" s="160" t="s">
        <v>4374</v>
      </c>
      <c r="AH898" s="194" t="s">
        <v>679</v>
      </c>
      <c r="AI898" s="6" t="s">
        <v>3263</v>
      </c>
      <c r="AJ898" s="3" t="s">
        <v>8264</v>
      </c>
      <c r="AK898" t="s">
        <v>8264</v>
      </c>
      <c r="AV898"/>
      <c r="AX898"/>
      <c r="AZ898" t="str">
        <f t="shared" si="243"/>
        <v/>
      </c>
      <c r="BA898" t="str">
        <f t="shared" si="244"/>
        <v/>
      </c>
    </row>
    <row r="899" spans="1:53" ht="13.5">
      <c r="A899" s="135" t="str">
        <f t="shared" si="245"/>
        <v/>
      </c>
      <c r="B899" s="19" t="str">
        <f t="shared" si="246"/>
        <v/>
      </c>
      <c r="C899" s="19" t="str">
        <f t="shared" si="247"/>
        <v/>
      </c>
      <c r="D899" s="19" t="str">
        <f t="shared" si="248"/>
        <v/>
      </c>
      <c r="E899" s="5" t="str">
        <f t="shared" si="234"/>
        <v/>
      </c>
      <c r="F899" s="12" t="str">
        <f t="shared" si="235"/>
        <v/>
      </c>
      <c r="K899" s="9" t="str">
        <f t="shared" si="236"/>
        <v/>
      </c>
      <c r="L899" s="6">
        <f t="shared" si="237"/>
        <v>0</v>
      </c>
      <c r="M899" s="6">
        <f t="shared" si="238"/>
        <v>0</v>
      </c>
      <c r="N899" s="94" t="str">
        <f t="shared" si="239"/>
        <v/>
      </c>
      <c r="O899" s="6"/>
      <c r="P899" s="6"/>
      <c r="Q899" s="6"/>
      <c r="R899" s="6"/>
      <c r="T899" s="136" t="str">
        <f t="shared" si="240"/>
        <v/>
      </c>
      <c r="U899" s="137" t="str">
        <f t="shared" si="241"/>
        <v/>
      </c>
      <c r="V899" s="1"/>
      <c r="Y899" s="90" t="str">
        <f t="shared" si="242"/>
        <v/>
      </c>
      <c r="AC899" s="6" t="s">
        <v>3924</v>
      </c>
      <c r="AD899" s="6" t="s">
        <v>7143</v>
      </c>
      <c r="AE899" s="158" t="s">
        <v>4015</v>
      </c>
      <c r="AF899" s="159" t="s">
        <v>8339</v>
      </c>
      <c r="AG899" s="160" t="s">
        <v>4375</v>
      </c>
      <c r="AH899" s="194" t="s">
        <v>1314</v>
      </c>
      <c r="AI899" s="6" t="s">
        <v>3337</v>
      </c>
      <c r="AJ899" s="3" t="s">
        <v>8240</v>
      </c>
      <c r="AK899" t="s">
        <v>8240</v>
      </c>
      <c r="AV899"/>
      <c r="AX899"/>
      <c r="AZ899" t="str">
        <f t="shared" si="243"/>
        <v/>
      </c>
      <c r="BA899" t="str">
        <f t="shared" si="244"/>
        <v/>
      </c>
    </row>
    <row r="900" spans="1:53" ht="13.5">
      <c r="A900" s="135" t="str">
        <f t="shared" si="245"/>
        <v/>
      </c>
      <c r="B900" s="19" t="str">
        <f t="shared" si="246"/>
        <v/>
      </c>
      <c r="C900" s="19" t="str">
        <f t="shared" si="247"/>
        <v/>
      </c>
      <c r="D900" s="19" t="str">
        <f t="shared" si="248"/>
        <v/>
      </c>
      <c r="E900" s="5" t="str">
        <f t="shared" si="234"/>
        <v/>
      </c>
      <c r="F900" s="12" t="str">
        <f t="shared" si="235"/>
        <v/>
      </c>
      <c r="K900" s="9" t="str">
        <f t="shared" si="236"/>
        <v/>
      </c>
      <c r="L900" s="6">
        <f t="shared" si="237"/>
        <v>0</v>
      </c>
      <c r="M900" s="6">
        <f t="shared" si="238"/>
        <v>0</v>
      </c>
      <c r="N900" s="94" t="str">
        <f t="shared" si="239"/>
        <v/>
      </c>
      <c r="O900" s="6"/>
      <c r="P900" s="6"/>
      <c r="Q900" s="6"/>
      <c r="R900" s="6"/>
      <c r="T900" s="136" t="str">
        <f t="shared" si="240"/>
        <v/>
      </c>
      <c r="U900" s="137" t="str">
        <f t="shared" si="241"/>
        <v/>
      </c>
      <c r="V900" s="1"/>
      <c r="Y900" s="90" t="str">
        <f t="shared" si="242"/>
        <v/>
      </c>
      <c r="AC900" s="6" t="s">
        <v>3923</v>
      </c>
      <c r="AD900" s="6" t="s">
        <v>7143</v>
      </c>
      <c r="AE900" s="158" t="s">
        <v>98</v>
      </c>
      <c r="AF900" s="159" t="s">
        <v>8299</v>
      </c>
      <c r="AG900" s="160" t="s">
        <v>4376</v>
      </c>
      <c r="AH900" s="194" t="s">
        <v>679</v>
      </c>
      <c r="AI900" s="6" t="s">
        <v>3358</v>
      </c>
      <c r="AJ900" s="3" t="s">
        <v>8211</v>
      </c>
      <c r="AK900" t="s">
        <v>8242</v>
      </c>
      <c r="AV900"/>
      <c r="AX900"/>
      <c r="AZ900" t="str">
        <f t="shared" si="243"/>
        <v/>
      </c>
      <c r="BA900" t="str">
        <f t="shared" si="244"/>
        <v/>
      </c>
    </row>
    <row r="901" spans="1:53" ht="13.5">
      <c r="C901" s="19"/>
      <c r="D901" s="19"/>
      <c r="AC901" s="6" t="s">
        <v>4256</v>
      </c>
      <c r="AD901" s="6" t="s">
        <v>7162</v>
      </c>
      <c r="AE901" s="158" t="s">
        <v>99</v>
      </c>
      <c r="AF901" s="159" t="s">
        <v>8339</v>
      </c>
      <c r="AG901" s="160" t="s">
        <v>4377</v>
      </c>
      <c r="AH901" s="194" t="s">
        <v>1314</v>
      </c>
      <c r="AI901" s="6" t="s">
        <v>2900</v>
      </c>
      <c r="AJ901" s="3" t="s">
        <v>8211</v>
      </c>
      <c r="AK901" t="s">
        <v>8242</v>
      </c>
      <c r="AV901"/>
      <c r="AX901"/>
      <c r="AZ901" t="str">
        <f t="shared" si="243"/>
        <v/>
      </c>
      <c r="BA901" t="str">
        <f t="shared" si="244"/>
        <v/>
      </c>
    </row>
    <row r="902" spans="1:53" ht="13.5">
      <c r="C902" s="19"/>
      <c r="D902" s="19"/>
      <c r="AC902" s="6" t="s">
        <v>3948</v>
      </c>
      <c r="AD902" s="6" t="s">
        <v>7157</v>
      </c>
      <c r="AE902" s="158" t="s">
        <v>4016</v>
      </c>
      <c r="AF902" s="159" t="s">
        <v>8381</v>
      </c>
      <c r="AG902" s="160" t="s">
        <v>4378</v>
      </c>
      <c r="AH902" s="194" t="s">
        <v>679</v>
      </c>
      <c r="AI902" s="6" t="s">
        <v>3241</v>
      </c>
      <c r="AJ902" s="3" t="s">
        <v>8211</v>
      </c>
      <c r="AK902" t="s">
        <v>8242</v>
      </c>
      <c r="AV902"/>
      <c r="AX902"/>
      <c r="AZ902" t="str">
        <f t="shared" si="243"/>
        <v/>
      </c>
      <c r="BA902" t="str">
        <f t="shared" si="244"/>
        <v/>
      </c>
    </row>
    <row r="903" spans="1:53" ht="13.5">
      <c r="C903" s="19"/>
      <c r="D903" s="19"/>
      <c r="AC903" s="6">
        <v>145627</v>
      </c>
      <c r="AD903" s="6" t="s">
        <v>7094</v>
      </c>
      <c r="AE903" s="158" t="s">
        <v>109</v>
      </c>
      <c r="AF903" s="159" t="s">
        <v>8299</v>
      </c>
      <c r="AG903" s="160" t="s">
        <v>4379</v>
      </c>
      <c r="AH903" s="194" t="s">
        <v>679</v>
      </c>
      <c r="AI903" s="6" t="s">
        <v>3264</v>
      </c>
      <c r="AJ903" s="3" t="s">
        <v>8264</v>
      </c>
      <c r="AK903" t="s">
        <v>8264</v>
      </c>
      <c r="AV903"/>
      <c r="AX903"/>
      <c r="AZ903" t="str">
        <f t="shared" si="243"/>
        <v/>
      </c>
      <c r="BA903" t="str">
        <f t="shared" si="244"/>
        <v/>
      </c>
    </row>
    <row r="904" spans="1:53" ht="13.5">
      <c r="C904" s="19"/>
      <c r="D904" s="19"/>
      <c r="AC904" s="6" t="s">
        <v>4060</v>
      </c>
      <c r="AD904" s="6" t="s">
        <v>7163</v>
      </c>
      <c r="AE904" s="158" t="s">
        <v>100</v>
      </c>
      <c r="AF904" s="159" t="s">
        <v>8339</v>
      </c>
      <c r="AG904" s="160" t="s">
        <v>4380</v>
      </c>
      <c r="AH904" s="194" t="s">
        <v>1314</v>
      </c>
      <c r="AI904" s="6" t="s">
        <v>1857</v>
      </c>
      <c r="AJ904" s="3" t="s">
        <v>8234</v>
      </c>
      <c r="AK904" t="s">
        <v>8234</v>
      </c>
      <c r="AV904"/>
      <c r="AX904"/>
      <c r="AZ904" t="str">
        <f t="shared" si="243"/>
        <v/>
      </c>
      <c r="BA904" t="str">
        <f t="shared" si="244"/>
        <v/>
      </c>
    </row>
    <row r="905" spans="1:53" ht="13.5">
      <c r="C905" s="19"/>
      <c r="D905" s="19"/>
      <c r="AC905" s="6" t="s">
        <v>3570</v>
      </c>
      <c r="AD905" s="6" t="s">
        <v>7164</v>
      </c>
      <c r="AE905" s="158" t="s">
        <v>4017</v>
      </c>
      <c r="AF905" s="159" t="s">
        <v>8339</v>
      </c>
      <c r="AG905" s="160" t="s">
        <v>4381</v>
      </c>
      <c r="AH905" s="194" t="s">
        <v>679</v>
      </c>
      <c r="AI905" s="6" t="s">
        <v>820</v>
      </c>
      <c r="AJ905" s="3" t="s">
        <v>8263</v>
      </c>
      <c r="AK905" t="s">
        <v>8263</v>
      </c>
      <c r="AV905"/>
      <c r="AX905"/>
      <c r="AZ905" t="str">
        <f t="shared" si="243"/>
        <v/>
      </c>
      <c r="BA905" t="str">
        <f t="shared" si="244"/>
        <v/>
      </c>
    </row>
    <row r="906" spans="1:53" ht="13.5">
      <c r="C906" s="19"/>
      <c r="D906" s="19"/>
      <c r="AC906" s="6" t="s">
        <v>3988</v>
      </c>
      <c r="AD906" s="6" t="s">
        <v>7165</v>
      </c>
      <c r="AE906" s="158" t="s">
        <v>4018</v>
      </c>
      <c r="AF906" s="159" t="s">
        <v>8312</v>
      </c>
      <c r="AG906" s="160" t="s">
        <v>2757</v>
      </c>
      <c r="AH906" s="194" t="s">
        <v>678</v>
      </c>
      <c r="AI906" s="6" t="s">
        <v>3199</v>
      </c>
      <c r="AJ906" s="3" t="s">
        <v>8211</v>
      </c>
      <c r="AK906" t="s">
        <v>8242</v>
      </c>
      <c r="AV906"/>
      <c r="AX906"/>
      <c r="AZ906" t="str">
        <f t="shared" si="243"/>
        <v/>
      </c>
      <c r="BA906" t="str">
        <f t="shared" si="244"/>
        <v/>
      </c>
    </row>
    <row r="907" spans="1:53" ht="13.5">
      <c r="C907" s="19"/>
      <c r="D907" s="19"/>
      <c r="AC907" s="6">
        <v>926428</v>
      </c>
      <c r="AD907" s="6" t="s">
        <v>7153</v>
      </c>
      <c r="AE907" s="158" t="s">
        <v>101</v>
      </c>
      <c r="AF907" s="159" t="s">
        <v>8299</v>
      </c>
      <c r="AG907" s="160" t="s">
        <v>2758</v>
      </c>
      <c r="AH907" s="194" t="s">
        <v>678</v>
      </c>
      <c r="AI907" s="6" t="s">
        <v>3571</v>
      </c>
      <c r="AJ907" s="3" t="s">
        <v>8214</v>
      </c>
      <c r="AK907" t="s">
        <v>8214</v>
      </c>
      <c r="AV907"/>
      <c r="AX907"/>
      <c r="AZ907" t="str">
        <f t="shared" si="243"/>
        <v/>
      </c>
      <c r="BA907" t="str">
        <f t="shared" si="244"/>
        <v/>
      </c>
    </row>
    <row r="908" spans="1:53" ht="13.5">
      <c r="C908" s="19"/>
      <c r="D908" s="19"/>
      <c r="AC908" s="6" t="s">
        <v>3987</v>
      </c>
      <c r="AD908" s="6" t="s">
        <v>7165</v>
      </c>
      <c r="AE908" s="158" t="s">
        <v>4019</v>
      </c>
      <c r="AF908" s="159" t="s">
        <v>8339</v>
      </c>
      <c r="AG908" s="160" t="s">
        <v>2759</v>
      </c>
      <c r="AH908" s="194" t="s">
        <v>678</v>
      </c>
      <c r="AI908" s="6" t="s">
        <v>3620</v>
      </c>
      <c r="AJ908" s="3" t="s">
        <v>8270</v>
      </c>
      <c r="AK908" t="s">
        <v>8270</v>
      </c>
      <c r="AV908"/>
      <c r="AX908"/>
      <c r="AZ908" t="str">
        <f t="shared" si="243"/>
        <v/>
      </c>
      <c r="BA908" t="str">
        <f t="shared" si="244"/>
        <v/>
      </c>
    </row>
    <row r="909" spans="1:53" ht="13.5">
      <c r="C909" s="19"/>
      <c r="D909" s="19"/>
      <c r="AC909" s="6" t="s">
        <v>3984</v>
      </c>
      <c r="AD909" s="6" t="s">
        <v>7165</v>
      </c>
      <c r="AE909" s="158" t="s">
        <v>4020</v>
      </c>
      <c r="AF909" s="159" t="s">
        <v>8312</v>
      </c>
      <c r="AG909" s="160" t="s">
        <v>2760</v>
      </c>
      <c r="AH909" s="194" t="s">
        <v>678</v>
      </c>
      <c r="AI909" s="6" t="s">
        <v>2001</v>
      </c>
      <c r="AJ909" s="3" t="s">
        <v>8222</v>
      </c>
      <c r="AK909" t="s">
        <v>8670</v>
      </c>
      <c r="AV909"/>
      <c r="AX909"/>
      <c r="AZ909" t="str">
        <f t="shared" si="243"/>
        <v/>
      </c>
      <c r="BA909" t="str">
        <f t="shared" si="244"/>
        <v/>
      </c>
    </row>
    <row r="910" spans="1:53" ht="13.5">
      <c r="C910" s="19"/>
      <c r="D910" s="19"/>
      <c r="AC910" s="6" t="s">
        <v>3928</v>
      </c>
      <c r="AD910" s="6" t="s">
        <v>7166</v>
      </c>
      <c r="AE910" s="158" t="s">
        <v>4021</v>
      </c>
      <c r="AF910" s="159" t="s">
        <v>8299</v>
      </c>
      <c r="AG910" s="160" t="s">
        <v>2761</v>
      </c>
      <c r="AH910" s="194" t="s">
        <v>679</v>
      </c>
      <c r="AI910" s="6" t="s">
        <v>2005</v>
      </c>
      <c r="AJ910" s="3" t="s">
        <v>8227</v>
      </c>
      <c r="AK910" t="s">
        <v>8227</v>
      </c>
      <c r="AV910"/>
      <c r="AX910"/>
      <c r="AZ910" t="str">
        <f t="shared" si="243"/>
        <v/>
      </c>
      <c r="BA910" t="str">
        <f t="shared" si="244"/>
        <v/>
      </c>
    </row>
    <row r="911" spans="1:53" ht="13.5">
      <c r="C911" s="19"/>
      <c r="D911" s="19"/>
      <c r="AC911" s="6" t="s">
        <v>3986</v>
      </c>
      <c r="AD911" s="6" t="s">
        <v>7165</v>
      </c>
      <c r="AE911" s="158" t="s">
        <v>4022</v>
      </c>
      <c r="AF911" s="159" t="s">
        <v>8299</v>
      </c>
      <c r="AG911" s="160" t="s">
        <v>2762</v>
      </c>
      <c r="AH911" s="194" t="s">
        <v>678</v>
      </c>
      <c r="AI911" s="6" t="s">
        <v>2619</v>
      </c>
      <c r="AJ911" s="3" t="s">
        <v>8251</v>
      </c>
      <c r="AK911" t="s">
        <v>8251</v>
      </c>
      <c r="AV911"/>
      <c r="AX911"/>
      <c r="AZ911" t="str">
        <f t="shared" si="243"/>
        <v/>
      </c>
      <c r="BA911" t="str">
        <f t="shared" si="244"/>
        <v/>
      </c>
    </row>
    <row r="912" spans="1:53" ht="13.5">
      <c r="C912" s="19"/>
      <c r="D912" s="19"/>
      <c r="AC912" s="6" t="s">
        <v>3989</v>
      </c>
      <c r="AD912" s="6" t="s">
        <v>7165</v>
      </c>
      <c r="AE912" s="158" t="s">
        <v>4023</v>
      </c>
      <c r="AF912" s="159" t="s">
        <v>8299</v>
      </c>
      <c r="AG912" s="160" t="s">
        <v>2763</v>
      </c>
      <c r="AH912" s="194" t="s">
        <v>679</v>
      </c>
      <c r="AI912" s="6" t="s">
        <v>3642</v>
      </c>
      <c r="AJ912" s="3" t="s">
        <v>8199</v>
      </c>
      <c r="AK912" t="s">
        <v>8199</v>
      </c>
      <c r="AV912"/>
      <c r="AX912"/>
      <c r="AZ912" t="str">
        <f t="shared" si="243"/>
        <v/>
      </c>
      <c r="BA912" t="str">
        <f t="shared" si="244"/>
        <v/>
      </c>
    </row>
    <row r="913" spans="3:53" ht="13.5">
      <c r="C913" s="19"/>
      <c r="D913" s="19"/>
      <c r="AC913" s="6" t="s">
        <v>3985</v>
      </c>
      <c r="AD913" s="6" t="s">
        <v>7165</v>
      </c>
      <c r="AE913" s="158" t="s">
        <v>102</v>
      </c>
      <c r="AF913" s="159" t="s">
        <v>8299</v>
      </c>
      <c r="AG913" s="160" t="s">
        <v>2764</v>
      </c>
      <c r="AH913" s="194" t="s">
        <v>679</v>
      </c>
      <c r="AI913" s="6" t="s">
        <v>3694</v>
      </c>
      <c r="AJ913" s="3" t="s">
        <v>8250</v>
      </c>
      <c r="AK913" t="s">
        <v>8250</v>
      </c>
      <c r="AV913"/>
      <c r="AX913"/>
      <c r="AZ913" t="str">
        <f t="shared" si="243"/>
        <v/>
      </c>
      <c r="BA913" t="str">
        <f t="shared" si="244"/>
        <v/>
      </c>
    </row>
    <row r="914" spans="3:53" ht="13.5">
      <c r="C914" s="19"/>
      <c r="D914" s="19"/>
      <c r="AC914" s="6" t="s">
        <v>5065</v>
      </c>
      <c r="AD914" s="6" t="s">
        <v>7167</v>
      </c>
      <c r="AE914" s="158" t="s">
        <v>106</v>
      </c>
      <c r="AF914" s="159" t="s">
        <v>8339</v>
      </c>
      <c r="AG914" s="160" t="s">
        <v>2765</v>
      </c>
      <c r="AH914" s="194" t="s">
        <v>1314</v>
      </c>
      <c r="AI914" s="6" t="s">
        <v>981</v>
      </c>
      <c r="AJ914" s="3" t="s">
        <v>8216</v>
      </c>
      <c r="AK914" t="s">
        <v>8216</v>
      </c>
      <c r="AV914"/>
      <c r="AX914"/>
      <c r="AZ914" t="str">
        <f t="shared" si="243"/>
        <v/>
      </c>
      <c r="BA914" t="str">
        <f t="shared" si="244"/>
        <v/>
      </c>
    </row>
    <row r="915" spans="3:53" ht="13.5">
      <c r="C915" s="19"/>
      <c r="D915" s="19"/>
      <c r="AC915" s="6" t="s">
        <v>3951</v>
      </c>
      <c r="AD915" s="6" t="s">
        <v>7168</v>
      </c>
      <c r="AE915" s="158" t="s">
        <v>103</v>
      </c>
      <c r="AF915" s="159" t="s">
        <v>8299</v>
      </c>
      <c r="AG915" s="160" t="s">
        <v>4382</v>
      </c>
      <c r="AH915" s="194" t="s">
        <v>1314</v>
      </c>
      <c r="AI915" s="6" t="s">
        <v>3715</v>
      </c>
      <c r="AJ915" s="3" t="s">
        <v>8245</v>
      </c>
      <c r="AK915" t="s">
        <v>8676</v>
      </c>
      <c r="AV915"/>
      <c r="AX915"/>
      <c r="AZ915" t="str">
        <f t="shared" si="243"/>
        <v/>
      </c>
      <c r="BA915" t="str">
        <f t="shared" si="244"/>
        <v/>
      </c>
    </row>
    <row r="916" spans="3:53" ht="13.5">
      <c r="C916" s="19"/>
      <c r="D916" s="19"/>
      <c r="AC916" s="6" t="s">
        <v>3934</v>
      </c>
      <c r="AD916" s="6" t="s">
        <v>7169</v>
      </c>
      <c r="AE916" s="158" t="s">
        <v>104</v>
      </c>
      <c r="AF916" s="159" t="s">
        <v>8339</v>
      </c>
      <c r="AG916" s="160" t="s">
        <v>2766</v>
      </c>
      <c r="AH916" s="194" t="s">
        <v>1314</v>
      </c>
      <c r="AI916" s="6" t="s">
        <v>1599</v>
      </c>
      <c r="AJ916" s="3" t="s">
        <v>8224</v>
      </c>
      <c r="AK916" t="s">
        <v>8224</v>
      </c>
      <c r="AV916"/>
      <c r="AX916"/>
      <c r="AZ916" t="str">
        <f t="shared" si="243"/>
        <v/>
      </c>
      <c r="BA916" t="str">
        <f t="shared" si="244"/>
        <v/>
      </c>
    </row>
    <row r="917" spans="3:53" ht="13.5">
      <c r="C917" s="19"/>
      <c r="D917" s="19"/>
      <c r="AC917" s="6" t="s">
        <v>3926</v>
      </c>
      <c r="AD917" s="6" t="s">
        <v>7129</v>
      </c>
      <c r="AE917" s="158" t="s">
        <v>4024</v>
      </c>
      <c r="AF917" s="159" t="s">
        <v>8339</v>
      </c>
      <c r="AG917" s="160" t="s">
        <v>2767</v>
      </c>
      <c r="AH917" s="194" t="s">
        <v>1314</v>
      </c>
      <c r="AI917" s="6" t="s">
        <v>1804</v>
      </c>
      <c r="AJ917" s="3" t="s">
        <v>8238</v>
      </c>
      <c r="AK917" t="s">
        <v>8673</v>
      </c>
      <c r="AV917"/>
      <c r="AX917"/>
      <c r="AZ917" t="str">
        <f t="shared" si="243"/>
        <v/>
      </c>
      <c r="BA917" t="str">
        <f t="shared" si="244"/>
        <v/>
      </c>
    </row>
    <row r="918" spans="3:53" ht="13.5">
      <c r="C918" s="19"/>
      <c r="D918" s="19"/>
      <c r="AC918" s="6" t="s">
        <v>3933</v>
      </c>
      <c r="AD918" s="6" t="s">
        <v>7170</v>
      </c>
      <c r="AE918" s="158" t="s">
        <v>4025</v>
      </c>
      <c r="AF918" s="159" t="s">
        <v>8299</v>
      </c>
      <c r="AG918" s="160" t="s">
        <v>2768</v>
      </c>
      <c r="AH918" s="194" t="s">
        <v>679</v>
      </c>
      <c r="AI918" s="6" t="s">
        <v>714</v>
      </c>
      <c r="AJ918" s="3" t="s">
        <v>8263</v>
      </c>
      <c r="AK918" t="s">
        <v>8263</v>
      </c>
      <c r="AV918"/>
      <c r="AX918"/>
      <c r="AZ918" t="str">
        <f t="shared" si="243"/>
        <v/>
      </c>
      <c r="BA918" t="str">
        <f t="shared" si="244"/>
        <v/>
      </c>
    </row>
    <row r="919" spans="3:53" ht="13.5">
      <c r="C919" s="19"/>
      <c r="D919" s="19"/>
      <c r="AC919" s="6">
        <v>95631</v>
      </c>
      <c r="AD919" s="6" t="s">
        <v>7171</v>
      </c>
      <c r="AE919" s="158" t="s">
        <v>105</v>
      </c>
      <c r="AF919" s="159" t="s">
        <v>8339</v>
      </c>
      <c r="AG919" s="160" t="s">
        <v>2769</v>
      </c>
      <c r="AH919" s="194" t="s">
        <v>679</v>
      </c>
      <c r="AI919" s="6" t="s">
        <v>728</v>
      </c>
      <c r="AJ919" s="3" t="s">
        <v>8234</v>
      </c>
      <c r="AK919" t="s">
        <v>8234</v>
      </c>
      <c r="AV919"/>
      <c r="AX919"/>
      <c r="AZ919" t="str">
        <f t="shared" si="243"/>
        <v/>
      </c>
      <c r="BA919" t="str">
        <f t="shared" si="244"/>
        <v/>
      </c>
    </row>
    <row r="920" spans="3:53" ht="13.5">
      <c r="C920" s="19"/>
      <c r="D920" s="19"/>
      <c r="AC920" s="6" t="s">
        <v>5201</v>
      </c>
      <c r="AD920" s="6" t="s">
        <v>7172</v>
      </c>
      <c r="AE920" s="158" t="s">
        <v>4026</v>
      </c>
      <c r="AF920" s="159" t="s">
        <v>8299</v>
      </c>
      <c r="AG920" s="160" t="s">
        <v>2770</v>
      </c>
      <c r="AH920" s="194" t="s">
        <v>1314</v>
      </c>
      <c r="AI920" s="6" t="s">
        <v>796</v>
      </c>
      <c r="AJ920" s="3" t="s">
        <v>8273</v>
      </c>
      <c r="AK920" t="s">
        <v>8273</v>
      </c>
      <c r="AV920"/>
      <c r="AX920"/>
      <c r="AZ920" t="str">
        <f t="shared" si="243"/>
        <v/>
      </c>
      <c r="BA920" t="str">
        <f t="shared" si="244"/>
        <v/>
      </c>
    </row>
    <row r="921" spans="3:53" ht="13.5">
      <c r="C921" s="19"/>
      <c r="D921" s="19"/>
      <c r="AC921" s="6" t="s">
        <v>3927</v>
      </c>
      <c r="AD921" s="6" t="s">
        <v>7173</v>
      </c>
      <c r="AE921" s="158" t="s">
        <v>4027</v>
      </c>
      <c r="AF921" s="159" t="s">
        <v>8299</v>
      </c>
      <c r="AG921" s="160" t="s">
        <v>2771</v>
      </c>
      <c r="AH921" s="194" t="s">
        <v>1314</v>
      </c>
      <c r="AI921" s="6" t="s">
        <v>818</v>
      </c>
      <c r="AJ921" s="3" t="s">
        <v>8234</v>
      </c>
      <c r="AK921" t="s">
        <v>8234</v>
      </c>
      <c r="AV921"/>
      <c r="AX921"/>
      <c r="AZ921" t="str">
        <f t="shared" si="243"/>
        <v/>
      </c>
      <c r="BA921" t="str">
        <f t="shared" si="244"/>
        <v/>
      </c>
    </row>
    <row r="922" spans="3:53" ht="13.5">
      <c r="C922" s="19"/>
      <c r="D922" s="19"/>
      <c r="AC922" s="6" t="s">
        <v>4368</v>
      </c>
      <c r="AD922" s="6" t="s">
        <v>7174</v>
      </c>
      <c r="AE922" s="158" t="s">
        <v>4029</v>
      </c>
      <c r="AF922" s="159" t="s">
        <v>8299</v>
      </c>
      <c r="AG922" s="161" t="s">
        <v>4383</v>
      </c>
      <c r="AH922" s="194" t="s">
        <v>679</v>
      </c>
      <c r="AI922" s="6" t="s">
        <v>830</v>
      </c>
      <c r="AJ922" s="3" t="s">
        <v>8273</v>
      </c>
      <c r="AK922" t="s">
        <v>8273</v>
      </c>
      <c r="AV922"/>
      <c r="AX922"/>
      <c r="AZ922" t="str">
        <f t="shared" si="243"/>
        <v/>
      </c>
      <c r="BA922" t="str">
        <f t="shared" si="244"/>
        <v/>
      </c>
    </row>
    <row r="923" spans="3:53" ht="13.5">
      <c r="C923" s="19"/>
      <c r="D923" s="19"/>
      <c r="AC923" s="6" t="s">
        <v>4194</v>
      </c>
      <c r="AD923" s="6" t="s">
        <v>7175</v>
      </c>
      <c r="AE923" s="158" t="s">
        <v>4030</v>
      </c>
      <c r="AF923" s="159" t="s">
        <v>8299</v>
      </c>
      <c r="AG923" s="160" t="s">
        <v>4384</v>
      </c>
      <c r="AH923" s="194" t="s">
        <v>1314</v>
      </c>
      <c r="AI923" s="6" t="s">
        <v>1982</v>
      </c>
      <c r="AJ923" s="3" t="s">
        <v>8217</v>
      </c>
      <c r="AK923" t="s">
        <v>8668</v>
      </c>
      <c r="AV923"/>
      <c r="AX923"/>
      <c r="AZ923" t="str">
        <f t="shared" ref="AZ923:AZ986" si="249">IF(ISBLANK(AW923),"",CONCATENATE("(",RIGHT(AW923,5),"-",TEXT(AX923,"h:mm;@"),")"))</f>
        <v/>
      </c>
      <c r="BA923" t="str">
        <f t="shared" ref="BA923:BA986" si="250">IF(AV939=AV923,"",CONCATENATE(IF(AV938=AV923,BA938,""),IF(AV937=AV923,BA937,""),IF(AV936=AV923,BA936,""),IF(AV935=AV923,BA935,""),IF(AV934=AV923,BA934,""),IF(AV933=AV923,BA933,""),IF(AV932=AV923,BA932,""),IF(AV931=AV923,BA931,""),IF(AV930=AV923,BA930,""),IF(AV929=AV923,BA929,""),IF(AV928=AV923,BA928,""),IF(AV927=AV923,BA927,""),IF(AV926=AV923,BA926,""),IF(AV925=AV923,BA925,""),IF(AV924=AV923,BA924,""),IF(AV922=AV923,BA922,""),BA923))</f>
        <v/>
      </c>
    </row>
    <row r="924" spans="3:53" ht="13.5">
      <c r="C924" s="19"/>
      <c r="D924" s="19"/>
      <c r="AC924" s="6" t="s">
        <v>3866</v>
      </c>
      <c r="AD924" s="6" t="s">
        <v>7176</v>
      </c>
      <c r="AE924" s="158" t="s">
        <v>4055</v>
      </c>
      <c r="AF924" s="159" t="s">
        <v>8296</v>
      </c>
      <c r="AG924" s="160" t="s">
        <v>4385</v>
      </c>
      <c r="AH924" s="194" t="s">
        <v>679</v>
      </c>
      <c r="AI924" s="6" t="s">
        <v>1986</v>
      </c>
      <c r="AJ924" s="3" t="s">
        <v>8217</v>
      </c>
      <c r="AK924" t="s">
        <v>8668</v>
      </c>
      <c r="AV924"/>
      <c r="AX924"/>
      <c r="AZ924" t="str">
        <f t="shared" si="249"/>
        <v/>
      </c>
      <c r="BA924" t="str">
        <f t="shared" si="250"/>
        <v/>
      </c>
    </row>
    <row r="925" spans="3:53" ht="13.5">
      <c r="C925" s="19"/>
      <c r="D925" s="19"/>
      <c r="AC925" s="6" t="s">
        <v>4338</v>
      </c>
      <c r="AD925" s="6" t="s">
        <v>7177</v>
      </c>
      <c r="AE925" s="158" t="s">
        <v>3668</v>
      </c>
      <c r="AF925" s="159" t="s">
        <v>8299</v>
      </c>
      <c r="AG925" s="160" t="s">
        <v>4386</v>
      </c>
      <c r="AH925" s="194" t="s">
        <v>679</v>
      </c>
      <c r="AI925" s="6" t="s">
        <v>1989</v>
      </c>
      <c r="AJ925" s="3" t="s">
        <v>8217</v>
      </c>
      <c r="AK925" t="s">
        <v>8668</v>
      </c>
      <c r="AV925"/>
      <c r="AX925"/>
      <c r="AZ925" t="str">
        <f t="shared" si="249"/>
        <v/>
      </c>
      <c r="BA925" t="str">
        <f t="shared" si="250"/>
        <v/>
      </c>
    </row>
    <row r="926" spans="3:53" ht="13.5">
      <c r="C926" s="19"/>
      <c r="D926" s="19"/>
      <c r="AC926" s="6" t="s">
        <v>4228</v>
      </c>
      <c r="AD926" s="6" t="s">
        <v>7063</v>
      </c>
      <c r="AE926" s="158" t="s">
        <v>3669</v>
      </c>
      <c r="AF926" s="159" t="s">
        <v>8331</v>
      </c>
      <c r="AG926" s="160" t="s">
        <v>4387</v>
      </c>
      <c r="AH926" s="194" t="s">
        <v>679</v>
      </c>
      <c r="AI926" s="6" t="s">
        <v>2981</v>
      </c>
      <c r="AJ926" s="3" t="s">
        <v>8240</v>
      </c>
      <c r="AK926" t="s">
        <v>8240</v>
      </c>
      <c r="AV926"/>
      <c r="AX926"/>
      <c r="AZ926" t="str">
        <f t="shared" si="249"/>
        <v/>
      </c>
      <c r="BA926" t="str">
        <f t="shared" si="250"/>
        <v/>
      </c>
    </row>
    <row r="927" spans="3:53" ht="13.5">
      <c r="C927" s="19"/>
      <c r="D927" s="19"/>
      <c r="AC927" s="6" t="s">
        <v>4372</v>
      </c>
      <c r="AD927" s="6" t="s">
        <v>7178</v>
      </c>
      <c r="AE927" s="158" t="s">
        <v>3670</v>
      </c>
      <c r="AF927" s="159" t="s">
        <v>8332</v>
      </c>
      <c r="AG927" s="160" t="s">
        <v>4388</v>
      </c>
      <c r="AH927" s="194" t="s">
        <v>1314</v>
      </c>
      <c r="AI927" s="6" t="s">
        <v>3166</v>
      </c>
      <c r="AJ927" s="3" t="s">
        <v>8220</v>
      </c>
      <c r="AK927" t="s">
        <v>8220</v>
      </c>
      <c r="AV927"/>
      <c r="AX927"/>
      <c r="AZ927" t="str">
        <f t="shared" si="249"/>
        <v/>
      </c>
      <c r="BA927" t="str">
        <f t="shared" si="250"/>
        <v/>
      </c>
    </row>
    <row r="928" spans="3:53" ht="13.5">
      <c r="C928" s="19"/>
      <c r="D928" s="19"/>
      <c r="AC928" s="6" t="s">
        <v>3656</v>
      </c>
      <c r="AD928" s="6" t="s">
        <v>7179</v>
      </c>
      <c r="AE928" s="158" t="s">
        <v>3671</v>
      </c>
      <c r="AF928" s="159" t="s">
        <v>8299</v>
      </c>
      <c r="AG928" s="160" t="s">
        <v>4389</v>
      </c>
      <c r="AH928" s="194" t="s">
        <v>1314</v>
      </c>
      <c r="AI928" s="6" t="s">
        <v>3256</v>
      </c>
      <c r="AJ928" s="3" t="s">
        <v>8246</v>
      </c>
      <c r="AK928" t="s">
        <v>8246</v>
      </c>
      <c r="AV928"/>
      <c r="AX928"/>
      <c r="AZ928" t="str">
        <f t="shared" si="249"/>
        <v/>
      </c>
      <c r="BA928" t="str">
        <f t="shared" si="250"/>
        <v/>
      </c>
    </row>
    <row r="929" spans="3:53" ht="13.5">
      <c r="C929" s="19"/>
      <c r="D929" s="19"/>
      <c r="AC929" s="6">
        <v>926427</v>
      </c>
      <c r="AD929" s="6" t="s">
        <v>7180</v>
      </c>
      <c r="AE929" s="158" t="s">
        <v>3672</v>
      </c>
      <c r="AF929" s="159" t="s">
        <v>8297</v>
      </c>
      <c r="AG929" s="161" t="s">
        <v>1265</v>
      </c>
      <c r="AH929" s="194" t="s">
        <v>678</v>
      </c>
      <c r="AI929" s="6" t="s">
        <v>3291</v>
      </c>
      <c r="AJ929" s="3" t="s">
        <v>8220</v>
      </c>
      <c r="AK929" t="s">
        <v>8220</v>
      </c>
      <c r="AV929"/>
      <c r="AX929"/>
      <c r="AZ929" t="str">
        <f t="shared" si="249"/>
        <v/>
      </c>
      <c r="BA929" t="str">
        <f t="shared" si="250"/>
        <v/>
      </c>
    </row>
    <row r="930" spans="3:53" ht="13.5">
      <c r="C930" s="19"/>
      <c r="D930" s="19"/>
      <c r="AC930" s="6" t="s">
        <v>3868</v>
      </c>
      <c r="AD930" s="6" t="s">
        <v>7176</v>
      </c>
      <c r="AE930" s="158" t="s">
        <v>4056</v>
      </c>
      <c r="AF930" s="159" t="s">
        <v>8299</v>
      </c>
      <c r="AG930" s="160" t="s">
        <v>2825</v>
      </c>
      <c r="AH930" s="194" t="s">
        <v>679</v>
      </c>
      <c r="AI930" s="6" t="s">
        <v>3904</v>
      </c>
      <c r="AJ930" s="3" t="s">
        <v>8229</v>
      </c>
      <c r="AK930" t="s">
        <v>8229</v>
      </c>
      <c r="AV930"/>
      <c r="AX930"/>
      <c r="AZ930" t="str">
        <f t="shared" si="249"/>
        <v/>
      </c>
      <c r="BA930" t="str">
        <f t="shared" si="250"/>
        <v/>
      </c>
    </row>
    <row r="931" spans="3:53" ht="13.5">
      <c r="C931" s="19"/>
      <c r="D931" s="19"/>
      <c r="AC931" s="6" t="s">
        <v>4285</v>
      </c>
      <c r="AD931" s="6" t="s">
        <v>7181</v>
      </c>
      <c r="AE931" s="158" t="s">
        <v>4057</v>
      </c>
      <c r="AF931" s="159" t="s">
        <v>8299</v>
      </c>
      <c r="AG931" s="160" t="s">
        <v>4733</v>
      </c>
      <c r="AH931" s="194" t="s">
        <v>678</v>
      </c>
      <c r="AI931" s="6" t="s">
        <v>2650</v>
      </c>
      <c r="AJ931" s="3" t="s">
        <v>8241</v>
      </c>
      <c r="AK931" t="s">
        <v>8675</v>
      </c>
      <c r="AV931"/>
      <c r="AX931"/>
      <c r="AZ931" t="str">
        <f t="shared" si="249"/>
        <v/>
      </c>
      <c r="BA931" t="str">
        <f t="shared" si="250"/>
        <v/>
      </c>
    </row>
    <row r="932" spans="3:53" ht="13.5">
      <c r="C932" s="19"/>
      <c r="D932" s="19"/>
      <c r="AC932" s="6">
        <v>425706</v>
      </c>
      <c r="AD932" s="6" t="s">
        <v>7182</v>
      </c>
      <c r="AE932" s="158" t="s">
        <v>3604</v>
      </c>
      <c r="AF932" s="159" t="s">
        <v>8287</v>
      </c>
      <c r="AG932" s="160" t="s">
        <v>4707</v>
      </c>
      <c r="AH932" s="194" t="s">
        <v>678</v>
      </c>
      <c r="AI932" s="6" t="s">
        <v>2660</v>
      </c>
      <c r="AJ932" s="3" t="s">
        <v>8274</v>
      </c>
      <c r="AK932" t="s">
        <v>8274</v>
      </c>
      <c r="AV932"/>
      <c r="AX932"/>
      <c r="AZ932" t="str">
        <f t="shared" si="249"/>
        <v/>
      </c>
      <c r="BA932" t="str">
        <f t="shared" si="250"/>
        <v/>
      </c>
    </row>
    <row r="933" spans="3:53" ht="13.5">
      <c r="C933" s="19"/>
      <c r="D933" s="19"/>
      <c r="AC933" s="6" t="s">
        <v>4255</v>
      </c>
      <c r="AD933" s="6" t="s">
        <v>7183</v>
      </c>
      <c r="AE933" s="158" t="s">
        <v>3605</v>
      </c>
      <c r="AF933" s="159" t="s">
        <v>8297</v>
      </c>
      <c r="AG933" s="160" t="s">
        <v>1305</v>
      </c>
      <c r="AH933" s="194" t="s">
        <v>679</v>
      </c>
      <c r="AI933" s="6" t="s">
        <v>3984</v>
      </c>
      <c r="AJ933" s="3" t="s">
        <v>8260</v>
      </c>
      <c r="AK933" t="s">
        <v>8678</v>
      </c>
      <c r="AV933"/>
      <c r="AX933"/>
      <c r="AZ933" t="str">
        <f t="shared" si="249"/>
        <v/>
      </c>
      <c r="BA933" t="str">
        <f t="shared" si="250"/>
        <v/>
      </c>
    </row>
    <row r="934" spans="3:53" ht="13.5">
      <c r="C934" s="19"/>
      <c r="D934" s="19"/>
      <c r="AC934" s="6" t="s">
        <v>3931</v>
      </c>
      <c r="AD934" s="6" t="s">
        <v>7184</v>
      </c>
      <c r="AE934" s="158" t="s">
        <v>2370</v>
      </c>
      <c r="AF934" s="159" t="s">
        <v>8299</v>
      </c>
      <c r="AG934" s="160" t="s">
        <v>1303</v>
      </c>
      <c r="AH934" s="194" t="s">
        <v>1314</v>
      </c>
      <c r="AI934" s="6" t="s">
        <v>2191</v>
      </c>
      <c r="AJ934" s="3" t="s">
        <v>8231</v>
      </c>
      <c r="AK934" t="s">
        <v>8238</v>
      </c>
      <c r="AV934"/>
      <c r="AX934"/>
      <c r="AZ934" t="str">
        <f t="shared" si="249"/>
        <v/>
      </c>
      <c r="BA934" t="str">
        <f t="shared" si="250"/>
        <v/>
      </c>
    </row>
    <row r="935" spans="3:53" ht="13.5">
      <c r="C935" s="19"/>
      <c r="D935" s="19"/>
      <c r="AC935" s="6" t="s">
        <v>5069</v>
      </c>
      <c r="AD935" s="6" t="s">
        <v>7165</v>
      </c>
      <c r="AE935" s="158" t="s">
        <v>2371</v>
      </c>
      <c r="AF935" s="159" t="s">
        <v>8328</v>
      </c>
      <c r="AG935" s="160" t="s">
        <v>1304</v>
      </c>
      <c r="AH935" s="194" t="s">
        <v>1314</v>
      </c>
      <c r="AI935" s="6" t="s">
        <v>4022</v>
      </c>
      <c r="AJ935" s="3" t="s">
        <v>8272</v>
      </c>
      <c r="AK935" t="s">
        <v>8272</v>
      </c>
      <c r="AV935"/>
      <c r="AX935"/>
      <c r="AZ935" t="str">
        <f t="shared" si="249"/>
        <v/>
      </c>
      <c r="BA935" t="str">
        <f t="shared" si="250"/>
        <v/>
      </c>
    </row>
    <row r="936" spans="3:53" ht="13.5">
      <c r="C936" s="19"/>
      <c r="D936" s="19"/>
      <c r="AC936" s="6" t="s">
        <v>3994</v>
      </c>
      <c r="AD936" s="6" t="s">
        <v>7185</v>
      </c>
      <c r="AE936" s="158" t="s">
        <v>2372</v>
      </c>
      <c r="AF936" s="159" t="s">
        <v>8297</v>
      </c>
      <c r="AG936" s="160" t="s">
        <v>2828</v>
      </c>
      <c r="AH936" s="194" t="s">
        <v>1314</v>
      </c>
      <c r="AI936" s="6" t="s">
        <v>4040</v>
      </c>
      <c r="AJ936" s="3" t="s">
        <v>8230</v>
      </c>
      <c r="AK936" t="s">
        <v>8230</v>
      </c>
      <c r="AV936"/>
      <c r="AX936"/>
      <c r="AZ936" t="str">
        <f t="shared" si="249"/>
        <v/>
      </c>
      <c r="BA936" t="str">
        <f t="shared" si="250"/>
        <v/>
      </c>
    </row>
    <row r="937" spans="3:53" ht="13.5">
      <c r="C937" s="19"/>
      <c r="D937" s="19"/>
      <c r="AC937" s="6" t="s">
        <v>3993</v>
      </c>
      <c r="AD937" s="6" t="s">
        <v>7186</v>
      </c>
      <c r="AE937" s="158" t="s">
        <v>3606</v>
      </c>
      <c r="AF937" s="159" t="s">
        <v>8329</v>
      </c>
      <c r="AG937" s="160" t="s">
        <v>1285</v>
      </c>
      <c r="AH937" s="194" t="s">
        <v>1314</v>
      </c>
      <c r="AI937" s="6" t="s">
        <v>2688</v>
      </c>
      <c r="AJ937" s="3" t="s">
        <v>8241</v>
      </c>
      <c r="AK937" t="s">
        <v>8675</v>
      </c>
      <c r="AV937"/>
      <c r="AX937"/>
      <c r="AZ937" t="str">
        <f t="shared" si="249"/>
        <v/>
      </c>
      <c r="BA937" t="str">
        <f t="shared" si="250"/>
        <v/>
      </c>
    </row>
    <row r="938" spans="3:53" ht="13.5">
      <c r="C938" s="19"/>
      <c r="D938" s="19"/>
      <c r="AC938" s="6" t="s">
        <v>4371</v>
      </c>
      <c r="AD938" s="6" t="s">
        <v>7187</v>
      </c>
      <c r="AE938" s="158" t="s">
        <v>3607</v>
      </c>
      <c r="AF938" s="159" t="s">
        <v>8324</v>
      </c>
      <c r="AG938" s="160" t="s">
        <v>1152</v>
      </c>
      <c r="AH938" s="194" t="s">
        <v>679</v>
      </c>
      <c r="AI938" s="6" t="s">
        <v>2015</v>
      </c>
      <c r="AJ938" s="3" t="s">
        <v>8194</v>
      </c>
      <c r="AK938" t="s">
        <v>8194</v>
      </c>
      <c r="AV938"/>
      <c r="AX938"/>
      <c r="AZ938" t="str">
        <f t="shared" si="249"/>
        <v/>
      </c>
      <c r="BA938" t="str">
        <f t="shared" si="250"/>
        <v/>
      </c>
    </row>
    <row r="939" spans="3:53" ht="13.5">
      <c r="C939" s="19"/>
      <c r="D939" s="19"/>
      <c r="AC939" s="6" t="s">
        <v>4286</v>
      </c>
      <c r="AD939" s="6" t="s">
        <v>7151</v>
      </c>
      <c r="AE939" s="158" t="s">
        <v>3608</v>
      </c>
      <c r="AF939" s="159" t="s">
        <v>8320</v>
      </c>
      <c r="AG939" s="160" t="s">
        <v>1153</v>
      </c>
      <c r="AH939" s="194" t="s">
        <v>679</v>
      </c>
      <c r="AI939" s="6" t="s">
        <v>2017</v>
      </c>
      <c r="AJ939" s="3" t="s">
        <v>8194</v>
      </c>
      <c r="AK939" t="s">
        <v>8194</v>
      </c>
      <c r="AV939"/>
      <c r="AX939"/>
      <c r="AZ939" t="str">
        <f t="shared" si="249"/>
        <v/>
      </c>
      <c r="BA939" t="str">
        <f t="shared" si="250"/>
        <v/>
      </c>
    </row>
    <row r="940" spans="3:53" ht="13.5">
      <c r="C940" s="19"/>
      <c r="D940" s="19"/>
      <c r="AC940" s="6" t="s">
        <v>4367</v>
      </c>
      <c r="AD940" s="6" t="s">
        <v>7188</v>
      </c>
      <c r="AE940" s="158">
        <v>245209</v>
      </c>
      <c r="AF940" s="159" t="s">
        <v>8299</v>
      </c>
      <c r="AG940" s="160" t="s">
        <v>978</v>
      </c>
      <c r="AH940" s="194" t="s">
        <v>4700</v>
      </c>
      <c r="AI940" s="6" t="s">
        <v>2019</v>
      </c>
      <c r="AJ940" s="3" t="s">
        <v>8194</v>
      </c>
      <c r="AK940" t="s">
        <v>8194</v>
      </c>
      <c r="AV940"/>
      <c r="AX940"/>
      <c r="AZ940" t="str">
        <f t="shared" si="249"/>
        <v/>
      </c>
      <c r="BA940" t="str">
        <f t="shared" si="250"/>
        <v/>
      </c>
    </row>
    <row r="941" spans="3:53" ht="13.5">
      <c r="C941" s="19"/>
      <c r="D941" s="19"/>
      <c r="AC941" s="6" t="s">
        <v>3991</v>
      </c>
      <c r="AD941" s="6" t="s">
        <v>7097</v>
      </c>
      <c r="AE941" s="158">
        <v>245210</v>
      </c>
      <c r="AF941" s="159" t="s">
        <v>8299</v>
      </c>
      <c r="AG941" s="160" t="s">
        <v>4390</v>
      </c>
      <c r="AH941" s="194" t="s">
        <v>1314</v>
      </c>
      <c r="AI941" s="6" t="s">
        <v>906</v>
      </c>
      <c r="AJ941" s="3" t="s">
        <v>8215</v>
      </c>
      <c r="AK941" t="s">
        <v>8215</v>
      </c>
      <c r="AV941"/>
      <c r="AX941"/>
      <c r="AZ941" t="str">
        <f t="shared" si="249"/>
        <v/>
      </c>
      <c r="BA941" t="str">
        <f t="shared" si="250"/>
        <v/>
      </c>
    </row>
    <row r="942" spans="3:53" ht="13.5">
      <c r="C942" s="19"/>
      <c r="D942" s="19"/>
      <c r="AC942" s="6" t="s">
        <v>3990</v>
      </c>
      <c r="AD942" s="6" t="s">
        <v>7189</v>
      </c>
      <c r="AE942" s="158">
        <v>245212</v>
      </c>
      <c r="AF942" s="159" t="s">
        <v>8309</v>
      </c>
      <c r="AG942" s="160" t="s">
        <v>4391</v>
      </c>
      <c r="AH942" s="194" t="s">
        <v>1314</v>
      </c>
      <c r="AI942" s="6" t="s">
        <v>924</v>
      </c>
      <c r="AJ942" s="3" t="s">
        <v>8215</v>
      </c>
      <c r="AK942" t="s">
        <v>8215</v>
      </c>
      <c r="AV942"/>
      <c r="AX942"/>
      <c r="AZ942" t="str">
        <f t="shared" si="249"/>
        <v/>
      </c>
      <c r="BA942" t="str">
        <f t="shared" si="250"/>
        <v/>
      </c>
    </row>
    <row r="943" spans="3:53" ht="13.5">
      <c r="C943" s="19"/>
      <c r="D943" s="19"/>
      <c r="AC943" s="6" t="s">
        <v>4366</v>
      </c>
      <c r="AD943" s="6" t="s">
        <v>7190</v>
      </c>
      <c r="AE943" s="158">
        <v>245213</v>
      </c>
      <c r="AF943" s="159" t="s">
        <v>8299</v>
      </c>
      <c r="AG943" s="160" t="s">
        <v>4392</v>
      </c>
      <c r="AH943" s="194" t="s">
        <v>1314</v>
      </c>
      <c r="AI943" s="6" t="s">
        <v>2210</v>
      </c>
      <c r="AJ943" s="3" t="s">
        <v>8257</v>
      </c>
      <c r="AK943" t="s">
        <v>8257</v>
      </c>
      <c r="AV943"/>
      <c r="AX943"/>
      <c r="AZ943" t="str">
        <f t="shared" si="249"/>
        <v/>
      </c>
      <c r="BA943" t="str">
        <f t="shared" si="250"/>
        <v/>
      </c>
    </row>
    <row r="944" spans="3:53" ht="13.5">
      <c r="C944" s="19"/>
      <c r="D944" s="19"/>
      <c r="AC944" s="6">
        <v>426478</v>
      </c>
      <c r="AD944" s="6" t="s">
        <v>7191</v>
      </c>
      <c r="AE944" s="158">
        <v>245215</v>
      </c>
      <c r="AF944" s="159" t="s">
        <v>8299</v>
      </c>
      <c r="AG944" s="160" t="s">
        <v>4393</v>
      </c>
      <c r="AH944" s="194" t="s">
        <v>1314</v>
      </c>
      <c r="AI944" s="6" t="s">
        <v>629</v>
      </c>
      <c r="AJ944" s="3" t="s">
        <v>8202</v>
      </c>
      <c r="AK944" t="s">
        <v>8202</v>
      </c>
      <c r="AV944"/>
      <c r="AX944"/>
      <c r="AZ944" t="str">
        <f t="shared" si="249"/>
        <v/>
      </c>
      <c r="BA944" t="str">
        <f t="shared" si="250"/>
        <v/>
      </c>
    </row>
    <row r="945" spans="3:53" ht="13.5">
      <c r="C945" s="19"/>
      <c r="D945" s="19"/>
      <c r="AC945" s="6" t="s">
        <v>4193</v>
      </c>
      <c r="AD945" s="6" t="s">
        <v>7063</v>
      </c>
      <c r="AE945" s="158">
        <v>765228</v>
      </c>
      <c r="AF945" s="159" t="s">
        <v>8320</v>
      </c>
      <c r="AG945" s="160" t="s">
        <v>1154</v>
      </c>
      <c r="AH945" s="194" t="s">
        <v>679</v>
      </c>
      <c r="AI945" s="6" t="s">
        <v>4091</v>
      </c>
      <c r="AJ945" s="3" t="s">
        <v>8253</v>
      </c>
      <c r="AK945" t="s">
        <v>8253</v>
      </c>
      <c r="AV945"/>
      <c r="AX945"/>
      <c r="AZ945" t="str">
        <f t="shared" si="249"/>
        <v/>
      </c>
      <c r="BA945" t="str">
        <f t="shared" si="250"/>
        <v/>
      </c>
    </row>
    <row r="946" spans="3:53" ht="13.5">
      <c r="C946" s="19"/>
      <c r="D946" s="19"/>
      <c r="AC946" s="6" t="s">
        <v>3932</v>
      </c>
      <c r="AD946" s="6" t="s">
        <v>7192</v>
      </c>
      <c r="AE946" s="158">
        <v>765229</v>
      </c>
      <c r="AF946" s="159" t="s">
        <v>8299</v>
      </c>
      <c r="AG946" s="160" t="s">
        <v>1155</v>
      </c>
      <c r="AH946" s="194" t="s">
        <v>679</v>
      </c>
      <c r="AI946" s="6" t="s">
        <v>2194</v>
      </c>
      <c r="AJ946" s="3" t="s">
        <v>8221</v>
      </c>
      <c r="AK946" t="s">
        <v>8669</v>
      </c>
      <c r="AV946"/>
      <c r="AX946"/>
      <c r="AZ946" t="str">
        <f t="shared" si="249"/>
        <v/>
      </c>
      <c r="BA946" t="str">
        <f t="shared" si="250"/>
        <v/>
      </c>
    </row>
    <row r="947" spans="3:53" ht="13.5">
      <c r="C947" s="19"/>
      <c r="D947" s="19"/>
      <c r="AC947" s="6" t="s">
        <v>4233</v>
      </c>
      <c r="AD947" s="6" t="s">
        <v>7063</v>
      </c>
      <c r="AE947" s="158">
        <v>765230</v>
      </c>
      <c r="AF947" s="159" t="s">
        <v>8299</v>
      </c>
      <c r="AG947" s="160" t="s">
        <v>1156</v>
      </c>
      <c r="AH947" s="194" t="s">
        <v>679</v>
      </c>
      <c r="AI947" s="6" t="s">
        <v>1793</v>
      </c>
      <c r="AJ947" s="3" t="s">
        <v>8248</v>
      </c>
      <c r="AK947" t="s">
        <v>8248</v>
      </c>
      <c r="AV947"/>
      <c r="AX947"/>
      <c r="AZ947" t="str">
        <f t="shared" si="249"/>
        <v/>
      </c>
      <c r="BA947" t="str">
        <f t="shared" si="250"/>
        <v/>
      </c>
    </row>
    <row r="948" spans="3:53" ht="13.5">
      <c r="C948" s="19"/>
      <c r="D948" s="19"/>
      <c r="AC948" s="6" t="s">
        <v>3992</v>
      </c>
      <c r="AD948" s="6" t="s">
        <v>7193</v>
      </c>
      <c r="AE948" s="158">
        <v>765231</v>
      </c>
      <c r="AF948" s="159" t="s">
        <v>8320</v>
      </c>
      <c r="AG948" s="160" t="s">
        <v>1157</v>
      </c>
      <c r="AH948" s="194" t="s">
        <v>1314</v>
      </c>
      <c r="AI948" s="6" t="s">
        <v>977</v>
      </c>
      <c r="AJ948" s="3" t="s">
        <v>8216</v>
      </c>
      <c r="AK948" t="s">
        <v>8216</v>
      </c>
      <c r="AV948"/>
      <c r="AX948"/>
      <c r="AZ948" t="str">
        <f t="shared" si="249"/>
        <v/>
      </c>
      <c r="BA948" t="str">
        <f t="shared" si="250"/>
        <v/>
      </c>
    </row>
    <row r="949" spans="3:53" ht="13.5">
      <c r="C949" s="19"/>
      <c r="D949" s="19"/>
      <c r="AC949" s="6" t="s">
        <v>2506</v>
      </c>
      <c r="AD949" s="6" t="s">
        <v>7194</v>
      </c>
      <c r="AE949" s="158">
        <v>765232</v>
      </c>
      <c r="AF949" s="159" t="s">
        <v>8299</v>
      </c>
      <c r="AG949" s="160" t="s">
        <v>1158</v>
      </c>
      <c r="AH949" s="194" t="s">
        <v>678</v>
      </c>
      <c r="AI949" s="6" t="s">
        <v>6668</v>
      </c>
      <c r="AJ949" s="3" t="s">
        <v>8202</v>
      </c>
      <c r="AK949" t="s">
        <v>8202</v>
      </c>
      <c r="AV949"/>
      <c r="AX949"/>
      <c r="AZ949" t="str">
        <f t="shared" si="249"/>
        <v/>
      </c>
      <c r="BA949" t="str">
        <f t="shared" si="250"/>
        <v/>
      </c>
    </row>
    <row r="950" spans="3:53" ht="13.5">
      <c r="C950" s="19"/>
      <c r="D950" s="19"/>
      <c r="AC950" s="6">
        <v>425707</v>
      </c>
      <c r="AD950" s="6" t="s">
        <v>7195</v>
      </c>
      <c r="AE950" s="158">
        <v>765233</v>
      </c>
      <c r="AF950" s="159" t="s">
        <v>8320</v>
      </c>
      <c r="AG950" s="160" t="s">
        <v>1679</v>
      </c>
      <c r="AH950" s="194" t="s">
        <v>1314</v>
      </c>
      <c r="AI950" s="6" t="s">
        <v>1615</v>
      </c>
      <c r="AJ950" s="3" t="s">
        <v>8198</v>
      </c>
      <c r="AK950" t="s">
        <v>8198</v>
      </c>
      <c r="AV950"/>
      <c r="AX950"/>
      <c r="AZ950" t="str">
        <f t="shared" si="249"/>
        <v/>
      </c>
      <c r="BA950" t="str">
        <f t="shared" si="250"/>
        <v/>
      </c>
    </row>
    <row r="951" spans="3:53" ht="13.5">
      <c r="C951" s="19"/>
      <c r="D951" s="19"/>
      <c r="AC951" s="6" t="s">
        <v>1211</v>
      </c>
      <c r="AD951" s="6" t="s">
        <v>7196</v>
      </c>
      <c r="AE951" s="158">
        <v>345240</v>
      </c>
      <c r="AF951" s="159" t="s">
        <v>8299</v>
      </c>
      <c r="AG951" s="160" t="s">
        <v>4394</v>
      </c>
      <c r="AH951" s="194" t="s">
        <v>679</v>
      </c>
      <c r="AI951" s="6" t="s">
        <v>2603</v>
      </c>
      <c r="AJ951" s="3" t="s">
        <v>8275</v>
      </c>
      <c r="AK951" t="s">
        <v>8275</v>
      </c>
      <c r="AV951"/>
      <c r="AX951"/>
      <c r="AZ951" t="str">
        <f t="shared" si="249"/>
        <v/>
      </c>
      <c r="BA951" t="str">
        <f t="shared" si="250"/>
        <v/>
      </c>
    </row>
    <row r="952" spans="3:53" ht="13.5">
      <c r="C952" s="19"/>
      <c r="D952" s="19"/>
      <c r="AC952" s="6" t="s">
        <v>4205</v>
      </c>
      <c r="AD952" s="6" t="s">
        <v>7197</v>
      </c>
      <c r="AE952" s="158">
        <v>345241</v>
      </c>
      <c r="AF952" s="159" t="s">
        <v>8299</v>
      </c>
      <c r="AG952" s="160" t="s">
        <v>1680</v>
      </c>
      <c r="AH952" s="194" t="s">
        <v>1314</v>
      </c>
      <c r="AI952" s="6" t="s">
        <v>4150</v>
      </c>
      <c r="AJ952" s="3" t="s">
        <v>8214</v>
      </c>
      <c r="AK952" t="s">
        <v>8214</v>
      </c>
      <c r="AV952"/>
      <c r="AX952"/>
      <c r="AZ952" t="str">
        <f t="shared" si="249"/>
        <v/>
      </c>
      <c r="BA952" t="str">
        <f t="shared" si="250"/>
        <v/>
      </c>
    </row>
    <row r="953" spans="3:53" ht="13.5">
      <c r="C953" s="19"/>
      <c r="D953" s="19"/>
      <c r="AC953" s="6" t="s">
        <v>2692</v>
      </c>
      <c r="AD953" s="6" t="s">
        <v>7194</v>
      </c>
      <c r="AE953" s="158">
        <v>345242</v>
      </c>
      <c r="AF953" s="159" t="s">
        <v>8299</v>
      </c>
      <c r="AG953" s="160" t="s">
        <v>4395</v>
      </c>
      <c r="AH953" s="194" t="s">
        <v>1314</v>
      </c>
      <c r="AI953" s="6" t="s">
        <v>1968</v>
      </c>
      <c r="AJ953" s="3" t="s">
        <v>8227</v>
      </c>
      <c r="AK953" t="s">
        <v>8227</v>
      </c>
      <c r="AV953"/>
      <c r="AX953"/>
      <c r="AZ953" t="str">
        <f t="shared" si="249"/>
        <v/>
      </c>
      <c r="BA953" t="str">
        <f t="shared" si="250"/>
        <v/>
      </c>
    </row>
    <row r="954" spans="3:53" ht="13.5">
      <c r="C954" s="19"/>
      <c r="D954" s="19"/>
      <c r="AC954" s="6" t="s">
        <v>4254</v>
      </c>
      <c r="AD954" s="6" t="s">
        <v>7198</v>
      </c>
      <c r="AE954" s="158">
        <v>245249</v>
      </c>
      <c r="AF954" s="159" t="s">
        <v>8299</v>
      </c>
      <c r="AG954" s="160" t="s">
        <v>1159</v>
      </c>
      <c r="AH954" s="194" t="s">
        <v>1314</v>
      </c>
      <c r="AI954" s="6" t="s">
        <v>676</v>
      </c>
      <c r="AJ954" s="3" t="s">
        <v>8210</v>
      </c>
      <c r="AK954" t="s">
        <v>8210</v>
      </c>
      <c r="AV954"/>
      <c r="AX954"/>
      <c r="AZ954" t="str">
        <f t="shared" si="249"/>
        <v/>
      </c>
      <c r="BA954" t="str">
        <f t="shared" si="250"/>
        <v/>
      </c>
    </row>
    <row r="955" spans="3:53" ht="13.5">
      <c r="C955" s="19"/>
      <c r="D955" s="19"/>
      <c r="AC955" s="6" t="s">
        <v>3925</v>
      </c>
      <c r="AD955" s="6" t="s">
        <v>7199</v>
      </c>
      <c r="AE955" s="158">
        <v>245250</v>
      </c>
      <c r="AF955" s="159" t="s">
        <v>8299</v>
      </c>
      <c r="AG955" s="160" t="s">
        <v>4396</v>
      </c>
      <c r="AH955" s="194" t="s">
        <v>1314</v>
      </c>
      <c r="AI955" s="6" t="s">
        <v>6717</v>
      </c>
      <c r="AJ955" s="3" t="s">
        <v>8202</v>
      </c>
      <c r="AK955" t="s">
        <v>8202</v>
      </c>
      <c r="AV955"/>
      <c r="AX955"/>
      <c r="AZ955" t="str">
        <f t="shared" si="249"/>
        <v/>
      </c>
      <c r="BA955" t="str">
        <f t="shared" si="250"/>
        <v/>
      </c>
    </row>
    <row r="956" spans="3:53" ht="13.5">
      <c r="C956" s="19"/>
      <c r="D956" s="19"/>
      <c r="AC956" s="6" t="s">
        <v>2584</v>
      </c>
      <c r="AD956" s="6" t="s">
        <v>7200</v>
      </c>
      <c r="AE956" s="158">
        <v>245284</v>
      </c>
      <c r="AF956" s="159" t="s">
        <v>8297</v>
      </c>
      <c r="AG956" s="160" t="s">
        <v>4397</v>
      </c>
      <c r="AH956" s="194" t="s">
        <v>679</v>
      </c>
      <c r="AI956" s="6" t="s">
        <v>2430</v>
      </c>
      <c r="AJ956" s="3" t="s">
        <v>8276</v>
      </c>
      <c r="AK956" t="s">
        <v>8276</v>
      </c>
      <c r="AV956"/>
      <c r="AX956"/>
      <c r="AZ956" t="str">
        <f t="shared" si="249"/>
        <v/>
      </c>
      <c r="BA956" t="str">
        <f t="shared" si="250"/>
        <v/>
      </c>
    </row>
    <row r="957" spans="3:53" ht="13.5">
      <c r="C957" s="19"/>
      <c r="D957" s="19"/>
      <c r="AC957" s="6" t="s">
        <v>5533</v>
      </c>
      <c r="AD957" s="6" t="s">
        <v>7172</v>
      </c>
      <c r="AE957" s="158">
        <v>245285</v>
      </c>
      <c r="AF957" s="159" t="s">
        <v>8321</v>
      </c>
      <c r="AG957" s="160" t="s">
        <v>4398</v>
      </c>
      <c r="AH957" s="194" t="s">
        <v>679</v>
      </c>
      <c r="AI957" s="6">
        <v>115591</v>
      </c>
      <c r="AJ957" s="3" t="s">
        <v>8259</v>
      </c>
      <c r="AK957" t="s">
        <v>8677</v>
      </c>
      <c r="AV957"/>
      <c r="AX957"/>
      <c r="AZ957" t="str">
        <f t="shared" si="249"/>
        <v/>
      </c>
      <c r="BA957" t="str">
        <f t="shared" si="250"/>
        <v/>
      </c>
    </row>
    <row r="958" spans="3:53" ht="13.5">
      <c r="C958" s="19"/>
      <c r="D958" s="19"/>
      <c r="AC958" s="6" t="s">
        <v>3865</v>
      </c>
      <c r="AD958" s="6" t="s">
        <v>7176</v>
      </c>
      <c r="AE958" s="158">
        <v>345304</v>
      </c>
      <c r="AF958" s="159" t="s">
        <v>8299</v>
      </c>
      <c r="AG958" s="160" t="s">
        <v>4399</v>
      </c>
      <c r="AH958" s="194" t="s">
        <v>679</v>
      </c>
      <c r="AI958" s="6" t="s">
        <v>4296</v>
      </c>
      <c r="AJ958" s="3" t="s">
        <v>8244</v>
      </c>
      <c r="AK958" t="s">
        <v>8244</v>
      </c>
      <c r="AV958"/>
      <c r="AX958"/>
      <c r="AZ958" t="str">
        <f t="shared" si="249"/>
        <v/>
      </c>
      <c r="BA958" t="str">
        <f t="shared" si="250"/>
        <v/>
      </c>
    </row>
    <row r="959" spans="3:53" ht="13.5">
      <c r="C959" s="19"/>
      <c r="D959" s="19"/>
      <c r="AC959" s="6" t="s">
        <v>4287</v>
      </c>
      <c r="AD959" s="6" t="s">
        <v>7151</v>
      </c>
      <c r="AE959" s="158">
        <v>345305</v>
      </c>
      <c r="AF959" s="159" t="s">
        <v>8297</v>
      </c>
      <c r="AG959" s="160" t="s">
        <v>2552</v>
      </c>
      <c r="AH959" s="194" t="s">
        <v>679</v>
      </c>
      <c r="AI959" s="6">
        <v>246445</v>
      </c>
      <c r="AJ959" s="3" t="s">
        <v>8271</v>
      </c>
      <c r="AK959" t="s">
        <v>8271</v>
      </c>
      <c r="AV959"/>
      <c r="AX959"/>
      <c r="AZ959" t="str">
        <f t="shared" si="249"/>
        <v/>
      </c>
      <c r="BA959" t="str">
        <f t="shared" si="250"/>
        <v/>
      </c>
    </row>
    <row r="960" spans="3:53" ht="13.5">
      <c r="C960" s="19"/>
      <c r="D960" s="19"/>
      <c r="AC960" s="6" t="s">
        <v>3864</v>
      </c>
      <c r="AD960" s="6" t="s">
        <v>7176</v>
      </c>
      <c r="AE960" s="158">
        <v>345306</v>
      </c>
      <c r="AF960" s="159" t="s">
        <v>8296</v>
      </c>
      <c r="AG960" s="161" t="s">
        <v>1723</v>
      </c>
      <c r="AH960" s="194" t="s">
        <v>679</v>
      </c>
      <c r="AI960" s="6" t="s">
        <v>4334</v>
      </c>
      <c r="AJ960" s="3" t="s">
        <v>8236</v>
      </c>
      <c r="AK960" t="s">
        <v>8236</v>
      </c>
      <c r="AV960"/>
      <c r="AX960"/>
      <c r="AZ960" t="str">
        <f t="shared" si="249"/>
        <v/>
      </c>
      <c r="BA960" t="str">
        <f t="shared" si="250"/>
        <v/>
      </c>
    </row>
    <row r="961" spans="3:53" ht="13.5">
      <c r="C961" s="19"/>
      <c r="D961" s="19"/>
      <c r="AC961" s="6" t="s">
        <v>4370</v>
      </c>
      <c r="AD961" s="6" t="s">
        <v>7201</v>
      </c>
      <c r="AE961" s="158" t="s">
        <v>4173</v>
      </c>
      <c r="AF961" s="159" t="s">
        <v>8309</v>
      </c>
      <c r="AG961" s="160" t="s">
        <v>2047</v>
      </c>
      <c r="AH961" s="194" t="s">
        <v>679</v>
      </c>
      <c r="AI961" s="6" t="s">
        <v>2097</v>
      </c>
      <c r="AJ961" s="3" t="s">
        <v>8213</v>
      </c>
      <c r="AK961" t="s">
        <v>8213</v>
      </c>
      <c r="AV961"/>
      <c r="AX961"/>
      <c r="AZ961" t="str">
        <f t="shared" si="249"/>
        <v/>
      </c>
      <c r="BA961" t="str">
        <f t="shared" si="250"/>
        <v/>
      </c>
    </row>
    <row r="962" spans="3:53" ht="13.5">
      <c r="C962" s="19"/>
      <c r="D962" s="19"/>
      <c r="AC962" s="6" t="s">
        <v>4216</v>
      </c>
      <c r="AD962" s="6" t="s">
        <v>7202</v>
      </c>
      <c r="AE962" s="158" t="s">
        <v>4175</v>
      </c>
      <c r="AF962" s="159" t="s">
        <v>8299</v>
      </c>
      <c r="AG962" s="160" t="s">
        <v>2048</v>
      </c>
      <c r="AH962" s="194" t="s">
        <v>679</v>
      </c>
      <c r="AI962" s="6" t="s">
        <v>1730</v>
      </c>
      <c r="AJ962" s="3" t="s">
        <v>8194</v>
      </c>
      <c r="AK962" t="s">
        <v>8194</v>
      </c>
      <c r="AV962"/>
      <c r="AX962"/>
      <c r="AZ962" t="str">
        <f t="shared" si="249"/>
        <v/>
      </c>
      <c r="BA962" t="str">
        <f t="shared" si="250"/>
        <v/>
      </c>
    </row>
    <row r="963" spans="3:53" ht="13.5">
      <c r="C963" s="19"/>
      <c r="D963" s="19"/>
      <c r="AC963" s="6" t="s">
        <v>4253</v>
      </c>
      <c r="AD963" s="6" t="s">
        <v>7203</v>
      </c>
      <c r="AE963" s="158" t="s">
        <v>4242</v>
      </c>
      <c r="AF963" s="159" t="s">
        <v>8297</v>
      </c>
      <c r="AG963" s="160" t="s">
        <v>2049</v>
      </c>
      <c r="AH963" s="194" t="s">
        <v>679</v>
      </c>
      <c r="AI963" s="6" t="s">
        <v>1733</v>
      </c>
      <c r="AJ963" s="3" t="s">
        <v>8238</v>
      </c>
      <c r="AK963" t="s">
        <v>8673</v>
      </c>
      <c r="AV963"/>
      <c r="AX963"/>
      <c r="AZ963" t="str">
        <f t="shared" si="249"/>
        <v/>
      </c>
      <c r="BA963" t="str">
        <f t="shared" si="250"/>
        <v/>
      </c>
    </row>
    <row r="964" spans="3:53" ht="13.5">
      <c r="C964" s="19"/>
      <c r="D964" s="19"/>
      <c r="AC964" s="6">
        <v>765230</v>
      </c>
      <c r="AD964" s="6" t="s">
        <v>7204</v>
      </c>
      <c r="AE964" s="158">
        <v>135504</v>
      </c>
      <c r="AF964" s="159" t="s">
        <v>8296</v>
      </c>
      <c r="AG964" s="160" t="s">
        <v>2050</v>
      </c>
      <c r="AH964" s="194" t="s">
        <v>679</v>
      </c>
      <c r="AI964" s="6">
        <v>335301</v>
      </c>
      <c r="AJ964" s="3" t="s">
        <v>8224</v>
      </c>
      <c r="AK964" t="s">
        <v>8224</v>
      </c>
      <c r="AV964"/>
      <c r="AX964"/>
      <c r="AZ964" t="str">
        <f t="shared" si="249"/>
        <v/>
      </c>
      <c r="BA964" t="str">
        <f t="shared" si="250"/>
        <v/>
      </c>
    </row>
    <row r="965" spans="3:53" ht="13.5">
      <c r="C965" s="19"/>
      <c r="D965" s="19"/>
      <c r="AC965" s="6" t="s">
        <v>4200</v>
      </c>
      <c r="AD965" s="6" t="s">
        <v>7205</v>
      </c>
      <c r="AE965" s="158" t="s">
        <v>3565</v>
      </c>
      <c r="AF965" s="159" t="s">
        <v>8331</v>
      </c>
      <c r="AG965" s="160" t="s">
        <v>2051</v>
      </c>
      <c r="AH965" s="194" t="s">
        <v>679</v>
      </c>
      <c r="AI965" s="6" t="s">
        <v>2769</v>
      </c>
      <c r="AJ965" s="3" t="s">
        <v>8254</v>
      </c>
      <c r="AK965" t="s">
        <v>8254</v>
      </c>
      <c r="AV965"/>
      <c r="AX965"/>
      <c r="AZ965" t="str">
        <f t="shared" si="249"/>
        <v/>
      </c>
      <c r="BA965" t="str">
        <f t="shared" si="250"/>
        <v/>
      </c>
    </row>
    <row r="966" spans="3:53" ht="13.5">
      <c r="C966" s="19"/>
      <c r="D966" s="19"/>
      <c r="AC966" s="6" t="s">
        <v>4337</v>
      </c>
      <c r="AD966" s="6" t="s">
        <v>7206</v>
      </c>
      <c r="AE966" s="158" t="s">
        <v>3566</v>
      </c>
      <c r="AF966" s="159" t="s">
        <v>8300</v>
      </c>
      <c r="AG966" s="160" t="s">
        <v>2052</v>
      </c>
      <c r="AH966" s="194" t="s">
        <v>679</v>
      </c>
      <c r="AI966" s="6">
        <v>535375</v>
      </c>
      <c r="AJ966" s="3" t="s">
        <v>8218</v>
      </c>
      <c r="AK966" t="s">
        <v>8218</v>
      </c>
      <c r="AV966"/>
      <c r="AX966"/>
      <c r="AZ966" t="str">
        <f t="shared" si="249"/>
        <v/>
      </c>
      <c r="BA966" t="str">
        <f t="shared" si="250"/>
        <v/>
      </c>
    </row>
    <row r="967" spans="3:53" ht="13.5">
      <c r="C967" s="19"/>
      <c r="D967" s="19"/>
      <c r="AC967" s="6" t="s">
        <v>5052</v>
      </c>
      <c r="AD967" s="6" t="s">
        <v>7167</v>
      </c>
      <c r="AE967" s="158" t="s">
        <v>3589</v>
      </c>
      <c r="AF967" s="159" t="s">
        <v>8320</v>
      </c>
      <c r="AG967" s="160" t="s">
        <v>2070</v>
      </c>
      <c r="AH967" s="194" t="s">
        <v>679</v>
      </c>
      <c r="AI967" s="6">
        <v>543136</v>
      </c>
      <c r="AJ967" s="3" t="s">
        <v>8248</v>
      </c>
      <c r="AK967" t="s">
        <v>8248</v>
      </c>
      <c r="AV967"/>
      <c r="AX967"/>
      <c r="AZ967" t="str">
        <f t="shared" si="249"/>
        <v/>
      </c>
      <c r="BA967" t="str">
        <f t="shared" si="250"/>
        <v/>
      </c>
    </row>
    <row r="968" spans="3:53" ht="13.5">
      <c r="C968" s="19"/>
      <c r="D968" s="19"/>
      <c r="AC968" s="6" t="s">
        <v>4002</v>
      </c>
      <c r="AD968" s="6" t="s">
        <v>7207</v>
      </c>
      <c r="AE968" s="158" t="s">
        <v>3590</v>
      </c>
      <c r="AF968" s="159" t="s">
        <v>8299</v>
      </c>
      <c r="AG968" s="160" t="s">
        <v>2159</v>
      </c>
      <c r="AH968" s="194" t="s">
        <v>679</v>
      </c>
      <c r="AI968" s="6">
        <v>585394</v>
      </c>
      <c r="AJ968" s="3" t="s">
        <v>8194</v>
      </c>
      <c r="AK968" t="s">
        <v>8194</v>
      </c>
      <c r="AV968"/>
      <c r="AX968"/>
      <c r="AZ968" t="str">
        <f t="shared" si="249"/>
        <v/>
      </c>
      <c r="BA968" t="str">
        <f t="shared" si="250"/>
        <v/>
      </c>
    </row>
    <row r="969" spans="3:53" ht="13.5">
      <c r="C969" s="19"/>
      <c r="D969" s="19"/>
      <c r="AC969" s="6" t="s">
        <v>4219</v>
      </c>
      <c r="AD969" s="6" t="s">
        <v>7208</v>
      </c>
      <c r="AE969" s="158" t="s">
        <v>3595</v>
      </c>
      <c r="AF969" s="159" t="s">
        <v>8311</v>
      </c>
      <c r="AG969" s="160" t="s">
        <v>2164</v>
      </c>
      <c r="AH969" s="194" t="s">
        <v>679</v>
      </c>
      <c r="AI969" s="6">
        <v>595398</v>
      </c>
      <c r="AJ969" s="3" t="s">
        <v>8227</v>
      </c>
      <c r="AK969" t="s">
        <v>8227</v>
      </c>
      <c r="AV969"/>
      <c r="AX969"/>
      <c r="AZ969" t="str">
        <f t="shared" si="249"/>
        <v/>
      </c>
      <c r="BA969" t="str">
        <f t="shared" si="250"/>
        <v/>
      </c>
    </row>
    <row r="970" spans="3:53" ht="13.5">
      <c r="C970" s="19"/>
      <c r="D970" s="19"/>
      <c r="AC970" s="6" t="s">
        <v>4199</v>
      </c>
      <c r="AD970" s="6" t="s">
        <v>7063</v>
      </c>
      <c r="AE970" s="158" t="s">
        <v>3596</v>
      </c>
      <c r="AF970" s="159" t="s">
        <v>8299</v>
      </c>
      <c r="AG970" s="160" t="s">
        <v>4769</v>
      </c>
      <c r="AH970" s="194" t="s">
        <v>679</v>
      </c>
      <c r="AI970" s="6">
        <v>625368</v>
      </c>
      <c r="AJ970" s="3" t="s">
        <v>8210</v>
      </c>
      <c r="AK970" t="s">
        <v>8210</v>
      </c>
      <c r="AV970"/>
      <c r="AX970"/>
      <c r="AZ970" t="str">
        <f t="shared" si="249"/>
        <v/>
      </c>
      <c r="BA970" t="str">
        <f t="shared" si="250"/>
        <v/>
      </c>
    </row>
    <row r="971" spans="3:53" ht="13.5">
      <c r="C971" s="19"/>
      <c r="D971" s="19"/>
      <c r="AC971" s="6" t="s">
        <v>2508</v>
      </c>
      <c r="AD971" s="6" t="s">
        <v>7209</v>
      </c>
      <c r="AE971" s="158" t="s">
        <v>3623</v>
      </c>
      <c r="AF971" s="159" t="s">
        <v>8300</v>
      </c>
      <c r="AG971" s="160" t="s">
        <v>2214</v>
      </c>
      <c r="AH971" s="194" t="s">
        <v>678</v>
      </c>
      <c r="AI971" s="6">
        <v>695440</v>
      </c>
      <c r="AJ971" s="3" t="s">
        <v>8234</v>
      </c>
      <c r="AK971" t="s">
        <v>8234</v>
      </c>
      <c r="AV971"/>
      <c r="AX971"/>
      <c r="AZ971" t="str">
        <f t="shared" si="249"/>
        <v/>
      </c>
      <c r="BA971" t="str">
        <f t="shared" si="250"/>
        <v/>
      </c>
    </row>
    <row r="972" spans="3:53" ht="13.5">
      <c r="C972" s="19"/>
      <c r="D972" s="19"/>
      <c r="AC972" s="6" t="s">
        <v>2570</v>
      </c>
      <c r="AD972" s="6" t="s">
        <v>7209</v>
      </c>
      <c r="AE972" s="158" t="s">
        <v>3624</v>
      </c>
      <c r="AF972" s="159" t="s">
        <v>8309</v>
      </c>
      <c r="AG972" s="160" t="s">
        <v>2215</v>
      </c>
      <c r="AH972" s="194" t="s">
        <v>678</v>
      </c>
      <c r="AI972" s="6">
        <v>765232</v>
      </c>
      <c r="AJ972" s="3" t="s">
        <v>8236</v>
      </c>
      <c r="AK972" t="s">
        <v>8236</v>
      </c>
      <c r="AV972"/>
      <c r="AX972"/>
      <c r="AZ972" t="str">
        <f t="shared" si="249"/>
        <v/>
      </c>
      <c r="BA972" t="str">
        <f t="shared" si="250"/>
        <v/>
      </c>
    </row>
    <row r="973" spans="3:53" ht="13.5">
      <c r="C973" s="19"/>
      <c r="D973" s="19"/>
      <c r="AC973" s="6" t="s">
        <v>3935</v>
      </c>
      <c r="AD973" s="6" t="s">
        <v>7210</v>
      </c>
      <c r="AE973" s="158" t="s">
        <v>3847</v>
      </c>
      <c r="AF973" s="159" t="s">
        <v>8299</v>
      </c>
      <c r="AG973" s="160" t="s">
        <v>2216</v>
      </c>
      <c r="AH973" s="194" t="s">
        <v>679</v>
      </c>
      <c r="AI973" s="6">
        <v>782452</v>
      </c>
      <c r="AJ973" s="3" t="s">
        <v>8234</v>
      </c>
      <c r="AK973" t="s">
        <v>8234</v>
      </c>
      <c r="AV973"/>
      <c r="AX973"/>
      <c r="AZ973" t="str">
        <f t="shared" si="249"/>
        <v/>
      </c>
      <c r="BA973" t="str">
        <f t="shared" si="250"/>
        <v/>
      </c>
    </row>
    <row r="974" spans="3:53" ht="13.5">
      <c r="C974" s="19"/>
      <c r="D974" s="19"/>
      <c r="AC974" s="6" t="s">
        <v>2569</v>
      </c>
      <c r="AD974" s="6" t="s">
        <v>7209</v>
      </c>
      <c r="AE974" s="158" t="s">
        <v>3838</v>
      </c>
      <c r="AF974" s="159" t="s">
        <v>8297</v>
      </c>
      <c r="AG974" s="160" t="s">
        <v>2217</v>
      </c>
      <c r="AH974" s="194" t="s">
        <v>679</v>
      </c>
      <c r="AI974" s="6" t="s">
        <v>3239</v>
      </c>
      <c r="AJ974" s="3" t="s">
        <v>8220</v>
      </c>
      <c r="AK974" t="s">
        <v>8220</v>
      </c>
      <c r="AV974"/>
      <c r="AX974"/>
      <c r="AZ974" t="str">
        <f t="shared" si="249"/>
        <v/>
      </c>
      <c r="BA974" t="str">
        <f t="shared" si="250"/>
        <v/>
      </c>
    </row>
    <row r="975" spans="3:53" ht="13.5">
      <c r="C975" s="19"/>
      <c r="D975" s="19"/>
      <c r="AC975" s="6" t="s">
        <v>3867</v>
      </c>
      <c r="AD975" s="6" t="s">
        <v>7176</v>
      </c>
      <c r="AE975" s="158" t="s">
        <v>3879</v>
      </c>
      <c r="AF975" s="159" t="s">
        <v>8340</v>
      </c>
      <c r="AG975" s="160" t="s">
        <v>2221</v>
      </c>
      <c r="AH975" s="194" t="s">
        <v>679</v>
      </c>
      <c r="AI975" s="6" t="s">
        <v>4280</v>
      </c>
      <c r="AJ975" s="3" t="s">
        <v>8232</v>
      </c>
      <c r="AK975" t="s">
        <v>8232</v>
      </c>
      <c r="AV975"/>
      <c r="AX975"/>
      <c r="AZ975" t="str">
        <f t="shared" si="249"/>
        <v/>
      </c>
      <c r="BA975" t="str">
        <f t="shared" si="250"/>
        <v/>
      </c>
    </row>
    <row r="976" spans="3:53" ht="13.5">
      <c r="C976" s="19"/>
      <c r="D976" s="19"/>
      <c r="AC976" s="6" t="s">
        <v>3936</v>
      </c>
      <c r="AD976" s="6" t="s">
        <v>7004</v>
      </c>
      <c r="AE976" s="158" t="s">
        <v>3567</v>
      </c>
      <c r="AF976" s="159" t="s">
        <v>8299</v>
      </c>
      <c r="AG976" s="160" t="s">
        <v>2222</v>
      </c>
      <c r="AH976" s="194" t="s">
        <v>679</v>
      </c>
      <c r="AI976" s="6" t="s">
        <v>1829</v>
      </c>
      <c r="AJ976" s="3" t="s">
        <v>8194</v>
      </c>
      <c r="AK976" t="s">
        <v>8194</v>
      </c>
      <c r="AV976"/>
      <c r="AX976"/>
      <c r="AZ976" t="str">
        <f t="shared" si="249"/>
        <v/>
      </c>
      <c r="BA976" t="str">
        <f t="shared" si="250"/>
        <v/>
      </c>
    </row>
    <row r="977" spans="3:53" ht="13.5">
      <c r="C977" s="19"/>
      <c r="D977" s="19"/>
      <c r="AC977" s="6" t="s">
        <v>5147</v>
      </c>
      <c r="AD977" s="6" t="s">
        <v>7063</v>
      </c>
      <c r="AE977" s="158" t="s">
        <v>3923</v>
      </c>
      <c r="AF977" s="159" t="s">
        <v>8299</v>
      </c>
      <c r="AG977" s="160" t="s">
        <v>5037</v>
      </c>
      <c r="AH977" s="194" t="s">
        <v>1314</v>
      </c>
      <c r="AI977" s="6" t="s">
        <v>3268</v>
      </c>
      <c r="AJ977" s="3" t="s">
        <v>8240</v>
      </c>
      <c r="AK977" t="s">
        <v>8240</v>
      </c>
      <c r="AV977"/>
      <c r="AX977"/>
      <c r="AZ977" t="str">
        <f t="shared" si="249"/>
        <v/>
      </c>
      <c r="BA977" t="str">
        <f t="shared" si="250"/>
        <v/>
      </c>
    </row>
    <row r="978" spans="3:53" ht="13.5">
      <c r="C978" s="19"/>
      <c r="D978" s="19"/>
      <c r="AC978" s="6" t="s">
        <v>2493</v>
      </c>
      <c r="AD978" s="6" t="s">
        <v>7211</v>
      </c>
      <c r="AE978" s="158" t="s">
        <v>3939</v>
      </c>
      <c r="AF978" s="159" t="s">
        <v>8299</v>
      </c>
      <c r="AG978" s="160" t="s">
        <v>5253</v>
      </c>
      <c r="AH978" s="194" t="s">
        <v>679</v>
      </c>
      <c r="AI978" s="6" t="s">
        <v>3295</v>
      </c>
      <c r="AJ978" s="3" t="s">
        <v>8220</v>
      </c>
      <c r="AK978" t="s">
        <v>8220</v>
      </c>
      <c r="AV978"/>
      <c r="AX978"/>
      <c r="AZ978" t="str">
        <f t="shared" si="249"/>
        <v/>
      </c>
      <c r="BA978" t="str">
        <f t="shared" si="250"/>
        <v/>
      </c>
    </row>
    <row r="979" spans="3:53" ht="13.5">
      <c r="C979" s="19"/>
      <c r="D979" s="19"/>
      <c r="AC979" s="6" t="s">
        <v>4241</v>
      </c>
      <c r="AD979" s="6" t="s">
        <v>7063</v>
      </c>
      <c r="AE979" s="158" t="s">
        <v>3937</v>
      </c>
      <c r="AF979" s="159" t="s">
        <v>8324</v>
      </c>
      <c r="AG979" s="160" t="s">
        <v>3554</v>
      </c>
      <c r="AH979" s="194" t="s">
        <v>679</v>
      </c>
      <c r="AI979" s="6">
        <v>386347</v>
      </c>
      <c r="AJ979" s="3" t="s">
        <v>8274</v>
      </c>
      <c r="AK979" t="s">
        <v>8274</v>
      </c>
      <c r="AV979"/>
      <c r="AX979"/>
      <c r="AZ979" t="str">
        <f t="shared" si="249"/>
        <v/>
      </c>
      <c r="BA979" t="str">
        <f t="shared" si="250"/>
        <v/>
      </c>
    </row>
    <row r="980" spans="3:53" ht="13.5">
      <c r="C980" s="19"/>
      <c r="D980" s="19"/>
      <c r="AC980" s="6" t="s">
        <v>4217</v>
      </c>
      <c r="AD980" s="6" t="s">
        <v>7212</v>
      </c>
      <c r="AE980" s="158" t="s">
        <v>3938</v>
      </c>
      <c r="AF980" s="159" t="s">
        <v>8299</v>
      </c>
      <c r="AG980" s="160" t="s">
        <v>3555</v>
      </c>
      <c r="AH980" s="194" t="s">
        <v>1314</v>
      </c>
      <c r="AI980" s="6" t="s">
        <v>2357</v>
      </c>
      <c r="AJ980" s="3" t="s">
        <v>8206</v>
      </c>
      <c r="AK980" t="s">
        <v>8206</v>
      </c>
      <c r="AV980"/>
      <c r="AX980"/>
      <c r="AZ980" t="str">
        <f t="shared" si="249"/>
        <v/>
      </c>
      <c r="BA980" t="str">
        <f t="shared" si="250"/>
        <v/>
      </c>
    </row>
    <row r="981" spans="3:53" ht="13.5">
      <c r="C981" s="19"/>
      <c r="D981" s="19"/>
      <c r="AC981" s="6" t="s">
        <v>5534</v>
      </c>
      <c r="AD981" s="6" t="s">
        <v>7167</v>
      </c>
      <c r="AE981" s="158" t="s">
        <v>3953</v>
      </c>
      <c r="AF981" s="159" t="s">
        <v>8299</v>
      </c>
      <c r="AG981" s="160" t="s">
        <v>3556</v>
      </c>
      <c r="AH981" s="194" t="s">
        <v>1314</v>
      </c>
      <c r="AI981" s="6">
        <v>846351</v>
      </c>
      <c r="AJ981" s="3" t="s">
        <v>8266</v>
      </c>
      <c r="AK981" t="s">
        <v>8266</v>
      </c>
      <c r="AV981"/>
      <c r="AX981"/>
      <c r="AZ981" t="str">
        <f t="shared" si="249"/>
        <v/>
      </c>
      <c r="BA981" t="str">
        <f t="shared" si="250"/>
        <v/>
      </c>
    </row>
    <row r="982" spans="3:53" ht="13.5">
      <c r="C982" s="19"/>
      <c r="D982" s="19"/>
      <c r="AC982" s="6" t="s">
        <v>3922</v>
      </c>
      <c r="AD982" s="6" t="s">
        <v>7213</v>
      </c>
      <c r="AE982" s="158" t="s">
        <v>3996</v>
      </c>
      <c r="AF982" s="159" t="s">
        <v>8297</v>
      </c>
      <c r="AG982" s="160" t="s">
        <v>3557</v>
      </c>
      <c r="AH982" s="194" t="s">
        <v>1314</v>
      </c>
      <c r="AI982" s="6" t="s">
        <v>2327</v>
      </c>
      <c r="AJ982" s="3" t="s">
        <v>8206</v>
      </c>
      <c r="AK982" t="s">
        <v>8206</v>
      </c>
      <c r="AV982"/>
      <c r="AX982"/>
      <c r="AZ982" t="str">
        <f t="shared" si="249"/>
        <v/>
      </c>
      <c r="BA982" t="str">
        <f t="shared" si="250"/>
        <v/>
      </c>
    </row>
    <row r="983" spans="3:53" ht="13.5">
      <c r="C983" s="19"/>
      <c r="D983" s="19"/>
      <c r="AC983" s="6" t="s">
        <v>4080</v>
      </c>
      <c r="AD983" s="6" t="s">
        <v>7214</v>
      </c>
      <c r="AE983" s="158" t="s">
        <v>3997</v>
      </c>
      <c r="AF983" s="159" t="s">
        <v>8324</v>
      </c>
      <c r="AG983" s="160" t="s">
        <v>3558</v>
      </c>
      <c r="AH983" s="194" t="s">
        <v>1314</v>
      </c>
      <c r="AI983" s="6" t="s">
        <v>1837</v>
      </c>
      <c r="AJ983" s="3" t="s">
        <v>8248</v>
      </c>
      <c r="AK983" t="s">
        <v>8248</v>
      </c>
      <c r="AV983"/>
      <c r="AX983"/>
      <c r="AZ983" t="str">
        <f t="shared" si="249"/>
        <v/>
      </c>
      <c r="BA983" t="str">
        <f t="shared" si="250"/>
        <v/>
      </c>
    </row>
    <row r="984" spans="3:53" ht="13.5">
      <c r="C984" s="19"/>
      <c r="D984" s="19"/>
      <c r="AC984" s="6" t="s">
        <v>4252</v>
      </c>
      <c r="AD984" s="6" t="s">
        <v>7203</v>
      </c>
      <c r="AE984" s="158" t="s">
        <v>3984</v>
      </c>
      <c r="AF984" s="159" t="s">
        <v>8297</v>
      </c>
      <c r="AG984" s="160" t="s">
        <v>3559</v>
      </c>
      <c r="AH984" s="194" t="s">
        <v>1314</v>
      </c>
      <c r="AI984" s="6" t="s">
        <v>1980</v>
      </c>
      <c r="AJ984" s="3" t="s">
        <v>8217</v>
      </c>
      <c r="AK984" t="s">
        <v>8668</v>
      </c>
      <c r="AV984"/>
      <c r="AX984"/>
      <c r="AZ984" t="str">
        <f t="shared" si="249"/>
        <v/>
      </c>
      <c r="BA984" t="str">
        <f t="shared" si="250"/>
        <v/>
      </c>
    </row>
    <row r="985" spans="3:53" ht="13.5">
      <c r="C985" s="19"/>
      <c r="D985" s="19"/>
      <c r="AC985" s="6" t="s">
        <v>4215</v>
      </c>
      <c r="AD985" s="6" t="s">
        <v>7215</v>
      </c>
      <c r="AE985" s="158" t="s">
        <v>4133</v>
      </c>
      <c r="AF985" s="159" t="s">
        <v>8340</v>
      </c>
      <c r="AG985" s="160" t="s">
        <v>5137</v>
      </c>
      <c r="AH985" s="194" t="s">
        <v>1314</v>
      </c>
      <c r="AI985" s="6" t="s">
        <v>5338</v>
      </c>
      <c r="AJ985" s="3" t="s">
        <v>8213</v>
      </c>
      <c r="AK985" t="s">
        <v>8213</v>
      </c>
      <c r="AV985"/>
      <c r="AX985"/>
      <c r="AZ985" t="str">
        <f t="shared" si="249"/>
        <v/>
      </c>
      <c r="BA985" t="str">
        <f t="shared" si="250"/>
        <v/>
      </c>
    </row>
    <row r="986" spans="3:53" ht="13.5">
      <c r="C986" s="19"/>
      <c r="D986" s="19"/>
      <c r="AC986" s="6" t="s">
        <v>3921</v>
      </c>
      <c r="AD986" s="6" t="s">
        <v>7213</v>
      </c>
      <c r="AE986" s="158" t="s">
        <v>4134</v>
      </c>
      <c r="AF986" s="159" t="s">
        <v>8320</v>
      </c>
      <c r="AG986" s="160" t="s">
        <v>2025</v>
      </c>
      <c r="AH986" s="194" t="s">
        <v>679</v>
      </c>
      <c r="AI986" s="6" t="s">
        <v>3702</v>
      </c>
      <c r="AJ986" s="3" t="s">
        <v>8199</v>
      </c>
      <c r="AK986" t="s">
        <v>8199</v>
      </c>
      <c r="AV986"/>
      <c r="AX986"/>
      <c r="AZ986" t="str">
        <f t="shared" si="249"/>
        <v/>
      </c>
      <c r="BA986" t="str">
        <f t="shared" si="250"/>
        <v/>
      </c>
    </row>
    <row r="987" spans="3:53" ht="13.5">
      <c r="C987" s="19"/>
      <c r="D987" s="19"/>
      <c r="AC987" s="6" t="s">
        <v>4288</v>
      </c>
      <c r="AD987" s="6" t="s">
        <v>7151</v>
      </c>
      <c r="AE987" s="158">
        <v>105571</v>
      </c>
      <c r="AF987" s="159" t="s">
        <v>8332</v>
      </c>
      <c r="AG987" s="160" t="s">
        <v>1431</v>
      </c>
      <c r="AH987" s="194" t="s">
        <v>679</v>
      </c>
      <c r="AI987" s="6" t="s">
        <v>2560</v>
      </c>
      <c r="AJ987" s="3" t="s">
        <v>8255</v>
      </c>
      <c r="AK987" t="s">
        <v>8255</v>
      </c>
      <c r="AV987"/>
      <c r="AX987"/>
      <c r="AZ987" t="str">
        <f t="shared" ref="AZ987:AZ1017" si="251">IF(ISBLANK(AW987),"",CONCATENATE("(",RIGHT(AW987,5),"-",TEXT(AX987,"h:mm;@"),")"))</f>
        <v/>
      </c>
      <c r="BA987" t="str">
        <f t="shared" ref="BA987:BA1017" si="252">IF(AV1003=AV987,"",CONCATENATE(IF(AV1002=AV987,BA1002,""),IF(AV1001=AV987,BA1001,""),IF(AV1000=AV987,BA1000,""),IF(AV999=AV987,BA999,""),IF(AV998=AV987,BA998,""),IF(AV997=AV987,BA997,""),IF(AV996=AV987,BA996,""),IF(AV995=AV987,BA995,""),IF(AV994=AV987,BA994,""),IF(AV993=AV987,BA993,""),IF(AV992=AV987,BA992,""),IF(AV991=AV987,BA991,""),IF(AV990=AV987,BA990,""),IF(AV989=AV987,BA989,""),IF(AV988=AV987,BA988,""),IF(AV986=AV987,BA986,""),BA987))</f>
        <v/>
      </c>
    </row>
    <row r="988" spans="3:53" ht="13.5">
      <c r="C988" s="19"/>
      <c r="D988" s="19"/>
      <c r="AC988" s="6" t="s">
        <v>4369</v>
      </c>
      <c r="AD988" s="6" t="s">
        <v>7216</v>
      </c>
      <c r="AE988" s="158">
        <v>105572</v>
      </c>
      <c r="AF988" s="159" t="s">
        <v>8320</v>
      </c>
      <c r="AG988" s="160" t="s">
        <v>131</v>
      </c>
      <c r="AH988" s="194" t="s">
        <v>679</v>
      </c>
      <c r="AI988" s="6" t="s">
        <v>2490</v>
      </c>
      <c r="AJ988" s="3" t="s">
        <v>8275</v>
      </c>
      <c r="AK988" t="s">
        <v>8275</v>
      </c>
      <c r="AV988"/>
      <c r="AX988"/>
      <c r="AZ988" t="str">
        <f t="shared" si="251"/>
        <v/>
      </c>
      <c r="BA988" t="str">
        <f t="shared" si="252"/>
        <v/>
      </c>
    </row>
    <row r="989" spans="3:53" ht="13.5">
      <c r="C989" s="19"/>
      <c r="D989" s="19"/>
      <c r="AC989" s="6" t="s">
        <v>4336</v>
      </c>
      <c r="AD989" s="6" t="s">
        <v>7217</v>
      </c>
      <c r="AE989" s="158">
        <v>105573</v>
      </c>
      <c r="AF989" s="159" t="s">
        <v>8299</v>
      </c>
      <c r="AG989" s="160" t="s">
        <v>1001</v>
      </c>
      <c r="AH989" s="194" t="s">
        <v>679</v>
      </c>
      <c r="AI989" s="6" t="s">
        <v>519</v>
      </c>
      <c r="AJ989" s="3" t="s">
        <v>8209</v>
      </c>
      <c r="AK989" t="s">
        <v>8209</v>
      </c>
      <c r="AV989"/>
      <c r="AX989"/>
      <c r="AZ989" t="str">
        <f t="shared" si="251"/>
        <v/>
      </c>
      <c r="BA989" t="str">
        <f t="shared" si="252"/>
        <v/>
      </c>
    </row>
    <row r="990" spans="3:53" ht="13.5">
      <c r="C990" s="19"/>
      <c r="D990" s="19"/>
      <c r="AC990" s="6" t="s">
        <v>4391</v>
      </c>
      <c r="AD990" s="6" t="s">
        <v>7218</v>
      </c>
      <c r="AE990" s="158">
        <v>105574</v>
      </c>
      <c r="AF990" s="159" t="s">
        <v>8311</v>
      </c>
      <c r="AG990" s="160" t="s">
        <v>2211</v>
      </c>
      <c r="AH990" s="194" t="s">
        <v>679</v>
      </c>
      <c r="AI990" s="6" t="s">
        <v>2496</v>
      </c>
      <c r="AJ990" s="3" t="s">
        <v>8274</v>
      </c>
      <c r="AK990" t="s">
        <v>8274</v>
      </c>
      <c r="AV990"/>
      <c r="AX990"/>
      <c r="AZ990" t="str">
        <f t="shared" si="251"/>
        <v/>
      </c>
      <c r="BA990" t="str">
        <f t="shared" si="252"/>
        <v/>
      </c>
    </row>
    <row r="991" spans="3:53" ht="13.5">
      <c r="C991" s="19"/>
      <c r="D991" s="19"/>
      <c r="AC991" s="6" t="s">
        <v>3968</v>
      </c>
      <c r="AD991" s="6" t="s">
        <v>7219</v>
      </c>
      <c r="AE991" s="158">
        <v>105575</v>
      </c>
      <c r="AF991" s="159" t="s">
        <v>8297</v>
      </c>
      <c r="AG991" s="160" t="s">
        <v>3560</v>
      </c>
      <c r="AH991" s="194" t="s">
        <v>1314</v>
      </c>
      <c r="AI991" s="6" t="s">
        <v>4050</v>
      </c>
      <c r="AJ991" s="3" t="s">
        <v>8269</v>
      </c>
      <c r="AK991" t="s">
        <v>8269</v>
      </c>
      <c r="AV991"/>
      <c r="AX991"/>
      <c r="AZ991" t="str">
        <f t="shared" si="251"/>
        <v/>
      </c>
      <c r="BA991" t="str">
        <f t="shared" si="252"/>
        <v/>
      </c>
    </row>
    <row r="992" spans="3:53" ht="13.5">
      <c r="C992" s="19"/>
      <c r="D992" s="19"/>
      <c r="AC992" s="6" t="s">
        <v>4190</v>
      </c>
      <c r="AD992" s="6" t="s">
        <v>7063</v>
      </c>
      <c r="AE992" s="158">
        <v>105576</v>
      </c>
      <c r="AF992" s="159" t="s">
        <v>8320</v>
      </c>
      <c r="AG992" s="160" t="s">
        <v>3561</v>
      </c>
      <c r="AH992" s="194" t="s">
        <v>679</v>
      </c>
      <c r="AI992" s="6" t="s">
        <v>2714</v>
      </c>
      <c r="AJ992" s="3" t="s">
        <v>8271</v>
      </c>
      <c r="AK992" t="s">
        <v>8271</v>
      </c>
      <c r="AV992"/>
      <c r="AX992"/>
      <c r="AZ992" t="str">
        <f t="shared" si="251"/>
        <v/>
      </c>
      <c r="BA992" t="str">
        <f t="shared" si="252"/>
        <v/>
      </c>
    </row>
    <row r="993" spans="3:53" ht="13.5">
      <c r="C993" s="19"/>
      <c r="D993" s="19"/>
      <c r="AC993" s="6" t="s">
        <v>4078</v>
      </c>
      <c r="AD993" s="6" t="s">
        <v>7214</v>
      </c>
      <c r="AE993" s="158">
        <v>105577</v>
      </c>
      <c r="AF993" s="159" t="s">
        <v>8320</v>
      </c>
      <c r="AG993" s="160" t="s">
        <v>3562</v>
      </c>
      <c r="AH993" s="194" t="s">
        <v>679</v>
      </c>
      <c r="AI993" s="6" t="s">
        <v>3609</v>
      </c>
      <c r="AJ993" s="3" t="s">
        <v>8270</v>
      </c>
      <c r="AK993" t="s">
        <v>8270</v>
      </c>
      <c r="AV993"/>
      <c r="AX993"/>
      <c r="AZ993" t="str">
        <f t="shared" si="251"/>
        <v/>
      </c>
      <c r="BA993" t="str">
        <f t="shared" si="252"/>
        <v/>
      </c>
    </row>
    <row r="994" spans="3:53" ht="13.5">
      <c r="C994" s="19"/>
      <c r="D994" s="19"/>
      <c r="AC994" s="6" t="s">
        <v>4392</v>
      </c>
      <c r="AD994" s="6" t="s">
        <v>7218</v>
      </c>
      <c r="AE994" s="158">
        <v>105578</v>
      </c>
      <c r="AF994" s="159" t="s">
        <v>8300</v>
      </c>
      <c r="AG994" s="160" t="s">
        <v>3563</v>
      </c>
      <c r="AH994" s="194" t="s">
        <v>1314</v>
      </c>
      <c r="AI994" s="6" t="s">
        <v>2478</v>
      </c>
      <c r="AJ994" s="3" t="s">
        <v>8251</v>
      </c>
      <c r="AK994" t="s">
        <v>8251</v>
      </c>
      <c r="AV994"/>
      <c r="AX994"/>
      <c r="AZ994" t="str">
        <f t="shared" si="251"/>
        <v/>
      </c>
      <c r="BA994" t="str">
        <f t="shared" si="252"/>
        <v/>
      </c>
    </row>
    <row r="995" spans="3:53" ht="13.5">
      <c r="C995" s="19"/>
      <c r="D995" s="19"/>
      <c r="AC995" s="6" t="s">
        <v>4079</v>
      </c>
      <c r="AD995" s="6" t="s">
        <v>7214</v>
      </c>
      <c r="AE995" s="158">
        <v>105579</v>
      </c>
      <c r="AF995" s="159" t="s">
        <v>8300</v>
      </c>
      <c r="AG995" s="160" t="s">
        <v>5131</v>
      </c>
      <c r="AH995" s="194" t="s">
        <v>1314</v>
      </c>
      <c r="AI995" s="6" t="s">
        <v>3654</v>
      </c>
      <c r="AJ995" s="3" t="s">
        <v>8268</v>
      </c>
      <c r="AK995" t="s">
        <v>8268</v>
      </c>
      <c r="AV995"/>
      <c r="AX995"/>
      <c r="AZ995" t="str">
        <f t="shared" si="251"/>
        <v/>
      </c>
      <c r="BA995" t="str">
        <f t="shared" si="252"/>
        <v/>
      </c>
    </row>
    <row r="996" spans="3:53" ht="13.5">
      <c r="C996" s="19"/>
      <c r="D996" s="19"/>
      <c r="AC996" s="6" t="s">
        <v>4393</v>
      </c>
      <c r="AD996" s="6" t="s">
        <v>7218</v>
      </c>
      <c r="AE996" s="158">
        <v>105580</v>
      </c>
      <c r="AF996" s="159" t="s">
        <v>8300</v>
      </c>
      <c r="AG996" s="160" t="s">
        <v>5190</v>
      </c>
      <c r="AH996" s="194" t="s">
        <v>1314</v>
      </c>
      <c r="AI996" s="6" t="s">
        <v>1657</v>
      </c>
      <c r="AJ996" s="3" t="s">
        <v>8210</v>
      </c>
      <c r="AK996" t="s">
        <v>8210</v>
      </c>
      <c r="AV996"/>
      <c r="AX996"/>
      <c r="AZ996" t="str">
        <f t="shared" si="251"/>
        <v/>
      </c>
      <c r="BA996" t="str">
        <f t="shared" si="252"/>
        <v/>
      </c>
    </row>
    <row r="997" spans="3:53" ht="13.5">
      <c r="C997" s="19"/>
      <c r="D997" s="19"/>
      <c r="AC997" s="6" t="s">
        <v>4377</v>
      </c>
      <c r="AD997" s="6" t="s">
        <v>7220</v>
      </c>
      <c r="AE997" s="158">
        <v>105584</v>
      </c>
      <c r="AF997" s="159" t="s">
        <v>8299</v>
      </c>
      <c r="AG997" s="160" t="s">
        <v>3564</v>
      </c>
      <c r="AH997" s="194" t="s">
        <v>1314</v>
      </c>
      <c r="AI997" s="6" t="s">
        <v>3701</v>
      </c>
      <c r="AJ997" s="3" t="s">
        <v>8199</v>
      </c>
      <c r="AK997" t="s">
        <v>8199</v>
      </c>
      <c r="AV997"/>
      <c r="AX997"/>
      <c r="AZ997" t="str">
        <f t="shared" si="251"/>
        <v/>
      </c>
      <c r="BA997" t="str">
        <f t="shared" si="252"/>
        <v/>
      </c>
    </row>
    <row r="998" spans="3:53" ht="13.5">
      <c r="C998" s="19"/>
      <c r="D998" s="19"/>
      <c r="AC998" s="6" t="s">
        <v>4187</v>
      </c>
      <c r="AD998" s="6" t="s">
        <v>7063</v>
      </c>
      <c r="AE998" s="158">
        <v>115591</v>
      </c>
      <c r="AF998" s="159" t="s">
        <v>8300</v>
      </c>
      <c r="AG998" s="160" t="s">
        <v>1736</v>
      </c>
      <c r="AH998" s="194" t="s">
        <v>679</v>
      </c>
      <c r="AI998" s="6" t="s">
        <v>3798</v>
      </c>
      <c r="AJ998" s="3" t="s">
        <v>8199</v>
      </c>
      <c r="AK998" t="s">
        <v>8199</v>
      </c>
      <c r="AV998"/>
      <c r="AX998"/>
      <c r="AZ998" t="str">
        <f t="shared" si="251"/>
        <v/>
      </c>
      <c r="BA998" t="str">
        <f t="shared" si="252"/>
        <v/>
      </c>
    </row>
    <row r="999" spans="3:53" ht="13.5">
      <c r="C999" s="19"/>
      <c r="D999" s="19"/>
      <c r="AC999" s="6">
        <v>425708</v>
      </c>
      <c r="AD999" s="6" t="s">
        <v>7221</v>
      </c>
      <c r="AE999" s="158">
        <v>115592</v>
      </c>
      <c r="AF999" s="159" t="s">
        <v>8300</v>
      </c>
      <c r="AG999" s="160" t="s">
        <v>1737</v>
      </c>
      <c r="AH999" s="194" t="s">
        <v>679</v>
      </c>
      <c r="AI999" s="6" t="s">
        <v>2794</v>
      </c>
      <c r="AJ999" s="3" t="s">
        <v>8256</v>
      </c>
      <c r="AK999" t="s">
        <v>8256</v>
      </c>
      <c r="AV999"/>
      <c r="AX999"/>
      <c r="AZ999" t="str">
        <f t="shared" si="251"/>
        <v/>
      </c>
      <c r="BA999" t="str">
        <f t="shared" si="252"/>
        <v/>
      </c>
    </row>
    <row r="1000" spans="3:53" ht="13.5">
      <c r="C1000" s="19"/>
      <c r="D1000" s="19"/>
      <c r="AC1000" s="6" t="s">
        <v>4374</v>
      </c>
      <c r="AD1000" s="6" t="s">
        <v>7148</v>
      </c>
      <c r="AE1000" s="158">
        <v>115593</v>
      </c>
      <c r="AF1000" s="159" t="s">
        <v>8299</v>
      </c>
      <c r="AG1000" s="160" t="s">
        <v>1738</v>
      </c>
      <c r="AH1000" s="194" t="s">
        <v>679</v>
      </c>
      <c r="AI1000" s="6" t="s">
        <v>3022</v>
      </c>
      <c r="AJ1000" s="3" t="s">
        <v>8193</v>
      </c>
      <c r="AK1000" t="s">
        <v>8205</v>
      </c>
      <c r="AV1000"/>
      <c r="AX1000"/>
      <c r="AZ1000" t="str">
        <f t="shared" si="251"/>
        <v/>
      </c>
      <c r="BA1000" t="str">
        <f t="shared" si="252"/>
        <v/>
      </c>
    </row>
    <row r="1001" spans="3:53" ht="13.5">
      <c r="C1001" s="19"/>
      <c r="D1001" s="19"/>
      <c r="AC1001" s="6" t="s">
        <v>4289</v>
      </c>
      <c r="AD1001" s="6" t="s">
        <v>7151</v>
      </c>
      <c r="AE1001" s="158">
        <v>115594</v>
      </c>
      <c r="AF1001" s="159" t="s">
        <v>8300</v>
      </c>
      <c r="AG1001" s="160" t="s">
        <v>1739</v>
      </c>
      <c r="AH1001" s="194" t="s">
        <v>679</v>
      </c>
      <c r="AI1001" s="6" t="s">
        <v>3079</v>
      </c>
      <c r="AJ1001" s="3" t="s">
        <v>8205</v>
      </c>
      <c r="AK1001" t="s">
        <v>8211</v>
      </c>
      <c r="AV1001"/>
      <c r="AX1001"/>
      <c r="AZ1001" t="str">
        <f t="shared" si="251"/>
        <v/>
      </c>
      <c r="BA1001" t="str">
        <f t="shared" si="252"/>
        <v/>
      </c>
    </row>
    <row r="1002" spans="3:53" ht="13.5">
      <c r="C1002" s="19"/>
      <c r="D1002" s="19"/>
      <c r="AC1002" s="6" t="s">
        <v>4302</v>
      </c>
      <c r="AD1002" s="6" t="s">
        <v>7222</v>
      </c>
      <c r="AE1002" s="158">
        <v>115595</v>
      </c>
      <c r="AF1002" s="159" t="s">
        <v>8297</v>
      </c>
      <c r="AG1002" s="160" t="s">
        <v>1886</v>
      </c>
      <c r="AH1002" s="194" t="s">
        <v>678</v>
      </c>
      <c r="AI1002" s="6" t="s">
        <v>3165</v>
      </c>
      <c r="AJ1002" s="3" t="s">
        <v>8240</v>
      </c>
      <c r="AK1002" t="s">
        <v>8240</v>
      </c>
      <c r="AV1002"/>
      <c r="AX1002"/>
      <c r="AZ1002" t="str">
        <f t="shared" si="251"/>
        <v/>
      </c>
      <c r="BA1002" t="str">
        <f t="shared" si="252"/>
        <v/>
      </c>
    </row>
    <row r="1003" spans="3:53" ht="13.5">
      <c r="C1003" s="19"/>
      <c r="D1003" s="19"/>
      <c r="AC1003" s="6" t="s">
        <v>4077</v>
      </c>
      <c r="AD1003" s="6" t="s">
        <v>7223</v>
      </c>
      <c r="AE1003" s="158">
        <v>115602</v>
      </c>
      <c r="AF1003" s="159" t="s">
        <v>8320</v>
      </c>
      <c r="AG1003" s="160" t="s">
        <v>1887</v>
      </c>
      <c r="AH1003" s="194" t="s">
        <v>679</v>
      </c>
      <c r="AI1003" s="6" t="s">
        <v>3230</v>
      </c>
      <c r="AJ1003" s="3" t="s">
        <v>8205</v>
      </c>
      <c r="AK1003" t="s">
        <v>8211</v>
      </c>
      <c r="AV1003"/>
      <c r="AX1003"/>
      <c r="AZ1003" t="str">
        <f t="shared" si="251"/>
        <v/>
      </c>
      <c r="BA1003" t="str">
        <f t="shared" si="252"/>
        <v/>
      </c>
    </row>
    <row r="1004" spans="3:53" ht="13.5">
      <c r="C1004" s="19"/>
      <c r="D1004" s="19"/>
      <c r="AC1004" s="6" t="s">
        <v>4076</v>
      </c>
      <c r="AD1004" s="6" t="s">
        <v>7223</v>
      </c>
      <c r="AE1004" s="158">
        <v>115603</v>
      </c>
      <c r="AF1004" s="159" t="s">
        <v>8299</v>
      </c>
      <c r="AG1004" s="160" t="s">
        <v>1925</v>
      </c>
      <c r="AH1004" s="194" t="s">
        <v>679</v>
      </c>
      <c r="AI1004" s="6" t="s">
        <v>3258</v>
      </c>
      <c r="AJ1004" s="3" t="s">
        <v>8220</v>
      </c>
      <c r="AK1004" t="s">
        <v>8220</v>
      </c>
      <c r="AV1004"/>
      <c r="AX1004"/>
      <c r="AZ1004" t="str">
        <f t="shared" si="251"/>
        <v/>
      </c>
      <c r="BA1004" t="str">
        <f t="shared" si="252"/>
        <v/>
      </c>
    </row>
    <row r="1005" spans="3:53" ht="13.5">
      <c r="C1005" s="19"/>
      <c r="D1005" s="19"/>
      <c r="AC1005" s="6" t="s">
        <v>4214</v>
      </c>
      <c r="AD1005" s="6" t="s">
        <v>7224</v>
      </c>
      <c r="AE1005" s="158">
        <v>375604</v>
      </c>
      <c r="AF1005" s="159" t="s">
        <v>8299</v>
      </c>
      <c r="AG1005" s="160" t="s">
        <v>1951</v>
      </c>
      <c r="AH1005" s="194" t="s">
        <v>679</v>
      </c>
      <c r="AI1005" s="6" t="s">
        <v>3319</v>
      </c>
      <c r="AJ1005" s="3" t="s">
        <v>8205</v>
      </c>
      <c r="AK1005" t="s">
        <v>8211</v>
      </c>
      <c r="AV1005"/>
      <c r="AX1005"/>
      <c r="AZ1005" t="str">
        <f t="shared" si="251"/>
        <v/>
      </c>
      <c r="BA1005" t="str">
        <f t="shared" si="252"/>
        <v/>
      </c>
    </row>
    <row r="1006" spans="3:53" ht="13.5">
      <c r="C1006" s="19"/>
      <c r="D1006" s="19"/>
      <c r="AC1006" s="6" t="s">
        <v>4375</v>
      </c>
      <c r="AD1006" s="6" t="s">
        <v>7148</v>
      </c>
      <c r="AE1006" s="158">
        <v>375606</v>
      </c>
      <c r="AF1006" s="159" t="s">
        <v>8299</v>
      </c>
      <c r="AG1006" s="160" t="s">
        <v>1952</v>
      </c>
      <c r="AH1006" s="194" t="s">
        <v>679</v>
      </c>
      <c r="AI1006" s="6" t="s">
        <v>3356</v>
      </c>
      <c r="AJ1006" s="3" t="s">
        <v>8246</v>
      </c>
      <c r="AK1006" t="s">
        <v>8246</v>
      </c>
      <c r="AV1006"/>
      <c r="AX1006"/>
      <c r="AZ1006" t="str">
        <f t="shared" si="251"/>
        <v/>
      </c>
      <c r="BA1006" t="str">
        <f t="shared" si="252"/>
        <v/>
      </c>
    </row>
    <row r="1007" spans="3:53" ht="13.5">
      <c r="C1007" s="19"/>
      <c r="D1007" s="19"/>
      <c r="AC1007" s="6">
        <v>425709</v>
      </c>
      <c r="AD1007" s="6" t="s">
        <v>6897</v>
      </c>
      <c r="AE1007" s="158">
        <v>135614</v>
      </c>
      <c r="AF1007" s="159" t="s">
        <v>8299</v>
      </c>
      <c r="AG1007" s="160" t="s">
        <v>1953</v>
      </c>
      <c r="AH1007" s="194" t="s">
        <v>679</v>
      </c>
      <c r="AI1007" s="6" t="s">
        <v>3363</v>
      </c>
      <c r="AJ1007" s="3" t="s">
        <v>8211</v>
      </c>
      <c r="AK1007" t="s">
        <v>8242</v>
      </c>
      <c r="AV1007"/>
      <c r="AX1007"/>
      <c r="AZ1007" t="str">
        <f t="shared" si="251"/>
        <v/>
      </c>
      <c r="BA1007" t="str">
        <f t="shared" si="252"/>
        <v/>
      </c>
    </row>
    <row r="1008" spans="3:53" ht="13.5">
      <c r="C1008" s="19"/>
      <c r="D1008" s="19"/>
      <c r="AC1008" s="6" t="s">
        <v>4188</v>
      </c>
      <c r="AD1008" s="6" t="s">
        <v>7095</v>
      </c>
      <c r="AE1008" s="158">
        <v>135615</v>
      </c>
      <c r="AF1008" s="159" t="s">
        <v>8299</v>
      </c>
      <c r="AG1008" s="161" t="s">
        <v>5312</v>
      </c>
      <c r="AH1008" s="194" t="s">
        <v>679</v>
      </c>
      <c r="AI1008" s="6" t="s">
        <v>3402</v>
      </c>
      <c r="AJ1008" s="3" t="s">
        <v>8247</v>
      </c>
      <c r="AK1008" t="s">
        <v>8247</v>
      </c>
      <c r="AV1008"/>
      <c r="AX1008"/>
      <c r="AZ1008" t="str">
        <f t="shared" si="251"/>
        <v/>
      </c>
      <c r="BA1008" t="str">
        <f t="shared" si="252"/>
        <v/>
      </c>
    </row>
    <row r="1009" spans="3:53" ht="13.5">
      <c r="C1009" s="19"/>
      <c r="D1009" s="19"/>
      <c r="AC1009" s="6" t="s">
        <v>4301</v>
      </c>
      <c r="AD1009" s="6" t="s">
        <v>7222</v>
      </c>
      <c r="AE1009" s="158">
        <v>135616</v>
      </c>
      <c r="AF1009" s="159" t="s">
        <v>8299</v>
      </c>
      <c r="AG1009" s="160" t="s">
        <v>1954</v>
      </c>
      <c r="AH1009" s="194" t="s">
        <v>679</v>
      </c>
      <c r="AI1009" s="6" t="s">
        <v>2810</v>
      </c>
      <c r="AJ1009" s="3" t="s">
        <v>8255</v>
      </c>
      <c r="AK1009" t="s">
        <v>8255</v>
      </c>
      <c r="AV1009"/>
      <c r="AX1009"/>
      <c r="AZ1009" t="str">
        <f t="shared" si="251"/>
        <v/>
      </c>
      <c r="BA1009" t="str">
        <f t="shared" si="252"/>
        <v/>
      </c>
    </row>
    <row r="1010" spans="3:53" ht="13.5">
      <c r="C1010" s="19"/>
      <c r="D1010" s="19"/>
      <c r="AC1010" s="6">
        <v>365585</v>
      </c>
      <c r="AD1010" s="6" t="s">
        <v>7225</v>
      </c>
      <c r="AE1010" s="158">
        <v>135617</v>
      </c>
      <c r="AF1010" s="159" t="s">
        <v>8309</v>
      </c>
      <c r="AG1010" s="160" t="s">
        <v>1955</v>
      </c>
      <c r="AH1010" s="194" t="s">
        <v>679</v>
      </c>
      <c r="AI1010" s="6" t="s">
        <v>1997</v>
      </c>
      <c r="AJ1010" s="3" t="s">
        <v>8224</v>
      </c>
      <c r="AK1010" t="s">
        <v>8224</v>
      </c>
      <c r="AV1010"/>
      <c r="AX1010"/>
      <c r="AZ1010" t="str">
        <f t="shared" si="251"/>
        <v/>
      </c>
      <c r="BA1010" t="str">
        <f t="shared" si="252"/>
        <v/>
      </c>
    </row>
    <row r="1011" spans="3:53" ht="13.5">
      <c r="C1011" s="19"/>
      <c r="D1011" s="19"/>
      <c r="AC1011" s="6" t="s">
        <v>5532</v>
      </c>
      <c r="AD1011" s="6" t="s">
        <v>7167</v>
      </c>
      <c r="AE1011" s="158">
        <v>145625</v>
      </c>
      <c r="AF1011" s="159" t="s">
        <v>8340</v>
      </c>
      <c r="AG1011" s="160" t="s">
        <v>4774</v>
      </c>
      <c r="AH1011" s="194" t="s">
        <v>679</v>
      </c>
      <c r="AI1011" s="6" t="s">
        <v>2691</v>
      </c>
      <c r="AJ1011" s="3" t="s">
        <v>8275</v>
      </c>
      <c r="AK1011" t="s">
        <v>8275</v>
      </c>
      <c r="AV1011"/>
      <c r="AX1011"/>
      <c r="AZ1011" t="str">
        <f t="shared" si="251"/>
        <v/>
      </c>
      <c r="BA1011" t="str">
        <f t="shared" si="252"/>
        <v/>
      </c>
    </row>
    <row r="1012" spans="3:53" ht="13.5">
      <c r="C1012" s="19"/>
      <c r="D1012" s="19"/>
      <c r="AC1012" s="6" t="s">
        <v>3552</v>
      </c>
      <c r="AD1012" s="6" t="s">
        <v>7167</v>
      </c>
      <c r="AE1012" s="158">
        <v>145626</v>
      </c>
      <c r="AF1012" s="159" t="s">
        <v>8296</v>
      </c>
      <c r="AG1012" s="160" t="s">
        <v>5243</v>
      </c>
      <c r="AH1012" s="194" t="s">
        <v>1314</v>
      </c>
      <c r="AI1012" s="6" t="s">
        <v>550</v>
      </c>
      <c r="AJ1012" s="3" t="s">
        <v>8212</v>
      </c>
      <c r="AK1012" t="s">
        <v>8212</v>
      </c>
      <c r="AV1012"/>
      <c r="AX1012"/>
      <c r="AZ1012" t="str">
        <f t="shared" si="251"/>
        <v/>
      </c>
      <c r="BA1012" t="str">
        <f t="shared" si="252"/>
        <v/>
      </c>
    </row>
    <row r="1013" spans="3:53" ht="13.5">
      <c r="C1013" s="19"/>
      <c r="D1013" s="19"/>
      <c r="AC1013" s="6" t="s">
        <v>2679</v>
      </c>
      <c r="AD1013" s="6" t="s">
        <v>7226</v>
      </c>
      <c r="AE1013" s="158">
        <v>145627</v>
      </c>
      <c r="AF1013" s="159" t="s">
        <v>8299</v>
      </c>
      <c r="AG1013" s="160" t="s">
        <v>5160</v>
      </c>
      <c r="AH1013" s="194" t="s">
        <v>679</v>
      </c>
      <c r="AI1013" s="6" t="s">
        <v>1639</v>
      </c>
      <c r="AJ1013" s="3" t="s">
        <v>8224</v>
      </c>
      <c r="AK1013" t="s">
        <v>8224</v>
      </c>
      <c r="AV1013"/>
      <c r="AX1013"/>
      <c r="AZ1013" t="str">
        <f t="shared" si="251"/>
        <v/>
      </c>
      <c r="BA1013" t="str">
        <f t="shared" si="252"/>
        <v/>
      </c>
    </row>
    <row r="1014" spans="3:53" ht="13.5">
      <c r="C1014" s="19"/>
      <c r="D1014" s="19"/>
      <c r="AC1014" s="6">
        <v>765229</v>
      </c>
      <c r="AD1014" s="6" t="s">
        <v>7227</v>
      </c>
      <c r="AE1014" s="158">
        <v>95634</v>
      </c>
      <c r="AF1014" s="159" t="s">
        <v>8299</v>
      </c>
      <c r="AG1014" s="160" t="s">
        <v>3565</v>
      </c>
      <c r="AH1014" s="194" t="s">
        <v>679</v>
      </c>
      <c r="AI1014" s="6" t="s">
        <v>4001</v>
      </c>
      <c r="AJ1014" s="3" t="s">
        <v>8267</v>
      </c>
      <c r="AK1014" t="s">
        <v>8280</v>
      </c>
      <c r="AV1014"/>
      <c r="AX1014"/>
      <c r="AZ1014" t="str">
        <f t="shared" si="251"/>
        <v/>
      </c>
      <c r="BA1014" t="str">
        <f t="shared" si="252"/>
        <v/>
      </c>
    </row>
    <row r="1015" spans="3:53" ht="13.5">
      <c r="C1015" s="19"/>
      <c r="D1015" s="19"/>
      <c r="AC1015" s="6" t="s">
        <v>4335</v>
      </c>
      <c r="AD1015" s="6" t="s">
        <v>7228</v>
      </c>
      <c r="AE1015" s="158">
        <v>375635</v>
      </c>
      <c r="AF1015" s="159" t="s">
        <v>8299</v>
      </c>
      <c r="AG1015" s="160" t="s">
        <v>3566</v>
      </c>
      <c r="AH1015" s="194" t="s">
        <v>679</v>
      </c>
      <c r="AI1015" s="6" t="s">
        <v>1743</v>
      </c>
      <c r="AJ1015" s="3" t="s">
        <v>8194</v>
      </c>
      <c r="AK1015" t="s">
        <v>8194</v>
      </c>
      <c r="AV1015"/>
      <c r="AX1015"/>
      <c r="AZ1015" t="str">
        <f t="shared" si="251"/>
        <v/>
      </c>
      <c r="BA1015" t="str">
        <f t="shared" si="252"/>
        <v/>
      </c>
    </row>
    <row r="1016" spans="3:53" ht="13.5">
      <c r="C1016" s="19"/>
      <c r="D1016" s="19"/>
      <c r="AC1016" s="6" t="s">
        <v>5202</v>
      </c>
      <c r="AD1016" s="6" t="s">
        <v>7229</v>
      </c>
      <c r="AE1016" s="158">
        <v>375639</v>
      </c>
      <c r="AF1016" s="159" t="s">
        <v>8309</v>
      </c>
      <c r="AG1016" s="160" t="s">
        <v>3567</v>
      </c>
      <c r="AH1016" s="194" t="s">
        <v>679</v>
      </c>
      <c r="AI1016" s="6" t="s">
        <v>4060</v>
      </c>
      <c r="AJ1016" s="3" t="s">
        <v>8260</v>
      </c>
      <c r="AK1016" t="s">
        <v>8678</v>
      </c>
      <c r="AV1016"/>
      <c r="AX1016"/>
      <c r="AZ1016" t="str">
        <f t="shared" si="251"/>
        <v/>
      </c>
      <c r="BA1016" t="str">
        <f t="shared" si="252"/>
        <v/>
      </c>
    </row>
    <row r="1017" spans="3:53" ht="13.5">
      <c r="C1017" s="19"/>
      <c r="D1017" s="19"/>
      <c r="AC1017" s="6" t="s">
        <v>4251</v>
      </c>
      <c r="AD1017" s="6" t="s">
        <v>7203</v>
      </c>
      <c r="AE1017" s="158">
        <v>375640</v>
      </c>
      <c r="AF1017" s="159" t="s">
        <v>8297</v>
      </c>
      <c r="AG1017" s="160" t="s">
        <v>3568</v>
      </c>
      <c r="AH1017" s="194" t="s">
        <v>679</v>
      </c>
      <c r="AI1017" s="6" t="s">
        <v>864</v>
      </c>
      <c r="AJ1017" s="3" t="s">
        <v>8257</v>
      </c>
      <c r="AK1017" t="s">
        <v>8257</v>
      </c>
      <c r="AV1017"/>
      <c r="AX1017"/>
      <c r="AZ1017" t="str">
        <f t="shared" si="251"/>
        <v/>
      </c>
      <c r="BA1017" t="str">
        <f t="shared" si="252"/>
        <v/>
      </c>
    </row>
    <row r="1018" spans="3:53" ht="13.5">
      <c r="C1018" s="19"/>
      <c r="D1018" s="19"/>
      <c r="AC1018" s="6" t="s">
        <v>4189</v>
      </c>
      <c r="AD1018" s="6" t="s">
        <v>7063</v>
      </c>
      <c r="AE1018" s="158">
        <v>375641</v>
      </c>
      <c r="AF1018" s="159" t="s">
        <v>8296</v>
      </c>
      <c r="AG1018" s="160" t="s">
        <v>3569</v>
      </c>
      <c r="AH1018" s="194" t="s">
        <v>679</v>
      </c>
      <c r="AI1018" s="6" t="s">
        <v>867</v>
      </c>
      <c r="AJ1018" s="3" t="s">
        <v>8257</v>
      </c>
      <c r="AK1018" t="s">
        <v>8257</v>
      </c>
      <c r="AV1018"/>
      <c r="AX1018"/>
      <c r="AZ1018" t="str">
        <f t="shared" ref="AZ1018:AZ1081" si="253">IF(ISBLANK(AW1018),"",CONCATENATE("(",RIGHT(AW1018,5),"-",TEXT(AX1018,"h:mm;@"),")"))</f>
        <v/>
      </c>
      <c r="BA1018" t="str">
        <f t="shared" ref="BA1018:BA1081" si="254">IF(AV1034=AV1018,"",CONCATENATE(IF(AV1033=AV1018,BA1033,""),IF(AV1032=AV1018,BA1032,""),IF(AV1031=AV1018,BA1031,""),IF(AV1030=AV1018,BA1030,""),IF(AV1029=AV1018,BA1029,""),IF(AV1028=AV1018,BA1028,""),IF(AV1027=AV1018,BA1027,""),IF(AV1026=AV1018,BA1026,""),IF(AV1025=AV1018,BA1025,""),IF(AV1024=AV1018,BA1024,""),IF(AV1023=AV1018,BA1023,""),IF(AV1022=AV1018,BA1022,""),IF(AV1021=AV1018,BA1021,""),IF(AV1020=AV1018,BA1020,""),IF(AV1019=AV1018,BA1019,""),IF(AV1017=AV1018,BA1017,""),BA1018))</f>
        <v/>
      </c>
    </row>
    <row r="1019" spans="3:53" ht="13.5">
      <c r="C1019" s="19"/>
      <c r="D1019" s="19"/>
      <c r="AC1019" s="6">
        <v>896415</v>
      </c>
      <c r="AD1019" s="6" t="s">
        <v>7230</v>
      </c>
      <c r="AE1019" s="158" t="s">
        <v>2491</v>
      </c>
      <c r="AF1019" s="159" t="s">
        <v>8309</v>
      </c>
      <c r="AG1019" s="160" t="s">
        <v>3570</v>
      </c>
      <c r="AH1019" s="194" t="s">
        <v>679</v>
      </c>
      <c r="AI1019" s="6" t="s">
        <v>870</v>
      </c>
      <c r="AJ1019" s="3" t="s">
        <v>8257</v>
      </c>
      <c r="AK1019" t="s">
        <v>8257</v>
      </c>
      <c r="AV1019"/>
      <c r="AX1019"/>
      <c r="AZ1019" t="str">
        <f t="shared" si="253"/>
        <v/>
      </c>
      <c r="BA1019" t="str">
        <f t="shared" si="254"/>
        <v/>
      </c>
    </row>
    <row r="1020" spans="3:53" ht="13.5">
      <c r="C1020" s="19"/>
      <c r="D1020" s="19"/>
      <c r="AC1020" s="6" t="s">
        <v>5203</v>
      </c>
      <c r="AD1020" s="6" t="s">
        <v>7167</v>
      </c>
      <c r="AE1020" s="158" t="s">
        <v>2492</v>
      </c>
      <c r="AF1020" s="159" t="s">
        <v>8299</v>
      </c>
      <c r="AG1020" s="160" t="s">
        <v>3571</v>
      </c>
      <c r="AH1020" s="194" t="s">
        <v>679</v>
      </c>
      <c r="AI1020" s="6" t="s">
        <v>917</v>
      </c>
      <c r="AJ1020" s="3" t="s">
        <v>8257</v>
      </c>
      <c r="AK1020" t="s">
        <v>8257</v>
      </c>
      <c r="AV1020"/>
      <c r="AX1020"/>
      <c r="AZ1020" t="str">
        <f t="shared" si="253"/>
        <v/>
      </c>
      <c r="BA1020" t="str">
        <f t="shared" si="254"/>
        <v/>
      </c>
    </row>
    <row r="1021" spans="3:53" ht="13.5">
      <c r="C1021" s="19"/>
      <c r="D1021" s="19"/>
      <c r="AC1021" s="6" t="s">
        <v>4300</v>
      </c>
      <c r="AD1021" s="6" t="s">
        <v>7231</v>
      </c>
      <c r="AE1021" s="158" t="s">
        <v>2510</v>
      </c>
      <c r="AF1021" s="159" t="s">
        <v>8299</v>
      </c>
      <c r="AG1021" s="160" t="s">
        <v>3572</v>
      </c>
      <c r="AH1021" s="194" t="s">
        <v>679</v>
      </c>
      <c r="AI1021" s="6" t="s">
        <v>932</v>
      </c>
      <c r="AJ1021" s="3" t="s">
        <v>8257</v>
      </c>
      <c r="AK1021" t="s">
        <v>8257</v>
      </c>
      <c r="AV1021"/>
      <c r="AX1021"/>
      <c r="AZ1021" t="str">
        <f t="shared" si="253"/>
        <v/>
      </c>
      <c r="BA1021" t="str">
        <f t="shared" si="254"/>
        <v/>
      </c>
    </row>
    <row r="1022" spans="3:53" ht="13.5">
      <c r="C1022" s="19"/>
      <c r="D1022" s="19"/>
      <c r="AC1022" s="6" t="s">
        <v>2620</v>
      </c>
      <c r="AD1022" s="6" t="s">
        <v>7232</v>
      </c>
      <c r="AE1022" s="158" t="s">
        <v>2511</v>
      </c>
      <c r="AF1022" s="159" t="s">
        <v>8335</v>
      </c>
      <c r="AG1022" s="160" t="s">
        <v>5068</v>
      </c>
      <c r="AH1022" s="194" t="s">
        <v>1314</v>
      </c>
      <c r="AI1022" s="6" t="s">
        <v>2470</v>
      </c>
      <c r="AJ1022" s="3" t="s">
        <v>8276</v>
      </c>
      <c r="AK1022" t="s">
        <v>8276</v>
      </c>
      <c r="AV1022"/>
      <c r="AX1022"/>
      <c r="AZ1022" t="str">
        <f t="shared" si="253"/>
        <v/>
      </c>
      <c r="BA1022" t="str">
        <f t="shared" si="254"/>
        <v/>
      </c>
    </row>
    <row r="1023" spans="3:53" ht="13.5">
      <c r="C1023" s="19"/>
      <c r="D1023" s="19"/>
      <c r="AC1023" s="6" t="s">
        <v>3719</v>
      </c>
      <c r="AD1023" s="6" t="s">
        <v>7167</v>
      </c>
      <c r="AE1023" s="158" t="s">
        <v>2512</v>
      </c>
      <c r="AF1023" s="159" t="s">
        <v>8321</v>
      </c>
      <c r="AG1023" s="160" t="s">
        <v>5067</v>
      </c>
      <c r="AH1023" s="194" t="s">
        <v>679</v>
      </c>
      <c r="AI1023" s="6" t="s">
        <v>2574</v>
      </c>
      <c r="AJ1023" s="3" t="s">
        <v>8277</v>
      </c>
      <c r="AK1023" t="s">
        <v>8277</v>
      </c>
      <c r="AV1023"/>
      <c r="AX1023"/>
      <c r="AZ1023" t="str">
        <f t="shared" si="253"/>
        <v/>
      </c>
      <c r="BA1023" t="str">
        <f t="shared" si="254"/>
        <v/>
      </c>
    </row>
    <row r="1024" spans="3:53" ht="13.5">
      <c r="C1024" s="19"/>
      <c r="D1024" s="19"/>
      <c r="AC1024" s="6" t="s">
        <v>3551</v>
      </c>
      <c r="AD1024" s="6" t="s">
        <v>7167</v>
      </c>
      <c r="AE1024" s="158">
        <v>435742</v>
      </c>
      <c r="AF1024" s="159" t="s">
        <v>8299</v>
      </c>
      <c r="AG1024" s="160" t="s">
        <v>1962</v>
      </c>
      <c r="AH1024" s="194" t="s">
        <v>679</v>
      </c>
      <c r="AI1024" s="6" t="s">
        <v>4130</v>
      </c>
      <c r="AJ1024" s="3" t="s">
        <v>8225</v>
      </c>
      <c r="AK1024" t="s">
        <v>8225</v>
      </c>
      <c r="AV1024"/>
      <c r="AX1024"/>
      <c r="AZ1024" t="str">
        <f t="shared" si="253"/>
        <v/>
      </c>
      <c r="BA1024" t="str">
        <f t="shared" si="254"/>
        <v/>
      </c>
    </row>
    <row r="1025" spans="3:53" ht="13.5">
      <c r="C1025" s="19"/>
      <c r="D1025" s="19"/>
      <c r="AC1025" s="6" t="s">
        <v>2479</v>
      </c>
      <c r="AD1025" s="6" t="s">
        <v>7233</v>
      </c>
      <c r="AE1025" s="158">
        <v>435743</v>
      </c>
      <c r="AF1025" s="159" t="s">
        <v>8365</v>
      </c>
      <c r="AG1025" s="160" t="s">
        <v>1969</v>
      </c>
      <c r="AH1025" s="194" t="s">
        <v>679</v>
      </c>
      <c r="AI1025" s="6" t="s">
        <v>6721</v>
      </c>
      <c r="AJ1025" s="3" t="s">
        <v>8210</v>
      </c>
      <c r="AK1025" t="s">
        <v>8210</v>
      </c>
      <c r="AV1025"/>
      <c r="AX1025"/>
      <c r="AZ1025" t="str">
        <f t="shared" si="253"/>
        <v/>
      </c>
      <c r="BA1025" t="str">
        <f t="shared" si="254"/>
        <v/>
      </c>
    </row>
    <row r="1026" spans="3:53" ht="13.5">
      <c r="C1026" s="19"/>
      <c r="D1026" s="19"/>
      <c r="AC1026" s="6" t="s">
        <v>4299</v>
      </c>
      <c r="AD1026" s="6" t="s">
        <v>7234</v>
      </c>
      <c r="AE1026" s="158" t="s">
        <v>3597</v>
      </c>
      <c r="AF1026" s="159" t="s">
        <v>8300</v>
      </c>
      <c r="AG1026" s="160" t="s">
        <v>4490</v>
      </c>
      <c r="AH1026" s="194" t="s">
        <v>1314</v>
      </c>
      <c r="AI1026" s="6" t="s">
        <v>4213</v>
      </c>
      <c r="AJ1026" s="3" t="s">
        <v>8236</v>
      </c>
      <c r="AK1026" t="s">
        <v>8236</v>
      </c>
      <c r="AV1026"/>
      <c r="AX1026"/>
      <c r="AZ1026" t="str">
        <f t="shared" si="253"/>
        <v/>
      </c>
      <c r="BA1026" t="str">
        <f t="shared" si="254"/>
        <v/>
      </c>
    </row>
    <row r="1027" spans="3:53" ht="13.5">
      <c r="C1027" s="19"/>
      <c r="D1027" s="19"/>
      <c r="AC1027" s="6" t="s">
        <v>2618</v>
      </c>
      <c r="AD1027" s="6" t="s">
        <v>7232</v>
      </c>
      <c r="AE1027" s="158" t="s">
        <v>1292</v>
      </c>
      <c r="AF1027" s="159" t="s">
        <v>8299</v>
      </c>
      <c r="AG1027" s="160" t="s">
        <v>2174</v>
      </c>
      <c r="AH1027" s="194" t="s">
        <v>678</v>
      </c>
      <c r="AI1027" s="6" t="s">
        <v>4217</v>
      </c>
      <c r="AJ1027" s="3" t="s">
        <v>8236</v>
      </c>
      <c r="AK1027" t="s">
        <v>8236</v>
      </c>
      <c r="AV1027"/>
      <c r="AX1027"/>
      <c r="AZ1027" t="str">
        <f t="shared" si="253"/>
        <v/>
      </c>
      <c r="BA1027" t="str">
        <f t="shared" si="254"/>
        <v/>
      </c>
    </row>
    <row r="1028" spans="3:53" ht="13.5">
      <c r="C1028" s="19"/>
      <c r="D1028" s="19"/>
      <c r="AC1028" s="6" t="s">
        <v>2478</v>
      </c>
      <c r="AD1028" s="6" t="s">
        <v>7235</v>
      </c>
      <c r="AE1028" s="158" t="s">
        <v>3839</v>
      </c>
      <c r="AF1028" s="159" t="s">
        <v>8300</v>
      </c>
      <c r="AG1028" s="160" t="s">
        <v>2175</v>
      </c>
      <c r="AH1028" s="194" t="s">
        <v>679</v>
      </c>
      <c r="AI1028" s="6" t="s">
        <v>4222</v>
      </c>
      <c r="AJ1028" s="3" t="s">
        <v>8262</v>
      </c>
      <c r="AK1028" t="s">
        <v>8262</v>
      </c>
      <c r="AV1028"/>
      <c r="AX1028"/>
      <c r="AZ1028" t="str">
        <f t="shared" si="253"/>
        <v/>
      </c>
      <c r="BA1028" t="str">
        <f t="shared" si="254"/>
        <v/>
      </c>
    </row>
    <row r="1029" spans="3:53" ht="13.5">
      <c r="C1029" s="19"/>
      <c r="D1029" s="19"/>
      <c r="AC1029" s="6" t="s">
        <v>4290</v>
      </c>
      <c r="AD1029" s="6" t="s">
        <v>7151</v>
      </c>
      <c r="AE1029" s="158" t="s">
        <v>3880</v>
      </c>
      <c r="AF1029" s="159" t="s">
        <v>8309</v>
      </c>
      <c r="AG1029" s="160" t="s">
        <v>53</v>
      </c>
      <c r="AH1029" s="194" t="s">
        <v>679</v>
      </c>
      <c r="AI1029" s="6" t="s">
        <v>4240</v>
      </c>
      <c r="AJ1029" s="3" t="s">
        <v>8253</v>
      </c>
      <c r="AK1029" t="s">
        <v>8253</v>
      </c>
      <c r="AV1029"/>
      <c r="AX1029"/>
      <c r="AZ1029" t="str">
        <f t="shared" si="253"/>
        <v/>
      </c>
      <c r="BA1029" t="str">
        <f t="shared" si="254"/>
        <v/>
      </c>
    </row>
    <row r="1030" spans="3:53" ht="13.5">
      <c r="C1030" s="19"/>
      <c r="D1030" s="19"/>
      <c r="AC1030" s="6" t="s">
        <v>2619</v>
      </c>
      <c r="AD1030" s="6" t="s">
        <v>7232</v>
      </c>
      <c r="AE1030" s="158" t="s">
        <v>3941</v>
      </c>
      <c r="AF1030" s="159" t="s">
        <v>8311</v>
      </c>
      <c r="AG1030" s="160" t="s">
        <v>54</v>
      </c>
      <c r="AH1030" s="194" t="s">
        <v>679</v>
      </c>
      <c r="AI1030" s="6" t="s">
        <v>2200</v>
      </c>
      <c r="AJ1030" s="3" t="s">
        <v>8221</v>
      </c>
      <c r="AK1030" t="s">
        <v>8669</v>
      </c>
      <c r="AV1030"/>
      <c r="AX1030"/>
      <c r="AZ1030" t="str">
        <f t="shared" si="253"/>
        <v/>
      </c>
      <c r="BA1030" t="str">
        <f t="shared" si="254"/>
        <v/>
      </c>
    </row>
    <row r="1031" spans="3:53" ht="13.5">
      <c r="C1031" s="19"/>
      <c r="D1031" s="19"/>
      <c r="AC1031" s="6" t="s">
        <v>4218</v>
      </c>
      <c r="AD1031" s="6" t="s">
        <v>7236</v>
      </c>
      <c r="AE1031" s="158" t="s">
        <v>3942</v>
      </c>
      <c r="AF1031" s="159" t="s">
        <v>8309</v>
      </c>
      <c r="AG1031" s="160" t="s">
        <v>5070</v>
      </c>
      <c r="AH1031" s="194" t="s">
        <v>1314</v>
      </c>
      <c r="AI1031" s="6" t="s">
        <v>3758</v>
      </c>
      <c r="AJ1031" s="3" t="s">
        <v>8245</v>
      </c>
      <c r="AK1031" t="s">
        <v>8676</v>
      </c>
      <c r="AV1031"/>
      <c r="AX1031"/>
      <c r="AZ1031" t="str">
        <f t="shared" si="253"/>
        <v/>
      </c>
      <c r="BA1031" t="str">
        <f t="shared" si="254"/>
        <v/>
      </c>
    </row>
    <row r="1032" spans="3:53" ht="13.5">
      <c r="C1032" s="19"/>
      <c r="D1032" s="19"/>
      <c r="AC1032" s="6" t="s">
        <v>4298</v>
      </c>
      <c r="AD1032" s="6" t="s">
        <v>7237</v>
      </c>
      <c r="AE1032" s="158" t="s">
        <v>4176</v>
      </c>
      <c r="AF1032" s="159" t="s">
        <v>8300</v>
      </c>
      <c r="AG1032" s="160" t="s">
        <v>2319</v>
      </c>
      <c r="AH1032" s="194" t="s">
        <v>679</v>
      </c>
      <c r="AI1032" s="6">
        <v>15345</v>
      </c>
      <c r="AJ1032" s="3" t="s">
        <v>8227</v>
      </c>
      <c r="AK1032" t="s">
        <v>8227</v>
      </c>
      <c r="AV1032"/>
      <c r="AX1032"/>
      <c r="AZ1032" t="str">
        <f t="shared" si="253"/>
        <v/>
      </c>
      <c r="BA1032" t="str">
        <f t="shared" si="254"/>
        <v/>
      </c>
    </row>
    <row r="1033" spans="3:53" ht="13.5">
      <c r="C1033" s="19"/>
      <c r="D1033" s="19"/>
      <c r="AC1033" s="6" t="s">
        <v>4170</v>
      </c>
      <c r="AD1033" s="6" t="s">
        <v>7147</v>
      </c>
      <c r="AE1033" s="158" t="s">
        <v>4243</v>
      </c>
      <c r="AF1033" s="159" t="s">
        <v>8299</v>
      </c>
      <c r="AG1033" s="160" t="s">
        <v>1237</v>
      </c>
      <c r="AH1033" s="194" t="s">
        <v>679</v>
      </c>
      <c r="AI1033" s="6">
        <v>85611</v>
      </c>
      <c r="AJ1033" s="3" t="s">
        <v>8233</v>
      </c>
      <c r="AK1033" t="s">
        <v>8233</v>
      </c>
      <c r="AV1033"/>
      <c r="AX1033"/>
      <c r="AZ1033" t="str">
        <f t="shared" si="253"/>
        <v/>
      </c>
      <c r="BA1033" t="str">
        <f t="shared" si="254"/>
        <v/>
      </c>
    </row>
    <row r="1034" spans="3:53" ht="13.5">
      <c r="C1034" s="19"/>
      <c r="D1034" s="19"/>
      <c r="AC1034" s="6" t="s">
        <v>3965</v>
      </c>
      <c r="AD1034" s="6" t="s">
        <v>7238</v>
      </c>
      <c r="AE1034" s="158" t="s">
        <v>2540</v>
      </c>
      <c r="AF1034" s="159" t="s">
        <v>8299</v>
      </c>
      <c r="AG1034" s="160" t="s">
        <v>3573</v>
      </c>
      <c r="AH1034" s="194" t="s">
        <v>679</v>
      </c>
      <c r="AI1034" s="6">
        <v>116477</v>
      </c>
      <c r="AJ1034" s="3" t="s">
        <v>8259</v>
      </c>
      <c r="AK1034" t="s">
        <v>8677</v>
      </c>
      <c r="AV1034"/>
      <c r="AX1034"/>
      <c r="AZ1034" t="str">
        <f t="shared" si="253"/>
        <v/>
      </c>
      <c r="BA1034" t="str">
        <f t="shared" si="254"/>
        <v/>
      </c>
    </row>
    <row r="1035" spans="3:53" ht="13.5">
      <c r="C1035" s="19"/>
      <c r="D1035" s="19"/>
      <c r="AC1035" s="6" t="s">
        <v>5206</v>
      </c>
      <c r="AD1035" s="6" t="s">
        <v>7172</v>
      </c>
      <c r="AE1035" s="158" t="s">
        <v>3883</v>
      </c>
      <c r="AF1035" s="159" t="s">
        <v>8320</v>
      </c>
      <c r="AG1035" s="160" t="s">
        <v>2323</v>
      </c>
      <c r="AH1035" s="194" t="s">
        <v>679</v>
      </c>
      <c r="AI1035" s="6">
        <v>195217</v>
      </c>
      <c r="AJ1035" s="3" t="s">
        <v>8249</v>
      </c>
      <c r="AK1035" t="s">
        <v>8249</v>
      </c>
      <c r="AV1035"/>
      <c r="AX1035"/>
      <c r="AZ1035" t="str">
        <f t="shared" si="253"/>
        <v/>
      </c>
      <c r="BA1035" t="str">
        <f t="shared" si="254"/>
        <v/>
      </c>
    </row>
    <row r="1036" spans="3:53" ht="13.5">
      <c r="C1036" s="19"/>
      <c r="D1036" s="19"/>
      <c r="AC1036" s="6" t="s">
        <v>3963</v>
      </c>
      <c r="AD1036" s="6" t="s">
        <v>7219</v>
      </c>
      <c r="AE1036" s="158" t="s">
        <v>3884</v>
      </c>
      <c r="AF1036" s="159" t="s">
        <v>8299</v>
      </c>
      <c r="AG1036" s="160" t="s">
        <v>2327</v>
      </c>
      <c r="AH1036" s="194" t="s">
        <v>679</v>
      </c>
      <c r="AI1036" s="6" t="s">
        <v>115</v>
      </c>
      <c r="AJ1036" s="3" t="s">
        <v>8233</v>
      </c>
      <c r="AK1036" t="s">
        <v>8233</v>
      </c>
      <c r="AV1036"/>
      <c r="AX1036"/>
      <c r="AZ1036" t="str">
        <f t="shared" si="253"/>
        <v/>
      </c>
      <c r="BA1036" t="str">
        <f t="shared" si="254"/>
        <v/>
      </c>
    </row>
    <row r="1037" spans="3:53" ht="13.5">
      <c r="C1037" s="19"/>
      <c r="D1037" s="19"/>
      <c r="AC1037" s="6" t="s">
        <v>5046</v>
      </c>
      <c r="AD1037" s="6" t="s">
        <v>7223</v>
      </c>
      <c r="AE1037" s="158" t="s">
        <v>4059</v>
      </c>
      <c r="AF1037" s="159" t="s">
        <v>8320</v>
      </c>
      <c r="AG1037" s="160" t="s">
        <v>2328</v>
      </c>
      <c r="AH1037" s="194" t="s">
        <v>679</v>
      </c>
      <c r="AI1037" s="6" t="s">
        <v>117</v>
      </c>
      <c r="AJ1037" s="3" t="s">
        <v>8233</v>
      </c>
      <c r="AK1037" t="s">
        <v>8233</v>
      </c>
      <c r="AV1037"/>
      <c r="AX1037"/>
      <c r="AZ1037" t="str">
        <f t="shared" si="253"/>
        <v/>
      </c>
      <c r="BA1037" t="str">
        <f t="shared" si="254"/>
        <v/>
      </c>
    </row>
    <row r="1038" spans="3:53" ht="13.5">
      <c r="C1038" s="19"/>
      <c r="D1038" s="19"/>
      <c r="AC1038" s="6" t="s">
        <v>3969</v>
      </c>
      <c r="AD1038" s="6" t="s">
        <v>7239</v>
      </c>
      <c r="AE1038" s="158" t="s">
        <v>3837</v>
      </c>
      <c r="AF1038" s="159" t="s">
        <v>8320</v>
      </c>
      <c r="AG1038" s="160" t="s">
        <v>2329</v>
      </c>
      <c r="AH1038" s="194" t="s">
        <v>1314</v>
      </c>
      <c r="AI1038" s="6" t="s">
        <v>4267</v>
      </c>
      <c r="AJ1038" s="3" t="s">
        <v>8229</v>
      </c>
      <c r="AK1038" t="s">
        <v>8229</v>
      </c>
      <c r="AV1038"/>
      <c r="AX1038"/>
      <c r="AZ1038" t="str">
        <f t="shared" si="253"/>
        <v/>
      </c>
      <c r="BA1038" t="str">
        <f t="shared" si="254"/>
        <v/>
      </c>
    </row>
    <row r="1039" spans="3:53" ht="13.5">
      <c r="C1039" s="19"/>
      <c r="D1039" s="19"/>
      <c r="AC1039" s="6" t="s">
        <v>3966</v>
      </c>
      <c r="AD1039" s="6" t="s">
        <v>7219</v>
      </c>
      <c r="AE1039" s="158" t="s">
        <v>4096</v>
      </c>
      <c r="AF1039" s="159" t="s">
        <v>8300</v>
      </c>
      <c r="AG1039" s="160" t="s">
        <v>3574</v>
      </c>
      <c r="AH1039" s="194" t="s">
        <v>1314</v>
      </c>
      <c r="AI1039" s="6" t="s">
        <v>4285</v>
      </c>
      <c r="AJ1039" s="3" t="s">
        <v>8253</v>
      </c>
      <c r="AK1039" t="s">
        <v>8253</v>
      </c>
      <c r="AV1039"/>
      <c r="AX1039"/>
      <c r="AZ1039" t="str">
        <f t="shared" si="253"/>
        <v/>
      </c>
      <c r="BA1039" t="str">
        <f t="shared" si="254"/>
        <v/>
      </c>
    </row>
    <row r="1040" spans="3:53" ht="13.5">
      <c r="C1040" s="19"/>
      <c r="D1040" s="19"/>
      <c r="AC1040" s="6" t="s">
        <v>3964</v>
      </c>
      <c r="AD1040" s="6" t="s">
        <v>7219</v>
      </c>
      <c r="AE1040" s="158" t="s">
        <v>3912</v>
      </c>
      <c r="AF1040" s="159" t="s">
        <v>8299</v>
      </c>
      <c r="AG1040" s="160" t="s">
        <v>2341</v>
      </c>
      <c r="AH1040" s="194" t="s">
        <v>679</v>
      </c>
      <c r="AI1040" s="6" t="s">
        <v>4292</v>
      </c>
      <c r="AJ1040" s="3" t="s">
        <v>8232</v>
      </c>
      <c r="AK1040" t="s">
        <v>8232</v>
      </c>
      <c r="AV1040"/>
      <c r="AX1040"/>
      <c r="AZ1040" t="str">
        <f t="shared" si="253"/>
        <v/>
      </c>
      <c r="BA1040" t="str">
        <f t="shared" si="254"/>
        <v/>
      </c>
    </row>
    <row r="1041" spans="3:53" ht="13.5">
      <c r="C1041" s="19"/>
      <c r="D1041" s="19"/>
      <c r="AC1041" s="6" t="s">
        <v>4297</v>
      </c>
      <c r="AD1041" s="6" t="s">
        <v>7237</v>
      </c>
      <c r="AE1041" s="158">
        <v>165823</v>
      </c>
      <c r="AF1041" s="159" t="s">
        <v>8309</v>
      </c>
      <c r="AG1041" s="160" t="s">
        <v>2342</v>
      </c>
      <c r="AH1041" s="194" t="s">
        <v>679</v>
      </c>
      <c r="AI1041" s="6" t="s">
        <v>25</v>
      </c>
      <c r="AJ1041" s="3" t="s">
        <v>8219</v>
      </c>
      <c r="AK1041" t="s">
        <v>8219</v>
      </c>
      <c r="AV1041"/>
      <c r="AX1041"/>
      <c r="AZ1041" t="str">
        <f t="shared" si="253"/>
        <v/>
      </c>
      <c r="BA1041" t="str">
        <f t="shared" si="254"/>
        <v/>
      </c>
    </row>
    <row r="1042" spans="3:53" ht="13.5">
      <c r="C1042" s="19"/>
      <c r="D1042" s="19"/>
      <c r="AC1042" s="6" t="s">
        <v>3960</v>
      </c>
      <c r="AD1042" s="6" t="s">
        <v>7219</v>
      </c>
      <c r="AE1042" s="158">
        <v>165824</v>
      </c>
      <c r="AF1042" s="159" t="s">
        <v>8299</v>
      </c>
      <c r="AG1042" s="161" t="s">
        <v>2343</v>
      </c>
      <c r="AH1042" s="194" t="s">
        <v>679</v>
      </c>
      <c r="AI1042" s="6" t="s">
        <v>1144</v>
      </c>
      <c r="AJ1042" s="3" t="s">
        <v>8225</v>
      </c>
      <c r="AK1042" t="s">
        <v>8225</v>
      </c>
      <c r="AV1042"/>
      <c r="AX1042"/>
      <c r="AZ1042" t="str">
        <f t="shared" si="253"/>
        <v/>
      </c>
      <c r="BA1042" t="str">
        <f t="shared" si="254"/>
        <v/>
      </c>
    </row>
    <row r="1043" spans="3:53" ht="13.5">
      <c r="C1043" s="19"/>
      <c r="D1043" s="19"/>
      <c r="AC1043" s="6" t="s">
        <v>4250</v>
      </c>
      <c r="AD1043" s="6" t="s">
        <v>7203</v>
      </c>
      <c r="AE1043" s="158">
        <v>165825</v>
      </c>
      <c r="AF1043" s="159" t="s">
        <v>8320</v>
      </c>
      <c r="AG1043" s="160" t="s">
        <v>2476</v>
      </c>
      <c r="AH1043" s="194" t="s">
        <v>679</v>
      </c>
      <c r="AI1043" s="6">
        <v>263630</v>
      </c>
      <c r="AJ1043" s="3" t="s">
        <v>8233</v>
      </c>
      <c r="AK1043" t="s">
        <v>8233</v>
      </c>
      <c r="AV1043"/>
      <c r="AX1043"/>
      <c r="AZ1043" t="str">
        <f t="shared" si="253"/>
        <v/>
      </c>
      <c r="BA1043" t="str">
        <f t="shared" si="254"/>
        <v/>
      </c>
    </row>
    <row r="1044" spans="3:53" ht="13.5">
      <c r="C1044" s="19"/>
      <c r="D1044" s="19"/>
      <c r="AC1044" s="6" t="s">
        <v>4168</v>
      </c>
      <c r="AD1044" s="6" t="s">
        <v>7147</v>
      </c>
      <c r="AE1044" s="158">
        <v>175826</v>
      </c>
      <c r="AF1044" s="159" t="s">
        <v>8320</v>
      </c>
      <c r="AG1044" s="160" t="s">
        <v>2477</v>
      </c>
      <c r="AH1044" s="194" t="s">
        <v>679</v>
      </c>
      <c r="AI1044" s="6" t="s">
        <v>4335</v>
      </c>
      <c r="AJ1044" s="3" t="s">
        <v>8236</v>
      </c>
      <c r="AK1044" t="s">
        <v>8236</v>
      </c>
      <c r="AV1044"/>
      <c r="AX1044"/>
      <c r="AZ1044" t="str">
        <f t="shared" si="253"/>
        <v/>
      </c>
      <c r="BA1044" t="str">
        <f t="shared" si="254"/>
        <v/>
      </c>
    </row>
    <row r="1045" spans="3:53" ht="13.5">
      <c r="C1045" s="19"/>
      <c r="D1045" s="19"/>
      <c r="AC1045" s="6" t="s">
        <v>4167</v>
      </c>
      <c r="AD1045" s="6" t="s">
        <v>7147</v>
      </c>
      <c r="AE1045" s="158">
        <v>175827</v>
      </c>
      <c r="AF1045" s="159" t="s">
        <v>8299</v>
      </c>
      <c r="AG1045" s="160" t="s">
        <v>1312</v>
      </c>
      <c r="AH1045" s="194" t="s">
        <v>1314</v>
      </c>
      <c r="AI1045" s="6" t="s">
        <v>15</v>
      </c>
      <c r="AJ1045" s="3" t="s">
        <v>8197</v>
      </c>
      <c r="AK1045" t="s">
        <v>8197</v>
      </c>
      <c r="AV1045"/>
      <c r="AX1045"/>
      <c r="AZ1045" t="str">
        <f t="shared" si="253"/>
        <v/>
      </c>
      <c r="BA1045" t="str">
        <f t="shared" si="254"/>
        <v/>
      </c>
    </row>
    <row r="1046" spans="3:53" ht="13.5">
      <c r="C1046" s="19"/>
      <c r="D1046" s="19"/>
      <c r="AC1046" s="6" t="s">
        <v>3962</v>
      </c>
      <c r="AD1046" s="6" t="s">
        <v>7219</v>
      </c>
      <c r="AE1046" s="158" t="s">
        <v>2548</v>
      </c>
      <c r="AF1046" s="159" t="s">
        <v>8299</v>
      </c>
      <c r="AG1046" s="160" t="s">
        <v>79</v>
      </c>
      <c r="AH1046" s="194" t="s">
        <v>679</v>
      </c>
      <c r="AI1046" s="6" t="s">
        <v>1513</v>
      </c>
      <c r="AJ1046" s="3" t="s">
        <v>8219</v>
      </c>
      <c r="AK1046" t="s">
        <v>8219</v>
      </c>
      <c r="AV1046"/>
      <c r="AX1046"/>
      <c r="AZ1046" t="str">
        <f t="shared" si="253"/>
        <v/>
      </c>
      <c r="BA1046" t="str">
        <f t="shared" si="254"/>
        <v/>
      </c>
    </row>
    <row r="1047" spans="3:53" ht="13.5">
      <c r="C1047" s="19"/>
      <c r="D1047" s="19"/>
      <c r="AC1047" s="6" t="s">
        <v>4166</v>
      </c>
      <c r="AD1047" s="6" t="s">
        <v>7147</v>
      </c>
      <c r="AE1047" s="158" t="s">
        <v>2549</v>
      </c>
      <c r="AF1047" s="159" t="s">
        <v>8320</v>
      </c>
      <c r="AG1047" s="160" t="s">
        <v>3575</v>
      </c>
      <c r="AH1047" s="194" t="s">
        <v>679</v>
      </c>
      <c r="AI1047" s="6" t="s">
        <v>4348</v>
      </c>
      <c r="AJ1047" s="3" t="s">
        <v>8232</v>
      </c>
      <c r="AK1047" t="s">
        <v>8232</v>
      </c>
      <c r="AV1047"/>
      <c r="AX1047"/>
      <c r="AZ1047" t="str">
        <f t="shared" si="253"/>
        <v/>
      </c>
      <c r="BA1047" t="str">
        <f t="shared" si="254"/>
        <v/>
      </c>
    </row>
    <row r="1048" spans="3:53" ht="13.5">
      <c r="C1048" s="19"/>
      <c r="D1048" s="19"/>
      <c r="AC1048" s="6" t="s">
        <v>4164</v>
      </c>
      <c r="AD1048" s="6" t="s">
        <v>7147</v>
      </c>
      <c r="AE1048" s="158" t="s">
        <v>2550</v>
      </c>
      <c r="AF1048" s="159" t="s">
        <v>8296</v>
      </c>
      <c r="AG1048" s="160" t="s">
        <v>3576</v>
      </c>
      <c r="AH1048" s="194" t="s">
        <v>679</v>
      </c>
      <c r="AI1048" s="6" t="s">
        <v>4350</v>
      </c>
      <c r="AJ1048" s="3" t="s">
        <v>8232</v>
      </c>
      <c r="AK1048" t="s">
        <v>8232</v>
      </c>
      <c r="AV1048"/>
      <c r="AX1048"/>
      <c r="AZ1048" t="str">
        <f t="shared" si="253"/>
        <v/>
      </c>
      <c r="BA1048" t="str">
        <f t="shared" si="254"/>
        <v/>
      </c>
    </row>
    <row r="1049" spans="3:53" ht="13.5">
      <c r="C1049" s="19"/>
      <c r="D1049" s="19"/>
      <c r="AC1049" s="6" t="s">
        <v>4165</v>
      </c>
      <c r="AD1049" s="6" t="s">
        <v>7147</v>
      </c>
      <c r="AE1049" s="158" t="s">
        <v>2551</v>
      </c>
      <c r="AF1049" s="159" t="s">
        <v>8297</v>
      </c>
      <c r="AG1049" s="160" t="s">
        <v>1199</v>
      </c>
      <c r="AH1049" s="194" t="s">
        <v>679</v>
      </c>
      <c r="AI1049" s="6" t="s">
        <v>1503</v>
      </c>
      <c r="AJ1049" s="3" t="s">
        <v>8224</v>
      </c>
      <c r="AK1049" t="s">
        <v>8224</v>
      </c>
      <c r="AV1049"/>
      <c r="AX1049"/>
      <c r="AZ1049" t="str">
        <f t="shared" si="253"/>
        <v/>
      </c>
      <c r="BA1049" t="str">
        <f t="shared" si="254"/>
        <v/>
      </c>
    </row>
    <row r="1050" spans="3:53" ht="13.5">
      <c r="C1050" s="19"/>
      <c r="D1050" s="19"/>
      <c r="AC1050" s="6" t="s">
        <v>4169</v>
      </c>
      <c r="AD1050" s="6" t="s">
        <v>7147</v>
      </c>
      <c r="AE1050" s="158" t="s">
        <v>3980</v>
      </c>
      <c r="AF1050" s="159" t="s">
        <v>8382</v>
      </c>
      <c r="AG1050" s="160" t="s">
        <v>1002</v>
      </c>
      <c r="AH1050" s="194" t="s">
        <v>1314</v>
      </c>
      <c r="AI1050" s="6">
        <v>303558</v>
      </c>
      <c r="AJ1050" s="3" t="s">
        <v>8219</v>
      </c>
      <c r="AK1050" t="s">
        <v>8219</v>
      </c>
      <c r="AV1050"/>
      <c r="AX1050"/>
      <c r="AZ1050" t="str">
        <f t="shared" si="253"/>
        <v/>
      </c>
      <c r="BA1050" t="str">
        <f t="shared" si="254"/>
        <v/>
      </c>
    </row>
    <row r="1051" spans="3:53" ht="13.5">
      <c r="C1051" s="19"/>
      <c r="D1051" s="19"/>
      <c r="AC1051" s="6" t="s">
        <v>3961</v>
      </c>
      <c r="AD1051" s="6" t="s">
        <v>7240</v>
      </c>
      <c r="AE1051" s="158" t="s">
        <v>3981</v>
      </c>
      <c r="AF1051" s="159" t="s">
        <v>8299</v>
      </c>
      <c r="AG1051" s="160" t="s">
        <v>1003</v>
      </c>
      <c r="AH1051" s="194" t="s">
        <v>1314</v>
      </c>
      <c r="AI1051" s="6">
        <v>345242</v>
      </c>
      <c r="AJ1051" s="3" t="s">
        <v>8269</v>
      </c>
      <c r="AK1051" t="s">
        <v>8269</v>
      </c>
      <c r="AV1051"/>
      <c r="AX1051"/>
      <c r="AZ1051" t="str">
        <f t="shared" si="253"/>
        <v/>
      </c>
      <c r="BA1051" t="str">
        <f t="shared" si="254"/>
        <v/>
      </c>
    </row>
    <row r="1052" spans="3:53" ht="13.5">
      <c r="C1052" s="19"/>
      <c r="D1052" s="19"/>
      <c r="AC1052" s="6">
        <v>275290</v>
      </c>
      <c r="AD1052" s="6" t="s">
        <v>7241</v>
      </c>
      <c r="AE1052" s="158">
        <v>175834</v>
      </c>
      <c r="AF1052" s="159" t="s">
        <v>8331</v>
      </c>
      <c r="AG1052" s="161" t="s">
        <v>1004</v>
      </c>
      <c r="AH1052" s="194" t="s">
        <v>679</v>
      </c>
      <c r="AI1052" s="6" t="s">
        <v>2139</v>
      </c>
      <c r="AJ1052" s="3" t="s">
        <v>8243</v>
      </c>
      <c r="AK1052" t="s">
        <v>8243</v>
      </c>
      <c r="AV1052"/>
      <c r="AX1052"/>
      <c r="AZ1052" t="str">
        <f t="shared" si="253"/>
        <v/>
      </c>
      <c r="BA1052" t="str">
        <f t="shared" si="254"/>
        <v/>
      </c>
    </row>
    <row r="1053" spans="3:53" ht="13.5">
      <c r="C1053" s="19"/>
      <c r="D1053" s="19"/>
      <c r="AC1053" s="6" t="s">
        <v>4237</v>
      </c>
      <c r="AD1053" s="6" t="s">
        <v>7242</v>
      </c>
      <c r="AE1053" s="158" t="s">
        <v>3648</v>
      </c>
      <c r="AF1053" s="159" t="s">
        <v>8333</v>
      </c>
      <c r="AG1053" s="160" t="s">
        <v>5063</v>
      </c>
      <c r="AH1053" s="194" t="s">
        <v>679</v>
      </c>
      <c r="AI1053" s="6" t="s">
        <v>4386</v>
      </c>
      <c r="AJ1053" s="3" t="s">
        <v>8278</v>
      </c>
      <c r="AK1053" t="s">
        <v>8278</v>
      </c>
      <c r="AV1053"/>
      <c r="AX1053"/>
      <c r="AZ1053" t="str">
        <f t="shared" si="253"/>
        <v/>
      </c>
      <c r="BA1053" t="str">
        <f t="shared" si="254"/>
        <v/>
      </c>
    </row>
    <row r="1054" spans="3:53" ht="13.5">
      <c r="C1054" s="19"/>
      <c r="D1054" s="19"/>
      <c r="AC1054" s="6">
        <v>846352</v>
      </c>
      <c r="AD1054" s="6" t="s">
        <v>7243</v>
      </c>
      <c r="AE1054" s="158">
        <v>175836</v>
      </c>
      <c r="AF1054" s="159" t="s">
        <v>8321</v>
      </c>
      <c r="AG1054" s="160" t="s">
        <v>5223</v>
      </c>
      <c r="AH1054" s="194" t="s">
        <v>679</v>
      </c>
      <c r="AI1054" s="6">
        <v>485354</v>
      </c>
      <c r="AJ1054" s="3" t="s">
        <v>8197</v>
      </c>
      <c r="AK1054" t="s">
        <v>8197</v>
      </c>
      <c r="AV1054"/>
      <c r="AX1054"/>
      <c r="AZ1054" t="str">
        <f t="shared" si="253"/>
        <v/>
      </c>
      <c r="BA1054" t="str">
        <f t="shared" si="254"/>
        <v/>
      </c>
    </row>
    <row r="1055" spans="3:53" ht="13.5">
      <c r="C1055" s="19"/>
      <c r="D1055" s="19"/>
      <c r="AC1055" s="6" t="s">
        <v>60</v>
      </c>
      <c r="AD1055" s="6" t="s">
        <v>7244</v>
      </c>
      <c r="AE1055" s="158" t="s">
        <v>3554</v>
      </c>
      <c r="AF1055" s="159" t="s">
        <v>8309</v>
      </c>
      <c r="AG1055" s="160" t="s">
        <v>5328</v>
      </c>
      <c r="AH1055" s="194" t="s">
        <v>679</v>
      </c>
      <c r="AI1055" s="6">
        <v>575387</v>
      </c>
      <c r="AJ1055" s="3" t="s">
        <v>8215</v>
      </c>
      <c r="AK1055" t="s">
        <v>8215</v>
      </c>
      <c r="AV1055"/>
      <c r="AX1055"/>
      <c r="AZ1055" t="str">
        <f t="shared" si="253"/>
        <v/>
      </c>
      <c r="BA1055" t="str">
        <f t="shared" si="254"/>
        <v/>
      </c>
    </row>
    <row r="1056" spans="3:53" ht="13.5">
      <c r="C1056" s="19"/>
      <c r="D1056" s="19"/>
      <c r="AC1056" s="6" t="s">
        <v>4276</v>
      </c>
      <c r="AD1056" s="6" t="s">
        <v>7151</v>
      </c>
      <c r="AE1056" s="158" t="s">
        <v>3555</v>
      </c>
      <c r="AF1056" s="159" t="s">
        <v>8309</v>
      </c>
      <c r="AG1056" s="160" t="s">
        <v>2172</v>
      </c>
      <c r="AH1056" s="194" t="s">
        <v>679</v>
      </c>
      <c r="AI1056" s="6">
        <v>645430</v>
      </c>
      <c r="AJ1056" s="3" t="s">
        <v>8231</v>
      </c>
      <c r="AK1056" t="s">
        <v>8238</v>
      </c>
      <c r="AV1056"/>
      <c r="AX1056"/>
      <c r="AZ1056" t="str">
        <f t="shared" si="253"/>
        <v/>
      </c>
      <c r="BA1056" t="str">
        <f t="shared" si="254"/>
        <v/>
      </c>
    </row>
    <row r="1057" spans="3:53" ht="13.5">
      <c r="C1057" s="19"/>
      <c r="D1057" s="19"/>
      <c r="AC1057" s="6" t="s">
        <v>5319</v>
      </c>
      <c r="AD1057" s="6" t="s">
        <v>7147</v>
      </c>
      <c r="AE1057" s="158">
        <v>175839</v>
      </c>
      <c r="AF1057" s="159" t="s">
        <v>8299</v>
      </c>
      <c r="AG1057" s="161" t="s">
        <v>2252</v>
      </c>
      <c r="AH1057" s="194" t="s">
        <v>679</v>
      </c>
      <c r="AI1057" s="6">
        <v>735452</v>
      </c>
      <c r="AJ1057" s="3" t="s">
        <v>8235</v>
      </c>
      <c r="AK1057" t="s">
        <v>8672</v>
      </c>
      <c r="AV1057"/>
      <c r="AX1057"/>
      <c r="AZ1057" t="str">
        <f t="shared" si="253"/>
        <v/>
      </c>
      <c r="BA1057" t="str">
        <f t="shared" si="254"/>
        <v/>
      </c>
    </row>
    <row r="1058" spans="3:53" ht="13.5">
      <c r="C1058" s="19"/>
      <c r="D1058" s="19"/>
      <c r="AC1058" s="6">
        <v>273707</v>
      </c>
      <c r="AD1058" s="6" t="s">
        <v>7241</v>
      </c>
      <c r="AE1058" s="158">
        <v>175840</v>
      </c>
      <c r="AF1058" s="159" t="s">
        <v>8299</v>
      </c>
      <c r="AG1058" s="160" t="s">
        <v>74</v>
      </c>
      <c r="AH1058" s="194" t="s">
        <v>679</v>
      </c>
      <c r="AI1058" s="6">
        <v>771614</v>
      </c>
      <c r="AJ1058" s="3" t="s">
        <v>8212</v>
      </c>
      <c r="AK1058" t="s">
        <v>8212</v>
      </c>
      <c r="AV1058"/>
      <c r="AX1058"/>
      <c r="AZ1058" t="str">
        <f t="shared" si="253"/>
        <v/>
      </c>
      <c r="BA1058" t="str">
        <f t="shared" si="254"/>
        <v/>
      </c>
    </row>
    <row r="1059" spans="3:53" ht="13.5">
      <c r="C1059" s="19"/>
      <c r="D1059" s="19"/>
      <c r="AC1059" s="6">
        <v>896414</v>
      </c>
      <c r="AD1059" s="6" t="s">
        <v>7230</v>
      </c>
      <c r="AE1059" s="158" t="s">
        <v>4141</v>
      </c>
      <c r="AF1059" s="159" t="s">
        <v>8320</v>
      </c>
      <c r="AG1059" s="160" t="s">
        <v>75</v>
      </c>
      <c r="AH1059" s="194" t="s">
        <v>679</v>
      </c>
      <c r="AI1059" s="6">
        <v>876398</v>
      </c>
      <c r="AJ1059" s="3" t="s">
        <v>8274</v>
      </c>
      <c r="AK1059" t="s">
        <v>8274</v>
      </c>
      <c r="AV1059"/>
      <c r="AX1059"/>
      <c r="AZ1059" t="str">
        <f t="shared" si="253"/>
        <v/>
      </c>
      <c r="BA1059" t="str">
        <f t="shared" si="254"/>
        <v/>
      </c>
    </row>
    <row r="1060" spans="3:53" ht="13.5">
      <c r="C1060" s="19"/>
      <c r="D1060" s="19"/>
      <c r="AC1060" s="6">
        <v>765228</v>
      </c>
      <c r="AD1060" s="6" t="s">
        <v>7238</v>
      </c>
      <c r="AE1060" s="158">
        <v>135849</v>
      </c>
      <c r="AF1060" s="159" t="s">
        <v>8299</v>
      </c>
      <c r="AG1060" s="160" t="s">
        <v>77</v>
      </c>
      <c r="AH1060" s="194" t="s">
        <v>679</v>
      </c>
      <c r="AI1060" s="6">
        <v>886408</v>
      </c>
      <c r="AJ1060" s="3" t="s">
        <v>8253</v>
      </c>
      <c r="AK1060" t="s">
        <v>8253</v>
      </c>
      <c r="AV1060"/>
      <c r="AX1060"/>
      <c r="AZ1060" t="str">
        <f t="shared" si="253"/>
        <v/>
      </c>
      <c r="BA1060" t="str">
        <f t="shared" si="254"/>
        <v/>
      </c>
    </row>
    <row r="1061" spans="3:53" ht="13.5">
      <c r="C1061" s="19"/>
      <c r="D1061" s="19"/>
      <c r="AC1061" s="6" t="s">
        <v>5283</v>
      </c>
      <c r="AD1061" s="6" t="s">
        <v>7167</v>
      </c>
      <c r="AE1061" s="158" t="s">
        <v>3568</v>
      </c>
      <c r="AF1061" s="159" t="s">
        <v>8300</v>
      </c>
      <c r="AG1061" s="160" t="s">
        <v>78</v>
      </c>
      <c r="AH1061" s="194" t="s">
        <v>679</v>
      </c>
      <c r="AI1061" s="6">
        <v>896415</v>
      </c>
      <c r="AJ1061" s="3" t="s">
        <v>8268</v>
      </c>
      <c r="AK1061" t="s">
        <v>8268</v>
      </c>
      <c r="AV1061"/>
      <c r="AX1061"/>
      <c r="AZ1061" t="str">
        <f t="shared" si="253"/>
        <v/>
      </c>
      <c r="BA1061" t="str">
        <f t="shared" si="254"/>
        <v/>
      </c>
    </row>
    <row r="1062" spans="3:53" ht="13.5">
      <c r="C1062" s="19"/>
      <c r="D1062" s="19"/>
      <c r="AC1062" s="6" t="s">
        <v>48</v>
      </c>
      <c r="AD1062" s="6" t="s">
        <v>7245</v>
      </c>
      <c r="AE1062" s="158" t="s">
        <v>3569</v>
      </c>
      <c r="AF1062" s="159" t="s">
        <v>8297</v>
      </c>
      <c r="AG1062" s="160" t="s">
        <v>1005</v>
      </c>
      <c r="AH1062" s="194" t="s">
        <v>679</v>
      </c>
      <c r="AI1062" s="6">
        <v>926428</v>
      </c>
      <c r="AJ1062" s="3" t="s">
        <v>8279</v>
      </c>
      <c r="AK1062" t="s">
        <v>8679</v>
      </c>
      <c r="AV1062"/>
      <c r="AX1062"/>
      <c r="AZ1062" t="str">
        <f t="shared" si="253"/>
        <v/>
      </c>
      <c r="BA1062" t="str">
        <f t="shared" si="254"/>
        <v/>
      </c>
    </row>
    <row r="1063" spans="3:53" ht="13.5">
      <c r="C1063" s="19"/>
      <c r="D1063" s="19"/>
      <c r="AC1063" s="6" t="s">
        <v>4249</v>
      </c>
      <c r="AD1063" s="6" t="s">
        <v>7203</v>
      </c>
      <c r="AE1063" s="158" t="s">
        <v>3591</v>
      </c>
      <c r="AF1063" s="159" t="s">
        <v>8300</v>
      </c>
      <c r="AG1063" s="160" t="s">
        <v>76</v>
      </c>
      <c r="AH1063" s="194" t="s">
        <v>678</v>
      </c>
      <c r="AI1063" s="6">
        <v>936434</v>
      </c>
      <c r="AJ1063" s="3" t="s">
        <v>8280</v>
      </c>
      <c r="AK1063" t="s">
        <v>8280</v>
      </c>
      <c r="AV1063"/>
      <c r="AX1063"/>
      <c r="AZ1063" t="str">
        <f t="shared" si="253"/>
        <v/>
      </c>
      <c r="BA1063" t="str">
        <f t="shared" si="254"/>
        <v/>
      </c>
    </row>
    <row r="1064" spans="3:53" ht="13.5">
      <c r="C1064" s="19"/>
      <c r="D1064" s="19"/>
      <c r="AC1064" s="6" t="s">
        <v>62</v>
      </c>
      <c r="AD1064" s="6" t="s">
        <v>7245</v>
      </c>
      <c r="AE1064" s="158" t="s">
        <v>3592</v>
      </c>
      <c r="AF1064" s="159" t="s">
        <v>8300</v>
      </c>
      <c r="AG1064" s="160" t="s">
        <v>1198</v>
      </c>
      <c r="AH1064" s="194" t="s">
        <v>679</v>
      </c>
      <c r="AI1064" s="6" t="s">
        <v>6713</v>
      </c>
      <c r="AJ1064" s="3" t="s">
        <v>8202</v>
      </c>
      <c r="AK1064" t="s">
        <v>8202</v>
      </c>
      <c r="AV1064"/>
      <c r="AX1064"/>
      <c r="AZ1064" t="str">
        <f t="shared" si="253"/>
        <v/>
      </c>
      <c r="BA1064" t="str">
        <f t="shared" si="254"/>
        <v/>
      </c>
    </row>
    <row r="1065" spans="3:53" ht="13.5">
      <c r="C1065" s="19"/>
      <c r="D1065" s="19"/>
      <c r="AC1065" s="6" t="s">
        <v>59</v>
      </c>
      <c r="AD1065" s="6" t="s">
        <v>7245</v>
      </c>
      <c r="AE1065" s="158" t="s">
        <v>3609</v>
      </c>
      <c r="AF1065" s="159" t="s">
        <v>8299</v>
      </c>
      <c r="AG1065" s="160" t="s">
        <v>4472</v>
      </c>
      <c r="AH1065" s="194" t="s">
        <v>679</v>
      </c>
      <c r="AI1065" s="6" t="s">
        <v>1151</v>
      </c>
      <c r="AJ1065" s="3" t="s">
        <v>8217</v>
      </c>
      <c r="AK1065" t="s">
        <v>8668</v>
      </c>
      <c r="AV1065"/>
      <c r="AX1065"/>
      <c r="AZ1065" t="str">
        <f t="shared" si="253"/>
        <v/>
      </c>
      <c r="BA1065" t="str">
        <f t="shared" si="254"/>
        <v/>
      </c>
    </row>
    <row r="1066" spans="3:53" ht="13.5">
      <c r="C1066" s="19"/>
      <c r="D1066" s="19"/>
      <c r="AC1066" s="6" t="s">
        <v>58</v>
      </c>
      <c r="AD1066" s="6" t="s">
        <v>7245</v>
      </c>
      <c r="AE1066" s="158" t="s">
        <v>3610</v>
      </c>
      <c r="AF1066" s="159" t="s">
        <v>8299</v>
      </c>
      <c r="AG1066" s="160" t="s">
        <v>5124</v>
      </c>
      <c r="AH1066" s="194" t="s">
        <v>679</v>
      </c>
      <c r="AI1066" s="6" t="s">
        <v>3643</v>
      </c>
      <c r="AJ1066" s="3" t="s">
        <v>8199</v>
      </c>
      <c r="AK1066" t="s">
        <v>8199</v>
      </c>
      <c r="AV1066"/>
      <c r="AX1066"/>
      <c r="AZ1066" t="str">
        <f t="shared" si="253"/>
        <v/>
      </c>
      <c r="BA1066" t="str">
        <f t="shared" si="254"/>
        <v/>
      </c>
    </row>
    <row r="1067" spans="3:53" ht="13.5">
      <c r="C1067" s="19"/>
      <c r="D1067" s="19"/>
      <c r="AC1067" s="6" t="s">
        <v>1126</v>
      </c>
      <c r="AD1067" s="6" t="s">
        <v>7245</v>
      </c>
      <c r="AE1067" s="158" t="s">
        <v>3611</v>
      </c>
      <c r="AF1067" s="159" t="s">
        <v>8299</v>
      </c>
      <c r="AG1067" s="160" t="s">
        <v>5149</v>
      </c>
      <c r="AH1067" s="194" t="s">
        <v>679</v>
      </c>
      <c r="AI1067" s="6" t="s">
        <v>3950</v>
      </c>
      <c r="AJ1067" s="3" t="s">
        <v>8279</v>
      </c>
      <c r="AK1067" t="s">
        <v>8679</v>
      </c>
      <c r="AV1067"/>
      <c r="AX1067"/>
      <c r="AZ1067" t="str">
        <f t="shared" si="253"/>
        <v/>
      </c>
      <c r="BA1067" t="str">
        <f t="shared" si="254"/>
        <v/>
      </c>
    </row>
    <row r="1068" spans="3:53" ht="13.5">
      <c r="C1068" s="19"/>
      <c r="D1068" s="19"/>
      <c r="AC1068" s="6" t="s">
        <v>4334</v>
      </c>
      <c r="AD1068" s="6" t="s">
        <v>7246</v>
      </c>
      <c r="AE1068" s="158" t="s">
        <v>3612</v>
      </c>
      <c r="AF1068" s="159" t="s">
        <v>8299</v>
      </c>
      <c r="AG1068" s="160" t="s">
        <v>988</v>
      </c>
      <c r="AH1068" s="194" t="s">
        <v>679</v>
      </c>
      <c r="AI1068" s="6" t="s">
        <v>2226</v>
      </c>
      <c r="AJ1068" s="3" t="s">
        <v>8248</v>
      </c>
      <c r="AK1068" t="s">
        <v>8248</v>
      </c>
      <c r="AV1068"/>
      <c r="AX1068"/>
      <c r="AZ1068" t="str">
        <f t="shared" si="253"/>
        <v/>
      </c>
      <c r="BA1068" t="str">
        <f t="shared" si="254"/>
        <v/>
      </c>
    </row>
    <row r="1069" spans="3:53" ht="13.5">
      <c r="C1069" s="19"/>
      <c r="D1069" s="19"/>
      <c r="AC1069" s="6" t="s">
        <v>61</v>
      </c>
      <c r="AD1069" s="6" t="s">
        <v>7245</v>
      </c>
      <c r="AE1069" s="158" t="s">
        <v>3613</v>
      </c>
      <c r="AF1069" s="159" t="s">
        <v>8299</v>
      </c>
      <c r="AG1069" s="160" t="s">
        <v>71</v>
      </c>
      <c r="AH1069" s="194" t="s">
        <v>679</v>
      </c>
      <c r="AI1069" s="6" t="s">
        <v>2704</v>
      </c>
      <c r="AJ1069" s="3" t="s">
        <v>8276</v>
      </c>
      <c r="AK1069" t="s">
        <v>8276</v>
      </c>
      <c r="AV1069"/>
      <c r="AX1069"/>
      <c r="AZ1069" t="str">
        <f t="shared" si="253"/>
        <v/>
      </c>
      <c r="BA1069" t="str">
        <f t="shared" si="254"/>
        <v/>
      </c>
    </row>
    <row r="1070" spans="3:53" ht="13.5">
      <c r="C1070" s="19"/>
      <c r="D1070" s="19"/>
      <c r="AC1070" s="6">
        <v>365586</v>
      </c>
      <c r="AD1070" s="6" t="s">
        <v>7225</v>
      </c>
      <c r="AE1070" s="158" t="s">
        <v>3614</v>
      </c>
      <c r="AF1070" s="159" t="s">
        <v>8299</v>
      </c>
      <c r="AG1070" s="160" t="s">
        <v>72</v>
      </c>
      <c r="AH1070" s="194" t="s">
        <v>679</v>
      </c>
      <c r="AI1070" s="6" t="s">
        <v>2201</v>
      </c>
      <c r="AJ1070" s="3" t="s">
        <v>8221</v>
      </c>
      <c r="AK1070" t="s">
        <v>8669</v>
      </c>
      <c r="AV1070"/>
      <c r="AX1070"/>
      <c r="AZ1070" t="str">
        <f t="shared" si="253"/>
        <v/>
      </c>
      <c r="BA1070" t="str">
        <f t="shared" si="254"/>
        <v/>
      </c>
    </row>
    <row r="1071" spans="3:53" ht="13.5">
      <c r="C1071" s="19"/>
      <c r="D1071" s="19"/>
      <c r="AC1071" s="6">
        <v>203889</v>
      </c>
      <c r="AD1071" s="6" t="s">
        <v>7247</v>
      </c>
      <c r="AE1071" s="158" t="s">
        <v>3615</v>
      </c>
      <c r="AF1071" s="159" t="s">
        <v>8299</v>
      </c>
      <c r="AG1071" s="160" t="s">
        <v>73</v>
      </c>
      <c r="AH1071" s="194" t="s">
        <v>679</v>
      </c>
      <c r="AI1071" s="6">
        <v>295248</v>
      </c>
      <c r="AJ1071" s="3" t="s">
        <v>8225</v>
      </c>
      <c r="AK1071" t="s">
        <v>8225</v>
      </c>
      <c r="AV1071"/>
      <c r="AX1071"/>
      <c r="AZ1071" t="str">
        <f t="shared" si="253"/>
        <v/>
      </c>
      <c r="BA1071" t="str">
        <f t="shared" si="254"/>
        <v/>
      </c>
    </row>
    <row r="1072" spans="3:53" ht="13.5">
      <c r="C1072" s="19"/>
      <c r="D1072" s="19"/>
      <c r="AC1072" s="6">
        <v>846351</v>
      </c>
      <c r="AD1072" s="6" t="s">
        <v>7243</v>
      </c>
      <c r="AE1072" s="158" t="s">
        <v>3616</v>
      </c>
      <c r="AF1072" s="159" t="s">
        <v>8299</v>
      </c>
      <c r="AG1072" s="160" t="s">
        <v>5329</v>
      </c>
      <c r="AH1072" s="194" t="s">
        <v>1314</v>
      </c>
      <c r="AI1072" s="6" t="s">
        <v>2137</v>
      </c>
      <c r="AJ1072" s="3" t="s">
        <v>8248</v>
      </c>
      <c r="AK1072" t="s">
        <v>8248</v>
      </c>
      <c r="AV1072"/>
      <c r="AX1072"/>
      <c r="AZ1072" t="str">
        <f t="shared" si="253"/>
        <v/>
      </c>
      <c r="BA1072" t="str">
        <f t="shared" si="254"/>
        <v/>
      </c>
    </row>
    <row r="1073" spans="3:53" ht="13.5">
      <c r="C1073" s="19"/>
      <c r="D1073" s="19"/>
      <c r="AC1073" s="6" t="s">
        <v>1133</v>
      </c>
      <c r="AD1073" s="6" t="s">
        <v>7248</v>
      </c>
      <c r="AE1073" s="158" t="s">
        <v>3625</v>
      </c>
      <c r="AF1073" s="159" t="s">
        <v>8300</v>
      </c>
      <c r="AG1073" s="160" t="s">
        <v>5330</v>
      </c>
      <c r="AH1073" s="194" t="s">
        <v>1314</v>
      </c>
      <c r="AI1073" s="6" t="s">
        <v>2356</v>
      </c>
      <c r="AJ1073" s="3" t="s">
        <v>8206</v>
      </c>
      <c r="AK1073" t="s">
        <v>8206</v>
      </c>
      <c r="AV1073"/>
      <c r="AX1073"/>
      <c r="AZ1073" t="str">
        <f t="shared" si="253"/>
        <v/>
      </c>
      <c r="BA1073" t="str">
        <f t="shared" si="254"/>
        <v/>
      </c>
    </row>
    <row r="1074" spans="3:53" ht="13.5">
      <c r="C1074" s="19"/>
      <c r="D1074" s="19"/>
      <c r="AC1074" s="6" t="s">
        <v>5162</v>
      </c>
      <c r="AD1074" s="6" t="s">
        <v>7151</v>
      </c>
      <c r="AE1074" s="158" t="s">
        <v>4795</v>
      </c>
      <c r="AF1074" s="159" t="s">
        <v>8300</v>
      </c>
      <c r="AG1074" s="160" t="s">
        <v>2156</v>
      </c>
      <c r="AH1074" s="194" t="s">
        <v>679</v>
      </c>
      <c r="AI1074" s="6">
        <v>605405</v>
      </c>
      <c r="AJ1074" s="3" t="s">
        <v>8240</v>
      </c>
      <c r="AK1074" t="s">
        <v>8240</v>
      </c>
      <c r="AV1074"/>
      <c r="AX1074"/>
      <c r="AZ1074" t="str">
        <f t="shared" si="253"/>
        <v/>
      </c>
      <c r="BA1074" t="str">
        <f t="shared" si="254"/>
        <v/>
      </c>
    </row>
    <row r="1075" spans="3:53" ht="13.5">
      <c r="C1075" s="19"/>
      <c r="D1075" s="19"/>
      <c r="AC1075" s="6">
        <v>205590</v>
      </c>
      <c r="AD1075" s="6" t="s">
        <v>7247</v>
      </c>
      <c r="AE1075" s="158" t="s">
        <v>3626</v>
      </c>
      <c r="AF1075" s="159" t="s">
        <v>8300</v>
      </c>
      <c r="AG1075" s="160" t="s">
        <v>2173</v>
      </c>
      <c r="AH1075" s="194" t="s">
        <v>678</v>
      </c>
      <c r="AI1075" s="6" t="s">
        <v>2316</v>
      </c>
      <c r="AJ1075" s="3" t="s">
        <v>8237</v>
      </c>
      <c r="AK1075" t="s">
        <v>8237</v>
      </c>
      <c r="AV1075"/>
      <c r="AX1075"/>
      <c r="AZ1075" t="str">
        <f t="shared" si="253"/>
        <v/>
      </c>
      <c r="BA1075" t="str">
        <f t="shared" si="254"/>
        <v/>
      </c>
    </row>
    <row r="1076" spans="3:53" ht="13.5">
      <c r="C1076" s="19"/>
      <c r="D1076" s="19"/>
      <c r="AC1076" s="6" t="s">
        <v>4245</v>
      </c>
      <c r="AD1076" s="6" t="s">
        <v>7203</v>
      </c>
      <c r="AE1076" s="158" t="s">
        <v>3627</v>
      </c>
      <c r="AF1076" s="159" t="s">
        <v>8300</v>
      </c>
      <c r="AG1076" s="160" t="s">
        <v>3577</v>
      </c>
      <c r="AH1076" s="194" t="s">
        <v>1314</v>
      </c>
      <c r="AI1076" s="6" t="s">
        <v>2136</v>
      </c>
      <c r="AJ1076" s="3" t="s">
        <v>8248</v>
      </c>
      <c r="AK1076" t="s">
        <v>8248</v>
      </c>
      <c r="AV1076"/>
      <c r="AX1076"/>
      <c r="AZ1076" t="str">
        <f t="shared" si="253"/>
        <v/>
      </c>
      <c r="BA1076" t="str">
        <f t="shared" si="254"/>
        <v/>
      </c>
    </row>
    <row r="1077" spans="3:53" ht="13.5">
      <c r="C1077" s="19"/>
      <c r="D1077" s="19"/>
      <c r="AC1077" s="6" t="s">
        <v>5204</v>
      </c>
      <c r="AD1077" s="6" t="s">
        <v>7249</v>
      </c>
      <c r="AE1077" s="158" t="s">
        <v>3848</v>
      </c>
      <c r="AF1077" s="159" t="s">
        <v>8300</v>
      </c>
      <c r="AG1077" s="160" t="s">
        <v>3579</v>
      </c>
      <c r="AH1077" s="194" t="s">
        <v>1314</v>
      </c>
      <c r="AI1077" s="6" t="s">
        <v>2491</v>
      </c>
      <c r="AJ1077" s="3" t="s">
        <v>8241</v>
      </c>
      <c r="AK1077" t="s">
        <v>8675</v>
      </c>
      <c r="AV1077"/>
      <c r="AX1077"/>
      <c r="AZ1077" t="str">
        <f t="shared" si="253"/>
        <v/>
      </c>
      <c r="BA1077" t="str">
        <f t="shared" si="254"/>
        <v/>
      </c>
    </row>
    <row r="1078" spans="3:53" ht="13.5">
      <c r="C1078" s="19"/>
      <c r="D1078" s="19"/>
      <c r="AC1078" s="6" t="s">
        <v>4213</v>
      </c>
      <c r="AD1078" s="6" t="s">
        <v>7250</v>
      </c>
      <c r="AE1078" s="158" t="s">
        <v>3849</v>
      </c>
      <c r="AF1078" s="159" t="s">
        <v>8309</v>
      </c>
      <c r="AG1078" s="160" t="s">
        <v>3580</v>
      </c>
      <c r="AH1078" s="194" t="s">
        <v>1314</v>
      </c>
      <c r="AI1078" s="6" t="s">
        <v>2643</v>
      </c>
      <c r="AJ1078" s="3" t="s">
        <v>8274</v>
      </c>
      <c r="AK1078" t="s">
        <v>8274</v>
      </c>
      <c r="AV1078"/>
      <c r="AX1078"/>
      <c r="AZ1078" t="str">
        <f t="shared" si="253"/>
        <v/>
      </c>
      <c r="BA1078" t="str">
        <f t="shared" si="254"/>
        <v/>
      </c>
    </row>
    <row r="1079" spans="3:53" ht="13.5">
      <c r="C1079" s="19"/>
      <c r="D1079" s="19"/>
      <c r="AC1079" s="6" t="s">
        <v>4184</v>
      </c>
      <c r="AD1079" s="6" t="s">
        <v>7151</v>
      </c>
      <c r="AE1079" s="158" t="s">
        <v>4796</v>
      </c>
      <c r="AF1079" s="159" t="s">
        <v>8300</v>
      </c>
      <c r="AG1079" s="160" t="s">
        <v>3581</v>
      </c>
      <c r="AH1079" s="194" t="s">
        <v>1314</v>
      </c>
      <c r="AI1079" s="6" t="s">
        <v>1508</v>
      </c>
      <c r="AJ1079" s="3" t="s">
        <v>8219</v>
      </c>
      <c r="AK1079" t="s">
        <v>8219</v>
      </c>
      <c r="AV1079"/>
      <c r="AX1079"/>
      <c r="AZ1079" t="str">
        <f t="shared" si="253"/>
        <v/>
      </c>
      <c r="BA1079" t="str">
        <f t="shared" si="254"/>
        <v/>
      </c>
    </row>
    <row r="1080" spans="3:53" ht="13.5">
      <c r="C1080" s="19"/>
      <c r="D1080" s="19"/>
      <c r="AC1080" s="6">
        <v>203888</v>
      </c>
      <c r="AD1080" s="6" t="s">
        <v>7251</v>
      </c>
      <c r="AE1080" s="158" t="s">
        <v>3840</v>
      </c>
      <c r="AF1080" s="159" t="s">
        <v>8300</v>
      </c>
      <c r="AG1080" s="160" t="s">
        <v>3582</v>
      </c>
      <c r="AH1080" s="194" t="s">
        <v>679</v>
      </c>
      <c r="AI1080" s="6">
        <v>956442</v>
      </c>
      <c r="AJ1080" s="3" t="s">
        <v>8259</v>
      </c>
      <c r="AK1080" t="s">
        <v>8677</v>
      </c>
      <c r="AV1080"/>
      <c r="AX1080"/>
      <c r="AZ1080" t="str">
        <f t="shared" si="253"/>
        <v/>
      </c>
      <c r="BA1080" t="str">
        <f t="shared" si="254"/>
        <v/>
      </c>
    </row>
    <row r="1081" spans="3:53" ht="13.5">
      <c r="C1081" s="19"/>
      <c r="D1081" s="19"/>
      <c r="AC1081" s="6">
        <v>896413</v>
      </c>
      <c r="AD1081" s="6" t="s">
        <v>7230</v>
      </c>
      <c r="AE1081" s="158" t="s">
        <v>3841</v>
      </c>
      <c r="AF1081" s="159" t="s">
        <v>8299</v>
      </c>
      <c r="AG1081" s="160" t="s">
        <v>3583</v>
      </c>
      <c r="AH1081" s="194" t="s">
        <v>679</v>
      </c>
      <c r="AI1081" s="6" t="s">
        <v>6724</v>
      </c>
      <c r="AJ1081" s="3" t="s">
        <v>8198</v>
      </c>
      <c r="AK1081" t="s">
        <v>8198</v>
      </c>
      <c r="AV1081"/>
      <c r="AX1081"/>
      <c r="AZ1081" t="str">
        <f t="shared" si="253"/>
        <v/>
      </c>
      <c r="BA1081" t="str">
        <f t="shared" si="254"/>
        <v/>
      </c>
    </row>
    <row r="1082" spans="3:53" ht="13.5">
      <c r="C1082" s="19"/>
      <c r="D1082" s="19"/>
      <c r="AC1082" s="6" t="s">
        <v>3834</v>
      </c>
      <c r="AD1082" s="6" t="s">
        <v>7252</v>
      </c>
      <c r="AE1082" s="158" t="s">
        <v>3943</v>
      </c>
      <c r="AF1082" s="159" t="s">
        <v>8299</v>
      </c>
      <c r="AG1082" s="160" t="s">
        <v>3584</v>
      </c>
      <c r="AH1082" s="194" t="s">
        <v>679</v>
      </c>
      <c r="AI1082" s="6" t="s">
        <v>4107</v>
      </c>
      <c r="AJ1082" s="3" t="s">
        <v>8225</v>
      </c>
      <c r="AK1082" t="s">
        <v>8225</v>
      </c>
      <c r="AV1082"/>
      <c r="AX1082"/>
      <c r="AZ1082" t="str">
        <f t="shared" ref="AZ1082:AZ1145" si="255">IF(ISBLANK(AW1082),"",CONCATENATE("(",RIGHT(AW1082,5),"-",TEXT(AX1082,"h:mm;@"),")"))</f>
        <v/>
      </c>
      <c r="BA1082" t="str">
        <f t="shared" ref="BA1082:BA1145" si="256">IF(AV1098=AV1082,"",CONCATENATE(IF(AV1097=AV1082,BA1097,""),IF(AV1096=AV1082,BA1096,""),IF(AV1095=AV1082,BA1095,""),IF(AV1094=AV1082,BA1094,""),IF(AV1093=AV1082,BA1093,""),IF(AV1092=AV1082,BA1092,""),IF(AV1091=AV1082,BA1091,""),IF(AV1090=AV1082,BA1090,""),IF(AV1089=AV1082,BA1089,""),IF(AV1088=AV1082,BA1088,""),IF(AV1087=AV1082,BA1087,""),IF(AV1086=AV1082,BA1086,""),IF(AV1085=AV1082,BA1085,""),IF(AV1084=AV1082,BA1084,""),IF(AV1083=AV1082,BA1083,""),IF(AV1081=AV1082,BA1081,""),BA1082))</f>
        <v/>
      </c>
    </row>
    <row r="1083" spans="3:53" ht="13.5">
      <c r="C1083" s="19"/>
      <c r="D1083" s="19"/>
      <c r="AC1083" s="6" t="s">
        <v>3835</v>
      </c>
      <c r="AD1083" s="6" t="s">
        <v>7252</v>
      </c>
      <c r="AE1083" s="158" t="s">
        <v>3944</v>
      </c>
      <c r="AF1083" s="159" t="s">
        <v>8299</v>
      </c>
      <c r="AG1083" s="160" t="s">
        <v>3585</v>
      </c>
      <c r="AH1083" s="194" t="s">
        <v>1314</v>
      </c>
      <c r="AI1083" s="6" t="s">
        <v>2477</v>
      </c>
      <c r="AJ1083" s="3" t="s">
        <v>8206</v>
      </c>
      <c r="AK1083" t="s">
        <v>8206</v>
      </c>
      <c r="AV1083"/>
      <c r="AX1083"/>
      <c r="AZ1083" t="str">
        <f t="shared" si="255"/>
        <v/>
      </c>
      <c r="BA1083" t="str">
        <f t="shared" si="256"/>
        <v/>
      </c>
    </row>
    <row r="1084" spans="3:53" ht="13.5">
      <c r="C1084" s="19"/>
      <c r="D1084" s="19"/>
      <c r="AC1084" s="6" t="s">
        <v>3832</v>
      </c>
      <c r="AD1084" s="6" t="s">
        <v>7252</v>
      </c>
      <c r="AE1084" s="158" t="s">
        <v>3945</v>
      </c>
      <c r="AF1084" s="159" t="s">
        <v>8299</v>
      </c>
      <c r="AG1084" s="160" t="s">
        <v>3586</v>
      </c>
      <c r="AH1084" s="194" t="s">
        <v>679</v>
      </c>
      <c r="AI1084" s="6" t="s">
        <v>2085</v>
      </c>
      <c r="AJ1084" s="3" t="s">
        <v>8227</v>
      </c>
      <c r="AK1084" t="s">
        <v>8227</v>
      </c>
      <c r="AV1084"/>
      <c r="AX1084"/>
      <c r="AZ1084" t="str">
        <f t="shared" si="255"/>
        <v/>
      </c>
      <c r="BA1084" t="str">
        <f t="shared" si="256"/>
        <v/>
      </c>
    </row>
    <row r="1085" spans="3:53" ht="13.5">
      <c r="C1085" s="19"/>
      <c r="D1085" s="19"/>
      <c r="AC1085" s="6" t="s">
        <v>3833</v>
      </c>
      <c r="AD1085" s="6" t="s">
        <v>7252</v>
      </c>
      <c r="AE1085" s="158" t="s">
        <v>3946</v>
      </c>
      <c r="AF1085" s="159" t="s">
        <v>8299</v>
      </c>
      <c r="AG1085" s="160" t="s">
        <v>3587</v>
      </c>
      <c r="AH1085" s="194" t="s">
        <v>1314</v>
      </c>
      <c r="AI1085" s="6" t="s">
        <v>1778</v>
      </c>
      <c r="AJ1085" s="3" t="s">
        <v>8227</v>
      </c>
      <c r="AK1085" t="s">
        <v>8227</v>
      </c>
      <c r="AV1085"/>
      <c r="AX1085"/>
      <c r="AZ1085" t="str">
        <f t="shared" si="255"/>
        <v/>
      </c>
      <c r="BA1085" t="str">
        <f t="shared" si="256"/>
        <v/>
      </c>
    </row>
    <row r="1086" spans="3:53" ht="13.5">
      <c r="C1086" s="19"/>
      <c r="D1086" s="19"/>
      <c r="AC1086" s="6" t="s">
        <v>4277</v>
      </c>
      <c r="AD1086" s="6" t="s">
        <v>7004</v>
      </c>
      <c r="AE1086" s="158" t="s">
        <v>3955</v>
      </c>
      <c r="AF1086" s="159" t="s">
        <v>8299</v>
      </c>
      <c r="AG1086" s="160" t="s">
        <v>3588</v>
      </c>
      <c r="AH1086" s="194" t="s">
        <v>679</v>
      </c>
      <c r="AI1086" s="6" t="s">
        <v>1794</v>
      </c>
      <c r="AJ1086" s="3" t="s">
        <v>8231</v>
      </c>
      <c r="AK1086" t="s">
        <v>8238</v>
      </c>
      <c r="AV1086"/>
      <c r="AX1086"/>
      <c r="AZ1086" t="str">
        <f t="shared" si="255"/>
        <v/>
      </c>
      <c r="BA1086" t="str">
        <f t="shared" si="256"/>
        <v/>
      </c>
    </row>
    <row r="1087" spans="3:53" ht="13.5">
      <c r="C1087" s="19"/>
      <c r="D1087" s="19"/>
      <c r="AC1087" s="6" t="s">
        <v>3836</v>
      </c>
      <c r="AD1087" s="6" t="s">
        <v>7252</v>
      </c>
      <c r="AE1087" s="158" t="s">
        <v>3957</v>
      </c>
      <c r="AF1087" s="159" t="s">
        <v>8299</v>
      </c>
      <c r="AG1087" s="160" t="s">
        <v>4835</v>
      </c>
      <c r="AH1087" s="194" t="s">
        <v>1314</v>
      </c>
      <c r="AI1087" s="6" t="s">
        <v>4021</v>
      </c>
      <c r="AJ1087" s="3" t="s">
        <v>8272</v>
      </c>
      <c r="AK1087" t="s">
        <v>8272</v>
      </c>
      <c r="AV1087"/>
      <c r="AX1087"/>
      <c r="AZ1087" t="str">
        <f t="shared" si="255"/>
        <v/>
      </c>
      <c r="BA1087" t="str">
        <f t="shared" si="256"/>
        <v/>
      </c>
    </row>
    <row r="1088" spans="3:53" ht="13.5">
      <c r="C1088" s="19"/>
      <c r="D1088" s="19"/>
      <c r="AC1088" s="6" t="s">
        <v>4296</v>
      </c>
      <c r="AD1088" s="6" t="s">
        <v>7253</v>
      </c>
      <c r="AE1088" s="158" t="s">
        <v>3998</v>
      </c>
      <c r="AF1088" s="159" t="s">
        <v>8299</v>
      </c>
      <c r="AG1088" s="160" t="s">
        <v>4836</v>
      </c>
      <c r="AH1088" s="194" t="s">
        <v>1314</v>
      </c>
      <c r="AI1088" s="6" t="s">
        <v>3236</v>
      </c>
      <c r="AJ1088" s="3" t="s">
        <v>8240</v>
      </c>
      <c r="AK1088" t="s">
        <v>8240</v>
      </c>
      <c r="AV1088"/>
      <c r="AX1088"/>
      <c r="AZ1088" t="str">
        <f t="shared" si="255"/>
        <v/>
      </c>
      <c r="BA1088" t="str">
        <f t="shared" si="256"/>
        <v/>
      </c>
    </row>
    <row r="1089" spans="3:53" ht="13.5">
      <c r="C1089" s="19"/>
      <c r="D1089" s="19"/>
      <c r="AC1089" s="6">
        <v>765227</v>
      </c>
      <c r="AD1089" s="6" t="s">
        <v>7254</v>
      </c>
      <c r="AE1089" s="158" t="s">
        <v>3999</v>
      </c>
      <c r="AF1089" s="159" t="s">
        <v>8299</v>
      </c>
      <c r="AG1089" s="160" t="s">
        <v>5161</v>
      </c>
      <c r="AH1089" s="194" t="s">
        <v>1314</v>
      </c>
      <c r="AI1089" s="6" t="s">
        <v>133</v>
      </c>
      <c r="AJ1089" s="3" t="s">
        <v>8233</v>
      </c>
      <c r="AK1089" t="s">
        <v>8233</v>
      </c>
      <c r="AV1089"/>
      <c r="AX1089"/>
      <c r="AZ1089" t="str">
        <f t="shared" si="255"/>
        <v/>
      </c>
      <c r="BA1089" t="str">
        <f t="shared" si="256"/>
        <v/>
      </c>
    </row>
    <row r="1090" spans="3:53" ht="13.5">
      <c r="C1090" s="19"/>
      <c r="D1090" s="19"/>
      <c r="AC1090" s="6" t="s">
        <v>3861</v>
      </c>
      <c r="AD1090" s="6" t="s">
        <v>7255</v>
      </c>
      <c r="AE1090" s="158" t="s">
        <v>3986</v>
      </c>
      <c r="AF1090" s="159" t="s">
        <v>8299</v>
      </c>
      <c r="AG1090" s="160" t="s">
        <v>3589</v>
      </c>
      <c r="AH1090" s="194" t="s">
        <v>679</v>
      </c>
      <c r="AI1090" s="6" t="s">
        <v>4160</v>
      </c>
      <c r="AJ1090" s="3" t="s">
        <v>8214</v>
      </c>
      <c r="AK1090" t="s">
        <v>8214</v>
      </c>
      <c r="AV1090"/>
      <c r="AX1090"/>
      <c r="AZ1090" t="str">
        <f t="shared" si="255"/>
        <v/>
      </c>
      <c r="BA1090" t="str">
        <f t="shared" si="256"/>
        <v/>
      </c>
    </row>
    <row r="1091" spans="3:53" ht="13.5">
      <c r="C1091" s="19"/>
      <c r="D1091" s="19"/>
      <c r="AC1091" s="6">
        <v>365587</v>
      </c>
      <c r="AD1091" s="6" t="s">
        <v>7225</v>
      </c>
      <c r="AE1091" s="158" t="s">
        <v>3987</v>
      </c>
      <c r="AF1091" s="159" t="s">
        <v>8299</v>
      </c>
      <c r="AG1091" s="160" t="s">
        <v>3590</v>
      </c>
      <c r="AH1091" s="194" t="s">
        <v>679</v>
      </c>
      <c r="AI1091" s="6" t="s">
        <v>2048</v>
      </c>
      <c r="AJ1091" s="3" t="s">
        <v>8235</v>
      </c>
      <c r="AK1091" t="s">
        <v>8672</v>
      </c>
      <c r="AV1091"/>
      <c r="AX1091"/>
      <c r="AZ1091" t="str">
        <f t="shared" si="255"/>
        <v/>
      </c>
      <c r="BA1091" t="str">
        <f t="shared" si="256"/>
        <v/>
      </c>
    </row>
    <row r="1092" spans="3:53" ht="13.5">
      <c r="C1092" s="19"/>
      <c r="D1092" s="19"/>
      <c r="AC1092" s="6" t="s">
        <v>3970</v>
      </c>
      <c r="AD1092" s="6" t="s">
        <v>7256</v>
      </c>
      <c r="AE1092" s="158" t="s">
        <v>3988</v>
      </c>
      <c r="AF1092" s="159" t="s">
        <v>8300</v>
      </c>
      <c r="AG1092" s="160" t="s">
        <v>3591</v>
      </c>
      <c r="AH1092" s="194" t="s">
        <v>679</v>
      </c>
      <c r="AI1092" s="6" t="s">
        <v>3569</v>
      </c>
      <c r="AJ1092" s="3" t="s">
        <v>8214</v>
      </c>
      <c r="AK1092" t="s">
        <v>8214</v>
      </c>
      <c r="AV1092"/>
      <c r="AX1092"/>
      <c r="AZ1092" t="str">
        <f t="shared" si="255"/>
        <v/>
      </c>
      <c r="BA1092" t="str">
        <f t="shared" si="256"/>
        <v/>
      </c>
    </row>
    <row r="1093" spans="3:53" ht="13.5">
      <c r="C1093" s="19"/>
      <c r="D1093" s="19"/>
      <c r="AC1093" s="6">
        <v>205589</v>
      </c>
      <c r="AD1093" s="6" t="s">
        <v>7247</v>
      </c>
      <c r="AE1093" s="158" t="s">
        <v>3989</v>
      </c>
      <c r="AF1093" s="159" t="s">
        <v>8300</v>
      </c>
      <c r="AG1093" s="160" t="s">
        <v>3592</v>
      </c>
      <c r="AH1093" s="194" t="s">
        <v>679</v>
      </c>
      <c r="AI1093" s="6" t="s">
        <v>1969</v>
      </c>
      <c r="AJ1093" s="3" t="s">
        <v>8227</v>
      </c>
      <c r="AK1093" t="s">
        <v>8227</v>
      </c>
      <c r="AV1093"/>
      <c r="AX1093"/>
      <c r="AZ1093" t="str">
        <f t="shared" si="255"/>
        <v/>
      </c>
      <c r="BA1093" t="str">
        <f t="shared" si="256"/>
        <v/>
      </c>
    </row>
    <row r="1094" spans="3:53" ht="13.5">
      <c r="C1094" s="19"/>
      <c r="D1094" s="19"/>
      <c r="AC1094" s="6" t="s">
        <v>5299</v>
      </c>
      <c r="AD1094" s="6" t="s">
        <v>7167</v>
      </c>
      <c r="AE1094" s="158" t="s">
        <v>2571</v>
      </c>
      <c r="AF1094" s="159" t="s">
        <v>8299</v>
      </c>
      <c r="AG1094" s="161" t="s">
        <v>3593</v>
      </c>
      <c r="AH1094" s="194" t="s">
        <v>4700</v>
      </c>
      <c r="AI1094" s="6" t="s">
        <v>988</v>
      </c>
      <c r="AJ1094" s="3" t="s">
        <v>8225</v>
      </c>
      <c r="AK1094" t="s">
        <v>8225</v>
      </c>
      <c r="AV1094"/>
      <c r="AX1094"/>
      <c r="AZ1094" t="str">
        <f t="shared" si="255"/>
        <v/>
      </c>
      <c r="BA1094" t="str">
        <f t="shared" si="256"/>
        <v/>
      </c>
    </row>
    <row r="1095" spans="3:53" ht="13.5">
      <c r="C1095" s="19"/>
      <c r="D1095" s="19"/>
      <c r="AC1095" s="6" t="s">
        <v>5183</v>
      </c>
      <c r="AD1095" s="6" t="s">
        <v>7172</v>
      </c>
      <c r="AE1095" s="158" t="s">
        <v>2572</v>
      </c>
      <c r="AF1095" s="159" t="s">
        <v>8299</v>
      </c>
      <c r="AG1095" s="160" t="s">
        <v>4469</v>
      </c>
      <c r="AH1095" s="194" t="s">
        <v>1314</v>
      </c>
      <c r="AI1095" s="6" t="s">
        <v>72</v>
      </c>
      <c r="AJ1095" s="3" t="s">
        <v>8225</v>
      </c>
      <c r="AK1095" t="s">
        <v>8225</v>
      </c>
      <c r="AV1095"/>
      <c r="AX1095"/>
      <c r="AZ1095" t="str">
        <f t="shared" si="255"/>
        <v/>
      </c>
      <c r="BA1095" t="str">
        <f t="shared" si="256"/>
        <v/>
      </c>
    </row>
    <row r="1096" spans="3:53" ht="13.5">
      <c r="C1096" s="19"/>
      <c r="D1096" s="19"/>
      <c r="AC1096" s="6" t="s">
        <v>3827</v>
      </c>
      <c r="AD1096" s="6" t="s">
        <v>7257</v>
      </c>
      <c r="AE1096" s="158" t="s">
        <v>2573</v>
      </c>
      <c r="AF1096" s="159" t="s">
        <v>8299</v>
      </c>
      <c r="AG1096" s="160" t="s">
        <v>4470</v>
      </c>
      <c r="AH1096" s="194" t="s">
        <v>1314</v>
      </c>
      <c r="AI1096" s="6" t="s">
        <v>3695</v>
      </c>
      <c r="AJ1096" s="3" t="s">
        <v>8227</v>
      </c>
      <c r="AK1096" t="s">
        <v>8227</v>
      </c>
      <c r="AV1096"/>
      <c r="AX1096"/>
      <c r="AZ1096" t="str">
        <f t="shared" si="255"/>
        <v/>
      </c>
      <c r="BA1096" t="str">
        <f t="shared" si="256"/>
        <v/>
      </c>
    </row>
    <row r="1097" spans="3:53" ht="13.5">
      <c r="C1097" s="19"/>
      <c r="D1097" s="19"/>
      <c r="AC1097" s="6" t="s">
        <v>4263</v>
      </c>
      <c r="AD1097" s="6" t="s">
        <v>7258</v>
      </c>
      <c r="AE1097" s="158" t="s">
        <v>2574</v>
      </c>
      <c r="AF1097" s="159" t="s">
        <v>8299</v>
      </c>
      <c r="AG1097" s="160" t="s">
        <v>4471</v>
      </c>
      <c r="AH1097" s="194" t="s">
        <v>1314</v>
      </c>
      <c r="AI1097" s="6" t="s">
        <v>1924</v>
      </c>
      <c r="AJ1097" s="3" t="s">
        <v>8217</v>
      </c>
      <c r="AK1097" t="s">
        <v>8668</v>
      </c>
      <c r="AV1097"/>
      <c r="AX1097"/>
      <c r="AZ1097" t="str">
        <f t="shared" si="255"/>
        <v/>
      </c>
      <c r="BA1097" t="str">
        <f t="shared" si="256"/>
        <v/>
      </c>
    </row>
    <row r="1098" spans="3:53" ht="13.5">
      <c r="C1098" s="19"/>
      <c r="D1098" s="19"/>
      <c r="AC1098" s="6" t="s">
        <v>3722</v>
      </c>
      <c r="AD1098" s="6" t="s">
        <v>7259</v>
      </c>
      <c r="AE1098" s="158" t="s">
        <v>2575</v>
      </c>
      <c r="AF1098" s="159" t="s">
        <v>8299</v>
      </c>
      <c r="AG1098" s="160" t="s">
        <v>3594</v>
      </c>
      <c r="AH1098" s="194" t="s">
        <v>1314</v>
      </c>
      <c r="AI1098" s="6" t="s">
        <v>3905</v>
      </c>
      <c r="AJ1098" s="3" t="s">
        <v>8265</v>
      </c>
      <c r="AK1098" t="s">
        <v>8265</v>
      </c>
      <c r="AV1098"/>
      <c r="AX1098"/>
      <c r="AZ1098" t="str">
        <f t="shared" si="255"/>
        <v/>
      </c>
      <c r="BA1098" t="str">
        <f t="shared" si="256"/>
        <v/>
      </c>
    </row>
    <row r="1099" spans="3:53" ht="13.5">
      <c r="C1099" s="19"/>
      <c r="D1099" s="19"/>
      <c r="AC1099" s="6">
        <v>896412</v>
      </c>
      <c r="AD1099" s="6" t="s">
        <v>7230</v>
      </c>
      <c r="AE1099" s="158" t="s">
        <v>4097</v>
      </c>
      <c r="AF1099" s="159" t="s">
        <v>8300</v>
      </c>
      <c r="AG1099" s="161" t="s">
        <v>2588</v>
      </c>
      <c r="AH1099" s="194" t="s">
        <v>1314</v>
      </c>
      <c r="AI1099" s="6" t="s">
        <v>2181</v>
      </c>
      <c r="AJ1099" s="3" t="s">
        <v>8231</v>
      </c>
      <c r="AK1099" t="s">
        <v>8238</v>
      </c>
      <c r="AV1099"/>
      <c r="AX1099"/>
      <c r="AZ1099" t="str">
        <f t="shared" si="255"/>
        <v/>
      </c>
      <c r="BA1099" t="str">
        <f t="shared" si="256"/>
        <v/>
      </c>
    </row>
    <row r="1100" spans="3:53" ht="13.5">
      <c r="C1100" s="19"/>
      <c r="D1100" s="19"/>
      <c r="AC1100" s="6">
        <v>213529</v>
      </c>
      <c r="AD1100" s="6" t="s">
        <v>7260</v>
      </c>
      <c r="AE1100" s="158" t="s">
        <v>4098</v>
      </c>
      <c r="AF1100" s="159" t="s">
        <v>8300</v>
      </c>
      <c r="AG1100" s="161" t="s">
        <v>1243</v>
      </c>
      <c r="AH1100" s="194" t="s">
        <v>679</v>
      </c>
      <c r="AI1100" s="6" t="s">
        <v>2011</v>
      </c>
      <c r="AJ1100" s="3" t="s">
        <v>8248</v>
      </c>
      <c r="AK1100" t="s">
        <v>8248</v>
      </c>
      <c r="AV1100"/>
      <c r="AX1100"/>
      <c r="AZ1100" t="str">
        <f t="shared" si="255"/>
        <v/>
      </c>
      <c r="BA1100" t="str">
        <f t="shared" si="256"/>
        <v/>
      </c>
    </row>
    <row r="1101" spans="3:53" ht="13.5">
      <c r="C1101" s="19"/>
      <c r="D1101" s="19"/>
      <c r="AC1101" s="6" t="s">
        <v>3967</v>
      </c>
      <c r="AD1101" s="6" t="s">
        <v>7261</v>
      </c>
      <c r="AE1101" s="158" t="s">
        <v>3881</v>
      </c>
      <c r="AF1101" s="159" t="s">
        <v>8299</v>
      </c>
      <c r="AG1101" s="160" t="s">
        <v>1775</v>
      </c>
      <c r="AH1101" s="194" t="s">
        <v>678</v>
      </c>
      <c r="AI1101" s="6" t="s">
        <v>1801</v>
      </c>
      <c r="AJ1101" s="3" t="s">
        <v>8238</v>
      </c>
      <c r="AK1101" t="s">
        <v>8673</v>
      </c>
      <c r="AV1101"/>
      <c r="AX1101"/>
      <c r="AZ1101" t="str">
        <f t="shared" si="255"/>
        <v/>
      </c>
      <c r="BA1101" t="str">
        <f t="shared" si="256"/>
        <v/>
      </c>
    </row>
    <row r="1102" spans="3:53" ht="13.5">
      <c r="C1102" s="19"/>
      <c r="D1102" s="19"/>
      <c r="AC1102" s="6">
        <v>205588</v>
      </c>
      <c r="AD1102" s="6" t="s">
        <v>7247</v>
      </c>
      <c r="AE1102" s="158" t="s">
        <v>3882</v>
      </c>
      <c r="AF1102" s="159" t="s">
        <v>8299</v>
      </c>
      <c r="AG1102" s="160" t="s">
        <v>1776</v>
      </c>
      <c r="AH1102" s="194" t="s">
        <v>678</v>
      </c>
      <c r="AI1102" s="6" t="s">
        <v>890</v>
      </c>
      <c r="AJ1102" s="3" t="s">
        <v>8257</v>
      </c>
      <c r="AK1102" t="s">
        <v>8257</v>
      </c>
      <c r="AV1102"/>
      <c r="AX1102"/>
      <c r="AZ1102" t="str">
        <f t="shared" si="255"/>
        <v/>
      </c>
      <c r="BA1102" t="str">
        <f t="shared" si="256"/>
        <v/>
      </c>
    </row>
    <row r="1103" spans="3:53" ht="13.5">
      <c r="C1103" s="19"/>
      <c r="D1103" s="19"/>
      <c r="AC1103" s="6" t="s">
        <v>4182</v>
      </c>
      <c r="AD1103" s="6" t="s">
        <v>7151</v>
      </c>
      <c r="AE1103" s="158" t="s">
        <v>4797</v>
      </c>
      <c r="AF1103" s="159" t="s">
        <v>8299</v>
      </c>
      <c r="AG1103" s="160" t="s">
        <v>2266</v>
      </c>
      <c r="AH1103" s="194" t="s">
        <v>678</v>
      </c>
      <c r="AI1103" s="6" t="s">
        <v>898</v>
      </c>
      <c r="AJ1103" s="3" t="s">
        <v>8215</v>
      </c>
      <c r="AK1103" t="s">
        <v>8215</v>
      </c>
      <c r="AV1103"/>
      <c r="AX1103"/>
      <c r="AZ1103" t="str">
        <f t="shared" si="255"/>
        <v/>
      </c>
      <c r="BA1103" t="str">
        <f t="shared" si="256"/>
        <v/>
      </c>
    </row>
    <row r="1104" spans="3:53" ht="13.5">
      <c r="C1104" s="19"/>
      <c r="D1104" s="19"/>
      <c r="AC1104" s="6" t="s">
        <v>4181</v>
      </c>
      <c r="AD1104" s="6" t="s">
        <v>7151</v>
      </c>
      <c r="AE1104" s="158" t="s">
        <v>4172</v>
      </c>
      <c r="AF1104" s="159" t="s">
        <v>8299</v>
      </c>
      <c r="AG1104" s="160" t="s">
        <v>2269</v>
      </c>
      <c r="AH1104" s="194" t="s">
        <v>678</v>
      </c>
      <c r="AI1104" s="6" t="s">
        <v>2227</v>
      </c>
      <c r="AJ1104" s="3" t="s">
        <v>8194</v>
      </c>
      <c r="AK1104" t="s">
        <v>8194</v>
      </c>
      <c r="AV1104"/>
      <c r="AX1104"/>
      <c r="AZ1104" t="str">
        <f t="shared" si="255"/>
        <v/>
      </c>
      <c r="BA1104" t="str">
        <f t="shared" si="256"/>
        <v/>
      </c>
    </row>
    <row r="1105" spans="3:53" ht="13.5">
      <c r="C1105" s="19"/>
      <c r="D1105" s="19"/>
      <c r="AC1105" s="6" t="s">
        <v>4408</v>
      </c>
      <c r="AD1105" s="6" t="s">
        <v>7167</v>
      </c>
      <c r="AE1105" s="158" t="s">
        <v>4798</v>
      </c>
      <c r="AF1105" s="159" t="s">
        <v>8299</v>
      </c>
      <c r="AG1105" s="160" t="s">
        <v>2237</v>
      </c>
      <c r="AH1105" s="194" t="s">
        <v>679</v>
      </c>
      <c r="AI1105" s="6" t="s">
        <v>4196</v>
      </c>
      <c r="AJ1105" s="3" t="s">
        <v>8253</v>
      </c>
      <c r="AK1105" t="s">
        <v>8253</v>
      </c>
      <c r="AV1105"/>
      <c r="AX1105"/>
      <c r="AZ1105" t="str">
        <f t="shared" si="255"/>
        <v/>
      </c>
      <c r="BA1105" t="str">
        <f t="shared" si="256"/>
        <v/>
      </c>
    </row>
    <row r="1106" spans="3:53" ht="13.5">
      <c r="C1106" s="19"/>
      <c r="D1106" s="19"/>
      <c r="AC1106" s="6" t="s">
        <v>4400</v>
      </c>
      <c r="AD1106" s="6" t="s">
        <v>7167</v>
      </c>
      <c r="AE1106" s="158" t="s">
        <v>4139</v>
      </c>
      <c r="AF1106" s="159" t="s">
        <v>8299</v>
      </c>
      <c r="AG1106" s="160" t="s">
        <v>2247</v>
      </c>
      <c r="AH1106" s="194" t="s">
        <v>679</v>
      </c>
      <c r="AI1106" s="6" t="s">
        <v>4220</v>
      </c>
      <c r="AJ1106" s="3" t="s">
        <v>8262</v>
      </c>
      <c r="AK1106" t="s">
        <v>8262</v>
      </c>
      <c r="AV1106"/>
      <c r="AX1106"/>
      <c r="AZ1106" t="str">
        <f t="shared" si="255"/>
        <v/>
      </c>
      <c r="BA1106" t="str">
        <f t="shared" si="256"/>
        <v/>
      </c>
    </row>
    <row r="1107" spans="3:53" ht="13.5">
      <c r="C1107" s="19"/>
      <c r="D1107" s="19"/>
      <c r="AC1107" s="6" t="s">
        <v>4262</v>
      </c>
      <c r="AD1107" s="6" t="s">
        <v>7258</v>
      </c>
      <c r="AE1107" s="158" t="s">
        <v>4031</v>
      </c>
      <c r="AF1107" s="159" t="s">
        <v>8299</v>
      </c>
      <c r="AG1107" s="160" t="s">
        <v>5266</v>
      </c>
      <c r="AH1107" s="194" t="s">
        <v>1314</v>
      </c>
      <c r="AI1107" s="6">
        <v>25332</v>
      </c>
      <c r="AJ1107" s="3" t="s">
        <v>8263</v>
      </c>
      <c r="AK1107" t="s">
        <v>8263</v>
      </c>
      <c r="AV1107"/>
      <c r="AX1107"/>
      <c r="AZ1107" t="str">
        <f t="shared" si="255"/>
        <v/>
      </c>
      <c r="BA1107" t="str">
        <f t="shared" si="256"/>
        <v/>
      </c>
    </row>
    <row r="1108" spans="3:53" ht="13.5">
      <c r="C1108" s="19"/>
      <c r="D1108" s="19"/>
      <c r="AC1108" s="6" t="s">
        <v>3873</v>
      </c>
      <c r="AD1108" s="6" t="s">
        <v>7176</v>
      </c>
      <c r="AE1108" s="158" t="s">
        <v>3556</v>
      </c>
      <c r="AF1108" s="159" t="s">
        <v>8299</v>
      </c>
      <c r="AG1108" s="160" t="s">
        <v>5141</v>
      </c>
      <c r="AH1108" s="194" t="s">
        <v>1314</v>
      </c>
      <c r="AI1108" s="6">
        <v>836349</v>
      </c>
      <c r="AJ1108" s="3" t="s">
        <v>8253</v>
      </c>
      <c r="AK1108" t="s">
        <v>8253</v>
      </c>
      <c r="AV1108"/>
      <c r="AX1108"/>
      <c r="AZ1108" t="str">
        <f t="shared" si="255"/>
        <v/>
      </c>
      <c r="BA1108" t="str">
        <f t="shared" si="256"/>
        <v/>
      </c>
    </row>
    <row r="1109" spans="3:53" ht="13.5">
      <c r="C1109" s="19"/>
      <c r="D1109" s="19"/>
      <c r="AC1109" s="6" t="s">
        <v>3872</v>
      </c>
      <c r="AD1109" s="6" t="s">
        <v>7176</v>
      </c>
      <c r="AE1109" s="158" t="s">
        <v>3557</v>
      </c>
      <c r="AF1109" s="159" t="s">
        <v>8299</v>
      </c>
      <c r="AG1109" s="160" t="s">
        <v>5331</v>
      </c>
      <c r="AH1109" s="194" t="s">
        <v>679</v>
      </c>
      <c r="AI1109" s="6" t="s">
        <v>1736</v>
      </c>
      <c r="AJ1109" s="3" t="s">
        <v>8238</v>
      </c>
      <c r="AK1109" t="s">
        <v>8673</v>
      </c>
      <c r="AV1109"/>
      <c r="AX1109"/>
      <c r="AZ1109" t="str">
        <f t="shared" si="255"/>
        <v/>
      </c>
      <c r="BA1109" t="str">
        <f t="shared" si="256"/>
        <v/>
      </c>
    </row>
    <row r="1110" spans="3:53" ht="13.5">
      <c r="C1110" s="19"/>
      <c r="D1110" s="19"/>
      <c r="AC1110" s="6" t="s">
        <v>3870</v>
      </c>
      <c r="AD1110" s="6" t="s">
        <v>7176</v>
      </c>
      <c r="AE1110" s="158" t="s">
        <v>3558</v>
      </c>
      <c r="AF1110" s="159" t="s">
        <v>8320</v>
      </c>
      <c r="AG1110" s="160" t="s">
        <v>5296</v>
      </c>
      <c r="AH1110" s="194" t="s">
        <v>679</v>
      </c>
      <c r="AI1110" s="6" t="s">
        <v>1951</v>
      </c>
      <c r="AJ1110" s="3" t="s">
        <v>8238</v>
      </c>
      <c r="AK1110" t="s">
        <v>8673</v>
      </c>
      <c r="AV1110"/>
      <c r="AX1110"/>
      <c r="AZ1110" t="str">
        <f t="shared" si="255"/>
        <v/>
      </c>
      <c r="BA1110" t="str">
        <f t="shared" si="256"/>
        <v/>
      </c>
    </row>
    <row r="1111" spans="3:53" ht="13.5">
      <c r="C1111" s="19"/>
      <c r="D1111" s="19"/>
      <c r="AC1111" s="6" t="s">
        <v>3863</v>
      </c>
      <c r="AD1111" s="6" t="s">
        <v>7176</v>
      </c>
      <c r="AE1111" s="158" t="s">
        <v>3559</v>
      </c>
      <c r="AF1111" s="159" t="s">
        <v>8299</v>
      </c>
      <c r="AG1111" s="160" t="s">
        <v>2276</v>
      </c>
      <c r="AH1111" s="194" t="s">
        <v>679</v>
      </c>
      <c r="AI1111" s="6" t="s">
        <v>2341</v>
      </c>
      <c r="AJ1111" s="3" t="s">
        <v>8206</v>
      </c>
      <c r="AK1111" t="s">
        <v>8206</v>
      </c>
      <c r="AV1111"/>
      <c r="AX1111"/>
      <c r="AZ1111" t="str">
        <f t="shared" si="255"/>
        <v/>
      </c>
      <c r="BA1111" t="str">
        <f t="shared" si="256"/>
        <v/>
      </c>
    </row>
    <row r="1112" spans="3:53" ht="13.5">
      <c r="C1112" s="19"/>
      <c r="D1112" s="19"/>
      <c r="AC1112" s="6" t="s">
        <v>4407</v>
      </c>
      <c r="AD1112" s="6" t="s">
        <v>7167</v>
      </c>
      <c r="AE1112" s="158" t="s">
        <v>3561</v>
      </c>
      <c r="AF1112" s="159" t="s">
        <v>8300</v>
      </c>
      <c r="AG1112" s="160" t="s">
        <v>1249</v>
      </c>
      <c r="AH1112" s="194" t="s">
        <v>679</v>
      </c>
      <c r="AI1112" s="6" t="s">
        <v>2342</v>
      </c>
      <c r="AJ1112" s="3" t="s">
        <v>8206</v>
      </c>
      <c r="AK1112" t="s">
        <v>8206</v>
      </c>
      <c r="AV1112"/>
      <c r="AX1112"/>
      <c r="AZ1112" t="str">
        <f t="shared" si="255"/>
        <v/>
      </c>
      <c r="BA1112" t="str">
        <f t="shared" si="256"/>
        <v/>
      </c>
    </row>
    <row r="1113" spans="3:53" ht="13.5">
      <c r="C1113" s="19"/>
      <c r="D1113" s="19"/>
      <c r="AC1113" s="6" t="s">
        <v>3871</v>
      </c>
      <c r="AD1113" s="6" t="s">
        <v>7176</v>
      </c>
      <c r="AE1113" s="158" t="s">
        <v>3562</v>
      </c>
      <c r="AF1113" s="159" t="s">
        <v>8299</v>
      </c>
      <c r="AG1113" s="160" t="s">
        <v>2195</v>
      </c>
      <c r="AH1113" s="194" t="s">
        <v>679</v>
      </c>
      <c r="AI1113" s="6" t="s">
        <v>78</v>
      </c>
      <c r="AJ1113" s="3" t="s">
        <v>8225</v>
      </c>
      <c r="AK1113" t="s">
        <v>8225</v>
      </c>
      <c r="AV1113"/>
      <c r="AX1113"/>
      <c r="AZ1113" t="str">
        <f t="shared" si="255"/>
        <v/>
      </c>
      <c r="BA1113" t="str">
        <f t="shared" si="256"/>
        <v/>
      </c>
    </row>
    <row r="1114" spans="3:53" ht="13.5">
      <c r="C1114" s="19"/>
      <c r="D1114" s="19"/>
      <c r="AC1114" s="6" t="s">
        <v>3869</v>
      </c>
      <c r="AD1114" s="6" t="s">
        <v>7176</v>
      </c>
      <c r="AE1114" s="158" t="s">
        <v>3982</v>
      </c>
      <c r="AF1114" s="159" t="s">
        <v>8320</v>
      </c>
      <c r="AG1114" s="160" t="s">
        <v>2253</v>
      </c>
      <c r="AH1114" s="194" t="s">
        <v>679</v>
      </c>
      <c r="AI1114" s="6" t="s">
        <v>1005</v>
      </c>
      <c r="AJ1114" s="3" t="s">
        <v>8225</v>
      </c>
      <c r="AK1114" t="s">
        <v>8225</v>
      </c>
      <c r="AV1114"/>
      <c r="AX1114"/>
      <c r="AZ1114" t="str">
        <f t="shared" si="255"/>
        <v/>
      </c>
      <c r="BA1114" t="str">
        <f t="shared" si="256"/>
        <v/>
      </c>
    </row>
    <row r="1115" spans="3:53" ht="13.5">
      <c r="C1115" s="19"/>
      <c r="D1115" s="19"/>
      <c r="AC1115" s="6" t="s">
        <v>3862</v>
      </c>
      <c r="AD1115" s="6" t="s">
        <v>7176</v>
      </c>
      <c r="AE1115" s="158" t="s">
        <v>3598</v>
      </c>
      <c r="AF1115" s="159" t="s">
        <v>8300</v>
      </c>
      <c r="AG1115" s="160" t="s">
        <v>2254</v>
      </c>
      <c r="AH1115" s="194" t="s">
        <v>679</v>
      </c>
      <c r="AI1115" s="6" t="s">
        <v>3610</v>
      </c>
      <c r="AJ1115" s="3" t="s">
        <v>8270</v>
      </c>
      <c r="AK1115" t="s">
        <v>8270</v>
      </c>
      <c r="AV1115"/>
      <c r="AX1115"/>
      <c r="AZ1115" t="str">
        <f t="shared" si="255"/>
        <v/>
      </c>
      <c r="BA1115" t="str">
        <f t="shared" si="256"/>
        <v/>
      </c>
    </row>
    <row r="1116" spans="3:53" ht="13.5">
      <c r="C1116" s="19"/>
      <c r="D1116" s="19"/>
      <c r="AC1116" s="6">
        <v>215581</v>
      </c>
      <c r="AD1116" s="6" t="s">
        <v>7260</v>
      </c>
      <c r="AE1116" s="158" t="s">
        <v>3599</v>
      </c>
      <c r="AF1116" s="159" t="s">
        <v>8300</v>
      </c>
      <c r="AG1116" s="160" t="s">
        <v>132</v>
      </c>
      <c r="AH1116" s="194" t="s">
        <v>679</v>
      </c>
      <c r="AI1116" s="6" t="s">
        <v>2207</v>
      </c>
      <c r="AJ1116" s="3" t="s">
        <v>8248</v>
      </c>
      <c r="AK1116" t="s">
        <v>8248</v>
      </c>
      <c r="AV1116"/>
      <c r="AX1116"/>
      <c r="AZ1116" t="str">
        <f t="shared" si="255"/>
        <v/>
      </c>
      <c r="BA1116" t="str">
        <f t="shared" si="256"/>
        <v/>
      </c>
    </row>
    <row r="1117" spans="3:53" ht="13.5">
      <c r="C1117" s="19"/>
      <c r="D1117" s="19"/>
      <c r="AC1117" s="6" t="s">
        <v>4404</v>
      </c>
      <c r="AD1117" s="6" t="s">
        <v>7167</v>
      </c>
      <c r="AE1117" s="158" t="s">
        <v>3947</v>
      </c>
      <c r="AF1117" s="159" t="s">
        <v>8299</v>
      </c>
      <c r="AG1117" s="160" t="s">
        <v>133</v>
      </c>
      <c r="AH1117" s="194" t="s">
        <v>679</v>
      </c>
      <c r="AI1117" s="6" t="s">
        <v>1818</v>
      </c>
      <c r="AJ1117" s="3" t="s">
        <v>8227</v>
      </c>
      <c r="AK1117" t="s">
        <v>8227</v>
      </c>
      <c r="AV1117"/>
      <c r="AX1117"/>
      <c r="AZ1117" t="str">
        <f t="shared" si="255"/>
        <v/>
      </c>
      <c r="BA1117" t="str">
        <f t="shared" si="256"/>
        <v/>
      </c>
    </row>
    <row r="1118" spans="3:53" ht="13.5">
      <c r="C1118" s="19"/>
      <c r="D1118" s="19"/>
      <c r="AC1118" s="6" t="s">
        <v>4403</v>
      </c>
      <c r="AD1118" s="6" t="s">
        <v>7167</v>
      </c>
      <c r="AE1118" s="158" t="s">
        <v>3948</v>
      </c>
      <c r="AF1118" s="159" t="s">
        <v>8299</v>
      </c>
      <c r="AG1118" s="160" t="s">
        <v>134</v>
      </c>
      <c r="AH1118" s="194" t="s">
        <v>679</v>
      </c>
      <c r="AI1118" s="6" t="s">
        <v>2028</v>
      </c>
      <c r="AJ1118" s="3" t="s">
        <v>8239</v>
      </c>
      <c r="AK1118" t="s">
        <v>8674</v>
      </c>
      <c r="AV1118"/>
      <c r="AX1118"/>
      <c r="AZ1118" t="str">
        <f t="shared" si="255"/>
        <v/>
      </c>
      <c r="BA1118" t="str">
        <f t="shared" si="256"/>
        <v/>
      </c>
    </row>
    <row r="1119" spans="3:53" ht="13.5">
      <c r="C1119" s="19"/>
      <c r="D1119" s="19"/>
      <c r="AC1119" s="6" t="s">
        <v>4790</v>
      </c>
      <c r="AD1119" s="6" t="s">
        <v>7167</v>
      </c>
      <c r="AE1119" s="158" t="s">
        <v>3570</v>
      </c>
      <c r="AF1119" s="159" t="s">
        <v>8300</v>
      </c>
      <c r="AG1119" s="160" t="s">
        <v>5152</v>
      </c>
      <c r="AH1119" s="194" t="s">
        <v>679</v>
      </c>
      <c r="AI1119" s="6" t="s">
        <v>3638</v>
      </c>
      <c r="AJ1119" s="3" t="s">
        <v>8199</v>
      </c>
      <c r="AK1119" t="s">
        <v>8199</v>
      </c>
      <c r="AV1119"/>
      <c r="AX1119"/>
      <c r="AZ1119" t="str">
        <f t="shared" si="255"/>
        <v/>
      </c>
      <c r="BA1119" t="str">
        <f t="shared" si="256"/>
        <v/>
      </c>
    </row>
    <row r="1120" spans="3:53" ht="13.5">
      <c r="C1120" s="19"/>
      <c r="D1120" s="19"/>
      <c r="AC1120" s="6" t="s">
        <v>5120</v>
      </c>
      <c r="AD1120" s="6" t="s">
        <v>7167</v>
      </c>
      <c r="AE1120" s="158" t="s">
        <v>3842</v>
      </c>
      <c r="AF1120" s="159" t="s">
        <v>8299</v>
      </c>
      <c r="AG1120" s="160" t="s">
        <v>5117</v>
      </c>
      <c r="AH1120" s="194" t="s">
        <v>1314</v>
      </c>
      <c r="AI1120" s="6" t="s">
        <v>2322</v>
      </c>
      <c r="AJ1120" s="3" t="s">
        <v>8206</v>
      </c>
      <c r="AK1120" t="s">
        <v>8206</v>
      </c>
      <c r="AV1120"/>
      <c r="AX1120"/>
      <c r="AZ1120" t="str">
        <f t="shared" si="255"/>
        <v/>
      </c>
      <c r="BA1120" t="str">
        <f t="shared" si="256"/>
        <v/>
      </c>
    </row>
    <row r="1121" spans="3:53" ht="13.5">
      <c r="C1121" s="19"/>
      <c r="D1121" s="19"/>
      <c r="AC1121" s="6" t="s">
        <v>4295</v>
      </c>
      <c r="AD1121" s="6" t="s">
        <v>7253</v>
      </c>
      <c r="AE1121" s="158" t="s">
        <v>3914</v>
      </c>
      <c r="AF1121" s="159" t="s">
        <v>8299</v>
      </c>
      <c r="AG1121" s="160" t="s">
        <v>5233</v>
      </c>
      <c r="AH1121" s="194" t="s">
        <v>1314</v>
      </c>
      <c r="AI1121" s="6" t="s">
        <v>3669</v>
      </c>
      <c r="AJ1121" s="3" t="s">
        <v>8253</v>
      </c>
      <c r="AK1121" t="s">
        <v>8253</v>
      </c>
      <c r="AV1121"/>
      <c r="AX1121"/>
      <c r="AZ1121" t="str">
        <f t="shared" si="255"/>
        <v/>
      </c>
      <c r="BA1121" t="str">
        <f t="shared" si="256"/>
        <v/>
      </c>
    </row>
    <row r="1122" spans="3:53" ht="13.5">
      <c r="C1122" s="19"/>
      <c r="D1122" s="19"/>
      <c r="AC1122" s="6" t="s">
        <v>4308</v>
      </c>
      <c r="AD1122" s="6" t="s">
        <v>7262</v>
      </c>
      <c r="AE1122" s="158" t="s">
        <v>4142</v>
      </c>
      <c r="AF1122" s="159" t="s">
        <v>8299</v>
      </c>
      <c r="AG1122" s="160" t="s">
        <v>3595</v>
      </c>
      <c r="AH1122" s="194" t="s">
        <v>679</v>
      </c>
      <c r="AI1122" s="6" t="s">
        <v>3679</v>
      </c>
      <c r="AJ1122" s="3" t="s">
        <v>8232</v>
      </c>
      <c r="AK1122" t="s">
        <v>8232</v>
      </c>
      <c r="AV1122"/>
      <c r="AX1122"/>
      <c r="AZ1122" t="str">
        <f t="shared" si="255"/>
        <v/>
      </c>
      <c r="BA1122" t="str">
        <f t="shared" si="256"/>
        <v/>
      </c>
    </row>
    <row r="1123" spans="3:53" ht="13.5">
      <c r="C1123" s="19"/>
      <c r="D1123" s="19"/>
      <c r="AC1123" s="6" t="s">
        <v>4333</v>
      </c>
      <c r="AD1123" s="6" t="s">
        <v>7263</v>
      </c>
      <c r="AE1123" s="158" t="s">
        <v>4143</v>
      </c>
      <c r="AF1123" s="159" t="s">
        <v>8299</v>
      </c>
      <c r="AG1123" s="160" t="s">
        <v>3596</v>
      </c>
      <c r="AH1123" s="194" t="s">
        <v>679</v>
      </c>
      <c r="AI1123" s="6" t="s">
        <v>1751</v>
      </c>
      <c r="AJ1123" s="3" t="s">
        <v>8217</v>
      </c>
      <c r="AK1123" t="s">
        <v>8668</v>
      </c>
      <c r="AV1123"/>
      <c r="AX1123"/>
      <c r="AZ1123" t="str">
        <f t="shared" si="255"/>
        <v/>
      </c>
      <c r="BA1123" t="str">
        <f t="shared" si="256"/>
        <v/>
      </c>
    </row>
    <row r="1124" spans="3:53" ht="13.5">
      <c r="C1124" s="19"/>
      <c r="D1124" s="19"/>
      <c r="AC1124" s="6" t="s">
        <v>5349</v>
      </c>
      <c r="AD1124" s="6" t="s">
        <v>7167</v>
      </c>
      <c r="AE1124" s="158" t="s">
        <v>2588</v>
      </c>
      <c r="AF1124" s="159" t="s">
        <v>8300</v>
      </c>
      <c r="AG1124" s="160" t="s">
        <v>3597</v>
      </c>
      <c r="AH1124" s="194" t="s">
        <v>679</v>
      </c>
      <c r="AI1124" s="6" t="s">
        <v>1899</v>
      </c>
      <c r="AJ1124" s="3" t="s">
        <v>8217</v>
      </c>
      <c r="AK1124" t="s">
        <v>8668</v>
      </c>
      <c r="AV1124"/>
      <c r="AX1124"/>
      <c r="AZ1124" t="str">
        <f t="shared" si="255"/>
        <v/>
      </c>
      <c r="BA1124" t="str">
        <f t="shared" si="256"/>
        <v/>
      </c>
    </row>
    <row r="1125" spans="3:53" ht="13.5">
      <c r="C1125" s="19"/>
      <c r="D1125" s="19"/>
      <c r="AC1125" s="6" t="s">
        <v>4309</v>
      </c>
      <c r="AD1125" s="6" t="s">
        <v>7262</v>
      </c>
      <c r="AE1125" s="158" t="s">
        <v>3983</v>
      </c>
      <c r="AF1125" s="159" t="s">
        <v>8299</v>
      </c>
      <c r="AG1125" s="160" t="s">
        <v>1292</v>
      </c>
      <c r="AH1125" s="194" t="s">
        <v>679</v>
      </c>
      <c r="AI1125" s="6" t="s">
        <v>2177</v>
      </c>
      <c r="AJ1125" s="3" t="s">
        <v>8231</v>
      </c>
      <c r="AK1125" t="s">
        <v>8238</v>
      </c>
      <c r="AV1125"/>
      <c r="AX1125"/>
      <c r="AZ1125" t="str">
        <f t="shared" si="255"/>
        <v/>
      </c>
      <c r="BA1125" t="str">
        <f t="shared" si="256"/>
        <v/>
      </c>
    </row>
    <row r="1126" spans="3:53" ht="13.5">
      <c r="C1126" s="19"/>
      <c r="D1126" s="19"/>
      <c r="AC1126" s="6" t="s">
        <v>4261</v>
      </c>
      <c r="AD1126" s="6" t="s">
        <v>7264</v>
      </c>
      <c r="AE1126" s="158" t="s">
        <v>4799</v>
      </c>
      <c r="AF1126" s="159" t="s">
        <v>8299</v>
      </c>
      <c r="AG1126" s="160" t="s">
        <v>3598</v>
      </c>
      <c r="AH1126" s="194" t="s">
        <v>679</v>
      </c>
      <c r="AI1126" s="6" t="s">
        <v>3696</v>
      </c>
      <c r="AJ1126" s="3" t="s">
        <v>8245</v>
      </c>
      <c r="AK1126" t="s">
        <v>8676</v>
      </c>
      <c r="AV1126"/>
      <c r="AX1126"/>
      <c r="AZ1126" t="str">
        <f t="shared" si="255"/>
        <v/>
      </c>
      <c r="BA1126" t="str">
        <f t="shared" si="256"/>
        <v/>
      </c>
    </row>
    <row r="1127" spans="3:53" ht="13.5">
      <c r="C1127" s="19"/>
      <c r="D1127" s="19"/>
      <c r="AC1127" s="6" t="s">
        <v>5347</v>
      </c>
      <c r="AD1127" s="6" t="s">
        <v>7167</v>
      </c>
      <c r="AE1127" s="158" t="s">
        <v>3571</v>
      </c>
      <c r="AF1127" s="159" t="s">
        <v>8300</v>
      </c>
      <c r="AG1127" s="160" t="s">
        <v>3599</v>
      </c>
      <c r="AH1127" s="194" t="s">
        <v>679</v>
      </c>
      <c r="AI1127" s="6" t="s">
        <v>3700</v>
      </c>
      <c r="AJ1127" s="3" t="s">
        <v>8245</v>
      </c>
      <c r="AK1127" t="s">
        <v>8676</v>
      </c>
      <c r="AV1127"/>
      <c r="AX1127"/>
      <c r="AZ1127" t="str">
        <f t="shared" si="255"/>
        <v/>
      </c>
      <c r="BA1127" t="str">
        <f t="shared" si="256"/>
        <v/>
      </c>
    </row>
    <row r="1128" spans="3:53" ht="13.5">
      <c r="C1128" s="19"/>
      <c r="D1128" s="19"/>
      <c r="AC1128" s="6">
        <v>765226</v>
      </c>
      <c r="AD1128" s="6" t="s">
        <v>7254</v>
      </c>
      <c r="AE1128" s="158" t="s">
        <v>3572</v>
      </c>
      <c r="AF1128" s="159" t="s">
        <v>8299</v>
      </c>
      <c r="AG1128" s="160" t="s">
        <v>1293</v>
      </c>
      <c r="AH1128" s="194" t="s">
        <v>679</v>
      </c>
      <c r="AI1128" s="6" t="s">
        <v>3795</v>
      </c>
      <c r="AJ1128" s="3" t="s">
        <v>8244</v>
      </c>
      <c r="AK1128" t="s">
        <v>8244</v>
      </c>
      <c r="AV1128"/>
      <c r="AX1128"/>
      <c r="AZ1128" t="str">
        <f t="shared" si="255"/>
        <v/>
      </c>
      <c r="BA1128" t="str">
        <f t="shared" si="256"/>
        <v/>
      </c>
    </row>
    <row r="1129" spans="3:53" ht="13.5">
      <c r="C1129" s="19"/>
      <c r="D1129" s="19"/>
      <c r="AC1129" s="6" t="s">
        <v>1295</v>
      </c>
      <c r="AD1129" s="6" t="s">
        <v>7176</v>
      </c>
      <c r="AE1129" s="158" t="s">
        <v>4033</v>
      </c>
      <c r="AF1129" s="159" t="s">
        <v>8299</v>
      </c>
      <c r="AG1129" s="160" t="s">
        <v>3600</v>
      </c>
      <c r="AH1129" s="194" t="s">
        <v>679</v>
      </c>
      <c r="AI1129" s="6" t="s">
        <v>3820</v>
      </c>
      <c r="AJ1129" s="3" t="s">
        <v>8218</v>
      </c>
      <c r="AK1129" t="s">
        <v>8218</v>
      </c>
      <c r="AV1129"/>
      <c r="AX1129"/>
      <c r="AZ1129" t="str">
        <f t="shared" si="255"/>
        <v/>
      </c>
      <c r="BA1129" t="str">
        <f t="shared" si="256"/>
        <v/>
      </c>
    </row>
    <row r="1130" spans="3:53" ht="13.5">
      <c r="C1130" s="19"/>
      <c r="D1130" s="19"/>
      <c r="AC1130" s="6">
        <v>495358</v>
      </c>
      <c r="AD1130" s="6" t="s">
        <v>7265</v>
      </c>
      <c r="AE1130" s="158" t="s">
        <v>3843</v>
      </c>
      <c r="AF1130" s="159" t="s">
        <v>8300</v>
      </c>
      <c r="AG1130" s="160" t="s">
        <v>3601</v>
      </c>
      <c r="AH1130" s="194" t="s">
        <v>679</v>
      </c>
      <c r="AI1130" s="6" t="s">
        <v>4488</v>
      </c>
      <c r="AJ1130" s="3" t="s">
        <v>8199</v>
      </c>
      <c r="AK1130" t="s">
        <v>8199</v>
      </c>
      <c r="AV1130"/>
      <c r="AX1130"/>
      <c r="AZ1130" t="str">
        <f t="shared" si="255"/>
        <v/>
      </c>
      <c r="BA1130" t="str">
        <f t="shared" si="256"/>
        <v/>
      </c>
    </row>
    <row r="1131" spans="3:53" ht="13.5">
      <c r="C1131" s="19"/>
      <c r="D1131" s="19"/>
      <c r="AC1131" s="6" t="s">
        <v>4310</v>
      </c>
      <c r="AD1131" s="6" t="s">
        <v>7262</v>
      </c>
      <c r="AE1131" s="158" t="s">
        <v>3844</v>
      </c>
      <c r="AF1131" s="159" t="s">
        <v>8297</v>
      </c>
      <c r="AG1131" s="160" t="s">
        <v>3602</v>
      </c>
      <c r="AH1131" s="194" t="s">
        <v>679</v>
      </c>
      <c r="AI1131" s="6" t="s">
        <v>1926</v>
      </c>
      <c r="AJ1131" s="3" t="s">
        <v>8227</v>
      </c>
      <c r="AK1131" t="s">
        <v>8227</v>
      </c>
      <c r="AV1131"/>
      <c r="AX1131"/>
      <c r="AZ1131" t="str">
        <f t="shared" si="255"/>
        <v/>
      </c>
      <c r="BA1131" t="str">
        <f t="shared" si="256"/>
        <v/>
      </c>
    </row>
    <row r="1132" spans="3:53" ht="13.5">
      <c r="C1132" s="19"/>
      <c r="D1132" s="19"/>
      <c r="AC1132" s="6" t="s">
        <v>3587</v>
      </c>
      <c r="AD1132" s="6" t="s">
        <v>7266</v>
      </c>
      <c r="AE1132" s="158" t="s">
        <v>4144</v>
      </c>
      <c r="AF1132" s="159" t="s">
        <v>8299</v>
      </c>
      <c r="AG1132" s="160" t="s">
        <v>3603</v>
      </c>
      <c r="AH1132" s="194" t="s">
        <v>679</v>
      </c>
      <c r="AI1132" s="6" t="s">
        <v>1845</v>
      </c>
      <c r="AJ1132" s="3" t="s">
        <v>8258</v>
      </c>
      <c r="AK1132" t="s">
        <v>8258</v>
      </c>
      <c r="AV1132"/>
      <c r="AX1132"/>
      <c r="AZ1132" t="str">
        <f t="shared" si="255"/>
        <v/>
      </c>
      <c r="BA1132" t="str">
        <f t="shared" si="256"/>
        <v/>
      </c>
    </row>
    <row r="1133" spans="3:53" ht="13.5">
      <c r="C1133" s="19"/>
      <c r="D1133" s="19"/>
      <c r="AC1133" s="6" t="s">
        <v>3723</v>
      </c>
      <c r="AD1133" s="6" t="s">
        <v>7267</v>
      </c>
      <c r="AE1133" s="158" t="s">
        <v>4145</v>
      </c>
      <c r="AF1133" s="159" t="s">
        <v>8299</v>
      </c>
      <c r="AG1133" s="160" t="s">
        <v>5059</v>
      </c>
      <c r="AH1133" s="194" t="s">
        <v>1314</v>
      </c>
      <c r="AI1133" s="6" t="s">
        <v>1429</v>
      </c>
      <c r="AJ1133" s="3" t="s">
        <v>8224</v>
      </c>
      <c r="AK1133" t="s">
        <v>8224</v>
      </c>
      <c r="AV1133"/>
      <c r="AX1133"/>
      <c r="AZ1133" t="str">
        <f t="shared" si="255"/>
        <v/>
      </c>
      <c r="BA1133" t="str">
        <f t="shared" si="256"/>
        <v/>
      </c>
    </row>
    <row r="1134" spans="3:53" ht="13.5">
      <c r="C1134" s="19"/>
      <c r="D1134" s="19"/>
      <c r="AC1134" s="6" t="s">
        <v>5242</v>
      </c>
      <c r="AD1134" s="6" t="s">
        <v>7167</v>
      </c>
      <c r="AE1134" s="158" t="s">
        <v>2608</v>
      </c>
      <c r="AF1134" s="159" t="s">
        <v>8297</v>
      </c>
      <c r="AG1134" s="160" t="s">
        <v>5058</v>
      </c>
      <c r="AH1134" s="194" t="s">
        <v>1314</v>
      </c>
      <c r="AI1134" s="6" t="s">
        <v>6694</v>
      </c>
      <c r="AJ1134" s="3" t="s">
        <v>8197</v>
      </c>
      <c r="AK1134" t="s">
        <v>8197</v>
      </c>
      <c r="AV1134"/>
      <c r="AX1134"/>
      <c r="AZ1134" t="str">
        <f t="shared" si="255"/>
        <v/>
      </c>
      <c r="BA1134" t="str">
        <f t="shared" si="256"/>
        <v/>
      </c>
    </row>
    <row r="1135" spans="3:53" ht="13.5">
      <c r="C1135" s="19"/>
      <c r="D1135" s="19"/>
      <c r="AC1135" s="6" t="s">
        <v>65</v>
      </c>
      <c r="AD1135" s="6" t="s">
        <v>7172</v>
      </c>
      <c r="AE1135" s="158" t="s">
        <v>2609</v>
      </c>
      <c r="AF1135" s="159" t="s">
        <v>8299</v>
      </c>
      <c r="AG1135" s="160" t="s">
        <v>5039</v>
      </c>
      <c r="AH1135" s="194" t="s">
        <v>679</v>
      </c>
      <c r="AI1135" s="6" t="s">
        <v>3406</v>
      </c>
      <c r="AJ1135" s="3" t="s">
        <v>8211</v>
      </c>
      <c r="AK1135" t="s">
        <v>8242</v>
      </c>
      <c r="AV1135"/>
      <c r="AX1135"/>
      <c r="AZ1135" t="str">
        <f t="shared" si="255"/>
        <v/>
      </c>
      <c r="BA1135" t="str">
        <f t="shared" si="256"/>
        <v/>
      </c>
    </row>
    <row r="1136" spans="3:53" ht="13.5">
      <c r="C1136" s="19"/>
      <c r="D1136" s="19"/>
      <c r="AC1136" s="6" t="s">
        <v>1132</v>
      </c>
      <c r="AD1136" s="6" t="s">
        <v>7248</v>
      </c>
      <c r="AE1136" s="158" t="s">
        <v>3990</v>
      </c>
      <c r="AF1136" s="159" t="s">
        <v>8321</v>
      </c>
      <c r="AG1136" s="160" t="s">
        <v>5040</v>
      </c>
      <c r="AH1136" s="194" t="s">
        <v>679</v>
      </c>
      <c r="AI1136" s="6" t="s">
        <v>2157</v>
      </c>
      <c r="AJ1136" s="3" t="s">
        <v>8221</v>
      </c>
      <c r="AK1136" t="s">
        <v>8669</v>
      </c>
      <c r="AV1136"/>
      <c r="AX1136"/>
      <c r="AZ1136" t="str">
        <f t="shared" si="255"/>
        <v/>
      </c>
      <c r="BA1136" t="str">
        <f t="shared" si="256"/>
        <v/>
      </c>
    </row>
    <row r="1137" spans="3:53" ht="13.5">
      <c r="C1137" s="19"/>
      <c r="D1137" s="19"/>
      <c r="AC1137" s="6" t="s">
        <v>64</v>
      </c>
      <c r="AD1137" s="6" t="s">
        <v>7172</v>
      </c>
      <c r="AE1137" s="158" t="s">
        <v>3991</v>
      </c>
      <c r="AF1137" s="159" t="s">
        <v>8299</v>
      </c>
      <c r="AG1137" s="160" t="s">
        <v>5061</v>
      </c>
      <c r="AH1137" s="194" t="s">
        <v>1314</v>
      </c>
      <c r="AI1137" s="6" t="s">
        <v>2060</v>
      </c>
      <c r="AJ1137" s="3" t="s">
        <v>8238</v>
      </c>
      <c r="AK1137" t="s">
        <v>8673</v>
      </c>
      <c r="AV1137"/>
      <c r="AX1137"/>
      <c r="AZ1137" t="str">
        <f t="shared" si="255"/>
        <v/>
      </c>
      <c r="BA1137" t="str">
        <f t="shared" si="256"/>
        <v/>
      </c>
    </row>
    <row r="1138" spans="3:53" ht="13.5">
      <c r="C1138" s="19"/>
      <c r="D1138" s="19"/>
      <c r="AC1138" s="6" t="s">
        <v>66</v>
      </c>
      <c r="AD1138" s="6" t="s">
        <v>7172</v>
      </c>
      <c r="AE1138" s="158" t="s">
        <v>3628</v>
      </c>
      <c r="AF1138" s="159" t="s">
        <v>8300</v>
      </c>
      <c r="AG1138" s="160" t="s">
        <v>1813</v>
      </c>
      <c r="AH1138" s="194" t="s">
        <v>678</v>
      </c>
      <c r="AI1138" s="6" t="s">
        <v>1758</v>
      </c>
      <c r="AJ1138" s="3" t="s">
        <v>8238</v>
      </c>
      <c r="AK1138" t="s">
        <v>8673</v>
      </c>
      <c r="AV1138"/>
      <c r="AX1138"/>
      <c r="AZ1138" t="str">
        <f t="shared" si="255"/>
        <v/>
      </c>
      <c r="BA1138" t="str">
        <f t="shared" si="256"/>
        <v/>
      </c>
    </row>
    <row r="1139" spans="3:53" ht="13.5">
      <c r="C1139" s="19"/>
      <c r="D1139" s="19"/>
      <c r="AC1139" s="6">
        <v>535375</v>
      </c>
      <c r="AD1139" s="6" t="s">
        <v>7268</v>
      </c>
      <c r="AE1139" s="158" t="s">
        <v>3629</v>
      </c>
      <c r="AF1139" s="159" t="s">
        <v>8300</v>
      </c>
      <c r="AG1139" s="160" t="s">
        <v>2054</v>
      </c>
      <c r="AH1139" s="194" t="s">
        <v>679</v>
      </c>
      <c r="AI1139" s="6" t="s">
        <v>2062</v>
      </c>
      <c r="AJ1139" s="3" t="s">
        <v>8238</v>
      </c>
      <c r="AK1139" t="s">
        <v>8673</v>
      </c>
      <c r="AV1139"/>
      <c r="AX1139"/>
      <c r="AZ1139" t="str">
        <f t="shared" si="255"/>
        <v/>
      </c>
      <c r="BA1139" t="str">
        <f t="shared" si="256"/>
        <v/>
      </c>
    </row>
    <row r="1140" spans="3:53" ht="13.5">
      <c r="C1140" s="19"/>
      <c r="D1140" s="19"/>
      <c r="AC1140" s="6" t="s">
        <v>2755</v>
      </c>
      <c r="AD1140" s="6" t="s">
        <v>7269</v>
      </c>
      <c r="AE1140" s="158" t="s">
        <v>3992</v>
      </c>
      <c r="AF1140" s="159" t="s">
        <v>8299</v>
      </c>
      <c r="AG1140" s="160" t="s">
        <v>2196</v>
      </c>
      <c r="AH1140" s="194" t="s">
        <v>679</v>
      </c>
      <c r="AI1140" s="6" t="s">
        <v>2335</v>
      </c>
      <c r="AJ1140" s="3" t="s">
        <v>8206</v>
      </c>
      <c r="AK1140" t="s">
        <v>8206</v>
      </c>
      <c r="AV1140"/>
      <c r="AX1140"/>
      <c r="AZ1140" t="str">
        <f t="shared" si="255"/>
        <v/>
      </c>
      <c r="BA1140" t="str">
        <f t="shared" si="256"/>
        <v/>
      </c>
    </row>
    <row r="1141" spans="3:53" ht="13.5">
      <c r="C1141" s="19"/>
      <c r="D1141" s="19"/>
      <c r="AC1141" s="6" t="s">
        <v>5465</v>
      </c>
      <c r="AD1141" s="6" t="s">
        <v>7269</v>
      </c>
      <c r="AE1141" s="158" t="s">
        <v>3617</v>
      </c>
      <c r="AF1141" s="159" t="s">
        <v>8299</v>
      </c>
      <c r="AG1141" s="160" t="s">
        <v>4414</v>
      </c>
      <c r="AH1141" s="194" t="s">
        <v>678</v>
      </c>
      <c r="AI1141" s="6" t="s">
        <v>4776</v>
      </c>
      <c r="AJ1141" s="3" t="s">
        <v>8237</v>
      </c>
      <c r="AK1141" t="s">
        <v>8237</v>
      </c>
      <c r="AV1141"/>
      <c r="AX1141"/>
      <c r="AZ1141" t="str">
        <f t="shared" si="255"/>
        <v/>
      </c>
      <c r="BA1141" t="str">
        <f t="shared" si="256"/>
        <v/>
      </c>
    </row>
    <row r="1142" spans="3:53" ht="13.5">
      <c r="C1142" s="19"/>
      <c r="D1142" s="19"/>
      <c r="AC1142" s="6" t="s">
        <v>63</v>
      </c>
      <c r="AD1142" s="6" t="s">
        <v>7172</v>
      </c>
      <c r="AE1142" s="158" t="s">
        <v>3618</v>
      </c>
      <c r="AF1142" s="159" t="s">
        <v>8299</v>
      </c>
      <c r="AG1142" s="160" t="s">
        <v>2255</v>
      </c>
      <c r="AH1142" s="194" t="s">
        <v>678</v>
      </c>
      <c r="AI1142" s="6" t="s">
        <v>2403</v>
      </c>
      <c r="AJ1142" s="3" t="s">
        <v>8237</v>
      </c>
      <c r="AK1142" t="s">
        <v>8237</v>
      </c>
      <c r="AV1142"/>
      <c r="AX1142"/>
      <c r="AZ1142" t="str">
        <f t="shared" si="255"/>
        <v/>
      </c>
      <c r="BA1142" t="str">
        <f t="shared" si="256"/>
        <v/>
      </c>
    </row>
    <row r="1143" spans="3:53" ht="13.5">
      <c r="C1143" s="19"/>
      <c r="D1143" s="19"/>
      <c r="AC1143" s="6" t="s">
        <v>2754</v>
      </c>
      <c r="AD1143" s="6" t="s">
        <v>7269</v>
      </c>
      <c r="AE1143" s="158" t="s">
        <v>3619</v>
      </c>
      <c r="AF1143" s="159" t="s">
        <v>8299</v>
      </c>
      <c r="AG1143" s="160" t="s">
        <v>5236</v>
      </c>
      <c r="AH1143" s="194" t="s">
        <v>1314</v>
      </c>
      <c r="AI1143" s="6" t="s">
        <v>2416</v>
      </c>
      <c r="AJ1143" s="3" t="s">
        <v>8237</v>
      </c>
      <c r="AK1143" t="s">
        <v>8237</v>
      </c>
      <c r="AV1143"/>
      <c r="AX1143"/>
      <c r="AZ1143" t="str">
        <f t="shared" si="255"/>
        <v/>
      </c>
      <c r="BA1143" t="str">
        <f t="shared" si="256"/>
        <v/>
      </c>
    </row>
    <row r="1144" spans="3:53" ht="13.5">
      <c r="C1144" s="19"/>
      <c r="D1144" s="19"/>
      <c r="AC1144" s="6">
        <v>535372</v>
      </c>
      <c r="AD1144" s="6" t="s">
        <v>7268</v>
      </c>
      <c r="AE1144" s="158" t="s">
        <v>3620</v>
      </c>
      <c r="AF1144" s="159" t="s">
        <v>8299</v>
      </c>
      <c r="AG1144" s="160" t="s">
        <v>5199</v>
      </c>
      <c r="AH1144" s="194" t="s">
        <v>679</v>
      </c>
      <c r="AI1144" s="6" t="s">
        <v>2417</v>
      </c>
      <c r="AJ1144" s="3" t="s">
        <v>8237</v>
      </c>
      <c r="AK1144" t="s">
        <v>8237</v>
      </c>
      <c r="AV1144"/>
      <c r="AX1144"/>
      <c r="AZ1144" t="str">
        <f t="shared" si="255"/>
        <v/>
      </c>
      <c r="BA1144" t="str">
        <f t="shared" si="256"/>
        <v/>
      </c>
    </row>
    <row r="1145" spans="3:53" ht="13.5">
      <c r="C1145" s="19"/>
      <c r="D1145" s="19"/>
      <c r="AC1145" s="6" t="s">
        <v>937</v>
      </c>
      <c r="AD1145" s="6" t="s">
        <v>7262</v>
      </c>
      <c r="AE1145" s="158" t="s">
        <v>1293</v>
      </c>
      <c r="AF1145" s="159" t="s">
        <v>8300</v>
      </c>
      <c r="AG1145" s="160" t="s">
        <v>5221</v>
      </c>
      <c r="AH1145" s="194" t="s">
        <v>679</v>
      </c>
      <c r="AI1145" s="6" t="s">
        <v>709</v>
      </c>
      <c r="AJ1145" s="3" t="s">
        <v>8263</v>
      </c>
      <c r="AK1145" t="s">
        <v>8263</v>
      </c>
      <c r="AV1145"/>
      <c r="AX1145"/>
      <c r="AZ1145" t="str">
        <f t="shared" si="255"/>
        <v/>
      </c>
      <c r="BA1145" t="str">
        <f t="shared" si="256"/>
        <v/>
      </c>
    </row>
    <row r="1146" spans="3:53" ht="13.5">
      <c r="C1146" s="19"/>
      <c r="D1146" s="19"/>
      <c r="AC1146" s="6" t="s">
        <v>3585</v>
      </c>
      <c r="AD1146" s="6" t="s">
        <v>7270</v>
      </c>
      <c r="AE1146" s="158" t="s">
        <v>3600</v>
      </c>
      <c r="AF1146" s="159" t="s">
        <v>8300</v>
      </c>
      <c r="AG1146" s="160" t="s">
        <v>5332</v>
      </c>
      <c r="AH1146" s="194" t="s">
        <v>1314</v>
      </c>
      <c r="AI1146" s="6" t="s">
        <v>710</v>
      </c>
      <c r="AJ1146" s="3" t="s">
        <v>8263</v>
      </c>
      <c r="AK1146" t="s">
        <v>8263</v>
      </c>
      <c r="AV1146"/>
      <c r="AX1146"/>
      <c r="AZ1146" t="str">
        <f t="shared" ref="AZ1146:AZ1209" si="257">IF(ISBLANK(AW1146),"",CONCATENATE("(",RIGHT(AW1146,5),"-",TEXT(AX1146,"h:mm;@"),")"))</f>
        <v/>
      </c>
      <c r="BA1146" t="str">
        <f t="shared" ref="BA1146:BA1209" si="258">IF(AV1162=AV1146,"",CONCATENATE(IF(AV1161=AV1146,BA1161,""),IF(AV1160=AV1146,BA1160,""),IF(AV1159=AV1146,BA1159,""),IF(AV1158=AV1146,BA1158,""),IF(AV1157=AV1146,BA1157,""),IF(AV1156=AV1146,BA1156,""),IF(AV1155=AV1146,BA1155,""),IF(AV1154=AV1146,BA1154,""),IF(AV1153=AV1146,BA1153,""),IF(AV1152=AV1146,BA1152,""),IF(AV1151=AV1146,BA1151,""),IF(AV1150=AV1146,BA1150,""),IF(AV1149=AV1146,BA1149,""),IF(AV1148=AV1146,BA1148,""),IF(AV1147=AV1146,BA1147,""),IF(AV1145=AV1146,BA1145,""),BA1146))</f>
        <v/>
      </c>
    </row>
    <row r="1147" spans="3:53" ht="13.5">
      <c r="C1147" s="19"/>
      <c r="D1147" s="19"/>
      <c r="AC1147" s="6">
        <v>313566</v>
      </c>
      <c r="AD1147" s="6" t="s">
        <v>7271</v>
      </c>
      <c r="AE1147" s="158" t="s">
        <v>3601</v>
      </c>
      <c r="AF1147" s="159" t="s">
        <v>8300</v>
      </c>
      <c r="AG1147" s="160" t="s">
        <v>1714</v>
      </c>
      <c r="AH1147" s="194" t="s">
        <v>679</v>
      </c>
      <c r="AI1147" s="6" t="s">
        <v>1851</v>
      </c>
      <c r="AJ1147" s="3" t="s">
        <v>8234</v>
      </c>
      <c r="AK1147" t="s">
        <v>8234</v>
      </c>
      <c r="AV1147"/>
      <c r="AX1147"/>
      <c r="AZ1147" t="str">
        <f t="shared" si="257"/>
        <v/>
      </c>
      <c r="BA1147" t="str">
        <f t="shared" si="258"/>
        <v/>
      </c>
    </row>
    <row r="1148" spans="3:53" ht="13.5">
      <c r="C1148" s="19"/>
      <c r="D1148" s="19"/>
      <c r="AC1148" s="6" t="s">
        <v>3707</v>
      </c>
      <c r="AD1148" s="6" t="s">
        <v>7167</v>
      </c>
      <c r="AE1148" s="158" t="s">
        <v>3602</v>
      </c>
      <c r="AF1148" s="159" t="s">
        <v>8299</v>
      </c>
      <c r="AG1148" s="160" t="s">
        <v>1910</v>
      </c>
      <c r="AH1148" s="194" t="s">
        <v>1314</v>
      </c>
      <c r="AI1148" s="6" t="s">
        <v>758</v>
      </c>
      <c r="AJ1148" s="3" t="s">
        <v>8273</v>
      </c>
      <c r="AK1148" t="s">
        <v>8273</v>
      </c>
      <c r="AV1148"/>
      <c r="AX1148"/>
      <c r="AZ1148" t="str">
        <f t="shared" si="257"/>
        <v/>
      </c>
      <c r="BA1148" t="str">
        <f t="shared" si="258"/>
        <v/>
      </c>
    </row>
    <row r="1149" spans="3:53" ht="13.5">
      <c r="C1149" s="19"/>
      <c r="D1149" s="19"/>
      <c r="AC1149" s="6" t="s">
        <v>5471</v>
      </c>
      <c r="AD1149" s="6" t="s">
        <v>7272</v>
      </c>
      <c r="AE1149" s="158" t="s">
        <v>3603</v>
      </c>
      <c r="AF1149" s="159" t="s">
        <v>8300</v>
      </c>
      <c r="AG1149" s="161" t="s">
        <v>1911</v>
      </c>
      <c r="AH1149" s="194" t="s">
        <v>679</v>
      </c>
      <c r="AI1149" s="6" t="s">
        <v>681</v>
      </c>
      <c r="AJ1149" s="3" t="s">
        <v>8273</v>
      </c>
      <c r="AK1149" t="s">
        <v>8273</v>
      </c>
      <c r="AV1149"/>
      <c r="AX1149"/>
      <c r="AZ1149" t="str">
        <f t="shared" si="257"/>
        <v/>
      </c>
      <c r="BA1149" t="str">
        <f t="shared" si="258"/>
        <v/>
      </c>
    </row>
    <row r="1150" spans="3:53" ht="13.5">
      <c r="C1150" s="19"/>
      <c r="D1150" s="19"/>
      <c r="AC1150" s="6" t="s">
        <v>5381</v>
      </c>
      <c r="AD1150" s="6" t="s">
        <v>7172</v>
      </c>
      <c r="AE1150" s="158" t="s">
        <v>2615</v>
      </c>
      <c r="AF1150" s="159" t="s">
        <v>8299</v>
      </c>
      <c r="AG1150" s="160" t="s">
        <v>935</v>
      </c>
      <c r="AH1150" s="194" t="s">
        <v>679</v>
      </c>
      <c r="AI1150" s="6" t="s">
        <v>1937</v>
      </c>
      <c r="AJ1150" s="3" t="s">
        <v>8234</v>
      </c>
      <c r="AK1150" t="s">
        <v>8234</v>
      </c>
      <c r="AV1150"/>
      <c r="AX1150"/>
      <c r="AZ1150" t="str">
        <f t="shared" si="257"/>
        <v/>
      </c>
      <c r="BA1150" t="str">
        <f t="shared" si="258"/>
        <v/>
      </c>
    </row>
    <row r="1151" spans="3:53" ht="13.5">
      <c r="C1151" s="19"/>
      <c r="D1151" s="19"/>
      <c r="AC1151" s="6" t="s">
        <v>3547</v>
      </c>
      <c r="AD1151" s="6" t="s">
        <v>7273</v>
      </c>
      <c r="AE1151" s="158" t="s">
        <v>3658</v>
      </c>
      <c r="AF1151" s="159" t="s">
        <v>8340</v>
      </c>
      <c r="AG1151" s="160" t="s">
        <v>3604</v>
      </c>
      <c r="AH1151" s="194" t="s">
        <v>679</v>
      </c>
      <c r="AI1151" s="6" t="s">
        <v>840</v>
      </c>
      <c r="AJ1151" s="3" t="s">
        <v>8234</v>
      </c>
      <c r="AK1151" t="s">
        <v>8234</v>
      </c>
      <c r="AV1151"/>
      <c r="AX1151"/>
      <c r="AZ1151" t="str">
        <f t="shared" si="257"/>
        <v/>
      </c>
      <c r="BA1151" t="str">
        <f t="shared" si="258"/>
        <v/>
      </c>
    </row>
    <row r="1152" spans="3:53" ht="13.5">
      <c r="C1152" s="19"/>
      <c r="D1152" s="19"/>
      <c r="AC1152" s="6" t="s">
        <v>5537</v>
      </c>
      <c r="AD1152" s="6" t="s">
        <v>7167</v>
      </c>
      <c r="AE1152" s="158" t="s">
        <v>4397</v>
      </c>
      <c r="AF1152" s="159" t="s">
        <v>8300</v>
      </c>
      <c r="AG1152" s="160" t="s">
        <v>3605</v>
      </c>
      <c r="AH1152" s="194" t="s">
        <v>679</v>
      </c>
      <c r="AI1152" s="6" t="s">
        <v>2003</v>
      </c>
      <c r="AJ1152" s="3" t="s">
        <v>8222</v>
      </c>
      <c r="AK1152" t="s">
        <v>8670</v>
      </c>
      <c r="AV1152"/>
      <c r="AX1152"/>
      <c r="AZ1152" t="str">
        <f t="shared" si="257"/>
        <v/>
      </c>
      <c r="BA1152" t="str">
        <f t="shared" si="258"/>
        <v/>
      </c>
    </row>
    <row r="1153" spans="3:53" ht="13.5">
      <c r="C1153" s="19"/>
      <c r="D1153" s="19"/>
      <c r="AC1153" s="6" t="s">
        <v>3769</v>
      </c>
      <c r="AD1153" s="6" t="s">
        <v>7167</v>
      </c>
      <c r="AE1153" s="158" t="s">
        <v>3673</v>
      </c>
      <c r="AF1153" s="159" t="s">
        <v>8299</v>
      </c>
      <c r="AG1153" s="160" t="s">
        <v>3606</v>
      </c>
      <c r="AH1153" s="194" t="s">
        <v>679</v>
      </c>
      <c r="AI1153" s="6" t="s">
        <v>3875</v>
      </c>
      <c r="AJ1153" s="3" t="s">
        <v>8253</v>
      </c>
      <c r="AK1153" t="s">
        <v>8253</v>
      </c>
      <c r="AV1153"/>
      <c r="AX1153"/>
      <c r="AZ1153" t="str">
        <f t="shared" si="257"/>
        <v/>
      </c>
      <c r="BA1153" t="str">
        <f t="shared" si="258"/>
        <v/>
      </c>
    </row>
    <row r="1154" spans="3:53" ht="13.5">
      <c r="C1154" s="19"/>
      <c r="D1154" s="19"/>
      <c r="AC1154" s="6">
        <v>215582</v>
      </c>
      <c r="AD1154" s="6" t="s">
        <v>7260</v>
      </c>
      <c r="AE1154" s="158" t="s">
        <v>3630</v>
      </c>
      <c r="AF1154" s="159" t="s">
        <v>8300</v>
      </c>
      <c r="AG1154" s="160" t="s">
        <v>3607</v>
      </c>
      <c r="AH1154" s="194" t="s">
        <v>679</v>
      </c>
      <c r="AI1154" s="6" t="s">
        <v>2868</v>
      </c>
      <c r="AJ1154" s="3" t="s">
        <v>8247</v>
      </c>
      <c r="AK1154" t="s">
        <v>8247</v>
      </c>
      <c r="AV1154"/>
      <c r="AX1154"/>
      <c r="AZ1154" t="str">
        <f t="shared" si="257"/>
        <v/>
      </c>
      <c r="BA1154" t="str">
        <f t="shared" si="258"/>
        <v/>
      </c>
    </row>
    <row r="1155" spans="3:53" ht="13.5">
      <c r="C1155" s="19"/>
      <c r="D1155" s="19"/>
      <c r="AC1155" s="6" t="s">
        <v>4260</v>
      </c>
      <c r="AD1155" s="6" t="s">
        <v>7274</v>
      </c>
      <c r="AE1155" s="158" t="s">
        <v>3631</v>
      </c>
      <c r="AF1155" s="159" t="s">
        <v>8300</v>
      </c>
      <c r="AG1155" s="160" t="s">
        <v>3608</v>
      </c>
      <c r="AH1155" s="194" t="s">
        <v>679</v>
      </c>
      <c r="AI1155" s="6" t="s">
        <v>3133</v>
      </c>
      <c r="AJ1155" s="3" t="s">
        <v>8220</v>
      </c>
      <c r="AK1155" t="s">
        <v>8220</v>
      </c>
      <c r="AV1155"/>
      <c r="AX1155"/>
      <c r="AZ1155" t="str">
        <f t="shared" si="257"/>
        <v/>
      </c>
      <c r="BA1155" t="str">
        <f t="shared" si="258"/>
        <v/>
      </c>
    </row>
    <row r="1156" spans="3:53" ht="13.5">
      <c r="C1156" s="19"/>
      <c r="D1156" s="19"/>
      <c r="AC1156" s="6" t="s">
        <v>3712</v>
      </c>
      <c r="AD1156" s="6" t="s">
        <v>7167</v>
      </c>
      <c r="AE1156" s="158" t="s">
        <v>3850</v>
      </c>
      <c r="AF1156" s="159" t="s">
        <v>8300</v>
      </c>
      <c r="AG1156" s="160" t="s">
        <v>3609</v>
      </c>
      <c r="AH1156" s="194" t="s">
        <v>679</v>
      </c>
      <c r="AI1156" s="6" t="s">
        <v>3171</v>
      </c>
      <c r="AJ1156" s="3" t="s">
        <v>8264</v>
      </c>
      <c r="AK1156" t="s">
        <v>8264</v>
      </c>
      <c r="AV1156"/>
      <c r="AX1156"/>
      <c r="AZ1156" t="str">
        <f t="shared" si="257"/>
        <v/>
      </c>
      <c r="BA1156" t="str">
        <f t="shared" si="258"/>
        <v/>
      </c>
    </row>
    <row r="1157" spans="3:53" ht="13.5">
      <c r="C1157" s="19"/>
      <c r="D1157" s="19"/>
      <c r="AC1157" s="6" t="s">
        <v>3767</v>
      </c>
      <c r="AD1157" s="6" t="s">
        <v>7167</v>
      </c>
      <c r="AE1157" s="158" t="s">
        <v>1294</v>
      </c>
      <c r="AF1157" s="159" t="s">
        <v>8299</v>
      </c>
      <c r="AG1157" s="160" t="s">
        <v>3610</v>
      </c>
      <c r="AH1157" s="194" t="s">
        <v>679</v>
      </c>
      <c r="AI1157" s="6" t="s">
        <v>3172</v>
      </c>
      <c r="AJ1157" s="3" t="s">
        <v>8264</v>
      </c>
      <c r="AK1157" t="s">
        <v>8264</v>
      </c>
      <c r="AV1157"/>
      <c r="AX1157"/>
      <c r="AZ1157" t="str">
        <f t="shared" si="257"/>
        <v/>
      </c>
      <c r="BA1157" t="str">
        <f t="shared" si="258"/>
        <v/>
      </c>
    </row>
    <row r="1158" spans="3:53" ht="13.5">
      <c r="C1158" s="19"/>
      <c r="D1158" s="19"/>
      <c r="AC1158" s="6" t="s">
        <v>3708</v>
      </c>
      <c r="AD1158" s="6" t="s">
        <v>7167</v>
      </c>
      <c r="AE1158" s="158" t="s">
        <v>3959</v>
      </c>
      <c r="AF1158" s="159" t="s">
        <v>8299</v>
      </c>
      <c r="AG1158" s="160" t="s">
        <v>3611</v>
      </c>
      <c r="AH1158" s="194" t="s">
        <v>679</v>
      </c>
      <c r="AI1158" s="6" t="s">
        <v>3182</v>
      </c>
      <c r="AJ1158" s="3" t="s">
        <v>8264</v>
      </c>
      <c r="AK1158" t="s">
        <v>8264</v>
      </c>
      <c r="AV1158"/>
      <c r="AX1158"/>
      <c r="AZ1158" t="str">
        <f t="shared" si="257"/>
        <v/>
      </c>
      <c r="BA1158" t="str">
        <f t="shared" si="258"/>
        <v/>
      </c>
    </row>
    <row r="1159" spans="3:53" ht="13.5">
      <c r="C1159" s="19"/>
      <c r="D1159" s="19"/>
      <c r="AC1159" s="6" t="s">
        <v>5348</v>
      </c>
      <c r="AD1159" s="6" t="s">
        <v>7172</v>
      </c>
      <c r="AE1159" s="158" t="s">
        <v>3851</v>
      </c>
      <c r="AF1159" s="159" t="s">
        <v>8300</v>
      </c>
      <c r="AG1159" s="160" t="s">
        <v>3612</v>
      </c>
      <c r="AH1159" s="194" t="s">
        <v>679</v>
      </c>
      <c r="AI1159" s="6" t="s">
        <v>3213</v>
      </c>
      <c r="AJ1159" s="3" t="s">
        <v>8240</v>
      </c>
      <c r="AK1159" t="s">
        <v>8240</v>
      </c>
      <c r="AV1159"/>
      <c r="AX1159"/>
      <c r="AZ1159" t="str">
        <f t="shared" si="257"/>
        <v/>
      </c>
      <c r="BA1159" t="str">
        <f t="shared" si="258"/>
        <v/>
      </c>
    </row>
    <row r="1160" spans="3:53" ht="13.5">
      <c r="C1160" s="19"/>
      <c r="D1160" s="19"/>
      <c r="AC1160" s="6" t="s">
        <v>3823</v>
      </c>
      <c r="AD1160" s="6" t="s">
        <v>7167</v>
      </c>
      <c r="AE1160" s="158" t="s">
        <v>3852</v>
      </c>
      <c r="AF1160" s="159" t="s">
        <v>8300</v>
      </c>
      <c r="AG1160" s="160" t="s">
        <v>3613</v>
      </c>
      <c r="AH1160" s="194" t="s">
        <v>1314</v>
      </c>
      <c r="AI1160" s="6" t="s">
        <v>3220</v>
      </c>
      <c r="AJ1160" s="3" t="s">
        <v>8247</v>
      </c>
      <c r="AK1160" t="s">
        <v>8247</v>
      </c>
      <c r="AV1160"/>
      <c r="AX1160"/>
      <c r="AZ1160" t="str">
        <f t="shared" si="257"/>
        <v/>
      </c>
      <c r="BA1160" t="str">
        <f t="shared" si="258"/>
        <v/>
      </c>
    </row>
    <row r="1161" spans="3:53" ht="13.5">
      <c r="C1161" s="19"/>
      <c r="D1161" s="19"/>
      <c r="AC1161" s="6" t="s">
        <v>3698</v>
      </c>
      <c r="AD1161" s="6" t="s">
        <v>7167</v>
      </c>
      <c r="AE1161" s="158" t="s">
        <v>4087</v>
      </c>
      <c r="AF1161" s="159" t="s">
        <v>8299</v>
      </c>
      <c r="AG1161" s="160" t="s">
        <v>3614</v>
      </c>
      <c r="AH1161" s="194" t="s">
        <v>679</v>
      </c>
      <c r="AI1161" s="6" t="s">
        <v>3266</v>
      </c>
      <c r="AJ1161" s="3" t="s">
        <v>8205</v>
      </c>
      <c r="AK1161" t="s">
        <v>8211</v>
      </c>
      <c r="AV1161"/>
      <c r="AX1161"/>
      <c r="AZ1161" t="str">
        <f t="shared" si="257"/>
        <v/>
      </c>
      <c r="BA1161" t="str">
        <f t="shared" si="258"/>
        <v/>
      </c>
    </row>
    <row r="1162" spans="3:53" ht="13.5">
      <c r="C1162" s="19"/>
      <c r="D1162" s="19"/>
      <c r="AC1162" s="6" t="s">
        <v>3811</v>
      </c>
      <c r="AD1162" s="6" t="s">
        <v>7167</v>
      </c>
      <c r="AE1162" s="158" t="s">
        <v>4088</v>
      </c>
      <c r="AF1162" s="159" t="s">
        <v>8299</v>
      </c>
      <c r="AG1162" s="161" t="s">
        <v>3615</v>
      </c>
      <c r="AH1162" s="194" t="s">
        <v>679</v>
      </c>
      <c r="AI1162" s="6" t="s">
        <v>3281</v>
      </c>
      <c r="AJ1162" s="3" t="s">
        <v>8220</v>
      </c>
      <c r="AK1162" t="s">
        <v>8220</v>
      </c>
      <c r="AV1162"/>
      <c r="AX1162"/>
      <c r="AZ1162" t="str">
        <f t="shared" si="257"/>
        <v/>
      </c>
      <c r="BA1162" t="str">
        <f t="shared" si="258"/>
        <v/>
      </c>
    </row>
    <row r="1163" spans="3:53" ht="13.5">
      <c r="C1163" s="19"/>
      <c r="D1163" s="19"/>
      <c r="AC1163" s="6" t="s">
        <v>3697</v>
      </c>
      <c r="AD1163" s="6" t="s">
        <v>7167</v>
      </c>
      <c r="AE1163" s="158" t="s">
        <v>3853</v>
      </c>
      <c r="AF1163" s="159" t="s">
        <v>8300</v>
      </c>
      <c r="AG1163" s="160" t="s">
        <v>3616</v>
      </c>
      <c r="AH1163" s="194" t="s">
        <v>679</v>
      </c>
      <c r="AI1163" s="6" t="s">
        <v>3320</v>
      </c>
      <c r="AJ1163" s="3" t="s">
        <v>8205</v>
      </c>
      <c r="AK1163" t="s">
        <v>8211</v>
      </c>
      <c r="AV1163"/>
      <c r="AX1163"/>
      <c r="AZ1163" t="str">
        <f t="shared" si="257"/>
        <v/>
      </c>
      <c r="BA1163" t="str">
        <f t="shared" si="258"/>
        <v/>
      </c>
    </row>
    <row r="1164" spans="3:53" ht="13.5">
      <c r="C1164" s="19"/>
      <c r="D1164" s="19"/>
      <c r="AC1164" s="6" t="s">
        <v>4313</v>
      </c>
      <c r="AD1164" s="6" t="s">
        <v>7275</v>
      </c>
      <c r="AE1164" s="158" t="s">
        <v>3854</v>
      </c>
      <c r="AF1164" s="159" t="s">
        <v>8300</v>
      </c>
      <c r="AG1164" s="160" t="s">
        <v>3617</v>
      </c>
      <c r="AH1164" s="194" t="s">
        <v>679</v>
      </c>
      <c r="AI1164" s="6" t="s">
        <v>3322</v>
      </c>
      <c r="AJ1164" s="3" t="s">
        <v>8247</v>
      </c>
      <c r="AK1164" t="s">
        <v>8247</v>
      </c>
      <c r="AV1164"/>
      <c r="AX1164"/>
      <c r="AZ1164" t="str">
        <f t="shared" si="257"/>
        <v/>
      </c>
      <c r="BA1164" t="str">
        <f t="shared" si="258"/>
        <v/>
      </c>
    </row>
    <row r="1165" spans="3:53" ht="13.5">
      <c r="C1165" s="19"/>
      <c r="D1165" s="19"/>
      <c r="AC1165" s="6" t="s">
        <v>3752</v>
      </c>
      <c r="AD1165" s="6" t="s">
        <v>7167</v>
      </c>
      <c r="AE1165" s="158" t="s">
        <v>4398</v>
      </c>
      <c r="AF1165" s="159" t="s">
        <v>8300</v>
      </c>
      <c r="AG1165" s="160" t="s">
        <v>3618</v>
      </c>
      <c r="AH1165" s="194" t="s">
        <v>679</v>
      </c>
      <c r="AI1165" s="6" t="s">
        <v>3332</v>
      </c>
      <c r="AJ1165" s="3" t="s">
        <v>8240</v>
      </c>
      <c r="AK1165" t="s">
        <v>8240</v>
      </c>
      <c r="AV1165"/>
      <c r="AX1165"/>
      <c r="AZ1165" t="str">
        <f t="shared" si="257"/>
        <v/>
      </c>
      <c r="BA1165" t="str">
        <f t="shared" si="258"/>
        <v/>
      </c>
    </row>
    <row r="1166" spans="3:53" ht="13.5">
      <c r="C1166" s="19"/>
      <c r="D1166" s="19"/>
      <c r="AC1166" s="6" t="s">
        <v>3753</v>
      </c>
      <c r="AD1166" s="6" t="s">
        <v>7167</v>
      </c>
      <c r="AE1166" s="158" t="s">
        <v>3874</v>
      </c>
      <c r="AF1166" s="159" t="s">
        <v>8299</v>
      </c>
      <c r="AG1166" s="160" t="s">
        <v>3619</v>
      </c>
      <c r="AH1166" s="194" t="s">
        <v>679</v>
      </c>
      <c r="AI1166" s="6" t="s">
        <v>3339</v>
      </c>
      <c r="AJ1166" s="3" t="s">
        <v>8240</v>
      </c>
      <c r="AK1166" t="s">
        <v>8240</v>
      </c>
      <c r="AV1166"/>
      <c r="AX1166"/>
      <c r="AZ1166" t="str">
        <f t="shared" si="257"/>
        <v/>
      </c>
      <c r="BA1166" t="str">
        <f t="shared" si="258"/>
        <v/>
      </c>
    </row>
    <row r="1167" spans="3:53" ht="13.5">
      <c r="C1167" s="19"/>
      <c r="D1167" s="19"/>
      <c r="AC1167" s="6" t="s">
        <v>3714</v>
      </c>
      <c r="AD1167" s="6" t="s">
        <v>7167</v>
      </c>
      <c r="AE1167" s="158" t="s">
        <v>2637</v>
      </c>
      <c r="AF1167" s="159" t="s">
        <v>8299</v>
      </c>
      <c r="AG1167" s="160" t="s">
        <v>3620</v>
      </c>
      <c r="AH1167" s="194" t="s">
        <v>679</v>
      </c>
      <c r="AI1167" s="6" t="s">
        <v>3375</v>
      </c>
      <c r="AJ1167" s="3" t="s">
        <v>8240</v>
      </c>
      <c r="AK1167" t="s">
        <v>8240</v>
      </c>
      <c r="AV1167"/>
      <c r="AX1167"/>
      <c r="AZ1167" t="str">
        <f t="shared" si="257"/>
        <v/>
      </c>
      <c r="BA1167" t="str">
        <f t="shared" si="258"/>
        <v/>
      </c>
    </row>
    <row r="1168" spans="3:53" ht="13.5">
      <c r="C1168" s="19"/>
      <c r="D1168" s="19"/>
      <c r="AC1168" s="6" t="s">
        <v>3768</v>
      </c>
      <c r="AD1168" s="6" t="s">
        <v>7167</v>
      </c>
      <c r="AE1168" s="158" t="s">
        <v>4140</v>
      </c>
      <c r="AF1168" s="159" t="s">
        <v>8299</v>
      </c>
      <c r="AG1168" s="160" t="s">
        <v>1313</v>
      </c>
      <c r="AH1168" s="194" t="s">
        <v>679</v>
      </c>
      <c r="AI1168" s="6" t="s">
        <v>3391</v>
      </c>
      <c r="AJ1168" s="3" t="s">
        <v>8211</v>
      </c>
      <c r="AK1168" t="s">
        <v>8242</v>
      </c>
      <c r="AV1168"/>
      <c r="AX1168"/>
      <c r="AZ1168" t="str">
        <f t="shared" si="257"/>
        <v/>
      </c>
      <c r="BA1168" t="str">
        <f t="shared" si="258"/>
        <v/>
      </c>
    </row>
    <row r="1169" spans="3:53" ht="13.5">
      <c r="C1169" s="19"/>
      <c r="D1169" s="19"/>
      <c r="AC1169" s="6" t="s">
        <v>3819</v>
      </c>
      <c r="AD1169" s="6" t="s">
        <v>7167</v>
      </c>
      <c r="AE1169" s="158" t="s">
        <v>4800</v>
      </c>
      <c r="AF1169" s="159" t="s">
        <v>8299</v>
      </c>
      <c r="AG1169" s="160" t="s">
        <v>3621</v>
      </c>
      <c r="AH1169" s="194" t="s">
        <v>678</v>
      </c>
      <c r="AI1169" s="6" t="s">
        <v>2752</v>
      </c>
      <c r="AJ1169" s="3" t="s">
        <v>8254</v>
      </c>
      <c r="AK1169" t="s">
        <v>8254</v>
      </c>
      <c r="AV1169"/>
      <c r="AX1169"/>
      <c r="AZ1169" t="str">
        <f t="shared" si="257"/>
        <v/>
      </c>
      <c r="BA1169" t="str">
        <f t="shared" si="258"/>
        <v/>
      </c>
    </row>
    <row r="1170" spans="3:53" ht="13.5">
      <c r="C1170" s="19"/>
      <c r="D1170" s="19"/>
      <c r="AC1170" s="6" t="s">
        <v>3822</v>
      </c>
      <c r="AD1170" s="6" t="s">
        <v>7167</v>
      </c>
      <c r="AE1170" s="158" t="s">
        <v>3924</v>
      </c>
      <c r="AF1170" s="159" t="s">
        <v>8299</v>
      </c>
      <c r="AG1170" s="160" t="s">
        <v>3622</v>
      </c>
      <c r="AH1170" s="194" t="s">
        <v>678</v>
      </c>
      <c r="AI1170" s="6" t="s">
        <v>1782</v>
      </c>
      <c r="AJ1170" s="3" t="s">
        <v>8243</v>
      </c>
      <c r="AK1170" t="s">
        <v>8243</v>
      </c>
      <c r="AV1170"/>
      <c r="AX1170"/>
      <c r="AZ1170" t="str">
        <f t="shared" si="257"/>
        <v/>
      </c>
      <c r="BA1170" t="str">
        <f t="shared" si="258"/>
        <v/>
      </c>
    </row>
    <row r="1171" spans="3:53" ht="13.5">
      <c r="C1171" s="19"/>
      <c r="D1171" s="19"/>
      <c r="AC1171" s="6" t="s">
        <v>3821</v>
      </c>
      <c r="AD1171" s="6" t="s">
        <v>7167</v>
      </c>
      <c r="AE1171" s="158" t="s">
        <v>1297</v>
      </c>
      <c r="AF1171" s="159" t="s">
        <v>8299</v>
      </c>
      <c r="AG1171" s="164" t="s">
        <v>1821</v>
      </c>
      <c r="AH1171" s="194" t="s">
        <v>679</v>
      </c>
      <c r="AI1171" s="6" t="s">
        <v>1784</v>
      </c>
      <c r="AJ1171" s="3" t="s">
        <v>8243</v>
      </c>
      <c r="AK1171" t="s">
        <v>8243</v>
      </c>
      <c r="AV1171"/>
      <c r="AX1171"/>
      <c r="AZ1171" t="str">
        <f t="shared" si="257"/>
        <v/>
      </c>
      <c r="BA1171" t="str">
        <f t="shared" si="258"/>
        <v/>
      </c>
    </row>
    <row r="1172" spans="3:53" ht="13.5">
      <c r="C1172" s="19"/>
      <c r="D1172" s="19"/>
      <c r="AC1172" s="6">
        <v>535371</v>
      </c>
      <c r="AD1172" s="6" t="s">
        <v>7268</v>
      </c>
      <c r="AE1172" s="158" t="s">
        <v>4177</v>
      </c>
      <c r="AF1172" s="159" t="s">
        <v>8300</v>
      </c>
      <c r="AG1172" s="160" t="s">
        <v>1822</v>
      </c>
      <c r="AH1172" s="194" t="s">
        <v>679</v>
      </c>
      <c r="AI1172" s="6" t="s">
        <v>1825</v>
      </c>
      <c r="AJ1172" s="3" t="s">
        <v>8252</v>
      </c>
      <c r="AK1172" t="s">
        <v>8252</v>
      </c>
      <c r="AV1172"/>
      <c r="AX1172"/>
      <c r="AZ1172" t="str">
        <f t="shared" si="257"/>
        <v/>
      </c>
      <c r="BA1172" t="str">
        <f t="shared" si="258"/>
        <v/>
      </c>
    </row>
    <row r="1173" spans="3:53" ht="13.5">
      <c r="C1173" s="19"/>
      <c r="D1173" s="19"/>
      <c r="AC1173" s="6" t="s">
        <v>4259</v>
      </c>
      <c r="AD1173" s="6" t="s">
        <v>7274</v>
      </c>
      <c r="AE1173" s="158" t="s">
        <v>3950</v>
      </c>
      <c r="AF1173" s="159" t="s">
        <v>8299</v>
      </c>
      <c r="AG1173" s="160" t="s">
        <v>1823</v>
      </c>
      <c r="AH1173" s="194" t="s">
        <v>679</v>
      </c>
      <c r="AI1173" s="6" t="s">
        <v>2489</v>
      </c>
      <c r="AJ1173" s="3" t="s">
        <v>8275</v>
      </c>
      <c r="AK1173" t="s">
        <v>8275</v>
      </c>
      <c r="AV1173"/>
      <c r="AX1173"/>
      <c r="AZ1173" t="str">
        <f t="shared" si="257"/>
        <v/>
      </c>
      <c r="BA1173" t="str">
        <f t="shared" si="258"/>
        <v/>
      </c>
    </row>
    <row r="1174" spans="3:53" ht="13.5">
      <c r="C1174" s="19"/>
      <c r="D1174" s="19"/>
      <c r="AC1174" s="6" t="s">
        <v>1140</v>
      </c>
      <c r="AD1174" s="6" t="s">
        <v>7275</v>
      </c>
      <c r="AE1174" s="158" t="s">
        <v>2650</v>
      </c>
      <c r="AF1174" s="159" t="s">
        <v>8299</v>
      </c>
      <c r="AG1174" s="160" t="s">
        <v>1252</v>
      </c>
      <c r="AH1174" s="194" t="s">
        <v>4700</v>
      </c>
      <c r="AI1174" s="6" t="s">
        <v>3959</v>
      </c>
      <c r="AJ1174" s="3" t="s">
        <v>8280</v>
      </c>
      <c r="AK1174" t="s">
        <v>8280</v>
      </c>
      <c r="AV1174"/>
      <c r="AX1174"/>
      <c r="AZ1174" t="str">
        <f t="shared" si="257"/>
        <v/>
      </c>
      <c r="BA1174" t="str">
        <f t="shared" si="258"/>
        <v/>
      </c>
    </row>
    <row r="1175" spans="3:53" ht="13.5">
      <c r="C1175" s="19"/>
      <c r="D1175" s="19"/>
      <c r="AC1175" s="6" t="s">
        <v>3751</v>
      </c>
      <c r="AD1175" s="6" t="s">
        <v>7167</v>
      </c>
      <c r="AE1175" s="158" t="s">
        <v>3675</v>
      </c>
      <c r="AF1175" s="159" t="s">
        <v>8309</v>
      </c>
      <c r="AG1175" s="160" t="s">
        <v>2000</v>
      </c>
      <c r="AH1175" s="194" t="s">
        <v>679</v>
      </c>
      <c r="AI1175" s="6" t="s">
        <v>3960</v>
      </c>
      <c r="AJ1175" s="3" t="s">
        <v>8236</v>
      </c>
      <c r="AK1175" t="s">
        <v>8236</v>
      </c>
      <c r="AV1175"/>
      <c r="AX1175"/>
      <c r="AZ1175" t="str">
        <f t="shared" si="257"/>
        <v/>
      </c>
      <c r="BA1175" t="str">
        <f t="shared" si="258"/>
        <v/>
      </c>
    </row>
    <row r="1176" spans="3:53" ht="13.5">
      <c r="C1176" s="19"/>
      <c r="D1176" s="19"/>
      <c r="AC1176" s="6" t="s">
        <v>3820</v>
      </c>
      <c r="AD1176" s="6" t="s">
        <v>7167</v>
      </c>
      <c r="AE1176" s="158" t="s">
        <v>3876</v>
      </c>
      <c r="AF1176" s="159" t="s">
        <v>8299</v>
      </c>
      <c r="AG1176" s="160" t="s">
        <v>2001</v>
      </c>
      <c r="AH1176" s="194" t="s">
        <v>679</v>
      </c>
      <c r="AI1176" s="6" t="s">
        <v>3970</v>
      </c>
      <c r="AJ1176" s="3" t="s">
        <v>8236</v>
      </c>
      <c r="AK1176" t="s">
        <v>8236</v>
      </c>
      <c r="AV1176"/>
      <c r="AX1176"/>
      <c r="AZ1176" t="str">
        <f t="shared" si="257"/>
        <v/>
      </c>
      <c r="BA1176" t="str">
        <f t="shared" si="258"/>
        <v/>
      </c>
    </row>
    <row r="1177" spans="3:53" ht="13.5">
      <c r="C1177" s="19"/>
      <c r="D1177" s="19"/>
      <c r="AC1177" s="6" t="s">
        <v>3706</v>
      </c>
      <c r="AD1177" s="6" t="s">
        <v>7167</v>
      </c>
      <c r="AE1177" s="158" t="s">
        <v>3877</v>
      </c>
      <c r="AF1177" s="159" t="s">
        <v>8299</v>
      </c>
      <c r="AG1177" s="160" t="s">
        <v>4503</v>
      </c>
      <c r="AH1177" s="194" t="s">
        <v>679</v>
      </c>
      <c r="AI1177" s="6" t="s">
        <v>471</v>
      </c>
      <c r="AJ1177" s="3" t="s">
        <v>8209</v>
      </c>
      <c r="AK1177" t="s">
        <v>8209</v>
      </c>
      <c r="AV1177"/>
      <c r="AX1177"/>
      <c r="AZ1177" t="str">
        <f t="shared" si="257"/>
        <v/>
      </c>
      <c r="BA1177" t="str">
        <f t="shared" si="258"/>
        <v/>
      </c>
    </row>
    <row r="1178" spans="3:53" ht="13.5">
      <c r="C1178" s="19"/>
      <c r="D1178" s="19"/>
      <c r="AC1178" s="6" t="s">
        <v>3817</v>
      </c>
      <c r="AD1178" s="6" t="s">
        <v>7167</v>
      </c>
      <c r="AE1178" s="158" t="s">
        <v>3845</v>
      </c>
      <c r="AF1178" s="159" t="s">
        <v>8300</v>
      </c>
      <c r="AG1178" s="160" t="s">
        <v>4788</v>
      </c>
      <c r="AH1178" s="194" t="s">
        <v>678</v>
      </c>
      <c r="AI1178" s="6" t="s">
        <v>1068</v>
      </c>
      <c r="AJ1178" s="3" t="s">
        <v>8196</v>
      </c>
      <c r="AK1178" t="s">
        <v>8196</v>
      </c>
      <c r="AV1178"/>
      <c r="AX1178"/>
      <c r="AZ1178" t="str">
        <f t="shared" si="257"/>
        <v/>
      </c>
      <c r="BA1178" t="str">
        <f t="shared" si="258"/>
        <v/>
      </c>
    </row>
    <row r="1179" spans="3:53" ht="13.5">
      <c r="C1179" s="19"/>
      <c r="D1179" s="19"/>
      <c r="AC1179" s="6" t="s">
        <v>3754</v>
      </c>
      <c r="AD1179" s="6" t="s">
        <v>7167</v>
      </c>
      <c r="AE1179" s="158" t="s">
        <v>3951</v>
      </c>
      <c r="AF1179" s="159" t="s">
        <v>8299</v>
      </c>
      <c r="AG1179" s="160" t="s">
        <v>4787</v>
      </c>
      <c r="AH1179" s="194" t="s">
        <v>679</v>
      </c>
      <c r="AI1179" s="6" t="s">
        <v>591</v>
      </c>
      <c r="AJ1179" s="3" t="s">
        <v>8208</v>
      </c>
      <c r="AK1179" t="s">
        <v>8667</v>
      </c>
      <c r="AV1179"/>
      <c r="AX1179"/>
      <c r="AZ1179" t="str">
        <f t="shared" si="257"/>
        <v/>
      </c>
      <c r="BA1179" t="str">
        <f t="shared" si="258"/>
        <v/>
      </c>
    </row>
    <row r="1180" spans="3:53" ht="13.5">
      <c r="C1180" s="19"/>
      <c r="D1180" s="19"/>
      <c r="AC1180" s="6" t="s">
        <v>4332</v>
      </c>
      <c r="AD1180" s="6" t="s">
        <v>7276</v>
      </c>
      <c r="AE1180" s="158" t="s">
        <v>3593</v>
      </c>
      <c r="AF1180" s="159" t="s">
        <v>8300</v>
      </c>
      <c r="AG1180" s="160" t="s">
        <v>4786</v>
      </c>
      <c r="AH1180" s="194" t="s">
        <v>679</v>
      </c>
      <c r="AI1180" s="6" t="s">
        <v>1471</v>
      </c>
      <c r="AJ1180" s="3" t="s">
        <v>8233</v>
      </c>
      <c r="AK1180" t="s">
        <v>8233</v>
      </c>
      <c r="AV1180"/>
      <c r="AX1180"/>
      <c r="AZ1180" t="str">
        <f t="shared" si="257"/>
        <v/>
      </c>
      <c r="BA1180" t="str">
        <f t="shared" si="258"/>
        <v/>
      </c>
    </row>
    <row r="1181" spans="3:53" ht="13.5">
      <c r="C1181" s="19"/>
      <c r="D1181" s="19"/>
      <c r="AC1181" s="6" t="s">
        <v>3804</v>
      </c>
      <c r="AD1181" s="6" t="s">
        <v>7167</v>
      </c>
      <c r="AE1181" s="158" t="s">
        <v>4801</v>
      </c>
      <c r="AF1181" s="159" t="s">
        <v>8299</v>
      </c>
      <c r="AG1181" s="160" t="s">
        <v>4773</v>
      </c>
      <c r="AH1181" s="194" t="s">
        <v>679</v>
      </c>
      <c r="AI1181" s="6" t="s">
        <v>594</v>
      </c>
      <c r="AJ1181" s="3" t="s">
        <v>8233</v>
      </c>
      <c r="AK1181" t="s">
        <v>8233</v>
      </c>
      <c r="AV1181"/>
      <c r="AX1181"/>
      <c r="AZ1181" t="str">
        <f t="shared" si="257"/>
        <v/>
      </c>
      <c r="BA1181" t="str">
        <f t="shared" si="258"/>
        <v/>
      </c>
    </row>
    <row r="1182" spans="3:53" ht="13.5">
      <c r="C1182" s="19"/>
      <c r="D1182" s="19"/>
      <c r="AC1182" s="6" t="s">
        <v>3705</v>
      </c>
      <c r="AD1182" s="6" t="s">
        <v>7167</v>
      </c>
      <c r="AE1182" s="158" t="s">
        <v>4090</v>
      </c>
      <c r="AF1182" s="159" t="s">
        <v>8299</v>
      </c>
      <c r="AG1182" s="160" t="s">
        <v>4702</v>
      </c>
      <c r="AH1182" s="194" t="s">
        <v>4700</v>
      </c>
      <c r="AI1182" s="6" t="s">
        <v>2666</v>
      </c>
      <c r="AJ1182" s="3" t="s">
        <v>8251</v>
      </c>
      <c r="AK1182" t="s">
        <v>8251</v>
      </c>
      <c r="AV1182"/>
      <c r="AX1182"/>
      <c r="AZ1182" t="str">
        <f t="shared" si="257"/>
        <v/>
      </c>
      <c r="BA1182" t="str">
        <f t="shared" si="258"/>
        <v/>
      </c>
    </row>
    <row r="1183" spans="3:53" ht="13.5">
      <c r="C1183" s="19"/>
      <c r="D1183" s="19"/>
      <c r="AC1183" s="6" t="s">
        <v>3816</v>
      </c>
      <c r="AD1183" s="6" t="s">
        <v>7167</v>
      </c>
      <c r="AE1183" s="158" t="s">
        <v>4091</v>
      </c>
      <c r="AF1183" s="159" t="s">
        <v>8299</v>
      </c>
      <c r="AG1183" s="160" t="s">
        <v>2197</v>
      </c>
      <c r="AH1183" s="194" t="s">
        <v>678</v>
      </c>
      <c r="AI1183" s="6" t="s">
        <v>599</v>
      </c>
      <c r="AJ1183" s="3" t="s">
        <v>8224</v>
      </c>
      <c r="AK1183" t="s">
        <v>8224</v>
      </c>
      <c r="AV1183"/>
      <c r="AX1183"/>
      <c r="AZ1183" t="str">
        <f t="shared" si="257"/>
        <v/>
      </c>
      <c r="BA1183" t="str">
        <f t="shared" si="258"/>
        <v/>
      </c>
    </row>
    <row r="1184" spans="3:53" ht="13.5">
      <c r="C1184" s="19"/>
      <c r="D1184" s="19"/>
      <c r="AC1184" s="6" t="s">
        <v>3746</v>
      </c>
      <c r="AD1184" s="6" t="s">
        <v>7167</v>
      </c>
      <c r="AE1184" s="158" t="s">
        <v>2707</v>
      </c>
      <c r="AF1184" s="159" t="s">
        <v>8309</v>
      </c>
      <c r="AG1184" s="160" t="s">
        <v>5333</v>
      </c>
      <c r="AH1184" s="194" t="s">
        <v>4700</v>
      </c>
      <c r="AI1184" s="6" t="s">
        <v>1107</v>
      </c>
      <c r="AJ1184" s="3" t="s">
        <v>8224</v>
      </c>
      <c r="AK1184" t="s">
        <v>8224</v>
      </c>
      <c r="AV1184"/>
      <c r="AX1184"/>
      <c r="AZ1184" t="str">
        <f t="shared" si="257"/>
        <v/>
      </c>
      <c r="BA1184" t="str">
        <f t="shared" si="258"/>
        <v/>
      </c>
    </row>
    <row r="1185" spans="3:53" ht="13.5">
      <c r="C1185" s="19"/>
      <c r="D1185" s="19"/>
      <c r="AC1185" s="6" t="s">
        <v>3756</v>
      </c>
      <c r="AD1185" s="6" t="s">
        <v>7167</v>
      </c>
      <c r="AE1185" s="158" t="s">
        <v>2708</v>
      </c>
      <c r="AF1185" s="159" t="s">
        <v>8299</v>
      </c>
      <c r="AG1185" s="160" t="s">
        <v>5334</v>
      </c>
      <c r="AH1185" s="194" t="s">
        <v>4700</v>
      </c>
      <c r="AI1185" s="6" t="s">
        <v>1638</v>
      </c>
      <c r="AJ1185" s="3" t="s">
        <v>8224</v>
      </c>
      <c r="AK1185" t="s">
        <v>8224</v>
      </c>
      <c r="AV1185"/>
      <c r="AX1185"/>
      <c r="AZ1185" t="str">
        <f t="shared" si="257"/>
        <v/>
      </c>
      <c r="BA1185" t="str">
        <f t="shared" si="258"/>
        <v/>
      </c>
    </row>
    <row r="1186" spans="3:53" ht="13.5">
      <c r="C1186" s="19"/>
      <c r="D1186" s="19"/>
      <c r="AC1186" s="6" t="s">
        <v>3815</v>
      </c>
      <c r="AD1186" s="6" t="s">
        <v>7167</v>
      </c>
      <c r="AE1186" s="158" t="s">
        <v>2710</v>
      </c>
      <c r="AF1186" s="159" t="s">
        <v>8299</v>
      </c>
      <c r="AG1186" s="160" t="s">
        <v>5335</v>
      </c>
      <c r="AH1186" s="194" t="s">
        <v>678</v>
      </c>
      <c r="AI1186" s="6" t="s">
        <v>3986</v>
      </c>
      <c r="AJ1186" s="3" t="s">
        <v>8260</v>
      </c>
      <c r="AK1186" t="s">
        <v>8678</v>
      </c>
      <c r="AV1186"/>
      <c r="AX1186"/>
      <c r="AZ1186" t="str">
        <f t="shared" si="257"/>
        <v/>
      </c>
      <c r="BA1186" t="str">
        <f t="shared" si="258"/>
        <v/>
      </c>
    </row>
    <row r="1187" spans="3:53" ht="13.5">
      <c r="C1187" s="19"/>
      <c r="D1187" s="19"/>
      <c r="AC1187" s="6" t="s">
        <v>3720</v>
      </c>
      <c r="AD1187" s="6" t="s">
        <v>7167</v>
      </c>
      <c r="AE1187" s="158" t="s">
        <v>2711</v>
      </c>
      <c r="AF1187" s="159" t="s">
        <v>8299</v>
      </c>
      <c r="AG1187" s="160" t="s">
        <v>5273</v>
      </c>
      <c r="AH1187" s="194" t="s">
        <v>4700</v>
      </c>
      <c r="AI1187" s="6" t="s">
        <v>2528</v>
      </c>
      <c r="AJ1187" s="3" t="s">
        <v>8255</v>
      </c>
      <c r="AK1187" t="s">
        <v>8255</v>
      </c>
      <c r="AV1187"/>
      <c r="AX1187"/>
      <c r="AZ1187" t="str">
        <f t="shared" si="257"/>
        <v/>
      </c>
      <c r="BA1187" t="str">
        <f t="shared" si="258"/>
        <v/>
      </c>
    </row>
    <row r="1188" spans="3:53" ht="13.5">
      <c r="C1188" s="19"/>
      <c r="D1188" s="19"/>
      <c r="AC1188" s="6" t="s">
        <v>3812</v>
      </c>
      <c r="AD1188" s="6" t="s">
        <v>7167</v>
      </c>
      <c r="AE1188" s="165" t="s">
        <v>2712</v>
      </c>
      <c r="AF1188" s="159" t="s">
        <v>8299</v>
      </c>
      <c r="AG1188" s="160" t="s">
        <v>5336</v>
      </c>
      <c r="AH1188" s="194" t="s">
        <v>4700</v>
      </c>
      <c r="AI1188" s="6" t="s">
        <v>2798</v>
      </c>
      <c r="AJ1188" s="3" t="s">
        <v>8256</v>
      </c>
      <c r="AK1188" t="s">
        <v>8256</v>
      </c>
      <c r="AV1188"/>
      <c r="AX1188"/>
      <c r="AZ1188" t="str">
        <f t="shared" si="257"/>
        <v/>
      </c>
      <c r="BA1188" t="str">
        <f t="shared" si="258"/>
        <v/>
      </c>
    </row>
    <row r="1189" spans="3:53" ht="13.5">
      <c r="C1189" s="19"/>
      <c r="D1189" s="19"/>
      <c r="AC1189" s="6" t="s">
        <v>3810</v>
      </c>
      <c r="AD1189" s="6" t="s">
        <v>7167</v>
      </c>
      <c r="AE1189" s="165" t="s">
        <v>2713</v>
      </c>
      <c r="AF1189" s="159" t="s">
        <v>8299</v>
      </c>
      <c r="AG1189" s="160" t="s">
        <v>5337</v>
      </c>
      <c r="AH1189" s="194" t="s">
        <v>679</v>
      </c>
      <c r="AI1189" s="6" t="s">
        <v>1787</v>
      </c>
      <c r="AJ1189" s="3" t="s">
        <v>8235</v>
      </c>
      <c r="AK1189" t="s">
        <v>8672</v>
      </c>
      <c r="AV1189"/>
      <c r="AX1189"/>
      <c r="AZ1189" t="str">
        <f t="shared" si="257"/>
        <v/>
      </c>
      <c r="BA1189" t="str">
        <f t="shared" si="258"/>
        <v/>
      </c>
    </row>
    <row r="1190" spans="3:53" ht="13.5">
      <c r="C1190" s="19"/>
      <c r="D1190" s="19"/>
      <c r="AC1190" s="6" t="s">
        <v>5530</v>
      </c>
      <c r="AD1190" s="6" t="s">
        <v>7272</v>
      </c>
      <c r="AE1190" s="158" t="s">
        <v>3676</v>
      </c>
      <c r="AF1190" s="159" t="s">
        <v>8299</v>
      </c>
      <c r="AG1190" s="160" t="s">
        <v>5322</v>
      </c>
      <c r="AH1190" s="194" t="s">
        <v>679</v>
      </c>
      <c r="AI1190" s="6" t="s">
        <v>1789</v>
      </c>
      <c r="AJ1190" s="3" t="s">
        <v>8235</v>
      </c>
      <c r="AK1190" t="s">
        <v>8672</v>
      </c>
      <c r="AV1190"/>
      <c r="AX1190"/>
      <c r="AZ1190" t="str">
        <f t="shared" si="257"/>
        <v/>
      </c>
      <c r="BA1190" t="str">
        <f t="shared" si="258"/>
        <v/>
      </c>
    </row>
    <row r="1191" spans="3:53" ht="13.5">
      <c r="C1191" s="19"/>
      <c r="D1191" s="19"/>
      <c r="AC1191" s="6" t="s">
        <v>3794</v>
      </c>
      <c r="AD1191" s="6" t="s">
        <v>7167</v>
      </c>
      <c r="AE1191" s="158" t="s">
        <v>3925</v>
      </c>
      <c r="AF1191" s="159" t="s">
        <v>8299</v>
      </c>
      <c r="AG1191" s="160" t="s">
        <v>5314</v>
      </c>
      <c r="AH1191" s="194" t="s">
        <v>4700</v>
      </c>
      <c r="AI1191" s="6" t="s">
        <v>2186</v>
      </c>
      <c r="AJ1191" s="3" t="s">
        <v>8217</v>
      </c>
      <c r="AK1191" t="s">
        <v>8668</v>
      </c>
      <c r="AV1191"/>
      <c r="AX1191"/>
      <c r="AZ1191" t="str">
        <f t="shared" si="257"/>
        <v/>
      </c>
      <c r="BA1191" t="str">
        <f t="shared" si="258"/>
        <v/>
      </c>
    </row>
    <row r="1192" spans="3:53" ht="13.5">
      <c r="C1192" s="19"/>
      <c r="D1192" s="19"/>
      <c r="AC1192" s="6" t="s">
        <v>4486</v>
      </c>
      <c r="AD1192" s="6" t="s">
        <v>7167</v>
      </c>
      <c r="AE1192" s="158" t="s">
        <v>4099</v>
      </c>
      <c r="AF1192" s="159" t="s">
        <v>8300</v>
      </c>
      <c r="AG1192" s="160" t="s">
        <v>5274</v>
      </c>
      <c r="AH1192" s="194" t="s">
        <v>4700</v>
      </c>
      <c r="AI1192" s="6" t="s">
        <v>1742</v>
      </c>
      <c r="AJ1192" s="3" t="s">
        <v>8194</v>
      </c>
      <c r="AK1192" t="s">
        <v>8194</v>
      </c>
      <c r="AV1192"/>
      <c r="AX1192"/>
      <c r="AZ1192" t="str">
        <f t="shared" si="257"/>
        <v/>
      </c>
      <c r="BA1192" t="str">
        <f t="shared" si="258"/>
        <v/>
      </c>
    </row>
    <row r="1193" spans="3:53" ht="13.5">
      <c r="C1193" s="19"/>
      <c r="D1193" s="19"/>
      <c r="AC1193" s="6" t="s">
        <v>3744</v>
      </c>
      <c r="AD1193" s="6" t="s">
        <v>7167</v>
      </c>
      <c r="AE1193" s="158" t="s">
        <v>4135</v>
      </c>
      <c r="AF1193" s="159" t="s">
        <v>8299</v>
      </c>
      <c r="AG1193" s="160" t="s">
        <v>5215</v>
      </c>
      <c r="AH1193" s="194" t="s">
        <v>679</v>
      </c>
      <c r="AI1193" s="6" t="s">
        <v>1834</v>
      </c>
      <c r="AJ1193" s="3" t="s">
        <v>8248</v>
      </c>
      <c r="AK1193" t="s">
        <v>8248</v>
      </c>
      <c r="AV1193"/>
      <c r="AX1193"/>
      <c r="AZ1193" t="str">
        <f t="shared" si="257"/>
        <v/>
      </c>
      <c r="BA1193" t="str">
        <f t="shared" si="258"/>
        <v/>
      </c>
    </row>
    <row r="1194" spans="3:53" ht="13.5">
      <c r="C1194" s="19"/>
      <c r="D1194" s="19"/>
      <c r="AC1194" s="6" t="s">
        <v>5213</v>
      </c>
      <c r="AD1194" s="6" t="s">
        <v>7272</v>
      </c>
      <c r="AE1194" s="158" t="s">
        <v>4802</v>
      </c>
      <c r="AF1194" s="159" t="s">
        <v>8299</v>
      </c>
      <c r="AG1194" s="160" t="s">
        <v>5338</v>
      </c>
      <c r="AH1194" s="194" t="s">
        <v>679</v>
      </c>
      <c r="AI1194" s="6" t="s">
        <v>2016</v>
      </c>
      <c r="AJ1194" s="3" t="s">
        <v>8194</v>
      </c>
      <c r="AK1194" t="s">
        <v>8194</v>
      </c>
      <c r="AV1194"/>
      <c r="AX1194"/>
      <c r="AZ1194" t="str">
        <f t="shared" si="257"/>
        <v/>
      </c>
      <c r="BA1194" t="str">
        <f t="shared" si="258"/>
        <v/>
      </c>
    </row>
    <row r="1195" spans="3:53" ht="13.5">
      <c r="C1195" s="19"/>
      <c r="D1195" s="19"/>
      <c r="AC1195" s="6" t="s">
        <v>3813</v>
      </c>
      <c r="AD1195" s="6" t="s">
        <v>7167</v>
      </c>
      <c r="AE1195" s="158" t="s">
        <v>4034</v>
      </c>
      <c r="AF1195" s="159" t="s">
        <v>8309</v>
      </c>
      <c r="AG1195" s="160" t="s">
        <v>5222</v>
      </c>
      <c r="AH1195" s="194" t="s">
        <v>1314</v>
      </c>
      <c r="AI1195" s="6" t="s">
        <v>2502</v>
      </c>
      <c r="AJ1195" s="3" t="s">
        <v>8281</v>
      </c>
      <c r="AK1195" t="s">
        <v>8281</v>
      </c>
      <c r="AV1195"/>
      <c r="AX1195"/>
      <c r="AZ1195" t="str">
        <f t="shared" si="257"/>
        <v/>
      </c>
      <c r="BA1195" t="str">
        <f t="shared" si="258"/>
        <v/>
      </c>
    </row>
    <row r="1196" spans="3:53" ht="13.5">
      <c r="C1196" s="19"/>
      <c r="D1196" s="19"/>
      <c r="AC1196" s="6" t="s">
        <v>3805</v>
      </c>
      <c r="AD1196" s="6" t="s">
        <v>7167</v>
      </c>
      <c r="AE1196" s="158" t="s">
        <v>3563</v>
      </c>
      <c r="AF1196" s="159" t="s">
        <v>8299</v>
      </c>
      <c r="AG1196" s="160" t="s">
        <v>5339</v>
      </c>
      <c r="AH1196" s="194" t="s">
        <v>679</v>
      </c>
      <c r="AI1196" s="6" t="s">
        <v>4069</v>
      </c>
      <c r="AJ1196" s="3" t="s">
        <v>8250</v>
      </c>
      <c r="AK1196" t="s">
        <v>8250</v>
      </c>
      <c r="AV1196"/>
      <c r="AX1196"/>
      <c r="AZ1196" t="str">
        <f t="shared" si="257"/>
        <v/>
      </c>
      <c r="BA1196" t="str">
        <f t="shared" si="258"/>
        <v/>
      </c>
    </row>
    <row r="1197" spans="3:53" ht="13.5">
      <c r="C1197" s="19"/>
      <c r="D1197" s="19"/>
      <c r="AC1197" s="6" t="s">
        <v>4484</v>
      </c>
      <c r="AD1197" s="6" t="s">
        <v>7167</v>
      </c>
      <c r="AE1197" s="158" t="s">
        <v>3993</v>
      </c>
      <c r="AF1197" s="159" t="s">
        <v>8300</v>
      </c>
      <c r="AG1197" s="160" t="s">
        <v>5044</v>
      </c>
      <c r="AH1197" s="194" t="s">
        <v>1314</v>
      </c>
      <c r="AI1197" s="6" t="s">
        <v>47</v>
      </c>
      <c r="AJ1197" s="3" t="s">
        <v>8261</v>
      </c>
      <c r="AK1197" t="s">
        <v>8261</v>
      </c>
      <c r="AV1197"/>
      <c r="AX1197"/>
      <c r="AZ1197" t="str">
        <f t="shared" si="257"/>
        <v/>
      </c>
      <c r="BA1197" t="str">
        <f t="shared" si="258"/>
        <v/>
      </c>
    </row>
    <row r="1198" spans="3:53" ht="13.5">
      <c r="C1198" s="19"/>
      <c r="D1198" s="19"/>
      <c r="AC1198" s="6" t="s">
        <v>3704</v>
      </c>
      <c r="AD1198" s="6" t="s">
        <v>7167</v>
      </c>
      <c r="AE1198" s="158" t="s">
        <v>3994</v>
      </c>
      <c r="AF1198" s="159" t="s">
        <v>8300</v>
      </c>
      <c r="AG1198" s="160" t="s">
        <v>1746</v>
      </c>
      <c r="AH1198" s="194" t="s">
        <v>1314</v>
      </c>
      <c r="AI1198" s="6" t="s">
        <v>4081</v>
      </c>
      <c r="AJ1198" s="3" t="s">
        <v>8255</v>
      </c>
      <c r="AK1198" t="s">
        <v>8255</v>
      </c>
      <c r="AV1198"/>
      <c r="AX1198"/>
      <c r="AZ1198" t="str">
        <f t="shared" si="257"/>
        <v/>
      </c>
      <c r="BA1198" t="str">
        <f t="shared" si="258"/>
        <v/>
      </c>
    </row>
    <row r="1199" spans="3:53" ht="13.5">
      <c r="C1199" s="19"/>
      <c r="D1199" s="19"/>
      <c r="AC1199" s="6" t="s">
        <v>3761</v>
      </c>
      <c r="AD1199" s="6" t="s">
        <v>7167</v>
      </c>
      <c r="AE1199" s="158" t="s">
        <v>4178</v>
      </c>
      <c r="AF1199" s="159" t="s">
        <v>8300</v>
      </c>
      <c r="AG1199" s="160" t="s">
        <v>1748</v>
      </c>
      <c r="AH1199" s="194" t="s">
        <v>1314</v>
      </c>
      <c r="AI1199" s="6" t="s">
        <v>1745</v>
      </c>
      <c r="AJ1199" s="3" t="s">
        <v>8257</v>
      </c>
      <c r="AK1199" t="s">
        <v>8257</v>
      </c>
      <c r="AV1199"/>
      <c r="AX1199"/>
      <c r="AZ1199" t="str">
        <f t="shared" si="257"/>
        <v/>
      </c>
      <c r="BA1199" t="str">
        <f t="shared" si="258"/>
        <v/>
      </c>
    </row>
    <row r="1200" spans="3:53" ht="13.5">
      <c r="C1200" s="19"/>
      <c r="D1200" s="19"/>
      <c r="AC1200" s="6" t="s">
        <v>3792</v>
      </c>
      <c r="AD1200" s="6" t="s">
        <v>7167</v>
      </c>
      <c r="AE1200" s="158" t="s">
        <v>1298</v>
      </c>
      <c r="AF1200" s="159" t="s">
        <v>8300</v>
      </c>
      <c r="AG1200" s="160" t="s">
        <v>1749</v>
      </c>
      <c r="AH1200" s="194" t="s">
        <v>1314</v>
      </c>
      <c r="AI1200" s="6" t="s">
        <v>871</v>
      </c>
      <c r="AJ1200" s="3" t="s">
        <v>8257</v>
      </c>
      <c r="AK1200" t="s">
        <v>8257</v>
      </c>
      <c r="AV1200"/>
      <c r="AX1200"/>
      <c r="AZ1200" t="str">
        <f t="shared" si="257"/>
        <v/>
      </c>
      <c r="BA1200" t="str">
        <f t="shared" si="258"/>
        <v/>
      </c>
    </row>
    <row r="1201" spans="3:53" ht="13.5">
      <c r="C1201" s="19"/>
      <c r="D1201" s="19"/>
      <c r="AC1201" s="6" t="s">
        <v>3793</v>
      </c>
      <c r="AD1201" s="6" t="s">
        <v>7167</v>
      </c>
      <c r="AE1201" s="158" t="s">
        <v>2752</v>
      </c>
      <c r="AF1201" s="159" t="s">
        <v>8299</v>
      </c>
      <c r="AG1201" s="160" t="s">
        <v>1750</v>
      </c>
      <c r="AH1201" s="194" t="s">
        <v>1314</v>
      </c>
      <c r="AI1201" s="6" t="s">
        <v>872</v>
      </c>
      <c r="AJ1201" s="3" t="s">
        <v>8215</v>
      </c>
      <c r="AK1201" t="s">
        <v>8215</v>
      </c>
      <c r="AV1201"/>
      <c r="AX1201"/>
      <c r="AZ1201" t="str">
        <f t="shared" si="257"/>
        <v/>
      </c>
      <c r="BA1201" t="str">
        <f t="shared" si="258"/>
        <v/>
      </c>
    </row>
    <row r="1202" spans="3:53" ht="13.5">
      <c r="C1202" s="19"/>
      <c r="D1202" s="19"/>
      <c r="AC1202" s="6" t="s">
        <v>3750</v>
      </c>
      <c r="AD1202" s="6" t="s">
        <v>7167</v>
      </c>
      <c r="AE1202" s="158" t="s">
        <v>2753</v>
      </c>
      <c r="AF1202" s="159" t="s">
        <v>8321</v>
      </c>
      <c r="AG1202" s="160" t="s">
        <v>1843</v>
      </c>
      <c r="AH1202" s="194" t="s">
        <v>679</v>
      </c>
      <c r="AI1202" s="6" t="s">
        <v>873</v>
      </c>
      <c r="AJ1202" s="3" t="s">
        <v>8215</v>
      </c>
      <c r="AK1202" t="s">
        <v>8215</v>
      </c>
      <c r="AV1202"/>
      <c r="AX1202"/>
      <c r="AZ1202" t="str">
        <f t="shared" si="257"/>
        <v/>
      </c>
      <c r="BA1202" t="str">
        <f t="shared" si="258"/>
        <v/>
      </c>
    </row>
    <row r="1203" spans="3:53" ht="13.5">
      <c r="C1203" s="19"/>
      <c r="D1203" s="19"/>
      <c r="AC1203" s="6" t="s">
        <v>3766</v>
      </c>
      <c r="AD1203" s="6" t="s">
        <v>7167</v>
      </c>
      <c r="AE1203" s="158">
        <v>796323</v>
      </c>
      <c r="AF1203" s="159" t="s">
        <v>8320</v>
      </c>
      <c r="AG1203" s="160" t="s">
        <v>1847</v>
      </c>
      <c r="AH1203" s="194" t="s">
        <v>1314</v>
      </c>
      <c r="AI1203" s="6" t="s">
        <v>910</v>
      </c>
      <c r="AJ1203" s="3" t="s">
        <v>8215</v>
      </c>
      <c r="AK1203" t="s">
        <v>8215</v>
      </c>
      <c r="AV1203"/>
      <c r="AX1203"/>
      <c r="AZ1203" t="str">
        <f t="shared" si="257"/>
        <v/>
      </c>
      <c r="BA1203" t="str">
        <f t="shared" si="258"/>
        <v/>
      </c>
    </row>
    <row r="1204" spans="3:53" ht="13.5">
      <c r="C1204" s="19"/>
      <c r="D1204" s="19"/>
      <c r="AC1204" s="6" t="s">
        <v>3814</v>
      </c>
      <c r="AD1204" s="6" t="s">
        <v>7167</v>
      </c>
      <c r="AE1204" s="158">
        <v>796324</v>
      </c>
      <c r="AF1204" s="159" t="s">
        <v>8320</v>
      </c>
      <c r="AG1204" s="160" t="s">
        <v>2160</v>
      </c>
      <c r="AH1204" s="194" t="s">
        <v>679</v>
      </c>
      <c r="AI1204" s="6" t="s">
        <v>919</v>
      </c>
      <c r="AJ1204" s="3" t="s">
        <v>8257</v>
      </c>
      <c r="AK1204" t="s">
        <v>8257</v>
      </c>
      <c r="AV1204"/>
      <c r="AX1204"/>
      <c r="AZ1204" t="str">
        <f t="shared" si="257"/>
        <v/>
      </c>
      <c r="BA1204" t="str">
        <f t="shared" si="258"/>
        <v/>
      </c>
    </row>
    <row r="1205" spans="3:53" ht="13.5">
      <c r="C1205" s="19"/>
      <c r="D1205" s="19"/>
      <c r="AC1205" s="6" t="s">
        <v>5472</v>
      </c>
      <c r="AD1205" s="6" t="s">
        <v>7272</v>
      </c>
      <c r="AE1205" s="158">
        <v>796325</v>
      </c>
      <c r="AF1205" s="159" t="s">
        <v>8309</v>
      </c>
      <c r="AG1205" s="160" t="s">
        <v>4491</v>
      </c>
      <c r="AH1205" s="194" t="s">
        <v>1314</v>
      </c>
      <c r="AI1205" s="6" t="s">
        <v>920</v>
      </c>
      <c r="AJ1205" s="3" t="s">
        <v>8257</v>
      </c>
      <c r="AK1205" t="s">
        <v>8257</v>
      </c>
      <c r="AV1205"/>
      <c r="AX1205"/>
      <c r="AZ1205" t="str">
        <f t="shared" si="257"/>
        <v/>
      </c>
      <c r="BA1205" t="str">
        <f t="shared" si="258"/>
        <v/>
      </c>
    </row>
    <row r="1206" spans="3:53" ht="13.5">
      <c r="C1206" s="19"/>
      <c r="D1206" s="19"/>
      <c r="AC1206" s="6" t="s">
        <v>3738</v>
      </c>
      <c r="AD1206" s="6" t="s">
        <v>7167</v>
      </c>
      <c r="AE1206" s="158">
        <v>796326</v>
      </c>
      <c r="AF1206" s="159" t="s">
        <v>8300</v>
      </c>
      <c r="AG1206" s="160" t="s">
        <v>4492</v>
      </c>
      <c r="AH1206" s="194" t="s">
        <v>679</v>
      </c>
      <c r="AI1206" s="6" t="s">
        <v>1120</v>
      </c>
      <c r="AJ1206" s="3" t="s">
        <v>8265</v>
      </c>
      <c r="AK1206" t="s">
        <v>8265</v>
      </c>
      <c r="AV1206"/>
      <c r="AX1206"/>
      <c r="AZ1206" t="str">
        <f t="shared" si="257"/>
        <v/>
      </c>
      <c r="BA1206" t="str">
        <f t="shared" si="258"/>
        <v/>
      </c>
    </row>
    <row r="1207" spans="3:53" ht="13.5">
      <c r="C1207" s="19"/>
      <c r="D1207" s="19"/>
      <c r="AC1207" s="6" t="s">
        <v>3745</v>
      </c>
      <c r="AD1207" s="6" t="s">
        <v>7167</v>
      </c>
      <c r="AE1207" s="158">
        <v>796327</v>
      </c>
      <c r="AF1207" s="159" t="s">
        <v>8300</v>
      </c>
      <c r="AG1207" s="160" t="s">
        <v>2207</v>
      </c>
      <c r="AH1207" s="194" t="s">
        <v>679</v>
      </c>
      <c r="AI1207" s="6" t="s">
        <v>2687</v>
      </c>
      <c r="AJ1207" s="3" t="s">
        <v>8226</v>
      </c>
      <c r="AK1207" t="s">
        <v>8671</v>
      </c>
      <c r="AV1207"/>
      <c r="AX1207"/>
      <c r="AZ1207" t="str">
        <f t="shared" si="257"/>
        <v/>
      </c>
      <c r="BA1207" t="str">
        <f t="shared" si="258"/>
        <v/>
      </c>
    </row>
    <row r="1208" spans="3:53" ht="13.5">
      <c r="C1208" s="19"/>
      <c r="D1208" s="19"/>
      <c r="AC1208" s="6" t="s">
        <v>3803</v>
      </c>
      <c r="AD1208" s="6" t="s">
        <v>7167</v>
      </c>
      <c r="AE1208" s="158">
        <v>796328</v>
      </c>
      <c r="AF1208" s="159" t="s">
        <v>8300</v>
      </c>
      <c r="AG1208" s="160" t="s">
        <v>2208</v>
      </c>
      <c r="AH1208" s="194" t="s">
        <v>1314</v>
      </c>
      <c r="AI1208" s="6" t="s">
        <v>2718</v>
      </c>
      <c r="AJ1208" s="3" t="s">
        <v>8271</v>
      </c>
      <c r="AK1208" t="s">
        <v>8271</v>
      </c>
      <c r="AV1208"/>
      <c r="AX1208"/>
      <c r="AZ1208" t="str">
        <f t="shared" si="257"/>
        <v/>
      </c>
      <c r="BA1208" t="str">
        <f t="shared" si="258"/>
        <v/>
      </c>
    </row>
    <row r="1209" spans="3:53" ht="13.5">
      <c r="C1209" s="19"/>
      <c r="D1209" s="19"/>
      <c r="AC1209" s="6" t="s">
        <v>5470</v>
      </c>
      <c r="AD1209" s="6" t="s">
        <v>7277</v>
      </c>
      <c r="AE1209" s="158">
        <v>796329</v>
      </c>
      <c r="AF1209" s="159" t="s">
        <v>8300</v>
      </c>
      <c r="AG1209" s="160" t="s">
        <v>5210</v>
      </c>
      <c r="AH1209" s="194" t="s">
        <v>1314</v>
      </c>
      <c r="AI1209" s="6" t="s">
        <v>2072</v>
      </c>
      <c r="AJ1209" s="3" t="s">
        <v>8222</v>
      </c>
      <c r="AK1209" t="s">
        <v>8670</v>
      </c>
      <c r="AV1209"/>
      <c r="AX1209"/>
      <c r="AZ1209" t="str">
        <f t="shared" si="257"/>
        <v/>
      </c>
      <c r="BA1209" t="str">
        <f t="shared" si="258"/>
        <v/>
      </c>
    </row>
    <row r="1210" spans="3:53" ht="13.5">
      <c r="C1210" s="19"/>
      <c r="D1210" s="19"/>
      <c r="AC1210" s="6" t="s">
        <v>3749</v>
      </c>
      <c r="AD1210" s="6" t="s">
        <v>7167</v>
      </c>
      <c r="AE1210" s="158">
        <v>816330</v>
      </c>
      <c r="AF1210" s="159" t="s">
        <v>8300</v>
      </c>
      <c r="AG1210" s="160" t="s">
        <v>5340</v>
      </c>
      <c r="AH1210" s="194" t="s">
        <v>679</v>
      </c>
      <c r="AI1210" s="6" t="s">
        <v>650</v>
      </c>
      <c r="AJ1210" s="3" t="s">
        <v>8216</v>
      </c>
      <c r="AK1210" t="s">
        <v>8216</v>
      </c>
      <c r="AV1210"/>
      <c r="AX1210"/>
      <c r="AZ1210" t="str">
        <f t="shared" ref="AZ1210:AZ1273" si="259">IF(ISBLANK(AW1210),"",CONCATENATE("(",RIGHT(AW1210,5),"-",TEXT(AX1210,"h:mm;@"),")"))</f>
        <v/>
      </c>
      <c r="BA1210" t="str">
        <f t="shared" ref="BA1210:BA1273" si="260">IF(AV1226=AV1210,"",CONCATENATE(IF(AV1225=AV1210,BA1225,""),IF(AV1224=AV1210,BA1224,""),IF(AV1223=AV1210,BA1223,""),IF(AV1222=AV1210,BA1222,""),IF(AV1221=AV1210,BA1221,""),IF(AV1220=AV1210,BA1220,""),IF(AV1219=AV1210,BA1219,""),IF(AV1218=AV1210,BA1218,""),IF(AV1217=AV1210,BA1217,""),IF(AV1216=AV1210,BA1216,""),IF(AV1215=AV1210,BA1215,""),IF(AV1214=AV1210,BA1214,""),IF(AV1213=AV1210,BA1213,""),IF(AV1212=AV1210,BA1212,""),IF(AV1211=AV1210,BA1211,""),IF(AV1209=AV1210,BA1209,""),BA1210))</f>
        <v/>
      </c>
    </row>
    <row r="1211" spans="3:53" ht="13.5">
      <c r="C1211" s="19"/>
      <c r="D1211" s="19"/>
      <c r="AC1211" s="6" t="s">
        <v>4722</v>
      </c>
      <c r="AD1211" s="6" t="s">
        <v>7167</v>
      </c>
      <c r="AE1211" s="158">
        <v>816331</v>
      </c>
      <c r="AF1211" s="159" t="s">
        <v>8300</v>
      </c>
      <c r="AG1211" s="160" t="s">
        <v>5191</v>
      </c>
      <c r="AH1211" s="194" t="s">
        <v>679</v>
      </c>
      <c r="AI1211" s="6" t="s">
        <v>654</v>
      </c>
      <c r="AJ1211" s="3" t="s">
        <v>8210</v>
      </c>
      <c r="AK1211" t="s">
        <v>8210</v>
      </c>
      <c r="AV1211"/>
      <c r="AX1211"/>
      <c r="AZ1211" t="str">
        <f t="shared" si="259"/>
        <v/>
      </c>
      <c r="BA1211" t="str">
        <f t="shared" si="260"/>
        <v/>
      </c>
    </row>
    <row r="1212" spans="3:53" ht="13.5">
      <c r="C1212" s="19"/>
      <c r="D1212" s="19"/>
      <c r="AC1212" s="6" t="s">
        <v>3791</v>
      </c>
      <c r="AD1212" s="6" t="s">
        <v>7167</v>
      </c>
      <c r="AE1212" s="158">
        <v>106332</v>
      </c>
      <c r="AF1212" s="159" t="s">
        <v>8300</v>
      </c>
      <c r="AG1212" s="160" t="s">
        <v>1961</v>
      </c>
      <c r="AH1212" s="194" t="s">
        <v>678</v>
      </c>
      <c r="AI1212" s="6" t="s">
        <v>62</v>
      </c>
      <c r="AJ1212" s="3" t="s">
        <v>8244</v>
      </c>
      <c r="AK1212" t="s">
        <v>8244</v>
      </c>
      <c r="AV1212"/>
      <c r="AX1212"/>
      <c r="AZ1212" t="str">
        <f t="shared" si="259"/>
        <v/>
      </c>
      <c r="BA1212" t="str">
        <f t="shared" si="260"/>
        <v/>
      </c>
    </row>
    <row r="1213" spans="3:53" ht="13.5">
      <c r="C1213" s="19"/>
      <c r="D1213" s="19"/>
      <c r="AC1213" s="6" t="s">
        <v>3790</v>
      </c>
      <c r="AD1213" s="6" t="s">
        <v>7167</v>
      </c>
      <c r="AE1213" s="158">
        <v>806333</v>
      </c>
      <c r="AF1213" s="159" t="s">
        <v>8300</v>
      </c>
      <c r="AG1213" s="160" t="s">
        <v>3623</v>
      </c>
      <c r="AH1213" s="194" t="s">
        <v>679</v>
      </c>
      <c r="AI1213" s="6" t="s">
        <v>48</v>
      </c>
      <c r="AJ1213" s="3" t="s">
        <v>8244</v>
      </c>
      <c r="AK1213" t="s">
        <v>8244</v>
      </c>
      <c r="AV1213"/>
      <c r="AX1213"/>
      <c r="AZ1213" t="str">
        <f t="shared" si="259"/>
        <v/>
      </c>
      <c r="BA1213" t="str">
        <f t="shared" si="260"/>
        <v/>
      </c>
    </row>
    <row r="1214" spans="3:53" ht="13.5">
      <c r="C1214" s="19"/>
      <c r="D1214" s="19"/>
      <c r="AC1214" s="6" t="s">
        <v>3734</v>
      </c>
      <c r="AD1214" s="6" t="s">
        <v>7167</v>
      </c>
      <c r="AE1214" s="158">
        <v>806334</v>
      </c>
      <c r="AF1214" s="159" t="s">
        <v>8300</v>
      </c>
      <c r="AG1214" s="160" t="s">
        <v>3624</v>
      </c>
      <c r="AH1214" s="194" t="s">
        <v>679</v>
      </c>
      <c r="AI1214" s="6" t="s">
        <v>1126</v>
      </c>
      <c r="AJ1214" s="3" t="s">
        <v>8244</v>
      </c>
      <c r="AK1214" t="s">
        <v>8244</v>
      </c>
      <c r="AV1214"/>
      <c r="AX1214"/>
      <c r="AZ1214" t="str">
        <f t="shared" si="259"/>
        <v/>
      </c>
      <c r="BA1214" t="str">
        <f t="shared" si="260"/>
        <v/>
      </c>
    </row>
    <row r="1215" spans="3:53" ht="13.5">
      <c r="C1215" s="19"/>
      <c r="D1215" s="19"/>
      <c r="AC1215" s="6" t="s">
        <v>3809</v>
      </c>
      <c r="AD1215" s="6" t="s">
        <v>7167</v>
      </c>
      <c r="AE1215" s="158">
        <v>856354</v>
      </c>
      <c r="AF1215" s="159" t="s">
        <v>8300</v>
      </c>
      <c r="AG1215" s="160" t="s">
        <v>3625</v>
      </c>
      <c r="AH1215" s="194" t="s">
        <v>679</v>
      </c>
      <c r="AI1215" s="6" t="s">
        <v>2712</v>
      </c>
      <c r="AJ1215" s="3" t="s">
        <v>8254</v>
      </c>
      <c r="AK1215" t="s">
        <v>8254</v>
      </c>
      <c r="AV1215"/>
      <c r="AX1215"/>
      <c r="AZ1215" t="str">
        <f t="shared" si="259"/>
        <v/>
      </c>
      <c r="BA1215" t="str">
        <f t="shared" si="260"/>
        <v/>
      </c>
    </row>
    <row r="1216" spans="3:53" ht="13.5">
      <c r="C1216" s="19"/>
      <c r="D1216" s="19"/>
      <c r="AC1216" s="6" t="s">
        <v>3795</v>
      </c>
      <c r="AD1216" s="6" t="s">
        <v>7167</v>
      </c>
      <c r="AE1216" s="158">
        <v>856355</v>
      </c>
      <c r="AF1216" s="159" t="s">
        <v>8300</v>
      </c>
      <c r="AG1216" s="160" t="s">
        <v>3626</v>
      </c>
      <c r="AH1216" s="194" t="s">
        <v>1314</v>
      </c>
      <c r="AI1216" s="6" t="s">
        <v>2602</v>
      </c>
      <c r="AJ1216" s="3" t="s">
        <v>8275</v>
      </c>
      <c r="AK1216" t="s">
        <v>8275</v>
      </c>
      <c r="AV1216"/>
      <c r="AX1216"/>
      <c r="AZ1216" t="str">
        <f t="shared" si="259"/>
        <v/>
      </c>
      <c r="BA1216" t="str">
        <f t="shared" si="260"/>
        <v/>
      </c>
    </row>
    <row r="1217" spans="3:53" ht="13.5">
      <c r="C1217" s="19"/>
      <c r="D1217" s="19"/>
      <c r="AC1217" s="6" t="s">
        <v>3716</v>
      </c>
      <c r="AD1217" s="6" t="s">
        <v>7167</v>
      </c>
      <c r="AE1217" s="158">
        <v>376356</v>
      </c>
      <c r="AF1217" s="159" t="s">
        <v>8299</v>
      </c>
      <c r="AG1217" s="160" t="s">
        <v>3627</v>
      </c>
      <c r="AH1217" s="194" t="s">
        <v>679</v>
      </c>
      <c r="AI1217" s="6" t="s">
        <v>2734</v>
      </c>
      <c r="AJ1217" s="3" t="s">
        <v>8275</v>
      </c>
      <c r="AK1217" t="s">
        <v>8275</v>
      </c>
      <c r="AV1217"/>
      <c r="AX1217"/>
      <c r="AZ1217" t="str">
        <f t="shared" si="259"/>
        <v/>
      </c>
      <c r="BA1217" t="str">
        <f t="shared" si="260"/>
        <v/>
      </c>
    </row>
    <row r="1218" spans="3:53" ht="13.5">
      <c r="C1218" s="19"/>
      <c r="D1218" s="19"/>
      <c r="AC1218" s="6">
        <v>535374</v>
      </c>
      <c r="AD1218" s="6" t="s">
        <v>7268</v>
      </c>
      <c r="AE1218" s="158" t="s">
        <v>1679</v>
      </c>
      <c r="AF1218" s="159" t="s">
        <v>8300</v>
      </c>
      <c r="AG1218" s="160" t="s">
        <v>3628</v>
      </c>
      <c r="AH1218" s="194" t="s">
        <v>679</v>
      </c>
      <c r="AI1218" s="6" t="s">
        <v>4154</v>
      </c>
      <c r="AJ1218" s="3" t="s">
        <v>8214</v>
      </c>
      <c r="AK1218" t="s">
        <v>8214</v>
      </c>
      <c r="AV1218"/>
      <c r="AX1218"/>
      <c r="AZ1218" t="str">
        <f t="shared" si="259"/>
        <v/>
      </c>
      <c r="BA1218" t="str">
        <f t="shared" si="260"/>
        <v/>
      </c>
    </row>
    <row r="1219" spans="3:53" ht="13.5">
      <c r="C1219" s="19"/>
      <c r="D1219" s="19"/>
      <c r="AC1219" s="6" t="s">
        <v>3730</v>
      </c>
      <c r="AD1219" s="6" t="s">
        <v>7167</v>
      </c>
      <c r="AE1219" s="158" t="s">
        <v>4394</v>
      </c>
      <c r="AF1219" s="159" t="s">
        <v>8300</v>
      </c>
      <c r="AG1219" s="160" t="s">
        <v>3629</v>
      </c>
      <c r="AH1219" s="194" t="s">
        <v>679</v>
      </c>
      <c r="AI1219" s="6" t="s">
        <v>2740</v>
      </c>
      <c r="AJ1219" s="3" t="s">
        <v>8271</v>
      </c>
      <c r="AK1219" t="s">
        <v>8271</v>
      </c>
      <c r="AV1219"/>
      <c r="AX1219"/>
      <c r="AZ1219" t="str">
        <f t="shared" si="259"/>
        <v/>
      </c>
      <c r="BA1219" t="str">
        <f t="shared" si="260"/>
        <v/>
      </c>
    </row>
    <row r="1220" spans="3:53" ht="13.5">
      <c r="C1220" s="19"/>
      <c r="D1220" s="19"/>
      <c r="AC1220" s="6" t="s">
        <v>3762</v>
      </c>
      <c r="AD1220" s="6" t="s">
        <v>7167</v>
      </c>
      <c r="AE1220" s="158" t="s">
        <v>4399</v>
      </c>
      <c r="AF1220" s="159" t="s">
        <v>8300</v>
      </c>
      <c r="AG1220" s="160" t="s">
        <v>3630</v>
      </c>
      <c r="AH1220" s="194" t="s">
        <v>1314</v>
      </c>
      <c r="AI1220" s="6" t="s">
        <v>1967</v>
      </c>
      <c r="AJ1220" s="3" t="s">
        <v>8227</v>
      </c>
      <c r="AK1220" t="s">
        <v>8227</v>
      </c>
      <c r="AV1220"/>
      <c r="AX1220"/>
      <c r="AZ1220" t="str">
        <f t="shared" si="259"/>
        <v/>
      </c>
      <c r="BA1220" t="str">
        <f t="shared" si="260"/>
        <v/>
      </c>
    </row>
    <row r="1221" spans="3:53" ht="13.5">
      <c r="C1221" s="19"/>
      <c r="D1221" s="19"/>
      <c r="AC1221" s="6">
        <v>765225</v>
      </c>
      <c r="AD1221" s="6" t="s">
        <v>7278</v>
      </c>
      <c r="AE1221" s="158">
        <v>886401</v>
      </c>
      <c r="AF1221" s="159" t="s">
        <v>8297</v>
      </c>
      <c r="AG1221" s="160" t="s">
        <v>3631</v>
      </c>
      <c r="AH1221" s="194" t="s">
        <v>679</v>
      </c>
      <c r="AI1221" s="6" t="s">
        <v>2743</v>
      </c>
      <c r="AJ1221" s="3" t="s">
        <v>8275</v>
      </c>
      <c r="AK1221" t="s">
        <v>8275</v>
      </c>
      <c r="AV1221"/>
      <c r="AX1221"/>
      <c r="AZ1221" t="str">
        <f t="shared" si="259"/>
        <v/>
      </c>
      <c r="BA1221" t="str">
        <f t="shared" si="260"/>
        <v/>
      </c>
    </row>
    <row r="1222" spans="3:53" ht="13.5">
      <c r="C1222" s="19"/>
      <c r="D1222" s="19"/>
      <c r="AC1222" s="6" t="s">
        <v>43</v>
      </c>
      <c r="AD1222" s="6" t="s">
        <v>7167</v>
      </c>
      <c r="AE1222" s="158">
        <v>886402</v>
      </c>
      <c r="AF1222" s="159" t="s">
        <v>8299</v>
      </c>
      <c r="AG1222" s="160" t="s">
        <v>50</v>
      </c>
      <c r="AH1222" s="194" t="s">
        <v>679</v>
      </c>
      <c r="AI1222" s="6" t="s">
        <v>5317</v>
      </c>
      <c r="AJ1222" s="3" t="s">
        <v>8206</v>
      </c>
      <c r="AK1222" t="s">
        <v>8206</v>
      </c>
      <c r="AV1222"/>
      <c r="AX1222"/>
      <c r="AZ1222" t="str">
        <f t="shared" si="259"/>
        <v/>
      </c>
      <c r="BA1222" t="str">
        <f t="shared" si="260"/>
        <v/>
      </c>
    </row>
    <row r="1223" spans="3:53" ht="13.5">
      <c r="C1223" s="19"/>
      <c r="D1223" s="19"/>
      <c r="AC1223" s="6" t="s">
        <v>3718</v>
      </c>
      <c r="AD1223" s="6" t="s">
        <v>7167</v>
      </c>
      <c r="AE1223" s="158">
        <v>886404</v>
      </c>
      <c r="AF1223" s="159" t="s">
        <v>8299</v>
      </c>
      <c r="AG1223" s="160" t="s">
        <v>36</v>
      </c>
      <c r="AH1223" s="194" t="s">
        <v>679</v>
      </c>
      <c r="AI1223" s="6" t="s">
        <v>5304</v>
      </c>
      <c r="AJ1223" s="3" t="s">
        <v>8206</v>
      </c>
      <c r="AK1223" t="s">
        <v>8206</v>
      </c>
      <c r="AV1223"/>
      <c r="AX1223"/>
      <c r="AZ1223" t="str">
        <f t="shared" si="259"/>
        <v/>
      </c>
      <c r="BA1223" t="str">
        <f t="shared" si="260"/>
        <v/>
      </c>
    </row>
    <row r="1224" spans="3:53" ht="13.5">
      <c r="C1224" s="19"/>
      <c r="D1224" s="19"/>
      <c r="AC1224" s="6" t="s">
        <v>5407</v>
      </c>
      <c r="AD1224" s="6" t="s">
        <v>7272</v>
      </c>
      <c r="AE1224" s="158">
        <v>886406</v>
      </c>
      <c r="AF1224" s="159" t="s">
        <v>8299</v>
      </c>
      <c r="AG1224" s="160" t="s">
        <v>51</v>
      </c>
      <c r="AH1224" s="194" t="s">
        <v>679</v>
      </c>
      <c r="AI1224" s="6" t="s">
        <v>1957</v>
      </c>
      <c r="AJ1224" s="3" t="s">
        <v>8252</v>
      </c>
      <c r="AK1224" t="s">
        <v>8252</v>
      </c>
      <c r="AV1224"/>
      <c r="AX1224"/>
      <c r="AZ1224" t="str">
        <f t="shared" si="259"/>
        <v/>
      </c>
      <c r="BA1224" t="str">
        <f t="shared" si="260"/>
        <v/>
      </c>
    </row>
    <row r="1225" spans="3:53" ht="13.5">
      <c r="C1225" s="19"/>
      <c r="D1225" s="19"/>
      <c r="AC1225" s="6" t="s">
        <v>3808</v>
      </c>
      <c r="AD1225" s="6" t="s">
        <v>7167</v>
      </c>
      <c r="AE1225" s="158">
        <v>886407</v>
      </c>
      <c r="AF1225" s="159" t="s">
        <v>8297</v>
      </c>
      <c r="AG1225" s="160" t="s">
        <v>49</v>
      </c>
      <c r="AH1225" s="194" t="s">
        <v>679</v>
      </c>
      <c r="AI1225" s="6" t="s">
        <v>1959</v>
      </c>
      <c r="AJ1225" s="3" t="s">
        <v>8252</v>
      </c>
      <c r="AK1225" t="s">
        <v>8252</v>
      </c>
      <c r="AV1225"/>
      <c r="AX1225"/>
      <c r="AZ1225" t="str">
        <f t="shared" si="259"/>
        <v/>
      </c>
      <c r="BA1225" t="str">
        <f t="shared" si="260"/>
        <v/>
      </c>
    </row>
    <row r="1226" spans="3:53" ht="13.5">
      <c r="C1226" s="19"/>
      <c r="D1226" s="19"/>
      <c r="AC1226" s="6" t="s">
        <v>3783</v>
      </c>
      <c r="AD1226" s="6" t="s">
        <v>7167</v>
      </c>
      <c r="AE1226" s="158">
        <v>886408</v>
      </c>
      <c r="AF1226" s="159" t="s">
        <v>8311</v>
      </c>
      <c r="AG1226" s="160" t="s">
        <v>1777</v>
      </c>
      <c r="AH1226" s="194" t="s">
        <v>679</v>
      </c>
      <c r="AI1226" s="6" t="s">
        <v>1421</v>
      </c>
      <c r="AJ1226" s="3" t="s">
        <v>8210</v>
      </c>
      <c r="AK1226" t="s">
        <v>8210</v>
      </c>
      <c r="AV1226"/>
      <c r="AX1226"/>
      <c r="AZ1226" t="str">
        <f t="shared" si="259"/>
        <v/>
      </c>
      <c r="BA1226" t="str">
        <f t="shared" si="260"/>
        <v/>
      </c>
    </row>
    <row r="1227" spans="3:53" ht="13.5">
      <c r="C1227" s="19"/>
      <c r="D1227" s="19"/>
      <c r="AC1227" s="6" t="s">
        <v>4401</v>
      </c>
      <c r="AD1227" s="6" t="s">
        <v>7167</v>
      </c>
      <c r="AE1227" s="158">
        <v>886409</v>
      </c>
      <c r="AF1227" s="159" t="s">
        <v>8340</v>
      </c>
      <c r="AG1227" s="160" t="s">
        <v>1778</v>
      </c>
      <c r="AH1227" s="194" t="s">
        <v>679</v>
      </c>
      <c r="AI1227" s="6" t="s">
        <v>4182</v>
      </c>
      <c r="AJ1227" s="3" t="s">
        <v>8253</v>
      </c>
      <c r="AK1227" t="s">
        <v>8253</v>
      </c>
      <c r="AV1227"/>
      <c r="AX1227"/>
      <c r="AZ1227" t="str">
        <f t="shared" si="259"/>
        <v/>
      </c>
      <c r="BA1227" t="str">
        <f t="shared" si="260"/>
        <v/>
      </c>
    </row>
    <row r="1228" spans="3:53" ht="13.5">
      <c r="C1228" s="19"/>
      <c r="D1228" s="19"/>
      <c r="AC1228" s="6" t="s">
        <v>3726</v>
      </c>
      <c r="AD1228" s="6" t="s">
        <v>7167</v>
      </c>
      <c r="AE1228" s="158" t="s">
        <v>1680</v>
      </c>
      <c r="AF1228" s="159" t="s">
        <v>8300</v>
      </c>
      <c r="AG1228" s="160" t="s">
        <v>1779</v>
      </c>
      <c r="AH1228" s="194" t="s">
        <v>679</v>
      </c>
      <c r="AI1228" s="6" t="s">
        <v>4201</v>
      </c>
      <c r="AJ1228" s="3" t="s">
        <v>8253</v>
      </c>
      <c r="AK1228" t="s">
        <v>8253</v>
      </c>
      <c r="AV1228"/>
      <c r="AX1228"/>
      <c r="AZ1228" t="str">
        <f t="shared" si="259"/>
        <v/>
      </c>
      <c r="BA1228" t="str">
        <f t="shared" si="260"/>
        <v/>
      </c>
    </row>
    <row r="1229" spans="3:53" ht="13.5">
      <c r="C1229" s="19"/>
      <c r="D1229" s="19"/>
      <c r="AC1229" s="6" t="s">
        <v>3731</v>
      </c>
      <c r="AD1229" s="6" t="s">
        <v>7167</v>
      </c>
      <c r="AE1229" s="158">
        <v>916422</v>
      </c>
      <c r="AF1229" s="159" t="s">
        <v>8300</v>
      </c>
      <c r="AG1229" s="160" t="s">
        <v>1780</v>
      </c>
      <c r="AH1229" s="194" t="s">
        <v>679</v>
      </c>
      <c r="AI1229" s="6" t="s">
        <v>2783</v>
      </c>
      <c r="AJ1229" s="3" t="s">
        <v>8254</v>
      </c>
      <c r="AK1229" t="s">
        <v>8254</v>
      </c>
      <c r="AV1229"/>
      <c r="AX1229"/>
      <c r="AZ1229" t="str">
        <f t="shared" si="259"/>
        <v/>
      </c>
      <c r="BA1229" t="str">
        <f t="shared" si="260"/>
        <v/>
      </c>
    </row>
    <row r="1230" spans="3:53" ht="13.5">
      <c r="C1230" s="19"/>
      <c r="D1230" s="19"/>
      <c r="AC1230" s="6" t="s">
        <v>4406</v>
      </c>
      <c r="AD1230" s="6" t="s">
        <v>7167</v>
      </c>
      <c r="AE1230" s="158">
        <v>436426</v>
      </c>
      <c r="AF1230" s="159" t="s">
        <v>8299</v>
      </c>
      <c r="AG1230" s="160" t="s">
        <v>82</v>
      </c>
      <c r="AH1230" s="194" t="s">
        <v>679</v>
      </c>
      <c r="AI1230" s="6" t="s">
        <v>4216</v>
      </c>
      <c r="AJ1230" s="3" t="s">
        <v>8236</v>
      </c>
      <c r="AK1230" t="s">
        <v>8236</v>
      </c>
      <c r="AV1230"/>
      <c r="AX1230"/>
      <c r="AZ1230" t="str">
        <f t="shared" si="259"/>
        <v/>
      </c>
      <c r="BA1230" t="str">
        <f t="shared" si="260"/>
        <v/>
      </c>
    </row>
    <row r="1231" spans="3:53" ht="13.5">
      <c r="C1231" s="19"/>
      <c r="D1231" s="19"/>
      <c r="AC1231" s="6" t="s">
        <v>4405</v>
      </c>
      <c r="AD1231" s="6" t="s">
        <v>7167</v>
      </c>
      <c r="AE1231" s="158">
        <v>926427</v>
      </c>
      <c r="AF1231" s="159" t="s">
        <v>8299</v>
      </c>
      <c r="AG1231" s="160" t="s">
        <v>1816</v>
      </c>
      <c r="AH1231" s="194" t="s">
        <v>679</v>
      </c>
      <c r="AI1231" s="6" t="s">
        <v>4226</v>
      </c>
      <c r="AJ1231" s="3" t="s">
        <v>8253</v>
      </c>
      <c r="AK1231" t="s">
        <v>8253</v>
      </c>
      <c r="AV1231"/>
      <c r="AX1231"/>
      <c r="AZ1231" t="str">
        <f t="shared" si="259"/>
        <v/>
      </c>
      <c r="BA1231" t="str">
        <f t="shared" si="260"/>
        <v/>
      </c>
    </row>
    <row r="1232" spans="3:53" ht="13.5">
      <c r="C1232" s="19"/>
      <c r="D1232" s="19"/>
      <c r="AC1232" s="6" t="s">
        <v>5538</v>
      </c>
      <c r="AD1232" s="6" t="s">
        <v>7279</v>
      </c>
      <c r="AE1232" s="158">
        <v>936431</v>
      </c>
      <c r="AF1232" s="159" t="s">
        <v>8300</v>
      </c>
      <c r="AG1232" s="160" t="s">
        <v>1817</v>
      </c>
      <c r="AH1232" s="194" t="s">
        <v>679</v>
      </c>
      <c r="AI1232" s="6" t="s">
        <v>2204</v>
      </c>
      <c r="AJ1232" s="3" t="s">
        <v>8221</v>
      </c>
      <c r="AK1232" t="s">
        <v>8669</v>
      </c>
      <c r="AV1232"/>
      <c r="AX1232"/>
      <c r="AZ1232" t="str">
        <f t="shared" si="259"/>
        <v/>
      </c>
      <c r="BA1232" t="str">
        <f t="shared" si="260"/>
        <v/>
      </c>
    </row>
    <row r="1233" spans="3:53" ht="13.5">
      <c r="C1233" s="19"/>
      <c r="D1233" s="19"/>
      <c r="AC1233" s="6" t="s">
        <v>3789</v>
      </c>
      <c r="AD1233" s="6" t="s">
        <v>7167</v>
      </c>
      <c r="AE1233" s="158">
        <v>936432</v>
      </c>
      <c r="AF1233" s="159" t="s">
        <v>8299</v>
      </c>
      <c r="AG1233" s="160" t="s">
        <v>1818</v>
      </c>
      <c r="AH1233" s="194" t="s">
        <v>679</v>
      </c>
      <c r="AI1233" s="6" t="s">
        <v>3647</v>
      </c>
      <c r="AJ1233" s="3" t="s">
        <v>8199</v>
      </c>
      <c r="AK1233" t="s">
        <v>8199</v>
      </c>
      <c r="AV1233"/>
      <c r="AX1233"/>
      <c r="AZ1233" t="str">
        <f t="shared" si="259"/>
        <v/>
      </c>
      <c r="BA1233" t="str">
        <f t="shared" si="260"/>
        <v/>
      </c>
    </row>
    <row r="1234" spans="3:53" ht="13.5">
      <c r="C1234" s="19"/>
      <c r="D1234" s="19"/>
      <c r="AC1234" s="6" t="s">
        <v>4489</v>
      </c>
      <c r="AD1234" s="6" t="s">
        <v>7167</v>
      </c>
      <c r="AE1234" s="158">
        <v>936433</v>
      </c>
      <c r="AF1234" s="159" t="s">
        <v>8299</v>
      </c>
      <c r="AG1234" s="160" t="s">
        <v>2004</v>
      </c>
      <c r="AH1234" s="194" t="s">
        <v>679</v>
      </c>
      <c r="AI1234" s="6" t="s">
        <v>2386</v>
      </c>
      <c r="AJ1234" s="3" t="s">
        <v>8237</v>
      </c>
      <c r="AK1234" t="s">
        <v>8237</v>
      </c>
      <c r="AV1234"/>
      <c r="AX1234"/>
      <c r="AZ1234" t="str">
        <f t="shared" si="259"/>
        <v/>
      </c>
      <c r="BA1234" t="str">
        <f t="shared" si="260"/>
        <v/>
      </c>
    </row>
    <row r="1235" spans="3:53" ht="13.5">
      <c r="C1235" s="19"/>
      <c r="D1235" s="19"/>
      <c r="AC1235" s="6" t="s">
        <v>4402</v>
      </c>
      <c r="AD1235" s="6" t="s">
        <v>7167</v>
      </c>
      <c r="AE1235" s="158">
        <v>936434</v>
      </c>
      <c r="AF1235" s="159" t="s">
        <v>8309</v>
      </c>
      <c r="AG1235" s="160" t="s">
        <v>2005</v>
      </c>
      <c r="AH1235" s="194" t="s">
        <v>679</v>
      </c>
      <c r="AI1235" s="6" t="s">
        <v>1647</v>
      </c>
      <c r="AJ1235" s="3" t="s">
        <v>8223</v>
      </c>
      <c r="AK1235" t="s">
        <v>8223</v>
      </c>
      <c r="AV1235"/>
      <c r="AX1235"/>
      <c r="AZ1235" t="str">
        <f t="shared" si="259"/>
        <v/>
      </c>
      <c r="BA1235" t="str">
        <f t="shared" si="260"/>
        <v/>
      </c>
    </row>
    <row r="1236" spans="3:53" ht="13.5">
      <c r="C1236" s="19"/>
      <c r="D1236" s="19"/>
      <c r="AC1236" s="6" t="s">
        <v>3724</v>
      </c>
      <c r="AD1236" s="6" t="s">
        <v>7167</v>
      </c>
      <c r="AE1236" s="158">
        <v>936435</v>
      </c>
      <c r="AF1236" s="159" t="s">
        <v>8320</v>
      </c>
      <c r="AG1236" s="160" t="s">
        <v>1282</v>
      </c>
      <c r="AH1236" s="194" t="s">
        <v>679</v>
      </c>
      <c r="AI1236" s="6" t="s">
        <v>58</v>
      </c>
      <c r="AJ1236" s="3" t="s">
        <v>8244</v>
      </c>
      <c r="AK1236" t="s">
        <v>8244</v>
      </c>
      <c r="AV1236"/>
      <c r="AX1236"/>
      <c r="AZ1236" t="str">
        <f t="shared" si="259"/>
        <v/>
      </c>
      <c r="BA1236" t="str">
        <f t="shared" si="260"/>
        <v/>
      </c>
    </row>
    <row r="1237" spans="3:53" ht="13.5">
      <c r="C1237" s="19"/>
      <c r="D1237" s="19"/>
      <c r="AC1237" s="6" t="s">
        <v>4048</v>
      </c>
      <c r="AD1237" s="6" t="s">
        <v>7279</v>
      </c>
      <c r="AE1237" s="158">
        <v>946439</v>
      </c>
      <c r="AF1237" s="159" t="s">
        <v>8299</v>
      </c>
      <c r="AG1237" s="160" t="s">
        <v>5187</v>
      </c>
      <c r="AH1237" s="194" t="s">
        <v>679</v>
      </c>
      <c r="AI1237" s="6">
        <v>55465</v>
      </c>
      <c r="AJ1237" s="3" t="s">
        <v>8206</v>
      </c>
      <c r="AK1237" t="s">
        <v>8206</v>
      </c>
      <c r="AV1237"/>
      <c r="AX1237"/>
      <c r="AZ1237" t="str">
        <f t="shared" si="259"/>
        <v/>
      </c>
      <c r="BA1237" t="str">
        <f t="shared" si="260"/>
        <v/>
      </c>
    </row>
    <row r="1238" spans="3:53" ht="13.5">
      <c r="C1238" s="19"/>
      <c r="D1238" s="19"/>
      <c r="AC1238" s="6" t="s">
        <v>6633</v>
      </c>
      <c r="AD1238" s="6" t="s">
        <v>7279</v>
      </c>
      <c r="AE1238" s="158">
        <v>946440</v>
      </c>
      <c r="AF1238" s="159" t="s">
        <v>8299</v>
      </c>
      <c r="AG1238" s="160" t="s">
        <v>2238</v>
      </c>
      <c r="AH1238" s="194" t="s">
        <v>679</v>
      </c>
      <c r="AI1238" s="6">
        <v>115595</v>
      </c>
      <c r="AJ1238" s="3" t="s">
        <v>8214</v>
      </c>
      <c r="AK1238" t="s">
        <v>8214</v>
      </c>
      <c r="AV1238"/>
      <c r="AX1238"/>
      <c r="AZ1238" t="str">
        <f t="shared" si="259"/>
        <v/>
      </c>
      <c r="BA1238" t="str">
        <f t="shared" si="260"/>
        <v/>
      </c>
    </row>
    <row r="1239" spans="3:53" ht="13.5">
      <c r="C1239" s="19"/>
      <c r="D1239" s="19"/>
      <c r="AC1239" s="6" t="s">
        <v>4466</v>
      </c>
      <c r="AD1239" s="6" t="s">
        <v>7167</v>
      </c>
      <c r="AE1239" s="158">
        <v>956441</v>
      </c>
      <c r="AF1239" s="159" t="s">
        <v>8299</v>
      </c>
      <c r="AG1239" s="160" t="s">
        <v>2239</v>
      </c>
      <c r="AH1239" s="194" t="s">
        <v>679</v>
      </c>
      <c r="AI1239" s="6">
        <v>185847</v>
      </c>
      <c r="AJ1239" s="3" t="s">
        <v>8242</v>
      </c>
      <c r="AK1239" t="s">
        <v>8281</v>
      </c>
      <c r="AV1239"/>
      <c r="AX1239"/>
      <c r="AZ1239" t="str">
        <f t="shared" si="259"/>
        <v/>
      </c>
      <c r="BA1239" t="str">
        <f t="shared" si="260"/>
        <v/>
      </c>
    </row>
    <row r="1240" spans="3:53" ht="13.5">
      <c r="C1240" s="19"/>
      <c r="D1240" s="19"/>
      <c r="AC1240" s="6" t="s">
        <v>3787</v>
      </c>
      <c r="AD1240" s="6" t="s">
        <v>7167</v>
      </c>
      <c r="AE1240" s="158">
        <v>956442</v>
      </c>
      <c r="AF1240" s="159" t="s">
        <v>8300</v>
      </c>
      <c r="AG1240" s="160" t="s">
        <v>2240</v>
      </c>
      <c r="AH1240" s="194" t="s">
        <v>679</v>
      </c>
      <c r="AI1240" s="6" t="s">
        <v>114</v>
      </c>
      <c r="AJ1240" s="3" t="s">
        <v>8233</v>
      </c>
      <c r="AK1240" t="s">
        <v>8233</v>
      </c>
      <c r="AV1240"/>
      <c r="AX1240"/>
      <c r="AZ1240" t="str">
        <f t="shared" si="259"/>
        <v/>
      </c>
      <c r="BA1240" t="str">
        <f t="shared" si="260"/>
        <v/>
      </c>
    </row>
    <row r="1241" spans="3:53" ht="13.5">
      <c r="C1241" s="19"/>
      <c r="D1241" s="19"/>
      <c r="AC1241" s="6" t="s">
        <v>4361</v>
      </c>
      <c r="AD1241" s="6" t="s">
        <v>7280</v>
      </c>
      <c r="AE1241" s="158">
        <v>996467</v>
      </c>
      <c r="AF1241" s="159" t="s">
        <v>8299</v>
      </c>
      <c r="AG1241" s="160" t="s">
        <v>2248</v>
      </c>
      <c r="AH1241" s="194" t="s">
        <v>679</v>
      </c>
      <c r="AI1241" s="6" t="s">
        <v>4269</v>
      </c>
      <c r="AJ1241" s="3" t="s">
        <v>8229</v>
      </c>
      <c r="AK1241" t="s">
        <v>8229</v>
      </c>
      <c r="AV1241"/>
      <c r="AX1241"/>
      <c r="AZ1241" t="str">
        <f t="shared" si="259"/>
        <v/>
      </c>
      <c r="BA1241" t="str">
        <f t="shared" si="260"/>
        <v/>
      </c>
    </row>
    <row r="1242" spans="3:53" ht="13.5">
      <c r="C1242" s="19"/>
      <c r="D1242" s="19"/>
      <c r="AC1242" s="6" t="s">
        <v>3728</v>
      </c>
      <c r="AD1242" s="6" t="s">
        <v>7167</v>
      </c>
      <c r="AE1242" s="158">
        <v>996468</v>
      </c>
      <c r="AF1242" s="159" t="s">
        <v>8299</v>
      </c>
      <c r="AG1242" s="160" t="s">
        <v>5341</v>
      </c>
      <c r="AH1242" s="194" t="s">
        <v>1314</v>
      </c>
      <c r="AI1242" s="6" t="s">
        <v>4284</v>
      </c>
      <c r="AJ1242" s="3" t="s">
        <v>8253</v>
      </c>
      <c r="AK1242" t="s">
        <v>8253</v>
      </c>
      <c r="AV1242"/>
      <c r="AX1242"/>
      <c r="AZ1242" t="str">
        <f t="shared" si="259"/>
        <v/>
      </c>
      <c r="BA1242" t="str">
        <f t="shared" si="260"/>
        <v/>
      </c>
    </row>
    <row r="1243" spans="3:53" ht="13.5">
      <c r="C1243" s="19"/>
      <c r="D1243" s="19"/>
      <c r="AC1243" s="6" t="s">
        <v>3755</v>
      </c>
      <c r="AD1243" s="6" t="s">
        <v>7167</v>
      </c>
      <c r="AE1243" s="158">
        <v>996469</v>
      </c>
      <c r="AF1243" s="159" t="s">
        <v>8299</v>
      </c>
      <c r="AG1243" s="160" t="s">
        <v>2027</v>
      </c>
      <c r="AH1243" s="194" t="s">
        <v>679</v>
      </c>
      <c r="AI1243" s="6" t="s">
        <v>1131</v>
      </c>
      <c r="AJ1243" s="3" t="s">
        <v>8261</v>
      </c>
      <c r="AK1243" t="s">
        <v>8261</v>
      </c>
      <c r="AV1243"/>
      <c r="AX1243"/>
      <c r="AZ1243" t="str">
        <f t="shared" si="259"/>
        <v/>
      </c>
      <c r="BA1243" t="str">
        <f t="shared" si="260"/>
        <v/>
      </c>
    </row>
    <row r="1244" spans="3:53" ht="13.5">
      <c r="C1244" s="19"/>
      <c r="D1244" s="19"/>
      <c r="AC1244" s="6" t="s">
        <v>3788</v>
      </c>
      <c r="AD1244" s="6" t="s">
        <v>7167</v>
      </c>
      <c r="AE1244" s="158">
        <v>996470</v>
      </c>
      <c r="AF1244" s="159" t="s">
        <v>8299</v>
      </c>
      <c r="AG1244" s="160" t="s">
        <v>2028</v>
      </c>
      <c r="AH1244" s="194" t="s">
        <v>679</v>
      </c>
      <c r="AI1244" s="6" t="s">
        <v>1141</v>
      </c>
      <c r="AJ1244" s="3" t="s">
        <v>8229</v>
      </c>
      <c r="AK1244" t="s">
        <v>8229</v>
      </c>
      <c r="AV1244"/>
      <c r="AX1244"/>
      <c r="AZ1244" t="str">
        <f t="shared" si="259"/>
        <v/>
      </c>
      <c r="BA1244" t="str">
        <f t="shared" si="260"/>
        <v/>
      </c>
    </row>
    <row r="1245" spans="3:53" ht="13.5">
      <c r="C1245" s="19"/>
      <c r="D1245" s="19"/>
      <c r="AC1245" s="6" t="s">
        <v>5197</v>
      </c>
      <c r="AD1245" s="6" t="s">
        <v>7281</v>
      </c>
      <c r="AE1245" s="158">
        <v>996471</v>
      </c>
      <c r="AF1245" s="159" t="s">
        <v>8299</v>
      </c>
      <c r="AG1245" s="160" t="s">
        <v>2029</v>
      </c>
      <c r="AH1245" s="194" t="s">
        <v>679</v>
      </c>
      <c r="AI1245" s="6" t="s">
        <v>128</v>
      </c>
      <c r="AJ1245" s="3" t="s">
        <v>8202</v>
      </c>
      <c r="AK1245" t="s">
        <v>8202</v>
      </c>
      <c r="AV1245"/>
      <c r="AX1245"/>
      <c r="AZ1245" t="str">
        <f t="shared" si="259"/>
        <v/>
      </c>
      <c r="BA1245" t="str">
        <f t="shared" si="260"/>
        <v/>
      </c>
    </row>
    <row r="1246" spans="3:53" ht="13.5">
      <c r="C1246" s="19"/>
      <c r="D1246" s="19"/>
      <c r="AC1246" s="6" t="s">
        <v>3725</v>
      </c>
      <c r="AD1246" s="6" t="s">
        <v>7167</v>
      </c>
      <c r="AE1246" s="158">
        <v>166474</v>
      </c>
      <c r="AF1246" s="159" t="s">
        <v>8299</v>
      </c>
      <c r="AG1246" s="160" t="s">
        <v>2478</v>
      </c>
      <c r="AH1246" s="194" t="s">
        <v>679</v>
      </c>
      <c r="AI1246" s="6">
        <v>213529</v>
      </c>
      <c r="AJ1246" s="3" t="s">
        <v>8266</v>
      </c>
      <c r="AK1246" t="s">
        <v>8266</v>
      </c>
      <c r="AV1246"/>
      <c r="AX1246"/>
      <c r="AZ1246" t="str">
        <f t="shared" si="259"/>
        <v/>
      </c>
      <c r="BA1246" t="str">
        <f t="shared" si="260"/>
        <v/>
      </c>
    </row>
    <row r="1247" spans="3:53" ht="13.5">
      <c r="C1247" s="19"/>
      <c r="D1247" s="19"/>
      <c r="AC1247" s="6" t="s">
        <v>4840</v>
      </c>
      <c r="AD1247" s="6" t="s">
        <v>7282</v>
      </c>
      <c r="AE1247" s="158">
        <v>116477</v>
      </c>
      <c r="AF1247" s="159" t="s">
        <v>8300</v>
      </c>
      <c r="AG1247" s="160" t="s">
        <v>2479</v>
      </c>
      <c r="AH1247" s="194" t="s">
        <v>679</v>
      </c>
      <c r="AI1247" s="6">
        <v>215581</v>
      </c>
      <c r="AJ1247" s="3" t="s">
        <v>8266</v>
      </c>
      <c r="AK1247" t="s">
        <v>8266</v>
      </c>
      <c r="AV1247"/>
      <c r="AX1247"/>
      <c r="AZ1247" t="str">
        <f t="shared" si="259"/>
        <v/>
      </c>
      <c r="BA1247" t="str">
        <f t="shared" si="260"/>
        <v/>
      </c>
    </row>
    <row r="1248" spans="3:53" ht="13.5">
      <c r="C1248" s="19"/>
      <c r="D1248" s="19"/>
      <c r="AC1248" s="6" t="s">
        <v>3796</v>
      </c>
      <c r="AD1248" s="6" t="s">
        <v>7167</v>
      </c>
      <c r="AE1248" s="158" t="s">
        <v>2765</v>
      </c>
      <c r="AF1248" s="159" t="s">
        <v>8383</v>
      </c>
      <c r="AG1248" s="160" t="s">
        <v>2618</v>
      </c>
      <c r="AH1248" s="194" t="s">
        <v>1314</v>
      </c>
      <c r="AI1248" s="6" t="s">
        <v>4341</v>
      </c>
      <c r="AJ1248" s="3" t="s">
        <v>8229</v>
      </c>
      <c r="AK1248" t="s">
        <v>8229</v>
      </c>
      <c r="AV1248"/>
      <c r="AX1248"/>
      <c r="AZ1248" t="str">
        <f t="shared" si="259"/>
        <v/>
      </c>
      <c r="BA1248" t="str">
        <f t="shared" si="260"/>
        <v/>
      </c>
    </row>
    <row r="1249" spans="3:53" ht="13.5">
      <c r="C1249" s="19"/>
      <c r="D1249" s="19"/>
      <c r="AC1249" s="6" t="s">
        <v>3717</v>
      </c>
      <c r="AD1249" s="6" t="s">
        <v>7167</v>
      </c>
      <c r="AE1249" s="158" t="s">
        <v>4382</v>
      </c>
      <c r="AF1249" s="159" t="s">
        <v>8299</v>
      </c>
      <c r="AG1249" s="160" t="s">
        <v>2619</v>
      </c>
      <c r="AH1249" s="194" t="s">
        <v>679</v>
      </c>
      <c r="AI1249" s="6" t="s">
        <v>2082</v>
      </c>
      <c r="AJ1249" s="3" t="s">
        <v>8227</v>
      </c>
      <c r="AK1249" t="s">
        <v>8227</v>
      </c>
      <c r="AV1249"/>
      <c r="AX1249"/>
      <c r="AZ1249" t="str">
        <f t="shared" si="259"/>
        <v/>
      </c>
      <c r="BA1249" t="str">
        <f t="shared" si="260"/>
        <v/>
      </c>
    </row>
    <row r="1250" spans="3:53" ht="13.5">
      <c r="C1250" s="19"/>
      <c r="D1250" s="19"/>
      <c r="AC1250" s="6" t="s">
        <v>3742</v>
      </c>
      <c r="AD1250" s="6" t="s">
        <v>7167</v>
      </c>
      <c r="AE1250" s="158" t="s">
        <v>2766</v>
      </c>
      <c r="AF1250" s="159" t="s">
        <v>8299</v>
      </c>
      <c r="AG1250" s="160" t="s">
        <v>2620</v>
      </c>
      <c r="AH1250" s="194" t="s">
        <v>1314</v>
      </c>
      <c r="AI1250" s="6" t="s">
        <v>2083</v>
      </c>
      <c r="AJ1250" s="3" t="s">
        <v>8227</v>
      </c>
      <c r="AK1250" t="s">
        <v>8227</v>
      </c>
      <c r="AV1250"/>
      <c r="AX1250"/>
      <c r="AZ1250" t="str">
        <f t="shared" si="259"/>
        <v/>
      </c>
      <c r="BA1250" t="str">
        <f t="shared" si="260"/>
        <v/>
      </c>
    </row>
    <row r="1251" spans="3:53" ht="13.5">
      <c r="C1251" s="19"/>
      <c r="D1251" s="19"/>
      <c r="AC1251" s="6" t="s">
        <v>3737</v>
      </c>
      <c r="AD1251" s="6" t="s">
        <v>7167</v>
      </c>
      <c r="AE1251" s="158" t="s">
        <v>2767</v>
      </c>
      <c r="AF1251" s="159" t="s">
        <v>8299</v>
      </c>
      <c r="AG1251" s="160" t="s">
        <v>135</v>
      </c>
      <c r="AH1251" s="194" t="s">
        <v>679</v>
      </c>
      <c r="AI1251" s="6" t="s">
        <v>2108</v>
      </c>
      <c r="AJ1251" s="3" t="s">
        <v>8227</v>
      </c>
      <c r="AK1251" t="s">
        <v>8227</v>
      </c>
      <c r="AV1251"/>
      <c r="AX1251"/>
      <c r="AZ1251" t="str">
        <f t="shared" si="259"/>
        <v/>
      </c>
      <c r="BA1251" t="str">
        <f t="shared" si="260"/>
        <v/>
      </c>
    </row>
    <row r="1252" spans="3:53" ht="13.5">
      <c r="C1252" s="19"/>
      <c r="D1252" s="19"/>
      <c r="AC1252" s="6" t="s">
        <v>3733</v>
      </c>
      <c r="AD1252" s="6" t="s">
        <v>7167</v>
      </c>
      <c r="AE1252" s="158" t="s">
        <v>2768</v>
      </c>
      <c r="AF1252" s="159" t="s">
        <v>8299</v>
      </c>
      <c r="AG1252" s="160" t="s">
        <v>1472</v>
      </c>
      <c r="AH1252" s="194" t="s">
        <v>679</v>
      </c>
      <c r="AI1252" s="6">
        <v>313557</v>
      </c>
      <c r="AJ1252" s="3" t="s">
        <v>8199</v>
      </c>
      <c r="AK1252" t="s">
        <v>8199</v>
      </c>
      <c r="AV1252"/>
      <c r="AX1252"/>
      <c r="AZ1252" t="str">
        <f t="shared" si="259"/>
        <v/>
      </c>
      <c r="BA1252" t="str">
        <f t="shared" si="260"/>
        <v/>
      </c>
    </row>
    <row r="1253" spans="3:53" ht="13.5">
      <c r="C1253" s="19"/>
      <c r="D1253" s="19"/>
      <c r="AC1253" s="6" t="s">
        <v>3806</v>
      </c>
      <c r="AD1253" s="6" t="s">
        <v>7167</v>
      </c>
      <c r="AE1253" s="158" t="s">
        <v>2769</v>
      </c>
      <c r="AF1253" s="159" t="s">
        <v>8297</v>
      </c>
      <c r="AG1253" s="160" t="s">
        <v>1644</v>
      </c>
      <c r="AH1253" s="194" t="s">
        <v>679</v>
      </c>
      <c r="AI1253" s="6">
        <v>313566</v>
      </c>
      <c r="AJ1253" s="3" t="s">
        <v>8245</v>
      </c>
      <c r="AK1253" t="s">
        <v>8676</v>
      </c>
      <c r="AV1253"/>
      <c r="AX1253"/>
      <c r="AZ1253" t="str">
        <f t="shared" si="259"/>
        <v/>
      </c>
      <c r="BA1253" t="str">
        <f t="shared" si="260"/>
        <v/>
      </c>
    </row>
    <row r="1254" spans="3:53" ht="13.5">
      <c r="C1254" s="19"/>
      <c r="D1254" s="19"/>
      <c r="AC1254" s="6" t="s">
        <v>5277</v>
      </c>
      <c r="AD1254" s="6" t="s">
        <v>7167</v>
      </c>
      <c r="AE1254" s="158" t="s">
        <v>2770</v>
      </c>
      <c r="AF1254" s="159" t="s">
        <v>8382</v>
      </c>
      <c r="AG1254" s="160" t="s">
        <v>136</v>
      </c>
      <c r="AH1254" s="194" t="s">
        <v>679</v>
      </c>
      <c r="AI1254" s="6">
        <v>355309</v>
      </c>
      <c r="AJ1254" s="3" t="s">
        <v>8238</v>
      </c>
      <c r="AK1254" t="s">
        <v>8673</v>
      </c>
      <c r="AV1254"/>
      <c r="AX1254"/>
      <c r="AZ1254" t="str">
        <f t="shared" si="259"/>
        <v/>
      </c>
      <c r="BA1254" t="str">
        <f t="shared" si="260"/>
        <v/>
      </c>
    </row>
    <row r="1255" spans="3:53" ht="13.5">
      <c r="C1255" s="19"/>
      <c r="D1255" s="19"/>
      <c r="AC1255" s="6" t="s">
        <v>13</v>
      </c>
      <c r="AD1255" s="6" t="s">
        <v>7167</v>
      </c>
      <c r="AE1255" s="158" t="s">
        <v>4366</v>
      </c>
      <c r="AF1255" s="159" t="s">
        <v>8297</v>
      </c>
      <c r="AG1255" s="160" t="s">
        <v>4415</v>
      </c>
      <c r="AH1255" s="194" t="s">
        <v>4700</v>
      </c>
      <c r="AI1255" s="6" t="s">
        <v>2121</v>
      </c>
      <c r="AJ1255" s="3" t="s">
        <v>8258</v>
      </c>
      <c r="AK1255" t="s">
        <v>8258</v>
      </c>
      <c r="AV1255"/>
      <c r="AX1255"/>
      <c r="AZ1255" t="str">
        <f t="shared" si="259"/>
        <v/>
      </c>
      <c r="BA1255" t="str">
        <f t="shared" si="260"/>
        <v/>
      </c>
    </row>
    <row r="1256" spans="3:53" ht="13.5">
      <c r="C1256" s="19"/>
      <c r="D1256" s="19"/>
      <c r="AC1256" s="6" t="s">
        <v>940</v>
      </c>
      <c r="AD1256" s="6" t="s">
        <v>7167</v>
      </c>
      <c r="AE1256" s="158" t="s">
        <v>4367</v>
      </c>
      <c r="AF1256" s="159" t="s">
        <v>8299</v>
      </c>
      <c r="AG1256" s="160" t="s">
        <v>2380</v>
      </c>
      <c r="AH1256" s="194" t="s">
        <v>4700</v>
      </c>
      <c r="AI1256" s="6" t="s">
        <v>2124</v>
      </c>
      <c r="AJ1256" s="3" t="s">
        <v>8258</v>
      </c>
      <c r="AK1256" t="s">
        <v>8258</v>
      </c>
      <c r="AV1256"/>
      <c r="AX1256"/>
      <c r="AZ1256" t="str">
        <f t="shared" si="259"/>
        <v/>
      </c>
      <c r="BA1256" t="str">
        <f t="shared" si="260"/>
        <v/>
      </c>
    </row>
    <row r="1257" spans="3:53" ht="13.5">
      <c r="C1257" s="19"/>
      <c r="D1257" s="19"/>
      <c r="AC1257" s="6" t="s">
        <v>3729</v>
      </c>
      <c r="AD1257" s="6" t="s">
        <v>7167</v>
      </c>
      <c r="AE1257" s="158" t="s">
        <v>4368</v>
      </c>
      <c r="AF1257" s="159" t="s">
        <v>8332</v>
      </c>
      <c r="AG1257" s="160" t="s">
        <v>5342</v>
      </c>
      <c r="AH1257" s="194" t="s">
        <v>679</v>
      </c>
      <c r="AI1257" s="6" t="s">
        <v>2128</v>
      </c>
      <c r="AJ1257" s="3" t="s">
        <v>8258</v>
      </c>
      <c r="AK1257" t="s">
        <v>8258</v>
      </c>
      <c r="AV1257"/>
      <c r="AX1257"/>
      <c r="AZ1257" t="str">
        <f t="shared" si="259"/>
        <v/>
      </c>
      <c r="BA1257" t="str">
        <f t="shared" si="260"/>
        <v/>
      </c>
    </row>
    <row r="1258" spans="3:53" ht="13.5">
      <c r="C1258" s="19"/>
      <c r="D1258" s="19"/>
      <c r="AC1258" s="6" t="s">
        <v>3802</v>
      </c>
      <c r="AD1258" s="6" t="s">
        <v>7167</v>
      </c>
      <c r="AE1258" s="158" t="s">
        <v>4370</v>
      </c>
      <c r="AF1258" s="159" t="s">
        <v>8299</v>
      </c>
      <c r="AG1258" s="160" t="s">
        <v>57</v>
      </c>
      <c r="AH1258" s="194" t="s">
        <v>679</v>
      </c>
      <c r="AI1258" s="6" t="s">
        <v>2146</v>
      </c>
      <c r="AJ1258" s="3" t="s">
        <v>8243</v>
      </c>
      <c r="AK1258" t="s">
        <v>8243</v>
      </c>
      <c r="AV1258"/>
      <c r="AX1258"/>
      <c r="AZ1258" t="str">
        <f t="shared" si="259"/>
        <v/>
      </c>
      <c r="BA1258" t="str">
        <f t="shared" si="260"/>
        <v/>
      </c>
    </row>
    <row r="1259" spans="3:53" ht="13.5">
      <c r="C1259" s="19"/>
      <c r="D1259" s="19"/>
      <c r="AC1259" s="6" t="s">
        <v>3711</v>
      </c>
      <c r="AD1259" s="6" t="s">
        <v>7167</v>
      </c>
      <c r="AE1259" s="158" t="s">
        <v>4371</v>
      </c>
      <c r="AF1259" s="159" t="s">
        <v>8299</v>
      </c>
      <c r="AG1259" s="160" t="s">
        <v>3632</v>
      </c>
      <c r="AH1259" s="194" t="s">
        <v>678</v>
      </c>
      <c r="AI1259" s="6" t="s">
        <v>2802</v>
      </c>
      <c r="AJ1259" s="3" t="s">
        <v>8206</v>
      </c>
      <c r="AK1259" t="s">
        <v>8206</v>
      </c>
      <c r="AV1259"/>
      <c r="AX1259"/>
      <c r="AZ1259" t="str">
        <f t="shared" si="259"/>
        <v/>
      </c>
      <c r="BA1259" t="str">
        <f t="shared" si="260"/>
        <v/>
      </c>
    </row>
    <row r="1260" spans="3:53" ht="13.5">
      <c r="C1260" s="19"/>
      <c r="D1260" s="19"/>
      <c r="AC1260" s="6" t="s">
        <v>3818</v>
      </c>
      <c r="AD1260" s="6" t="s">
        <v>7167</v>
      </c>
      <c r="AE1260" s="158" t="s">
        <v>4244</v>
      </c>
      <c r="AF1260" s="159" t="s">
        <v>8299</v>
      </c>
      <c r="AG1260" s="160" t="s">
        <v>3633</v>
      </c>
      <c r="AH1260" s="194" t="s">
        <v>679</v>
      </c>
      <c r="AI1260" s="6" t="s">
        <v>2360</v>
      </c>
      <c r="AJ1260" s="3" t="s">
        <v>8237</v>
      </c>
      <c r="AK1260" t="s">
        <v>8237</v>
      </c>
      <c r="AV1260"/>
      <c r="AX1260"/>
      <c r="AZ1260" t="str">
        <f t="shared" si="259"/>
        <v/>
      </c>
      <c r="BA1260" t="str">
        <f t="shared" si="260"/>
        <v/>
      </c>
    </row>
    <row r="1261" spans="3:53" ht="13.5">
      <c r="C1261" s="19"/>
      <c r="D1261" s="19"/>
      <c r="AC1261" s="6" t="s">
        <v>3807</v>
      </c>
      <c r="AD1261" s="6" t="s">
        <v>7167</v>
      </c>
      <c r="AE1261" s="158" t="s">
        <v>4383</v>
      </c>
      <c r="AF1261" s="159" t="s">
        <v>8297</v>
      </c>
      <c r="AG1261" s="160" t="s">
        <v>3634</v>
      </c>
      <c r="AH1261" s="194" t="s">
        <v>679</v>
      </c>
      <c r="AI1261" s="6" t="s">
        <v>2363</v>
      </c>
      <c r="AJ1261" s="3" t="s">
        <v>8206</v>
      </c>
      <c r="AK1261" t="s">
        <v>8206</v>
      </c>
      <c r="AV1261"/>
      <c r="AX1261"/>
      <c r="AZ1261" t="str">
        <f t="shared" si="259"/>
        <v/>
      </c>
      <c r="BA1261" t="str">
        <f t="shared" si="260"/>
        <v/>
      </c>
    </row>
    <row r="1262" spans="3:53" ht="13.5">
      <c r="C1262" s="19"/>
      <c r="D1262" s="19"/>
      <c r="AC1262" s="6" t="s">
        <v>3801</v>
      </c>
      <c r="AD1262" s="6" t="s">
        <v>7167</v>
      </c>
      <c r="AE1262" s="158" t="s">
        <v>4384</v>
      </c>
      <c r="AF1262" s="159" t="s">
        <v>8311</v>
      </c>
      <c r="AG1262" s="160" t="s">
        <v>3635</v>
      </c>
      <c r="AH1262" s="194" t="s">
        <v>679</v>
      </c>
      <c r="AI1262" s="6" t="s">
        <v>4399</v>
      </c>
      <c r="AJ1262" s="3" t="s">
        <v>8259</v>
      </c>
      <c r="AK1262" t="s">
        <v>8677</v>
      </c>
      <c r="AV1262"/>
      <c r="AX1262"/>
      <c r="AZ1262" t="str">
        <f t="shared" si="259"/>
        <v/>
      </c>
      <c r="BA1262" t="str">
        <f t="shared" si="260"/>
        <v/>
      </c>
    </row>
    <row r="1263" spans="3:53" ht="13.5">
      <c r="C1263" s="19"/>
      <c r="D1263" s="19"/>
      <c r="AC1263" s="6" t="s">
        <v>3765</v>
      </c>
      <c r="AD1263" s="6" t="s">
        <v>7167</v>
      </c>
      <c r="AE1263" s="158" t="s">
        <v>4385</v>
      </c>
      <c r="AF1263" s="159" t="s">
        <v>8296</v>
      </c>
      <c r="AG1263" s="160" t="s">
        <v>3636</v>
      </c>
      <c r="AH1263" s="194" t="s">
        <v>679</v>
      </c>
      <c r="AI1263" s="6">
        <v>605403</v>
      </c>
      <c r="AJ1263" s="3" t="s">
        <v>8211</v>
      </c>
      <c r="AK1263" t="s">
        <v>8242</v>
      </c>
      <c r="AV1263"/>
      <c r="AX1263"/>
      <c r="AZ1263" t="str">
        <f t="shared" si="259"/>
        <v/>
      </c>
      <c r="BA1263" t="str">
        <f t="shared" si="260"/>
        <v/>
      </c>
    </row>
    <row r="1264" spans="3:53" ht="13.5">
      <c r="C1264" s="19"/>
      <c r="D1264" s="19"/>
      <c r="AC1264" s="6" t="s">
        <v>3748</v>
      </c>
      <c r="AD1264" s="6" t="s">
        <v>7167</v>
      </c>
      <c r="AE1264" s="158" t="s">
        <v>4395</v>
      </c>
      <c r="AF1264" s="159" t="s">
        <v>8300</v>
      </c>
      <c r="AG1264" s="160" t="s">
        <v>3637</v>
      </c>
      <c r="AH1264" s="194" t="s">
        <v>678</v>
      </c>
      <c r="AI1264" s="6">
        <v>665437</v>
      </c>
      <c r="AJ1264" s="3" t="s">
        <v>8231</v>
      </c>
      <c r="AK1264" t="s">
        <v>8238</v>
      </c>
      <c r="AV1264"/>
      <c r="AX1264"/>
      <c r="AZ1264" t="str">
        <f t="shared" si="259"/>
        <v/>
      </c>
      <c r="BA1264" t="str">
        <f t="shared" si="260"/>
        <v/>
      </c>
    </row>
    <row r="1265" spans="3:53" ht="13.5">
      <c r="C1265" s="19"/>
      <c r="D1265" s="19"/>
      <c r="AC1265" s="6" t="s">
        <v>3732</v>
      </c>
      <c r="AD1265" s="6" t="s">
        <v>7167</v>
      </c>
      <c r="AE1265" s="158" t="s">
        <v>4386</v>
      </c>
      <c r="AF1265" s="159" t="s">
        <v>8309</v>
      </c>
      <c r="AG1265" s="160" t="s">
        <v>3638</v>
      </c>
      <c r="AH1265" s="194" t="s">
        <v>679</v>
      </c>
      <c r="AI1265" s="6">
        <v>725451</v>
      </c>
      <c r="AJ1265" s="3" t="s">
        <v>8235</v>
      </c>
      <c r="AK1265" t="s">
        <v>8672</v>
      </c>
      <c r="AV1265"/>
      <c r="AX1265"/>
      <c r="AZ1265" t="str">
        <f t="shared" si="259"/>
        <v/>
      </c>
      <c r="BA1265" t="str">
        <f t="shared" si="260"/>
        <v/>
      </c>
    </row>
    <row r="1266" spans="3:53" ht="13.5">
      <c r="C1266" s="19"/>
      <c r="D1266" s="19"/>
      <c r="AC1266" s="6" t="s">
        <v>3786</v>
      </c>
      <c r="AD1266" s="6" t="s">
        <v>7167</v>
      </c>
      <c r="AE1266" s="158" t="s">
        <v>4387</v>
      </c>
      <c r="AF1266" s="159" t="s">
        <v>8299</v>
      </c>
      <c r="AG1266" s="160" t="s">
        <v>3639</v>
      </c>
      <c r="AH1266" s="194" t="s">
        <v>679</v>
      </c>
      <c r="AI1266" s="6">
        <v>826337</v>
      </c>
      <c r="AJ1266" s="3" t="s">
        <v>8237</v>
      </c>
      <c r="AK1266" t="s">
        <v>8237</v>
      </c>
      <c r="AV1266"/>
      <c r="AX1266"/>
      <c r="AZ1266" t="str">
        <f t="shared" si="259"/>
        <v/>
      </c>
      <c r="BA1266" t="str">
        <f t="shared" si="260"/>
        <v/>
      </c>
    </row>
    <row r="1267" spans="3:53" ht="13.5">
      <c r="C1267" s="19"/>
      <c r="D1267" s="19"/>
      <c r="AC1267" s="6" t="s">
        <v>3764</v>
      </c>
      <c r="AD1267" s="6" t="s">
        <v>7167</v>
      </c>
      <c r="AE1267" s="158" t="s">
        <v>3677</v>
      </c>
      <c r="AF1267" s="159" t="s">
        <v>8299</v>
      </c>
      <c r="AG1267" s="160" t="s">
        <v>3640</v>
      </c>
      <c r="AH1267" s="194" t="s">
        <v>679</v>
      </c>
      <c r="AI1267" s="6">
        <v>826343</v>
      </c>
      <c r="AJ1267" s="3" t="s">
        <v>8237</v>
      </c>
      <c r="AK1267" t="s">
        <v>8237</v>
      </c>
      <c r="AV1267"/>
      <c r="AX1267"/>
      <c r="AZ1267" t="str">
        <f t="shared" si="259"/>
        <v/>
      </c>
      <c r="BA1267" t="str">
        <f t="shared" si="260"/>
        <v/>
      </c>
    </row>
    <row r="1268" spans="3:53" ht="13.5">
      <c r="C1268" s="19"/>
      <c r="D1268" s="19"/>
      <c r="AC1268" s="6" t="s">
        <v>3785</v>
      </c>
      <c r="AD1268" s="6" t="s">
        <v>7167</v>
      </c>
      <c r="AE1268" s="158">
        <v>816558</v>
      </c>
      <c r="AF1268" s="159" t="s">
        <v>8300</v>
      </c>
      <c r="AG1268" s="160" t="s">
        <v>3641</v>
      </c>
      <c r="AH1268" s="194" t="s">
        <v>679</v>
      </c>
      <c r="AI1268" s="6">
        <v>876396</v>
      </c>
      <c r="AJ1268" s="3" t="s">
        <v>8274</v>
      </c>
      <c r="AK1268" t="s">
        <v>8274</v>
      </c>
      <c r="AV1268"/>
      <c r="AX1268"/>
      <c r="AZ1268" t="str">
        <f t="shared" si="259"/>
        <v/>
      </c>
      <c r="BA1268" t="str">
        <f t="shared" si="260"/>
        <v/>
      </c>
    </row>
    <row r="1269" spans="3:53" ht="13.5">
      <c r="C1269" s="19"/>
      <c r="D1269" s="19"/>
      <c r="AC1269" s="6" t="s">
        <v>3782</v>
      </c>
      <c r="AD1269" s="6" t="s">
        <v>7167</v>
      </c>
      <c r="AE1269" s="158">
        <v>116559</v>
      </c>
      <c r="AF1269" s="159" t="s">
        <v>8300</v>
      </c>
      <c r="AG1269" s="160" t="s">
        <v>3642</v>
      </c>
      <c r="AH1269" s="194" t="s">
        <v>679</v>
      </c>
      <c r="AI1269" s="6">
        <v>886401</v>
      </c>
      <c r="AJ1269" s="3" t="s">
        <v>8253</v>
      </c>
      <c r="AK1269" t="s">
        <v>8253</v>
      </c>
      <c r="AV1269"/>
      <c r="AX1269"/>
      <c r="AZ1269" t="str">
        <f t="shared" si="259"/>
        <v/>
      </c>
      <c r="BA1269" t="str">
        <f t="shared" si="260"/>
        <v/>
      </c>
    </row>
    <row r="1270" spans="3:53" ht="13.5">
      <c r="C1270" s="19"/>
      <c r="D1270" s="19"/>
      <c r="AC1270" s="6" t="s">
        <v>4480</v>
      </c>
      <c r="AD1270" s="6" t="s">
        <v>7167</v>
      </c>
      <c r="AE1270" s="158" t="s">
        <v>4388</v>
      </c>
      <c r="AF1270" s="159" t="s">
        <v>8300</v>
      </c>
      <c r="AG1270" s="160" t="s">
        <v>3643</v>
      </c>
      <c r="AH1270" s="194" t="s">
        <v>679</v>
      </c>
      <c r="AI1270" s="6">
        <v>926429</v>
      </c>
      <c r="AJ1270" s="3" t="s">
        <v>8279</v>
      </c>
      <c r="AK1270" t="s">
        <v>8679</v>
      </c>
      <c r="AV1270"/>
      <c r="AX1270"/>
      <c r="AZ1270" t="str">
        <f t="shared" si="259"/>
        <v/>
      </c>
      <c r="BA1270" t="str">
        <f t="shared" si="260"/>
        <v/>
      </c>
    </row>
    <row r="1271" spans="3:53" ht="13.5">
      <c r="C1271" s="19"/>
      <c r="D1271" s="19"/>
      <c r="AC1271" s="6" t="s">
        <v>3763</v>
      </c>
      <c r="AD1271" s="6" t="s">
        <v>7167</v>
      </c>
      <c r="AE1271" s="158" t="s">
        <v>4389</v>
      </c>
      <c r="AF1271" s="159" t="s">
        <v>8300</v>
      </c>
      <c r="AG1271" s="160" t="s">
        <v>3644</v>
      </c>
      <c r="AH1271" s="194" t="s">
        <v>679</v>
      </c>
      <c r="AI1271" s="6">
        <v>936433</v>
      </c>
      <c r="AJ1271" s="3" t="s">
        <v>8280</v>
      </c>
      <c r="AK1271" t="s">
        <v>8280</v>
      </c>
      <c r="AV1271"/>
      <c r="AX1271"/>
      <c r="AZ1271" t="str">
        <f t="shared" si="259"/>
        <v/>
      </c>
      <c r="BA1271" t="str">
        <f t="shared" si="260"/>
        <v/>
      </c>
    </row>
    <row r="1272" spans="3:53" ht="13.5">
      <c r="C1272" s="19"/>
      <c r="D1272" s="19"/>
      <c r="AC1272" s="6" t="s">
        <v>3727</v>
      </c>
      <c r="AD1272" s="6" t="s">
        <v>7167</v>
      </c>
      <c r="AE1272" s="158" t="s">
        <v>2780</v>
      </c>
      <c r="AF1272" s="159" t="s">
        <v>8299</v>
      </c>
      <c r="AG1272" s="160" t="s">
        <v>4481</v>
      </c>
      <c r="AH1272" s="194" t="s">
        <v>679</v>
      </c>
      <c r="AI1272" s="6">
        <v>976449</v>
      </c>
      <c r="AJ1272" s="3" t="s">
        <v>8256</v>
      </c>
      <c r="AK1272" t="s">
        <v>8256</v>
      </c>
      <c r="AV1272"/>
      <c r="AX1272"/>
      <c r="AZ1272" t="str">
        <f t="shared" si="259"/>
        <v/>
      </c>
      <c r="BA1272" t="str">
        <f t="shared" si="260"/>
        <v/>
      </c>
    </row>
    <row r="1273" spans="3:53" ht="13.5">
      <c r="C1273" s="19"/>
      <c r="D1273" s="19"/>
      <c r="AC1273" s="6" t="s">
        <v>4760</v>
      </c>
      <c r="AD1273" s="6" t="s">
        <v>7167</v>
      </c>
      <c r="AE1273" s="158" t="s">
        <v>4183</v>
      </c>
      <c r="AF1273" s="159" t="s">
        <v>8299</v>
      </c>
      <c r="AG1273" s="161" t="s">
        <v>3645</v>
      </c>
      <c r="AH1273" s="194" t="s">
        <v>679</v>
      </c>
      <c r="AI1273" s="6">
        <v>976453</v>
      </c>
      <c r="AJ1273" s="3" t="s">
        <v>8256</v>
      </c>
      <c r="AK1273" t="s">
        <v>8256</v>
      </c>
      <c r="AV1273"/>
      <c r="AX1273"/>
      <c r="AZ1273" t="str">
        <f t="shared" si="259"/>
        <v/>
      </c>
      <c r="BA1273" t="str">
        <f t="shared" si="260"/>
        <v/>
      </c>
    </row>
    <row r="1274" spans="3:53" ht="13.5">
      <c r="C1274" s="19"/>
      <c r="D1274" s="19"/>
      <c r="AC1274" s="6" t="s">
        <v>3781</v>
      </c>
      <c r="AD1274" s="6" t="s">
        <v>7167</v>
      </c>
      <c r="AE1274" s="158" t="s">
        <v>4185</v>
      </c>
      <c r="AF1274" s="159" t="s">
        <v>8299</v>
      </c>
      <c r="AG1274" s="160" t="s">
        <v>3646</v>
      </c>
      <c r="AH1274" s="194" t="s">
        <v>678</v>
      </c>
      <c r="AI1274" s="6">
        <v>986460</v>
      </c>
      <c r="AJ1274" s="3" t="s">
        <v>8242</v>
      </c>
      <c r="AK1274" t="s">
        <v>8281</v>
      </c>
      <c r="AV1274"/>
      <c r="AX1274"/>
      <c r="AZ1274" t="str">
        <f t="shared" ref="AZ1274:AZ1337" si="261">IF(ISBLANK(AW1274),"",CONCATENATE("(",RIGHT(AW1274,5),"-",TEXT(AX1274,"h:mm;@"),")"))</f>
        <v/>
      </c>
      <c r="BA1274" t="str">
        <f t="shared" ref="BA1274:BA1337" si="262">IF(AV1290=AV1274,"",CONCATENATE(IF(AV1289=AV1274,BA1289,""),IF(AV1288=AV1274,BA1288,""),IF(AV1287=AV1274,BA1287,""),IF(AV1286=AV1274,BA1286,""),IF(AV1285=AV1274,BA1285,""),IF(AV1284=AV1274,BA1284,""),IF(AV1283=AV1274,BA1283,""),IF(AV1282=AV1274,BA1282,""),IF(AV1281=AV1274,BA1281,""),IF(AV1280=AV1274,BA1280,""),IF(AV1279=AV1274,BA1279,""),IF(AV1278=AV1274,BA1278,""),IF(AV1277=AV1274,BA1277,""),IF(AV1276=AV1274,BA1276,""),IF(AV1275=AV1274,BA1275,""),IF(AV1273=AV1274,BA1273,""),BA1274))</f>
        <v/>
      </c>
    </row>
    <row r="1275" spans="3:53" ht="13.5">
      <c r="C1275" s="19"/>
      <c r="D1275" s="19"/>
      <c r="AC1275" s="6" t="s">
        <v>3736</v>
      </c>
      <c r="AD1275" s="6" t="s">
        <v>7167</v>
      </c>
      <c r="AE1275" s="158" t="s">
        <v>4186</v>
      </c>
      <c r="AF1275" s="159" t="s">
        <v>8320</v>
      </c>
      <c r="AG1275" s="160" t="s">
        <v>3647</v>
      </c>
      <c r="AH1275" s="194" t="s">
        <v>679</v>
      </c>
      <c r="AI1275" s="6" t="s">
        <v>6634</v>
      </c>
      <c r="AJ1275" s="3" t="s">
        <v>8261</v>
      </c>
      <c r="AK1275" t="s">
        <v>8261</v>
      </c>
      <c r="AV1275"/>
      <c r="AX1275"/>
      <c r="AZ1275" t="str">
        <f t="shared" si="261"/>
        <v/>
      </c>
      <c r="BA1275" t="str">
        <f t="shared" si="262"/>
        <v/>
      </c>
    </row>
    <row r="1276" spans="3:53" ht="13.5">
      <c r="C1276" s="19"/>
      <c r="D1276" s="19"/>
      <c r="AC1276" s="6" t="s">
        <v>3741</v>
      </c>
      <c r="AD1276" s="6" t="s">
        <v>7167</v>
      </c>
      <c r="AE1276" s="158" t="s">
        <v>4187</v>
      </c>
      <c r="AF1276" s="159" t="s">
        <v>8299</v>
      </c>
      <c r="AG1276" s="160" t="s">
        <v>968</v>
      </c>
      <c r="AH1276" s="194" t="s">
        <v>679</v>
      </c>
      <c r="AI1276" s="6" t="s">
        <v>1324</v>
      </c>
      <c r="AJ1276" s="3" t="s">
        <v>8201</v>
      </c>
      <c r="AK1276" t="s">
        <v>8666</v>
      </c>
      <c r="AV1276"/>
      <c r="AX1276"/>
      <c r="AZ1276" t="str">
        <f t="shared" si="261"/>
        <v/>
      </c>
      <c r="BA1276" t="str">
        <f t="shared" si="262"/>
        <v/>
      </c>
    </row>
    <row r="1277" spans="3:53" ht="13.5">
      <c r="C1277" s="19"/>
      <c r="D1277" s="19"/>
      <c r="AC1277" s="6" t="s">
        <v>3800</v>
      </c>
      <c r="AD1277" s="6" t="s">
        <v>7167</v>
      </c>
      <c r="AE1277" s="158" t="s">
        <v>4188</v>
      </c>
      <c r="AF1277" s="159" t="s">
        <v>8299</v>
      </c>
      <c r="AG1277" s="160" t="s">
        <v>56</v>
      </c>
      <c r="AH1277" s="194" t="s">
        <v>679</v>
      </c>
      <c r="AI1277" s="6" t="s">
        <v>2320</v>
      </c>
      <c r="AJ1277" s="3" t="s">
        <v>8237</v>
      </c>
      <c r="AK1277" t="s">
        <v>8237</v>
      </c>
      <c r="AV1277"/>
      <c r="AX1277"/>
      <c r="AZ1277" t="str">
        <f t="shared" si="261"/>
        <v/>
      </c>
      <c r="BA1277" t="str">
        <f t="shared" si="262"/>
        <v/>
      </c>
    </row>
    <row r="1278" spans="3:53" ht="13.5">
      <c r="C1278" s="19"/>
      <c r="D1278" s="19"/>
      <c r="AC1278" s="6" t="s">
        <v>5539</v>
      </c>
      <c r="AD1278" s="6" t="s">
        <v>7167</v>
      </c>
      <c r="AE1278" s="158" t="s">
        <v>4189</v>
      </c>
      <c r="AF1278" s="159" t="s">
        <v>8299</v>
      </c>
      <c r="AG1278" s="160" t="s">
        <v>5064</v>
      </c>
      <c r="AH1278" s="194" t="s">
        <v>679</v>
      </c>
      <c r="AI1278" s="6" t="s">
        <v>3633</v>
      </c>
      <c r="AJ1278" s="3" t="s">
        <v>8199</v>
      </c>
      <c r="AK1278" t="s">
        <v>8199</v>
      </c>
      <c r="AV1278"/>
      <c r="AX1278"/>
      <c r="AZ1278" t="str">
        <f t="shared" si="261"/>
        <v/>
      </c>
      <c r="BA1278" t="str">
        <f t="shared" si="262"/>
        <v/>
      </c>
    </row>
    <row r="1279" spans="3:53" ht="13.5">
      <c r="C1279" s="19"/>
      <c r="D1279" s="19"/>
      <c r="AC1279" s="6" t="s">
        <v>3713</v>
      </c>
      <c r="AD1279" s="6" t="s">
        <v>7167</v>
      </c>
      <c r="AE1279" s="158" t="s">
        <v>4190</v>
      </c>
      <c r="AF1279" s="159" t="s">
        <v>8299</v>
      </c>
      <c r="AG1279" s="160" t="s">
        <v>3648</v>
      </c>
      <c r="AH1279" s="194" t="s">
        <v>1314</v>
      </c>
      <c r="AI1279" s="6" t="s">
        <v>1573</v>
      </c>
      <c r="AJ1279" s="3" t="s">
        <v>8224</v>
      </c>
      <c r="AK1279" t="s">
        <v>8224</v>
      </c>
      <c r="AV1279"/>
      <c r="AX1279"/>
      <c r="AZ1279" t="str">
        <f t="shared" si="261"/>
        <v/>
      </c>
      <c r="BA1279" t="str">
        <f t="shared" si="262"/>
        <v/>
      </c>
    </row>
    <row r="1280" spans="3:53" ht="13.5">
      <c r="C1280" s="19"/>
      <c r="D1280" s="19"/>
      <c r="AC1280" s="6" t="s">
        <v>3799</v>
      </c>
      <c r="AD1280" s="6" t="s">
        <v>7167</v>
      </c>
      <c r="AE1280" s="158" t="s">
        <v>4191</v>
      </c>
      <c r="AF1280" s="159" t="s">
        <v>8299</v>
      </c>
      <c r="AG1280" s="160" t="s">
        <v>3649</v>
      </c>
      <c r="AH1280" s="194" t="s">
        <v>679</v>
      </c>
      <c r="AI1280" s="6" t="s">
        <v>3869</v>
      </c>
      <c r="AJ1280" s="3" t="s">
        <v>8266</v>
      </c>
      <c r="AK1280" t="s">
        <v>8266</v>
      </c>
      <c r="AV1280"/>
      <c r="AX1280"/>
      <c r="AZ1280" t="str">
        <f t="shared" si="261"/>
        <v/>
      </c>
      <c r="BA1280" t="str">
        <f t="shared" si="262"/>
        <v/>
      </c>
    </row>
    <row r="1281" spans="3:53" ht="13.5">
      <c r="C1281" s="19"/>
      <c r="D1281" s="19"/>
      <c r="AC1281" s="6" t="s">
        <v>3773</v>
      </c>
      <c r="AD1281" s="6" t="s">
        <v>7167</v>
      </c>
      <c r="AE1281" s="158" t="s">
        <v>4192</v>
      </c>
      <c r="AF1281" s="159" t="s">
        <v>8299</v>
      </c>
      <c r="AG1281" s="160" t="s">
        <v>3650</v>
      </c>
      <c r="AH1281" s="194" t="s">
        <v>679</v>
      </c>
      <c r="AI1281" s="6" t="s">
        <v>3902</v>
      </c>
      <c r="AJ1281" s="3" t="s">
        <v>8265</v>
      </c>
      <c r="AK1281" t="s">
        <v>8265</v>
      </c>
      <c r="AV1281"/>
      <c r="AX1281"/>
      <c r="AZ1281" t="str">
        <f t="shared" si="261"/>
        <v/>
      </c>
      <c r="BA1281" t="str">
        <f t="shared" si="262"/>
        <v/>
      </c>
    </row>
    <row r="1282" spans="3:53" ht="13.5">
      <c r="C1282" s="19"/>
      <c r="D1282" s="19"/>
      <c r="AC1282" s="6" t="s">
        <v>3784</v>
      </c>
      <c r="AD1282" s="6" t="s">
        <v>7167</v>
      </c>
      <c r="AE1282" s="158" t="s">
        <v>4193</v>
      </c>
      <c r="AF1282" s="159" t="s">
        <v>8299</v>
      </c>
      <c r="AG1282" s="160" t="s">
        <v>3651</v>
      </c>
      <c r="AH1282" s="194" t="s">
        <v>679</v>
      </c>
      <c r="AI1282" s="6" t="s">
        <v>930</v>
      </c>
      <c r="AJ1282" s="3" t="s">
        <v>8215</v>
      </c>
      <c r="AK1282" t="s">
        <v>8215</v>
      </c>
      <c r="AV1282"/>
      <c r="AX1282"/>
      <c r="AZ1282" t="str">
        <f t="shared" si="261"/>
        <v/>
      </c>
      <c r="BA1282" t="str">
        <f t="shared" si="262"/>
        <v/>
      </c>
    </row>
    <row r="1283" spans="3:53" ht="13.5">
      <c r="C1283" s="19"/>
      <c r="D1283" s="19"/>
      <c r="AC1283" s="6" t="s">
        <v>3798</v>
      </c>
      <c r="AD1283" s="6" t="s">
        <v>7167</v>
      </c>
      <c r="AE1283" s="158" t="s">
        <v>4194</v>
      </c>
      <c r="AF1283" s="159" t="s">
        <v>8299</v>
      </c>
      <c r="AG1283" s="160" t="s">
        <v>3652</v>
      </c>
      <c r="AH1283" s="194" t="s">
        <v>679</v>
      </c>
      <c r="AI1283" s="6" t="s">
        <v>636</v>
      </c>
      <c r="AJ1283" s="3" t="s">
        <v>8216</v>
      </c>
      <c r="AK1283" t="s">
        <v>8216</v>
      </c>
      <c r="AV1283"/>
      <c r="AX1283"/>
      <c r="AZ1283" t="str">
        <f t="shared" si="261"/>
        <v/>
      </c>
      <c r="BA1283" t="str">
        <f t="shared" si="262"/>
        <v/>
      </c>
    </row>
    <row r="1284" spans="3:53" ht="13.5">
      <c r="C1284" s="19"/>
      <c r="D1284" s="19"/>
      <c r="AC1284" s="6" t="s">
        <v>4258</v>
      </c>
      <c r="AD1284" s="6" t="s">
        <v>7258</v>
      </c>
      <c r="AE1284" s="158" t="s">
        <v>4195</v>
      </c>
      <c r="AF1284" s="159" t="s">
        <v>8299</v>
      </c>
      <c r="AG1284" s="160" t="s">
        <v>3653</v>
      </c>
      <c r="AH1284" s="194" t="s">
        <v>679</v>
      </c>
      <c r="AI1284" s="6" t="s">
        <v>1905</v>
      </c>
      <c r="AJ1284" s="3" t="s">
        <v>8252</v>
      </c>
      <c r="AK1284" t="s">
        <v>8252</v>
      </c>
      <c r="AV1284"/>
      <c r="AX1284"/>
      <c r="AZ1284" t="str">
        <f t="shared" si="261"/>
        <v/>
      </c>
      <c r="BA1284" t="str">
        <f t="shared" si="262"/>
        <v/>
      </c>
    </row>
    <row r="1285" spans="3:53" ht="13.5">
      <c r="C1285" s="19"/>
      <c r="D1285" s="19"/>
      <c r="AC1285" s="6" t="s">
        <v>3826</v>
      </c>
      <c r="AD1285" s="6" t="s">
        <v>7167</v>
      </c>
      <c r="AE1285" s="158" t="s">
        <v>4196</v>
      </c>
      <c r="AF1285" s="159" t="s">
        <v>8324</v>
      </c>
      <c r="AG1285" s="160" t="s">
        <v>3654</v>
      </c>
      <c r="AH1285" s="194" t="s">
        <v>679</v>
      </c>
      <c r="AI1285" s="6" t="s">
        <v>3863</v>
      </c>
      <c r="AJ1285" s="3" t="s">
        <v>8266</v>
      </c>
      <c r="AK1285" t="s">
        <v>8266</v>
      </c>
      <c r="AV1285"/>
      <c r="AX1285"/>
      <c r="AZ1285" t="str">
        <f t="shared" si="261"/>
        <v/>
      </c>
      <c r="BA1285" t="str">
        <f t="shared" si="262"/>
        <v/>
      </c>
    </row>
    <row r="1286" spans="3:53" ht="13.5">
      <c r="C1286" s="19"/>
      <c r="D1286" s="19"/>
      <c r="AC1286" s="6" t="s">
        <v>1006</v>
      </c>
      <c r="AD1286" s="6" t="s">
        <v>7167</v>
      </c>
      <c r="AE1286" s="158" t="s">
        <v>4197</v>
      </c>
      <c r="AF1286" s="159" t="s">
        <v>8299</v>
      </c>
      <c r="AG1286" s="160" t="s">
        <v>3655</v>
      </c>
      <c r="AH1286" s="194" t="s">
        <v>679</v>
      </c>
      <c r="AI1286" s="6">
        <v>15343</v>
      </c>
      <c r="AJ1286" s="3" t="s">
        <v>8217</v>
      </c>
      <c r="AK1286" t="s">
        <v>8668</v>
      </c>
      <c r="AV1286"/>
      <c r="AX1286"/>
      <c r="AZ1286" t="str">
        <f t="shared" si="261"/>
        <v/>
      </c>
      <c r="BA1286" t="str">
        <f t="shared" si="262"/>
        <v/>
      </c>
    </row>
    <row r="1287" spans="3:53" ht="13.5">
      <c r="C1287" s="19"/>
      <c r="D1287" s="19"/>
      <c r="AC1287" s="6" t="s">
        <v>3735</v>
      </c>
      <c r="AD1287" s="6" t="s">
        <v>7167</v>
      </c>
      <c r="AE1287" s="158" t="s">
        <v>4198</v>
      </c>
      <c r="AF1287" s="159" t="s">
        <v>8299</v>
      </c>
      <c r="AG1287" s="160" t="s">
        <v>3656</v>
      </c>
      <c r="AH1287" s="194" t="s">
        <v>679</v>
      </c>
      <c r="AI1287" s="6" t="s">
        <v>1726</v>
      </c>
      <c r="AJ1287" s="3" t="s">
        <v>8252</v>
      </c>
      <c r="AK1287" t="s">
        <v>8252</v>
      </c>
      <c r="AV1287"/>
      <c r="AX1287"/>
      <c r="AZ1287" t="str">
        <f t="shared" si="261"/>
        <v/>
      </c>
      <c r="BA1287" t="str">
        <f t="shared" si="262"/>
        <v/>
      </c>
    </row>
    <row r="1288" spans="3:53" ht="13.5">
      <c r="C1288" s="19"/>
      <c r="D1288" s="19"/>
      <c r="AC1288" s="6" t="s">
        <v>3721</v>
      </c>
      <c r="AD1288" s="6" t="s">
        <v>7167</v>
      </c>
      <c r="AE1288" s="158" t="s">
        <v>4199</v>
      </c>
      <c r="AF1288" s="159" t="s">
        <v>8320</v>
      </c>
      <c r="AG1288" s="160" t="s">
        <v>3657</v>
      </c>
      <c r="AH1288" s="194" t="s">
        <v>679</v>
      </c>
      <c r="AI1288" s="6" t="s">
        <v>4357</v>
      </c>
      <c r="AJ1288" s="3" t="s">
        <v>8232</v>
      </c>
      <c r="AK1288" t="s">
        <v>8232</v>
      </c>
      <c r="AV1288"/>
      <c r="AX1288"/>
      <c r="AZ1288" t="str">
        <f t="shared" si="261"/>
        <v/>
      </c>
      <c r="BA1288" t="str">
        <f t="shared" si="262"/>
        <v/>
      </c>
    </row>
    <row r="1289" spans="3:53" ht="13.5">
      <c r="C1289" s="19"/>
      <c r="D1289" s="19"/>
      <c r="AC1289" s="6" t="s">
        <v>3747</v>
      </c>
      <c r="AD1289" s="6" t="s">
        <v>7167</v>
      </c>
      <c r="AE1289" s="158" t="s">
        <v>4200</v>
      </c>
      <c r="AF1289" s="159" t="s">
        <v>8299</v>
      </c>
      <c r="AG1289" s="160" t="s">
        <v>3658</v>
      </c>
      <c r="AH1289" s="194" t="s">
        <v>679</v>
      </c>
      <c r="AI1289" s="6" t="s">
        <v>3849</v>
      </c>
      <c r="AJ1289" s="3" t="s">
        <v>8282</v>
      </c>
      <c r="AK1289" t="s">
        <v>8282</v>
      </c>
      <c r="AV1289"/>
      <c r="AX1289"/>
      <c r="AZ1289" t="str">
        <f t="shared" si="261"/>
        <v/>
      </c>
      <c r="BA1289" t="str">
        <f t="shared" si="262"/>
        <v/>
      </c>
    </row>
    <row r="1290" spans="3:53" ht="13.5">
      <c r="C1290" s="19"/>
      <c r="D1290" s="19"/>
      <c r="AC1290" s="6" t="s">
        <v>3774</v>
      </c>
      <c r="AD1290" s="6" t="s">
        <v>7167</v>
      </c>
      <c r="AE1290" s="158" t="s">
        <v>4201</v>
      </c>
      <c r="AF1290" s="159" t="s">
        <v>8299</v>
      </c>
      <c r="AG1290" s="160" t="s">
        <v>3659</v>
      </c>
      <c r="AH1290" s="194" t="s">
        <v>679</v>
      </c>
      <c r="AI1290" s="6" t="s">
        <v>1483</v>
      </c>
      <c r="AJ1290" s="3" t="s">
        <v>8224</v>
      </c>
      <c r="AK1290" t="s">
        <v>8224</v>
      </c>
      <c r="AV1290"/>
      <c r="AX1290"/>
      <c r="AZ1290" t="str">
        <f t="shared" si="261"/>
        <v/>
      </c>
      <c r="BA1290" t="str">
        <f t="shared" si="262"/>
        <v/>
      </c>
    </row>
    <row r="1291" spans="3:53" ht="13.5">
      <c r="C1291" s="19"/>
      <c r="D1291" s="19"/>
      <c r="AC1291" s="6" t="s">
        <v>3770</v>
      </c>
      <c r="AD1291" s="6" t="s">
        <v>7167</v>
      </c>
      <c r="AE1291" s="158" t="s">
        <v>4202</v>
      </c>
      <c r="AF1291" s="159" t="s">
        <v>8323</v>
      </c>
      <c r="AG1291" s="160" t="s">
        <v>2171</v>
      </c>
      <c r="AH1291" s="194" t="s">
        <v>679</v>
      </c>
      <c r="AI1291" s="6" t="s">
        <v>61</v>
      </c>
      <c r="AJ1291" s="3" t="s">
        <v>8244</v>
      </c>
      <c r="AK1291" t="s">
        <v>8244</v>
      </c>
      <c r="AV1291"/>
      <c r="AX1291"/>
      <c r="AZ1291" t="str">
        <f t="shared" si="261"/>
        <v/>
      </c>
      <c r="BA1291" t="str">
        <f t="shared" si="262"/>
        <v/>
      </c>
    </row>
    <row r="1292" spans="3:53" ht="13.5">
      <c r="C1292" s="19"/>
      <c r="D1292" s="19"/>
      <c r="AC1292" s="6" t="s">
        <v>3740</v>
      </c>
      <c r="AD1292" s="6" t="s">
        <v>7167</v>
      </c>
      <c r="AE1292" s="158" t="s">
        <v>4203</v>
      </c>
      <c r="AF1292" s="159" t="s">
        <v>8299</v>
      </c>
      <c r="AG1292" s="160" t="s">
        <v>2480</v>
      </c>
      <c r="AH1292" s="194" t="s">
        <v>1314</v>
      </c>
      <c r="AI1292" s="6" t="s">
        <v>3114</v>
      </c>
      <c r="AJ1292" s="3" t="s">
        <v>8220</v>
      </c>
      <c r="AK1292" t="s">
        <v>8220</v>
      </c>
      <c r="AV1292"/>
      <c r="AX1292"/>
      <c r="AZ1292" t="str">
        <f t="shared" si="261"/>
        <v/>
      </c>
      <c r="BA1292" t="str">
        <f t="shared" si="262"/>
        <v/>
      </c>
    </row>
    <row r="1293" spans="3:53" ht="13.5">
      <c r="C1293" s="19"/>
      <c r="D1293" s="19"/>
      <c r="AC1293" s="6" t="s">
        <v>3780</v>
      </c>
      <c r="AD1293" s="6" t="s">
        <v>7167</v>
      </c>
      <c r="AE1293" s="158" t="s">
        <v>4204</v>
      </c>
      <c r="AF1293" s="159" t="s">
        <v>8299</v>
      </c>
      <c r="AG1293" s="160" t="s">
        <v>2820</v>
      </c>
      <c r="AH1293" s="194" t="s">
        <v>1314</v>
      </c>
      <c r="AI1293" s="6" t="s">
        <v>3201</v>
      </c>
      <c r="AJ1293" s="3" t="s">
        <v>8264</v>
      </c>
      <c r="AK1293" t="s">
        <v>8264</v>
      </c>
      <c r="AV1293"/>
      <c r="AX1293"/>
      <c r="AZ1293" t="str">
        <f t="shared" si="261"/>
        <v/>
      </c>
      <c r="BA1293" t="str">
        <f t="shared" si="262"/>
        <v/>
      </c>
    </row>
    <row r="1294" spans="3:53" ht="13.5">
      <c r="C1294" s="19"/>
      <c r="D1294" s="19"/>
      <c r="AC1294" s="6" t="s">
        <v>3797</v>
      </c>
      <c r="AD1294" s="6" t="s">
        <v>7167</v>
      </c>
      <c r="AE1294" s="158" t="s">
        <v>4205</v>
      </c>
      <c r="AF1294" s="159" t="s">
        <v>8299</v>
      </c>
      <c r="AG1294" s="160" t="s">
        <v>2534</v>
      </c>
      <c r="AH1294" s="194" t="s">
        <v>1314</v>
      </c>
      <c r="AI1294" s="6" t="s">
        <v>2450</v>
      </c>
      <c r="AJ1294" s="3" t="s">
        <v>8276</v>
      </c>
      <c r="AK1294" t="s">
        <v>8276</v>
      </c>
      <c r="AV1294"/>
      <c r="AX1294"/>
      <c r="AZ1294" t="str">
        <f t="shared" si="261"/>
        <v/>
      </c>
      <c r="BA1294" t="str">
        <f t="shared" si="262"/>
        <v/>
      </c>
    </row>
    <row r="1295" spans="3:53" ht="13.5">
      <c r="C1295" s="19"/>
      <c r="D1295" s="19"/>
      <c r="AC1295" s="6" t="s">
        <v>3824</v>
      </c>
      <c r="AD1295" s="6" t="s">
        <v>7167</v>
      </c>
      <c r="AE1295" s="158" t="s">
        <v>4206</v>
      </c>
      <c r="AF1295" s="159" t="s">
        <v>8299</v>
      </c>
      <c r="AG1295" s="160" t="s">
        <v>2600</v>
      </c>
      <c r="AH1295" s="194" t="s">
        <v>1314</v>
      </c>
      <c r="AI1295" s="6" t="s">
        <v>4101</v>
      </c>
      <c r="AJ1295" s="3" t="s">
        <v>8225</v>
      </c>
      <c r="AK1295" t="s">
        <v>8225</v>
      </c>
      <c r="AV1295"/>
      <c r="AX1295"/>
      <c r="AZ1295" t="str">
        <f t="shared" si="261"/>
        <v/>
      </c>
      <c r="BA1295" t="str">
        <f t="shared" si="262"/>
        <v/>
      </c>
    </row>
    <row r="1296" spans="3:53" ht="13.5">
      <c r="C1296" s="19"/>
      <c r="D1296" s="19"/>
      <c r="AC1296" s="6" t="s">
        <v>3739</v>
      </c>
      <c r="AD1296" s="6" t="s">
        <v>7167</v>
      </c>
      <c r="AE1296" s="158" t="s">
        <v>4207</v>
      </c>
      <c r="AF1296" s="159" t="s">
        <v>8332</v>
      </c>
      <c r="AG1296" s="160" t="s">
        <v>2614</v>
      </c>
      <c r="AH1296" s="194" t="s">
        <v>1314</v>
      </c>
      <c r="AI1296" s="6" t="s">
        <v>1810</v>
      </c>
      <c r="AJ1296" s="3" t="s">
        <v>8194</v>
      </c>
      <c r="AK1296" t="s">
        <v>8194</v>
      </c>
      <c r="AV1296"/>
      <c r="AX1296"/>
      <c r="AZ1296" t="str">
        <f t="shared" si="261"/>
        <v/>
      </c>
      <c r="BA1296" t="str">
        <f t="shared" si="262"/>
        <v/>
      </c>
    </row>
    <row r="1297" spans="3:53" ht="13.5">
      <c r="C1297" s="19"/>
      <c r="D1297" s="19"/>
      <c r="AC1297" s="6" t="s">
        <v>4488</v>
      </c>
      <c r="AD1297" s="6" t="s">
        <v>7167</v>
      </c>
      <c r="AE1297" s="158" t="s">
        <v>4208</v>
      </c>
      <c r="AF1297" s="159" t="s">
        <v>8320</v>
      </c>
      <c r="AG1297" s="160" t="s">
        <v>2621</v>
      </c>
      <c r="AH1297" s="194" t="s">
        <v>1314</v>
      </c>
      <c r="AI1297" s="6">
        <v>95632</v>
      </c>
      <c r="AJ1297" s="3" t="s">
        <v>8279</v>
      </c>
      <c r="AK1297" t="s">
        <v>8679</v>
      </c>
      <c r="AV1297"/>
      <c r="AX1297"/>
      <c r="AZ1297" t="str">
        <f t="shared" si="261"/>
        <v/>
      </c>
      <c r="BA1297" t="str">
        <f t="shared" si="262"/>
        <v/>
      </c>
    </row>
    <row r="1298" spans="3:53" ht="13.5">
      <c r="C1298" s="19"/>
      <c r="D1298" s="19"/>
      <c r="AC1298" s="6" t="s">
        <v>5345</v>
      </c>
      <c r="AD1298" s="6" t="s">
        <v>7167</v>
      </c>
      <c r="AE1298" s="158" t="s">
        <v>4209</v>
      </c>
      <c r="AF1298" s="159" t="s">
        <v>8299</v>
      </c>
      <c r="AG1298" s="160" t="s">
        <v>2622</v>
      </c>
      <c r="AH1298" s="194" t="s">
        <v>1314</v>
      </c>
      <c r="AI1298" s="6" t="s">
        <v>4314</v>
      </c>
      <c r="AJ1298" s="3" t="s">
        <v>8225</v>
      </c>
      <c r="AK1298" t="s">
        <v>8225</v>
      </c>
      <c r="AV1298"/>
      <c r="AX1298"/>
      <c r="AZ1298" t="str">
        <f t="shared" si="261"/>
        <v/>
      </c>
      <c r="BA1298" t="str">
        <f t="shared" si="262"/>
        <v/>
      </c>
    </row>
    <row r="1299" spans="3:53" ht="13.5">
      <c r="C1299" s="19"/>
      <c r="D1299" s="19"/>
      <c r="AC1299" s="6" t="s">
        <v>3702</v>
      </c>
      <c r="AD1299" s="6" t="s">
        <v>7167</v>
      </c>
      <c r="AE1299" s="158" t="s">
        <v>4210</v>
      </c>
      <c r="AF1299" s="159" t="s">
        <v>8299</v>
      </c>
      <c r="AG1299" s="161" t="s">
        <v>2640</v>
      </c>
      <c r="AH1299" s="194" t="s">
        <v>678</v>
      </c>
      <c r="AI1299" s="6" t="s">
        <v>1507</v>
      </c>
      <c r="AJ1299" s="3" t="s">
        <v>8219</v>
      </c>
      <c r="AK1299" t="s">
        <v>8219</v>
      </c>
      <c r="AV1299"/>
      <c r="AX1299"/>
      <c r="AZ1299" t="str">
        <f t="shared" si="261"/>
        <v/>
      </c>
      <c r="BA1299" t="str">
        <f t="shared" si="262"/>
        <v/>
      </c>
    </row>
    <row r="1300" spans="3:53" ht="13.5">
      <c r="C1300" s="19"/>
      <c r="D1300" s="19"/>
      <c r="AC1300" s="6" t="s">
        <v>3703</v>
      </c>
      <c r="AD1300" s="6" t="s">
        <v>7167</v>
      </c>
      <c r="AE1300" s="158" t="s">
        <v>2781</v>
      </c>
      <c r="AF1300" s="159" t="s">
        <v>8299</v>
      </c>
      <c r="AG1300" s="160" t="s">
        <v>1302</v>
      </c>
      <c r="AH1300" s="194" t="s">
        <v>1314</v>
      </c>
      <c r="AI1300" s="6" t="s">
        <v>4111</v>
      </c>
      <c r="AJ1300" s="3" t="s">
        <v>8229</v>
      </c>
      <c r="AK1300" t="s">
        <v>8229</v>
      </c>
      <c r="AV1300"/>
      <c r="AX1300"/>
      <c r="AZ1300" t="str">
        <f t="shared" si="261"/>
        <v/>
      </c>
      <c r="BA1300" t="str">
        <f t="shared" si="262"/>
        <v/>
      </c>
    </row>
    <row r="1301" spans="3:53" ht="13.5">
      <c r="C1301" s="19"/>
      <c r="D1301" s="19"/>
      <c r="AC1301" s="6" t="s">
        <v>4479</v>
      </c>
      <c r="AD1301" s="6" t="s">
        <v>7167</v>
      </c>
      <c r="AE1301" s="158" t="s">
        <v>2782</v>
      </c>
      <c r="AF1301" s="159" t="s">
        <v>8299</v>
      </c>
      <c r="AG1301" s="160" t="s">
        <v>3660</v>
      </c>
      <c r="AH1301" s="194" t="s">
        <v>679</v>
      </c>
      <c r="AI1301" s="6" t="s">
        <v>2823</v>
      </c>
      <c r="AJ1301" s="3" t="s">
        <v>8256</v>
      </c>
      <c r="AK1301" t="s">
        <v>8256</v>
      </c>
      <c r="AV1301"/>
      <c r="AX1301"/>
      <c r="AZ1301" t="str">
        <f t="shared" si="261"/>
        <v/>
      </c>
      <c r="BA1301" t="str">
        <f t="shared" si="262"/>
        <v/>
      </c>
    </row>
    <row r="1302" spans="3:53" ht="13.5">
      <c r="C1302" s="19"/>
      <c r="D1302" s="19"/>
      <c r="AC1302" s="6" t="s">
        <v>3775</v>
      </c>
      <c r="AD1302" s="6" t="s">
        <v>7167</v>
      </c>
      <c r="AE1302" s="158" t="s">
        <v>2783</v>
      </c>
      <c r="AF1302" s="159" t="s">
        <v>8299</v>
      </c>
      <c r="AG1302" s="160" t="s">
        <v>3661</v>
      </c>
      <c r="AH1302" s="194" t="s">
        <v>679</v>
      </c>
      <c r="AI1302" s="6" t="s">
        <v>2070</v>
      </c>
      <c r="AJ1302" s="3" t="s">
        <v>8235</v>
      </c>
      <c r="AK1302" t="s">
        <v>8672</v>
      </c>
      <c r="AV1302"/>
      <c r="AX1302"/>
      <c r="AZ1302" t="str">
        <f t="shared" si="261"/>
        <v/>
      </c>
      <c r="BA1302" t="str">
        <f t="shared" si="262"/>
        <v/>
      </c>
    </row>
    <row r="1303" spans="3:53" ht="13.5">
      <c r="C1303" s="19"/>
      <c r="D1303" s="19"/>
      <c r="AC1303" s="6" t="s">
        <v>3779</v>
      </c>
      <c r="AD1303" s="6" t="s">
        <v>7167</v>
      </c>
      <c r="AE1303" s="158" t="s">
        <v>4211</v>
      </c>
      <c r="AF1303" s="159" t="s">
        <v>8299</v>
      </c>
      <c r="AG1303" s="160" t="s">
        <v>3662</v>
      </c>
      <c r="AH1303" s="194" t="s">
        <v>679</v>
      </c>
      <c r="AI1303" s="6" t="s">
        <v>1737</v>
      </c>
      <c r="AJ1303" s="3" t="s">
        <v>8238</v>
      </c>
      <c r="AK1303" t="s">
        <v>8673</v>
      </c>
      <c r="AV1303"/>
      <c r="AX1303"/>
      <c r="AZ1303" t="str">
        <f t="shared" si="261"/>
        <v/>
      </c>
      <c r="BA1303" t="str">
        <f t="shared" si="262"/>
        <v/>
      </c>
    </row>
    <row r="1304" spans="3:53" ht="13.5">
      <c r="C1304" s="19"/>
      <c r="D1304" s="19"/>
      <c r="AC1304" s="6" t="s">
        <v>5166</v>
      </c>
      <c r="AD1304" s="6" t="s">
        <v>7283</v>
      </c>
      <c r="AE1304" s="158" t="s">
        <v>4212</v>
      </c>
      <c r="AF1304" s="159" t="s">
        <v>8299</v>
      </c>
      <c r="AG1304" s="160" t="s">
        <v>3664</v>
      </c>
      <c r="AH1304" s="194" t="s">
        <v>679</v>
      </c>
      <c r="AI1304" s="6" t="s">
        <v>2239</v>
      </c>
      <c r="AJ1304" s="3" t="s">
        <v>8227</v>
      </c>
      <c r="AK1304" t="s">
        <v>8227</v>
      </c>
      <c r="AV1304"/>
      <c r="AX1304"/>
      <c r="AZ1304" t="str">
        <f t="shared" si="261"/>
        <v/>
      </c>
      <c r="BA1304" t="str">
        <f t="shared" si="262"/>
        <v/>
      </c>
    </row>
    <row r="1305" spans="3:53" ht="13.5">
      <c r="C1305" s="19"/>
      <c r="D1305" s="19"/>
      <c r="AC1305" s="6" t="s">
        <v>4303</v>
      </c>
      <c r="AD1305" s="6" t="s">
        <v>7273</v>
      </c>
      <c r="AE1305" s="158" t="s">
        <v>1682</v>
      </c>
      <c r="AF1305" s="159" t="s">
        <v>8299</v>
      </c>
      <c r="AG1305" s="160" t="s">
        <v>3665</v>
      </c>
      <c r="AH1305" s="194" t="s">
        <v>679</v>
      </c>
      <c r="AI1305" s="6" t="s">
        <v>3640</v>
      </c>
      <c r="AJ1305" s="3" t="s">
        <v>8199</v>
      </c>
      <c r="AK1305" t="s">
        <v>8199</v>
      </c>
      <c r="AV1305"/>
      <c r="AX1305"/>
      <c r="AZ1305" t="str">
        <f t="shared" si="261"/>
        <v/>
      </c>
      <c r="BA1305" t="str">
        <f t="shared" si="262"/>
        <v/>
      </c>
    </row>
    <row r="1306" spans="3:53" ht="13.5">
      <c r="C1306" s="19"/>
      <c r="D1306" s="19"/>
      <c r="AC1306" s="6" t="s">
        <v>3743</v>
      </c>
      <c r="AD1306" s="6" t="s">
        <v>7167</v>
      </c>
      <c r="AE1306" s="158" t="s">
        <v>4213</v>
      </c>
      <c r="AF1306" s="159" t="s">
        <v>8299</v>
      </c>
      <c r="AG1306" s="160" t="s">
        <v>3666</v>
      </c>
      <c r="AH1306" s="194" t="s">
        <v>679</v>
      </c>
      <c r="AI1306" s="6" t="s">
        <v>3671</v>
      </c>
      <c r="AJ1306" s="3" t="s">
        <v>8253</v>
      </c>
      <c r="AK1306" t="s">
        <v>8253</v>
      </c>
      <c r="AV1306"/>
      <c r="AX1306"/>
      <c r="AZ1306" t="str">
        <f t="shared" si="261"/>
        <v/>
      </c>
      <c r="BA1306" t="str">
        <f t="shared" si="262"/>
        <v/>
      </c>
    </row>
    <row r="1307" spans="3:53" ht="13.5">
      <c r="C1307" s="19"/>
      <c r="D1307" s="19"/>
      <c r="AC1307" s="6" t="s">
        <v>4717</v>
      </c>
      <c r="AD1307" s="6" t="s">
        <v>7167</v>
      </c>
      <c r="AE1307" s="158" t="s">
        <v>4214</v>
      </c>
      <c r="AF1307" s="159" t="s">
        <v>8299</v>
      </c>
      <c r="AG1307" s="160" t="s">
        <v>3667</v>
      </c>
      <c r="AH1307" s="194" t="s">
        <v>679</v>
      </c>
      <c r="AI1307" s="6" t="s">
        <v>1990</v>
      </c>
      <c r="AJ1307" s="3" t="s">
        <v>8217</v>
      </c>
      <c r="AK1307" t="s">
        <v>8668</v>
      </c>
      <c r="AV1307"/>
      <c r="AX1307"/>
      <c r="AZ1307" t="str">
        <f t="shared" si="261"/>
        <v/>
      </c>
      <c r="BA1307" t="str">
        <f t="shared" si="262"/>
        <v/>
      </c>
    </row>
    <row r="1308" spans="3:53" ht="13.5">
      <c r="C1308" s="19"/>
      <c r="D1308" s="19"/>
      <c r="AC1308" s="6" t="s">
        <v>3776</v>
      </c>
      <c r="AD1308" s="6" t="s">
        <v>7167</v>
      </c>
      <c r="AE1308" s="158" t="s">
        <v>4215</v>
      </c>
      <c r="AF1308" s="159" t="s">
        <v>8299</v>
      </c>
      <c r="AG1308" s="160" t="s">
        <v>3668</v>
      </c>
      <c r="AH1308" s="194" t="s">
        <v>679</v>
      </c>
      <c r="AI1308" s="6" t="s">
        <v>3793</v>
      </c>
      <c r="AJ1308" s="3" t="s">
        <v>8245</v>
      </c>
      <c r="AK1308" t="s">
        <v>8676</v>
      </c>
      <c r="AV1308"/>
      <c r="AX1308"/>
      <c r="AZ1308" t="str">
        <f t="shared" si="261"/>
        <v/>
      </c>
      <c r="BA1308" t="str">
        <f t="shared" si="262"/>
        <v/>
      </c>
    </row>
    <row r="1309" spans="3:53" ht="13.5">
      <c r="C1309" s="19"/>
      <c r="D1309" s="19"/>
      <c r="AC1309" s="6" t="s">
        <v>5298</v>
      </c>
      <c r="AD1309" s="6" t="s">
        <v>7167</v>
      </c>
      <c r="AE1309" s="158" t="s">
        <v>4216</v>
      </c>
      <c r="AF1309" s="159" t="s">
        <v>8320</v>
      </c>
      <c r="AG1309" s="160" t="s">
        <v>3669</v>
      </c>
      <c r="AH1309" s="194" t="s">
        <v>679</v>
      </c>
      <c r="AI1309" s="6" t="s">
        <v>723</v>
      </c>
      <c r="AJ1309" s="3" t="s">
        <v>8263</v>
      </c>
      <c r="AK1309" t="s">
        <v>8263</v>
      </c>
      <c r="AV1309"/>
      <c r="AX1309"/>
      <c r="AZ1309" t="str">
        <f t="shared" si="261"/>
        <v/>
      </c>
      <c r="BA1309" t="str">
        <f t="shared" si="262"/>
        <v/>
      </c>
    </row>
    <row r="1310" spans="3:53" ht="13.5">
      <c r="C1310" s="19"/>
      <c r="D1310" s="19"/>
      <c r="AC1310" s="6" t="s">
        <v>3778</v>
      </c>
      <c r="AD1310" s="6" t="s">
        <v>7167</v>
      </c>
      <c r="AE1310" s="158" t="s">
        <v>4217</v>
      </c>
      <c r="AF1310" s="159" t="s">
        <v>8309</v>
      </c>
      <c r="AG1310" s="160" t="s">
        <v>3670</v>
      </c>
      <c r="AH1310" s="194" t="s">
        <v>679</v>
      </c>
      <c r="AI1310" s="6" t="s">
        <v>3866</v>
      </c>
      <c r="AJ1310" s="3" t="s">
        <v>8266</v>
      </c>
      <c r="AK1310" t="s">
        <v>8266</v>
      </c>
      <c r="AV1310"/>
      <c r="AX1310"/>
      <c r="AZ1310" t="str">
        <f t="shared" si="261"/>
        <v/>
      </c>
      <c r="BA1310" t="str">
        <f t="shared" si="262"/>
        <v/>
      </c>
    </row>
    <row r="1311" spans="3:53" ht="13.5">
      <c r="C1311" s="19"/>
      <c r="D1311" s="19"/>
      <c r="AC1311" s="6" t="s">
        <v>4485</v>
      </c>
      <c r="AD1311" s="6" t="s">
        <v>7167</v>
      </c>
      <c r="AE1311" s="158" t="s">
        <v>4219</v>
      </c>
      <c r="AF1311" s="159" t="s">
        <v>8299</v>
      </c>
      <c r="AG1311" s="160" t="s">
        <v>3671</v>
      </c>
      <c r="AH1311" s="194" t="s">
        <v>679</v>
      </c>
      <c r="AI1311" s="6" t="s">
        <v>3872</v>
      </c>
      <c r="AJ1311" s="3" t="s">
        <v>8266</v>
      </c>
      <c r="AK1311" t="s">
        <v>8266</v>
      </c>
      <c r="AV1311"/>
      <c r="AX1311"/>
      <c r="AZ1311" t="str">
        <f t="shared" si="261"/>
        <v/>
      </c>
      <c r="BA1311" t="str">
        <f t="shared" si="262"/>
        <v/>
      </c>
    </row>
    <row r="1312" spans="3:53" ht="13.5">
      <c r="C1312" s="19"/>
      <c r="D1312" s="19"/>
      <c r="AC1312" s="6" t="s">
        <v>3757</v>
      </c>
      <c r="AD1312" s="6" t="s">
        <v>7167</v>
      </c>
      <c r="AE1312" s="158" t="s">
        <v>4223</v>
      </c>
      <c r="AF1312" s="159" t="s">
        <v>8299</v>
      </c>
      <c r="AG1312" s="160" t="s">
        <v>3672</v>
      </c>
      <c r="AH1312" s="194" t="s">
        <v>679</v>
      </c>
      <c r="AI1312" s="6" t="s">
        <v>3368</v>
      </c>
      <c r="AJ1312" s="3" t="s">
        <v>8240</v>
      </c>
      <c r="AK1312" t="s">
        <v>8240</v>
      </c>
      <c r="AV1312"/>
      <c r="AX1312"/>
      <c r="AZ1312" t="str">
        <f t="shared" si="261"/>
        <v/>
      </c>
      <c r="BA1312" t="str">
        <f t="shared" si="262"/>
        <v/>
      </c>
    </row>
    <row r="1313" spans="3:53" ht="13.5">
      <c r="C1313" s="19"/>
      <c r="D1313" s="19"/>
      <c r="AC1313" s="6" t="s">
        <v>938</v>
      </c>
      <c r="AD1313" s="6" t="s">
        <v>7167</v>
      </c>
      <c r="AE1313" s="158" t="s">
        <v>4224</v>
      </c>
      <c r="AF1313" s="159" t="s">
        <v>8299</v>
      </c>
      <c r="AG1313" s="160" t="s">
        <v>3673</v>
      </c>
      <c r="AH1313" s="194" t="s">
        <v>679</v>
      </c>
      <c r="AI1313" s="6" t="s">
        <v>3901</v>
      </c>
      <c r="AJ1313" s="3" t="s">
        <v>8265</v>
      </c>
      <c r="AK1313" t="s">
        <v>8265</v>
      </c>
      <c r="AV1313"/>
      <c r="AX1313"/>
      <c r="AZ1313" t="str">
        <f t="shared" si="261"/>
        <v/>
      </c>
      <c r="BA1313" t="str">
        <f t="shared" si="262"/>
        <v/>
      </c>
    </row>
    <row r="1314" spans="3:53" ht="13.5">
      <c r="C1314" s="19"/>
      <c r="D1314" s="19"/>
      <c r="AC1314" s="6" t="s">
        <v>3758</v>
      </c>
      <c r="AD1314" s="6" t="s">
        <v>7167</v>
      </c>
      <c r="AE1314" s="158" t="s">
        <v>4225</v>
      </c>
      <c r="AF1314" s="159" t="s">
        <v>8299</v>
      </c>
      <c r="AG1314" s="160" t="s">
        <v>3674</v>
      </c>
      <c r="AH1314" s="194" t="s">
        <v>679</v>
      </c>
      <c r="AI1314" s="6" t="s">
        <v>2454</v>
      </c>
      <c r="AJ1314" s="3" t="s">
        <v>8276</v>
      </c>
      <c r="AK1314" t="s">
        <v>8276</v>
      </c>
      <c r="AV1314"/>
      <c r="AX1314"/>
      <c r="AZ1314" t="str">
        <f t="shared" si="261"/>
        <v/>
      </c>
      <c r="BA1314" t="str">
        <f t="shared" si="262"/>
        <v/>
      </c>
    </row>
    <row r="1315" spans="3:53" ht="13.5">
      <c r="C1315" s="19"/>
      <c r="D1315" s="19"/>
      <c r="AC1315" s="6" t="s">
        <v>3709</v>
      </c>
      <c r="AD1315" s="6" t="s">
        <v>7167</v>
      </c>
      <c r="AE1315" s="158" t="s">
        <v>4227</v>
      </c>
      <c r="AF1315" s="159" t="s">
        <v>8299</v>
      </c>
      <c r="AG1315" s="160" t="s">
        <v>3675</v>
      </c>
      <c r="AH1315" s="194" t="s">
        <v>679</v>
      </c>
      <c r="AI1315" s="6" t="s">
        <v>2461</v>
      </c>
      <c r="AJ1315" s="3" t="s">
        <v>8251</v>
      </c>
      <c r="AK1315" t="s">
        <v>8251</v>
      </c>
      <c r="AV1315"/>
      <c r="AX1315"/>
      <c r="AZ1315" t="str">
        <f t="shared" si="261"/>
        <v/>
      </c>
      <c r="BA1315" t="str">
        <f t="shared" si="262"/>
        <v/>
      </c>
    </row>
    <row r="1316" spans="3:53" ht="13.5">
      <c r="C1316" s="19"/>
      <c r="D1316" s="19"/>
      <c r="AC1316" s="6" t="s">
        <v>3772</v>
      </c>
      <c r="AD1316" s="6" t="s">
        <v>7167</v>
      </c>
      <c r="AE1316" s="158" t="s">
        <v>4228</v>
      </c>
      <c r="AF1316" s="159" t="s">
        <v>8311</v>
      </c>
      <c r="AG1316" s="160" t="s">
        <v>3676</v>
      </c>
      <c r="AH1316" s="194" t="s">
        <v>679</v>
      </c>
      <c r="AI1316" s="6" t="s">
        <v>2071</v>
      </c>
      <c r="AJ1316" s="3" t="s">
        <v>8222</v>
      </c>
      <c r="AK1316" t="s">
        <v>8670</v>
      </c>
      <c r="AV1316"/>
      <c r="AX1316"/>
      <c r="AZ1316" t="str">
        <f t="shared" si="261"/>
        <v/>
      </c>
      <c r="BA1316" t="str">
        <f t="shared" si="262"/>
        <v/>
      </c>
    </row>
    <row r="1317" spans="3:53" ht="13.5">
      <c r="C1317" s="19"/>
      <c r="D1317" s="19"/>
      <c r="AC1317" s="6" t="s">
        <v>4311</v>
      </c>
      <c r="AD1317" s="6" t="s">
        <v>7275</v>
      </c>
      <c r="AE1317" s="158" t="s">
        <v>4229</v>
      </c>
      <c r="AF1317" s="159" t="s">
        <v>8299</v>
      </c>
      <c r="AG1317" s="160" t="s">
        <v>3677</v>
      </c>
      <c r="AH1317" s="194" t="s">
        <v>679</v>
      </c>
      <c r="AI1317" s="6" t="s">
        <v>1798</v>
      </c>
      <c r="AJ1317" s="3" t="s">
        <v>8238</v>
      </c>
      <c r="AK1317" t="s">
        <v>8673</v>
      </c>
      <c r="AV1317"/>
      <c r="AX1317"/>
      <c r="AZ1317" t="str">
        <f t="shared" si="261"/>
        <v/>
      </c>
      <c r="BA1317" t="str">
        <f t="shared" si="262"/>
        <v/>
      </c>
    </row>
    <row r="1318" spans="3:53" ht="13.5">
      <c r="C1318" s="19"/>
      <c r="D1318" s="19"/>
      <c r="AC1318" s="6" t="s">
        <v>5254</v>
      </c>
      <c r="AD1318" s="6" t="s">
        <v>7167</v>
      </c>
      <c r="AE1318" s="158" t="s">
        <v>4230</v>
      </c>
      <c r="AF1318" s="159" t="s">
        <v>8299</v>
      </c>
      <c r="AG1318" s="160" t="s">
        <v>5076</v>
      </c>
      <c r="AH1318" s="194" t="s">
        <v>679</v>
      </c>
      <c r="AI1318" s="6" t="s">
        <v>2741</v>
      </c>
      <c r="AJ1318" s="3" t="s">
        <v>8256</v>
      </c>
      <c r="AK1318" t="s">
        <v>8256</v>
      </c>
      <c r="AV1318"/>
      <c r="AX1318"/>
      <c r="AZ1318" t="str">
        <f t="shared" si="261"/>
        <v/>
      </c>
      <c r="BA1318" t="str">
        <f t="shared" si="262"/>
        <v/>
      </c>
    </row>
    <row r="1319" spans="3:53" ht="13.5">
      <c r="C1319" s="19"/>
      <c r="D1319" s="19"/>
      <c r="AC1319" s="6">
        <v>535373</v>
      </c>
      <c r="AD1319" s="6" t="s">
        <v>7268</v>
      </c>
      <c r="AE1319" s="158" t="s">
        <v>2784</v>
      </c>
      <c r="AF1319" s="159" t="s">
        <v>8309</v>
      </c>
      <c r="AG1319" s="160" t="s">
        <v>5089</v>
      </c>
      <c r="AH1319" s="194" t="s">
        <v>679</v>
      </c>
      <c r="AI1319" s="6" t="s">
        <v>2014</v>
      </c>
      <c r="AJ1319" s="3" t="s">
        <v>8194</v>
      </c>
      <c r="AK1319" t="s">
        <v>8194</v>
      </c>
      <c r="AV1319"/>
      <c r="AX1319"/>
      <c r="AZ1319" t="str">
        <f t="shared" si="261"/>
        <v/>
      </c>
      <c r="BA1319" t="str">
        <f t="shared" si="262"/>
        <v/>
      </c>
    </row>
    <row r="1320" spans="3:53" ht="13.5">
      <c r="C1320" s="19"/>
      <c r="D1320" s="19"/>
      <c r="AC1320" s="6" t="s">
        <v>3699</v>
      </c>
      <c r="AD1320" s="6" t="s">
        <v>7167</v>
      </c>
      <c r="AE1320" s="158" t="s">
        <v>4231</v>
      </c>
      <c r="AF1320" s="159" t="s">
        <v>8309</v>
      </c>
      <c r="AG1320" s="160" t="s">
        <v>2481</v>
      </c>
      <c r="AH1320" s="194" t="s">
        <v>1314</v>
      </c>
      <c r="AI1320" s="6" t="s">
        <v>4100</v>
      </c>
      <c r="AJ1320" s="3" t="s">
        <v>8229</v>
      </c>
      <c r="AK1320" t="s">
        <v>8229</v>
      </c>
      <c r="AV1320"/>
      <c r="AX1320"/>
      <c r="AZ1320" t="str">
        <f t="shared" si="261"/>
        <v/>
      </c>
      <c r="BA1320" t="str">
        <f t="shared" si="262"/>
        <v/>
      </c>
    </row>
    <row r="1321" spans="3:53" ht="13.5">
      <c r="C1321" s="19"/>
      <c r="D1321" s="19"/>
      <c r="AC1321" s="6" t="s">
        <v>3777</v>
      </c>
      <c r="AD1321" s="6" t="s">
        <v>7167</v>
      </c>
      <c r="AE1321" s="158" t="s">
        <v>4232</v>
      </c>
      <c r="AF1321" s="159" t="s">
        <v>8299</v>
      </c>
      <c r="AG1321" s="160" t="s">
        <v>2829</v>
      </c>
      <c r="AH1321" s="194" t="s">
        <v>679</v>
      </c>
      <c r="AI1321" s="6" t="s">
        <v>4127</v>
      </c>
      <c r="AJ1321" s="3" t="s">
        <v>8225</v>
      </c>
      <c r="AK1321" t="s">
        <v>8225</v>
      </c>
      <c r="AV1321"/>
      <c r="AX1321"/>
      <c r="AZ1321" t="str">
        <f t="shared" si="261"/>
        <v/>
      </c>
      <c r="BA1321" t="str">
        <f t="shared" si="262"/>
        <v/>
      </c>
    </row>
    <row r="1322" spans="3:53" ht="13.5">
      <c r="C1322" s="19"/>
      <c r="D1322" s="19"/>
      <c r="AC1322" s="6" t="s">
        <v>3825</v>
      </c>
      <c r="AD1322" s="6" t="s">
        <v>7167</v>
      </c>
      <c r="AE1322" s="158" t="s">
        <v>4233</v>
      </c>
      <c r="AF1322" s="159" t="s">
        <v>8321</v>
      </c>
      <c r="AG1322" s="160" t="s">
        <v>2623</v>
      </c>
      <c r="AH1322" s="194" t="s">
        <v>1314</v>
      </c>
      <c r="AI1322" s="6" t="s">
        <v>387</v>
      </c>
      <c r="AJ1322" s="3" t="s">
        <v>8209</v>
      </c>
      <c r="AK1322" t="s">
        <v>8209</v>
      </c>
      <c r="AV1322"/>
      <c r="AX1322"/>
      <c r="AZ1322" t="str">
        <f t="shared" si="261"/>
        <v/>
      </c>
      <c r="BA1322" t="str">
        <f t="shared" si="262"/>
        <v/>
      </c>
    </row>
    <row r="1323" spans="3:53" ht="13.5">
      <c r="C1323" s="19"/>
      <c r="D1323" s="19"/>
      <c r="AC1323" s="6" t="s">
        <v>3696</v>
      </c>
      <c r="AD1323" s="6" t="s">
        <v>7167</v>
      </c>
      <c r="AE1323" s="158" t="s">
        <v>4234</v>
      </c>
      <c r="AF1323" s="159" t="s">
        <v>8299</v>
      </c>
      <c r="AG1323" s="160" t="s">
        <v>2801</v>
      </c>
      <c r="AH1323" s="194" t="s">
        <v>1314</v>
      </c>
      <c r="AI1323" s="6" t="s">
        <v>2463</v>
      </c>
      <c r="AJ1323" s="3" t="s">
        <v>8276</v>
      </c>
      <c r="AK1323" t="s">
        <v>8276</v>
      </c>
      <c r="AV1323"/>
      <c r="AX1323"/>
      <c r="AZ1323" t="str">
        <f t="shared" si="261"/>
        <v/>
      </c>
      <c r="BA1323" t="str">
        <f t="shared" si="262"/>
        <v/>
      </c>
    </row>
    <row r="1324" spans="3:53" ht="13.5">
      <c r="C1324" s="19"/>
      <c r="D1324" s="19"/>
      <c r="AC1324" s="6" t="s">
        <v>3715</v>
      </c>
      <c r="AD1324" s="6" t="s">
        <v>7167</v>
      </c>
      <c r="AE1324" s="158" t="s">
        <v>4235</v>
      </c>
      <c r="AF1324" s="159" t="s">
        <v>8299</v>
      </c>
      <c r="AG1324" s="160" t="s">
        <v>2788</v>
      </c>
      <c r="AH1324" s="194" t="s">
        <v>1314</v>
      </c>
      <c r="AI1324" s="6" t="s">
        <v>2722</v>
      </c>
      <c r="AJ1324" s="3" t="s">
        <v>8276</v>
      </c>
      <c r="AK1324" t="s">
        <v>8276</v>
      </c>
      <c r="AV1324"/>
      <c r="AX1324"/>
      <c r="AZ1324" t="str">
        <f t="shared" si="261"/>
        <v/>
      </c>
      <c r="BA1324" t="str">
        <f t="shared" si="262"/>
        <v/>
      </c>
    </row>
    <row r="1325" spans="3:53" ht="13.5">
      <c r="C1325" s="19"/>
      <c r="D1325" s="19"/>
      <c r="AC1325" s="6" t="s">
        <v>3759</v>
      </c>
      <c r="AD1325" s="6" t="s">
        <v>7167</v>
      </c>
      <c r="AE1325" s="158" t="s">
        <v>4236</v>
      </c>
      <c r="AF1325" s="159" t="s">
        <v>8299</v>
      </c>
      <c r="AG1325" s="160" t="s">
        <v>1250</v>
      </c>
      <c r="AH1325" s="194" t="s">
        <v>1314</v>
      </c>
      <c r="AI1325" s="6" t="s">
        <v>2819</v>
      </c>
      <c r="AJ1325" s="3" t="s">
        <v>8226</v>
      </c>
      <c r="AK1325" t="s">
        <v>8671</v>
      </c>
      <c r="AV1325"/>
      <c r="AX1325"/>
      <c r="AZ1325" t="str">
        <f t="shared" si="261"/>
        <v/>
      </c>
      <c r="BA1325" t="str">
        <f t="shared" si="262"/>
        <v/>
      </c>
    </row>
    <row r="1326" spans="3:53" ht="13.5">
      <c r="C1326" s="19"/>
      <c r="D1326" s="19"/>
      <c r="AC1326" s="6" t="s">
        <v>3710</v>
      </c>
      <c r="AD1326" s="6" t="s">
        <v>7167</v>
      </c>
      <c r="AE1326" s="158" t="s">
        <v>4237</v>
      </c>
      <c r="AF1326" s="159" t="s">
        <v>8299</v>
      </c>
      <c r="AG1326" s="160" t="s">
        <v>1251</v>
      </c>
      <c r="AH1326" s="194" t="s">
        <v>1314</v>
      </c>
      <c r="AI1326" s="6" t="s">
        <v>2051</v>
      </c>
      <c r="AJ1326" s="3" t="s">
        <v>8238</v>
      </c>
      <c r="AK1326" t="s">
        <v>8673</v>
      </c>
      <c r="AV1326"/>
      <c r="AX1326"/>
      <c r="AZ1326" t="str">
        <f t="shared" si="261"/>
        <v/>
      </c>
      <c r="BA1326" t="str">
        <f t="shared" si="262"/>
        <v/>
      </c>
    </row>
    <row r="1327" spans="3:53" ht="13.5">
      <c r="C1327" s="19"/>
      <c r="D1327" s="19"/>
      <c r="AC1327" s="6" t="s">
        <v>3701</v>
      </c>
      <c r="AD1327" s="6" t="s">
        <v>7167</v>
      </c>
      <c r="AE1327" s="158" t="s">
        <v>4239</v>
      </c>
      <c r="AF1327" s="159" t="s">
        <v>8309</v>
      </c>
      <c r="AG1327" s="160" t="s">
        <v>3678</v>
      </c>
      <c r="AH1327" s="194" t="s">
        <v>679</v>
      </c>
      <c r="AI1327" s="6" t="s">
        <v>2025</v>
      </c>
      <c r="AJ1327" s="3" t="s">
        <v>8239</v>
      </c>
      <c r="AK1327" t="s">
        <v>8674</v>
      </c>
      <c r="AV1327"/>
      <c r="AX1327"/>
      <c r="AZ1327" t="str">
        <f t="shared" si="261"/>
        <v/>
      </c>
      <c r="BA1327" t="str">
        <f t="shared" si="262"/>
        <v/>
      </c>
    </row>
    <row r="1328" spans="3:53" ht="13.5">
      <c r="C1328" s="19"/>
      <c r="D1328" s="19"/>
      <c r="AC1328" s="6" t="s">
        <v>5195</v>
      </c>
      <c r="AD1328" s="6" t="s">
        <v>7167</v>
      </c>
      <c r="AE1328" s="158" t="s">
        <v>4240</v>
      </c>
      <c r="AF1328" s="159" t="s">
        <v>8299</v>
      </c>
      <c r="AG1328" s="160" t="s">
        <v>3679</v>
      </c>
      <c r="AH1328" s="194" t="s">
        <v>679</v>
      </c>
      <c r="AI1328" s="6" t="s">
        <v>3588</v>
      </c>
      <c r="AJ1328" s="3" t="s">
        <v>8230</v>
      </c>
      <c r="AK1328" t="s">
        <v>8230</v>
      </c>
      <c r="AV1328"/>
      <c r="AX1328"/>
      <c r="AZ1328" t="str">
        <f t="shared" si="261"/>
        <v/>
      </c>
      <c r="BA1328" t="str">
        <f t="shared" si="262"/>
        <v/>
      </c>
    </row>
    <row r="1329" spans="3:53" ht="13.5">
      <c r="C1329" s="19"/>
      <c r="D1329" s="19"/>
      <c r="AC1329" s="6" t="s">
        <v>5346</v>
      </c>
      <c r="AD1329" s="6" t="s">
        <v>7167</v>
      </c>
      <c r="AE1329" s="158" t="s">
        <v>4241</v>
      </c>
      <c r="AF1329" s="159" t="s">
        <v>8299</v>
      </c>
      <c r="AG1329" s="160" t="s">
        <v>4483</v>
      </c>
      <c r="AH1329" s="194" t="s">
        <v>679</v>
      </c>
      <c r="AI1329" s="6" t="s">
        <v>3592</v>
      </c>
      <c r="AJ1329" s="3" t="s">
        <v>8282</v>
      </c>
      <c r="AK1329" t="s">
        <v>8282</v>
      </c>
      <c r="AV1329"/>
      <c r="AX1329"/>
      <c r="AZ1329" t="str">
        <f t="shared" si="261"/>
        <v/>
      </c>
      <c r="BA1329" t="str">
        <f t="shared" si="262"/>
        <v/>
      </c>
    </row>
    <row r="1330" spans="3:53" ht="13.5">
      <c r="C1330" s="19"/>
      <c r="D1330" s="19"/>
      <c r="AC1330" s="6" t="s">
        <v>3760</v>
      </c>
      <c r="AD1330" s="6" t="s">
        <v>7167</v>
      </c>
      <c r="AE1330" s="158" t="s">
        <v>1309</v>
      </c>
      <c r="AF1330" s="159" t="s">
        <v>8299</v>
      </c>
      <c r="AG1330" s="160" t="s">
        <v>3680</v>
      </c>
      <c r="AH1330" s="194" t="s">
        <v>1314</v>
      </c>
      <c r="AI1330" s="6" t="s">
        <v>3602</v>
      </c>
      <c r="AJ1330" s="3" t="s">
        <v>8260</v>
      </c>
      <c r="AK1330" t="s">
        <v>8678</v>
      </c>
      <c r="AV1330"/>
      <c r="AX1330"/>
      <c r="AZ1330" t="str">
        <f t="shared" si="261"/>
        <v/>
      </c>
      <c r="BA1330" t="str">
        <f t="shared" si="262"/>
        <v/>
      </c>
    </row>
    <row r="1331" spans="3:53" ht="13.5">
      <c r="C1331" s="19"/>
      <c r="D1331" s="19"/>
      <c r="AC1331" s="6" t="s">
        <v>4464</v>
      </c>
      <c r="AD1331" s="6" t="s">
        <v>7284</v>
      </c>
      <c r="AE1331" s="158" t="s">
        <v>1313</v>
      </c>
      <c r="AF1331" s="159" t="s">
        <v>8299</v>
      </c>
      <c r="AG1331" s="160" t="s">
        <v>3681</v>
      </c>
      <c r="AH1331" s="194" t="s">
        <v>679</v>
      </c>
      <c r="AI1331" s="6" t="s">
        <v>3603</v>
      </c>
      <c r="AJ1331" s="3" t="s">
        <v>8260</v>
      </c>
      <c r="AK1331" t="s">
        <v>8678</v>
      </c>
      <c r="AV1331"/>
      <c r="AX1331"/>
      <c r="AZ1331" t="str">
        <f t="shared" si="261"/>
        <v/>
      </c>
      <c r="BA1331" t="str">
        <f t="shared" si="262"/>
        <v/>
      </c>
    </row>
    <row r="1332" spans="3:53" ht="13.5">
      <c r="C1332" s="19"/>
      <c r="D1332" s="19"/>
      <c r="AC1332" s="6">
        <v>246834</v>
      </c>
      <c r="AD1332" s="6" t="s">
        <v>6802</v>
      </c>
      <c r="AE1332" s="158" t="s">
        <v>3553</v>
      </c>
      <c r="AF1332" s="159" t="s">
        <v>8299</v>
      </c>
      <c r="AG1332" s="160" t="s">
        <v>3682</v>
      </c>
      <c r="AH1332" s="194" t="s">
        <v>679</v>
      </c>
      <c r="AI1332" s="6" t="s">
        <v>1779</v>
      </c>
      <c r="AJ1332" s="3" t="s">
        <v>8227</v>
      </c>
      <c r="AK1332" t="s">
        <v>8227</v>
      </c>
      <c r="AV1332"/>
      <c r="AX1332"/>
      <c r="AZ1332" t="str">
        <f t="shared" si="261"/>
        <v/>
      </c>
      <c r="BA1332" t="str">
        <f t="shared" si="262"/>
        <v/>
      </c>
    </row>
    <row r="1333" spans="3:53" ht="13.5">
      <c r="C1333" s="19"/>
      <c r="D1333" s="19"/>
      <c r="AC1333" s="6">
        <v>75283</v>
      </c>
      <c r="AD1333" s="6" t="s">
        <v>7285</v>
      </c>
      <c r="AE1333" s="158" t="s">
        <v>3452</v>
      </c>
      <c r="AF1333" s="159" t="s">
        <v>8299</v>
      </c>
      <c r="AG1333" s="160" t="s">
        <v>3683</v>
      </c>
      <c r="AH1333" s="194" t="s">
        <v>679</v>
      </c>
      <c r="AI1333" s="6" t="s">
        <v>2004</v>
      </c>
      <c r="AJ1333" s="3" t="s">
        <v>8227</v>
      </c>
      <c r="AK1333" t="s">
        <v>8227</v>
      </c>
      <c r="AV1333"/>
      <c r="AX1333"/>
      <c r="AZ1333" t="str">
        <f t="shared" si="261"/>
        <v/>
      </c>
      <c r="BA1333" t="str">
        <f t="shared" si="262"/>
        <v/>
      </c>
    </row>
    <row r="1334" spans="3:53" ht="13.5">
      <c r="C1334" s="19"/>
      <c r="D1334" s="19"/>
      <c r="AC1334" s="6" t="s">
        <v>45</v>
      </c>
      <c r="AD1334" s="6" t="s">
        <v>7286</v>
      </c>
      <c r="AE1334" s="158" t="s">
        <v>44</v>
      </c>
      <c r="AF1334" s="159" t="s">
        <v>8299</v>
      </c>
      <c r="AG1334" s="160" t="s">
        <v>3684</v>
      </c>
      <c r="AH1334" s="194" t="s">
        <v>679</v>
      </c>
      <c r="AI1334" s="6" t="s">
        <v>2029</v>
      </c>
      <c r="AJ1334" s="3" t="s">
        <v>8239</v>
      </c>
      <c r="AK1334" t="s">
        <v>8674</v>
      </c>
      <c r="AV1334"/>
      <c r="AX1334"/>
      <c r="AZ1334" t="str">
        <f t="shared" si="261"/>
        <v/>
      </c>
      <c r="BA1334" t="str">
        <f t="shared" si="262"/>
        <v/>
      </c>
    </row>
    <row r="1335" spans="3:53" ht="13.5">
      <c r="C1335" s="19"/>
      <c r="D1335" s="19"/>
      <c r="AC1335" s="6" t="s">
        <v>3771</v>
      </c>
      <c r="AD1335" s="6" t="s">
        <v>7167</v>
      </c>
      <c r="AE1335" s="158" t="s">
        <v>4469</v>
      </c>
      <c r="AF1335" s="159" t="s">
        <v>8300</v>
      </c>
      <c r="AG1335" s="160" t="s">
        <v>1433</v>
      </c>
      <c r="AH1335" s="194" t="s">
        <v>679</v>
      </c>
      <c r="AI1335" s="6" t="s">
        <v>3668</v>
      </c>
      <c r="AJ1335" s="3" t="s">
        <v>8253</v>
      </c>
      <c r="AK1335" t="s">
        <v>8253</v>
      </c>
      <c r="AV1335"/>
      <c r="AX1335"/>
      <c r="AZ1335" t="str">
        <f t="shared" si="261"/>
        <v/>
      </c>
      <c r="BA1335" t="str">
        <f t="shared" si="262"/>
        <v/>
      </c>
    </row>
    <row r="1336" spans="3:53" ht="13.5">
      <c r="C1336" s="19"/>
      <c r="D1336" s="19"/>
      <c r="AC1336" s="6" t="s">
        <v>4328</v>
      </c>
      <c r="AD1336" s="6" t="s">
        <v>7287</v>
      </c>
      <c r="AE1336" s="158" t="s">
        <v>4470</v>
      </c>
      <c r="AF1336" s="159" t="s">
        <v>8300</v>
      </c>
      <c r="AG1336" s="160" t="s">
        <v>137</v>
      </c>
      <c r="AH1336" s="194" t="s">
        <v>679</v>
      </c>
      <c r="AI1336" s="6" t="s">
        <v>3675</v>
      </c>
      <c r="AJ1336" s="3" t="s">
        <v>8253</v>
      </c>
      <c r="AK1336" t="s">
        <v>8253</v>
      </c>
      <c r="AV1336"/>
      <c r="AX1336"/>
      <c r="AZ1336" t="str">
        <f t="shared" si="261"/>
        <v/>
      </c>
      <c r="BA1336" t="str">
        <f t="shared" si="262"/>
        <v/>
      </c>
    </row>
    <row r="1337" spans="3:53" ht="13.5">
      <c r="C1337" s="19"/>
      <c r="D1337" s="19"/>
      <c r="AC1337" s="6" t="s">
        <v>3952</v>
      </c>
      <c r="AD1337" s="6" t="s">
        <v>7286</v>
      </c>
      <c r="AE1337" s="158" t="s">
        <v>4471</v>
      </c>
      <c r="AF1337" s="159" t="s">
        <v>8299</v>
      </c>
      <c r="AG1337" s="160" t="s">
        <v>4723</v>
      </c>
      <c r="AH1337" s="194" t="s">
        <v>678</v>
      </c>
      <c r="AI1337" s="6" t="s">
        <v>3677</v>
      </c>
      <c r="AJ1337" s="3" t="s">
        <v>8253</v>
      </c>
      <c r="AK1337" t="s">
        <v>8253</v>
      </c>
      <c r="AV1337"/>
      <c r="AX1337"/>
      <c r="AZ1337" t="str">
        <f t="shared" si="261"/>
        <v/>
      </c>
      <c r="BA1337" t="str">
        <f t="shared" si="262"/>
        <v/>
      </c>
    </row>
    <row r="1338" spans="3:53" ht="13.5">
      <c r="C1338" s="19"/>
      <c r="D1338" s="19"/>
      <c r="AC1338" s="6" t="s">
        <v>3700</v>
      </c>
      <c r="AD1338" s="6" t="s">
        <v>7167</v>
      </c>
      <c r="AE1338" s="155" t="s">
        <v>4472</v>
      </c>
      <c r="AF1338" s="159" t="s">
        <v>8299</v>
      </c>
      <c r="AG1338" s="160" t="s">
        <v>1657</v>
      </c>
      <c r="AH1338" s="194" t="s">
        <v>679</v>
      </c>
      <c r="AI1338" s="6" t="s">
        <v>3678</v>
      </c>
      <c r="AJ1338" s="3" t="s">
        <v>8232</v>
      </c>
      <c r="AK1338" t="s">
        <v>8232</v>
      </c>
      <c r="AV1338"/>
      <c r="AX1338"/>
      <c r="AZ1338" t="str">
        <f t="shared" ref="AZ1338:AZ1401" si="263">IF(ISBLANK(AW1338),"",CONCATENATE("(",RIGHT(AW1338,5),"-",TEXT(AX1338,"h:mm;@"),")"))</f>
        <v/>
      </c>
      <c r="BA1338" t="str">
        <f t="shared" ref="BA1338:BA1401" si="264">IF(AV1354=AV1338,"",CONCATENATE(IF(AV1353=AV1338,BA1353,""),IF(AV1352=AV1338,BA1352,""),IF(AV1351=AV1338,BA1351,""),IF(AV1350=AV1338,BA1350,""),IF(AV1349=AV1338,BA1349,""),IF(AV1348=AV1338,BA1348,""),IF(AV1347=AV1338,BA1347,""),IF(AV1346=AV1338,BA1346,""),IF(AV1345=AV1338,BA1345,""),IF(AV1344=AV1338,BA1344,""),IF(AV1343=AV1338,BA1343,""),IF(AV1342=AV1338,BA1342,""),IF(AV1341=AV1338,BA1341,""),IF(AV1340=AV1338,BA1340,""),IF(AV1339=AV1338,BA1339,""),IF(AV1337=AV1338,BA1337,""),BA1338))</f>
        <v/>
      </c>
    </row>
    <row r="1339" spans="3:53" ht="13.5">
      <c r="C1339" s="19"/>
      <c r="D1339" s="19"/>
      <c r="AC1339" s="6" t="s">
        <v>6634</v>
      </c>
      <c r="AD1339" s="6" t="s">
        <v>7285</v>
      </c>
      <c r="AE1339" s="155" t="s">
        <v>4473</v>
      </c>
      <c r="AF1339" s="159" t="s">
        <v>8299</v>
      </c>
      <c r="AG1339" s="160" t="s">
        <v>1666</v>
      </c>
      <c r="AH1339" s="194" t="s">
        <v>679</v>
      </c>
      <c r="AI1339" s="6" t="s">
        <v>138</v>
      </c>
      <c r="AJ1339" s="3" t="s">
        <v>8207</v>
      </c>
      <c r="AK1339" t="s">
        <v>8207</v>
      </c>
      <c r="AV1339"/>
      <c r="AX1339"/>
      <c r="AZ1339" t="str">
        <f t="shared" si="263"/>
        <v/>
      </c>
      <c r="BA1339" t="str">
        <f t="shared" si="264"/>
        <v/>
      </c>
    </row>
    <row r="1340" spans="3:53" ht="13.5">
      <c r="C1340" s="19"/>
      <c r="D1340" s="19"/>
      <c r="AC1340" s="6" t="s">
        <v>4294</v>
      </c>
      <c r="AD1340" s="6" t="s">
        <v>7288</v>
      </c>
      <c r="AE1340" s="155" t="s">
        <v>1705</v>
      </c>
      <c r="AF1340" s="159" t="s">
        <v>8325</v>
      </c>
      <c r="AG1340" s="160" t="s">
        <v>5049</v>
      </c>
      <c r="AH1340" s="194" t="s">
        <v>679</v>
      </c>
      <c r="AI1340" s="6" t="s">
        <v>3712</v>
      </c>
      <c r="AJ1340" s="3" t="s">
        <v>8244</v>
      </c>
      <c r="AK1340" t="s">
        <v>8244</v>
      </c>
      <c r="AV1340"/>
      <c r="AX1340"/>
      <c r="AZ1340" t="str">
        <f t="shared" si="263"/>
        <v/>
      </c>
      <c r="BA1340" t="str">
        <f t="shared" si="264"/>
        <v/>
      </c>
    </row>
    <row r="1341" spans="3:53" ht="13.5">
      <c r="C1341" s="19"/>
      <c r="D1341" s="19"/>
      <c r="AC1341" s="6" t="s">
        <v>4304</v>
      </c>
      <c r="AD1341" s="6" t="s">
        <v>7273</v>
      </c>
      <c r="AE1341" s="155" t="s">
        <v>1697</v>
      </c>
      <c r="AF1341" s="159" t="s">
        <v>8329</v>
      </c>
      <c r="AG1341" s="160" t="s">
        <v>1645</v>
      </c>
      <c r="AH1341" s="194" t="s">
        <v>678</v>
      </c>
      <c r="AI1341" s="6" t="s">
        <v>3722</v>
      </c>
      <c r="AJ1341" s="3" t="s">
        <v>8244</v>
      </c>
      <c r="AK1341" t="s">
        <v>8244</v>
      </c>
      <c r="AV1341"/>
      <c r="AX1341"/>
      <c r="AZ1341" t="str">
        <f t="shared" si="263"/>
        <v/>
      </c>
      <c r="BA1341" t="str">
        <f t="shared" si="264"/>
        <v/>
      </c>
    </row>
    <row r="1342" spans="3:53" ht="13.5">
      <c r="C1342" s="19"/>
      <c r="D1342" s="19"/>
      <c r="AC1342" s="6">
        <v>45239</v>
      </c>
      <c r="AD1342" s="6" t="s">
        <v>7289</v>
      </c>
      <c r="AE1342" s="155" t="s">
        <v>1703</v>
      </c>
      <c r="AF1342" s="159" t="s">
        <v>8298</v>
      </c>
      <c r="AG1342" s="160" t="s">
        <v>1648</v>
      </c>
      <c r="AH1342" s="194" t="s">
        <v>678</v>
      </c>
      <c r="AI1342" s="6" t="s">
        <v>1590</v>
      </c>
      <c r="AJ1342" s="3" t="s">
        <v>8197</v>
      </c>
      <c r="AK1342" t="s">
        <v>8197</v>
      </c>
      <c r="AV1342"/>
      <c r="AX1342"/>
      <c r="AZ1342" t="str">
        <f t="shared" si="263"/>
        <v/>
      </c>
      <c r="BA1342" t="str">
        <f t="shared" si="264"/>
        <v/>
      </c>
    </row>
    <row r="1343" spans="3:53" ht="13.5">
      <c r="C1343" s="19"/>
      <c r="D1343" s="19"/>
      <c r="AC1343" s="6">
        <v>765224</v>
      </c>
      <c r="AD1343" s="6" t="s">
        <v>7290</v>
      </c>
      <c r="AE1343" s="155" t="s">
        <v>1707</v>
      </c>
      <c r="AF1343" s="159" t="s">
        <v>8300</v>
      </c>
      <c r="AG1343" s="160" t="s">
        <v>1649</v>
      </c>
      <c r="AH1343" s="194" t="s">
        <v>679</v>
      </c>
      <c r="AI1343" s="6" t="s">
        <v>6654</v>
      </c>
      <c r="AJ1343" s="3" t="s">
        <v>8219</v>
      </c>
      <c r="AK1343" t="s">
        <v>8219</v>
      </c>
      <c r="AV1343"/>
      <c r="AX1343"/>
      <c r="AZ1343" t="str">
        <f t="shared" si="263"/>
        <v/>
      </c>
      <c r="BA1343" t="str">
        <f t="shared" si="264"/>
        <v/>
      </c>
    </row>
    <row r="1344" spans="3:53" ht="13.5">
      <c r="C1344" s="19"/>
      <c r="D1344" s="19"/>
      <c r="AC1344" s="6" t="s">
        <v>51</v>
      </c>
      <c r="AD1344" s="6" t="s">
        <v>7291</v>
      </c>
      <c r="AE1344" s="155" t="s">
        <v>1711</v>
      </c>
      <c r="AF1344" s="159" t="s">
        <v>8299</v>
      </c>
      <c r="AG1344" s="160" t="s">
        <v>5219</v>
      </c>
      <c r="AH1344" s="194" t="s">
        <v>679</v>
      </c>
      <c r="AI1344" s="6" t="s">
        <v>1606</v>
      </c>
      <c r="AJ1344" s="3" t="s">
        <v>8224</v>
      </c>
      <c r="AK1344" t="s">
        <v>8224</v>
      </c>
      <c r="AV1344"/>
      <c r="AX1344"/>
      <c r="AZ1344" t="str">
        <f t="shared" si="263"/>
        <v/>
      </c>
      <c r="BA1344" t="str">
        <f t="shared" si="264"/>
        <v/>
      </c>
    </row>
    <row r="1345" spans="3:53" ht="13.5">
      <c r="C1345" s="19"/>
      <c r="D1345" s="19"/>
      <c r="AC1345" s="6" t="s">
        <v>5056</v>
      </c>
      <c r="AD1345" s="6" t="s">
        <v>7167</v>
      </c>
      <c r="AE1345" s="155" t="s">
        <v>1700</v>
      </c>
      <c r="AF1345" s="159" t="s">
        <v>8299</v>
      </c>
      <c r="AG1345" s="160" t="s">
        <v>5343</v>
      </c>
      <c r="AH1345" s="194" t="s">
        <v>679</v>
      </c>
      <c r="AI1345" s="6" t="s">
        <v>3407</v>
      </c>
      <c r="AJ1345" s="3" t="s">
        <v>8211</v>
      </c>
      <c r="AK1345" t="s">
        <v>8242</v>
      </c>
      <c r="AV1345"/>
      <c r="AX1345"/>
      <c r="AZ1345" t="str">
        <f t="shared" si="263"/>
        <v/>
      </c>
      <c r="BA1345" t="str">
        <f t="shared" si="264"/>
        <v/>
      </c>
    </row>
    <row r="1346" spans="3:53" ht="13.5">
      <c r="C1346" s="19"/>
      <c r="D1346" s="19"/>
      <c r="AC1346" s="6">
        <v>313677</v>
      </c>
      <c r="AD1346" s="6" t="s">
        <v>7271</v>
      </c>
      <c r="AE1346" s="155" t="s">
        <v>1704</v>
      </c>
      <c r="AF1346" s="159" t="s">
        <v>8299</v>
      </c>
      <c r="AG1346" s="160" t="s">
        <v>5344</v>
      </c>
      <c r="AH1346" s="194" t="s">
        <v>679</v>
      </c>
      <c r="AI1346" s="6" t="s">
        <v>2057</v>
      </c>
      <c r="AJ1346" s="3" t="s">
        <v>8238</v>
      </c>
      <c r="AK1346" t="s">
        <v>8673</v>
      </c>
      <c r="AV1346"/>
      <c r="AX1346"/>
      <c r="AZ1346" t="str">
        <f t="shared" si="263"/>
        <v/>
      </c>
      <c r="BA1346" t="str">
        <f t="shared" si="264"/>
        <v/>
      </c>
    </row>
    <row r="1347" spans="3:53" ht="13.5">
      <c r="C1347" s="19"/>
      <c r="D1347" s="19"/>
      <c r="AC1347" s="6" t="s">
        <v>4312</v>
      </c>
      <c r="AD1347" s="6" t="s">
        <v>7275</v>
      </c>
      <c r="AE1347" s="155" t="s">
        <v>1708</v>
      </c>
      <c r="AF1347" s="159" t="s">
        <v>8299</v>
      </c>
      <c r="AG1347" s="160" t="s">
        <v>1751</v>
      </c>
      <c r="AH1347" s="194" t="s">
        <v>679</v>
      </c>
      <c r="AI1347" s="6" t="s">
        <v>2334</v>
      </c>
      <c r="AJ1347" s="3" t="s">
        <v>8206</v>
      </c>
      <c r="AK1347" t="s">
        <v>8206</v>
      </c>
      <c r="AV1347"/>
      <c r="AX1347"/>
      <c r="AZ1347" t="str">
        <f t="shared" si="263"/>
        <v/>
      </c>
      <c r="BA1347" t="str">
        <f t="shared" si="264"/>
        <v/>
      </c>
    </row>
    <row r="1348" spans="3:53" ht="13.5">
      <c r="C1348" s="19"/>
      <c r="D1348" s="19"/>
      <c r="AC1348" s="6" t="s">
        <v>4323</v>
      </c>
      <c r="AD1348" s="6" t="s">
        <v>7292</v>
      </c>
      <c r="AE1348" s="155" t="s">
        <v>1697</v>
      </c>
      <c r="AF1348" s="159" t="s">
        <v>8299</v>
      </c>
      <c r="AG1348" s="160" t="s">
        <v>1753</v>
      </c>
      <c r="AH1348" s="194" t="s">
        <v>679</v>
      </c>
      <c r="AI1348" s="6" t="s">
        <v>1928</v>
      </c>
      <c r="AJ1348" s="3" t="s">
        <v>8234</v>
      </c>
      <c r="AK1348" t="s">
        <v>8234</v>
      </c>
      <c r="AV1348"/>
      <c r="AX1348"/>
      <c r="AZ1348" t="str">
        <f t="shared" si="263"/>
        <v/>
      </c>
      <c r="BA1348" t="str">
        <f t="shared" si="264"/>
        <v/>
      </c>
    </row>
    <row r="1349" spans="3:53" ht="13.5">
      <c r="C1349" s="19"/>
      <c r="D1349" s="19"/>
      <c r="AC1349" s="6" t="s">
        <v>36</v>
      </c>
      <c r="AD1349" s="6" t="s">
        <v>7291</v>
      </c>
      <c r="AE1349" s="155" t="s">
        <v>1209</v>
      </c>
      <c r="AF1349" s="159" t="s">
        <v>8299</v>
      </c>
      <c r="AG1349" s="160" t="s">
        <v>1898</v>
      </c>
      <c r="AH1349" s="194" t="s">
        <v>678</v>
      </c>
      <c r="AI1349" s="6" t="s">
        <v>1941</v>
      </c>
      <c r="AJ1349" s="3" t="s">
        <v>8234</v>
      </c>
      <c r="AK1349" t="s">
        <v>8234</v>
      </c>
      <c r="AV1349"/>
      <c r="AX1349"/>
      <c r="AZ1349" t="str">
        <f t="shared" si="263"/>
        <v/>
      </c>
      <c r="BA1349" t="str">
        <f t="shared" si="264"/>
        <v/>
      </c>
    </row>
    <row r="1350" spans="3:53" ht="13.5">
      <c r="C1350" s="19"/>
      <c r="D1350" s="19"/>
      <c r="AC1350" s="6" t="s">
        <v>3643</v>
      </c>
      <c r="AD1350" s="6" t="s">
        <v>7293</v>
      </c>
      <c r="AE1350" s="155" t="s">
        <v>3531</v>
      </c>
      <c r="AF1350" s="159" t="s">
        <v>8299</v>
      </c>
      <c r="AG1350" s="160" t="s">
        <v>1899</v>
      </c>
      <c r="AH1350" s="194" t="s">
        <v>679</v>
      </c>
      <c r="AI1350" s="6" t="s">
        <v>829</v>
      </c>
      <c r="AJ1350" s="3" t="s">
        <v>8273</v>
      </c>
      <c r="AK1350" t="s">
        <v>8273</v>
      </c>
      <c r="AV1350"/>
      <c r="AX1350"/>
      <c r="AZ1350" t="str">
        <f t="shared" si="263"/>
        <v/>
      </c>
      <c r="BA1350" t="str">
        <f t="shared" si="264"/>
        <v/>
      </c>
    </row>
    <row r="1351" spans="3:53" ht="13.5">
      <c r="C1351" s="19"/>
      <c r="D1351" s="19"/>
      <c r="AC1351" s="6" t="s">
        <v>49</v>
      </c>
      <c r="AD1351" s="6" t="s">
        <v>7291</v>
      </c>
      <c r="AE1351" s="155" t="s">
        <v>1698</v>
      </c>
      <c r="AF1351" s="159" t="s">
        <v>8300</v>
      </c>
      <c r="AG1351" s="160" t="s">
        <v>1990</v>
      </c>
      <c r="AH1351" s="194" t="s">
        <v>679</v>
      </c>
      <c r="AI1351" s="6" t="s">
        <v>834</v>
      </c>
      <c r="AJ1351" s="3" t="s">
        <v>8273</v>
      </c>
      <c r="AK1351" t="s">
        <v>8273</v>
      </c>
      <c r="AV1351"/>
      <c r="AX1351"/>
      <c r="AZ1351" t="str">
        <f t="shared" si="263"/>
        <v/>
      </c>
      <c r="BA1351" t="str">
        <f t="shared" si="264"/>
        <v/>
      </c>
    </row>
    <row r="1352" spans="3:53" ht="13.5">
      <c r="C1352" s="19"/>
      <c r="D1352" s="19"/>
      <c r="AC1352" s="6" t="s">
        <v>50</v>
      </c>
      <c r="AD1352" s="6" t="s">
        <v>7291</v>
      </c>
      <c r="AE1352" s="155" t="s">
        <v>3539</v>
      </c>
      <c r="AF1352" s="159" t="s">
        <v>8296</v>
      </c>
      <c r="AG1352" s="160" t="s">
        <v>1991</v>
      </c>
      <c r="AH1352" s="194" t="s">
        <v>679</v>
      </c>
      <c r="AI1352" s="6" t="s">
        <v>844</v>
      </c>
      <c r="AJ1352" s="3" t="s">
        <v>8273</v>
      </c>
      <c r="AK1352" t="s">
        <v>8273</v>
      </c>
      <c r="AV1352"/>
      <c r="AX1352"/>
      <c r="AZ1352" t="str">
        <f t="shared" si="263"/>
        <v/>
      </c>
      <c r="BA1352" t="str">
        <f t="shared" si="264"/>
        <v/>
      </c>
    </row>
    <row r="1353" spans="3:53" ht="13.5">
      <c r="C1353" s="19"/>
      <c r="D1353" s="19"/>
      <c r="AC1353" s="6" t="s">
        <v>3828</v>
      </c>
      <c r="AD1353" s="6" t="s">
        <v>7294</v>
      </c>
      <c r="AE1353" s="155" t="s">
        <v>1678</v>
      </c>
      <c r="AF1353" s="159" t="s">
        <v>8296</v>
      </c>
      <c r="AG1353" s="160" t="s">
        <v>4493</v>
      </c>
      <c r="AH1353" s="194" t="s">
        <v>1314</v>
      </c>
      <c r="AI1353" s="6" t="s">
        <v>2633</v>
      </c>
      <c r="AJ1353" s="3" t="s">
        <v>8255</v>
      </c>
      <c r="AK1353" t="s">
        <v>8255</v>
      </c>
      <c r="AV1353"/>
      <c r="AX1353"/>
      <c r="AZ1353" t="str">
        <f t="shared" si="263"/>
        <v/>
      </c>
      <c r="BA1353" t="str">
        <f t="shared" si="264"/>
        <v/>
      </c>
    </row>
    <row r="1354" spans="3:53" ht="13.5">
      <c r="C1354" s="19"/>
      <c r="D1354" s="19"/>
      <c r="AC1354" s="6" t="s">
        <v>4257</v>
      </c>
      <c r="AD1354" s="6" t="s">
        <v>7295</v>
      </c>
      <c r="AE1354" s="155" t="s">
        <v>4474</v>
      </c>
      <c r="AF1354" s="159" t="s">
        <v>8299</v>
      </c>
      <c r="AG1354" s="160" t="s">
        <v>2482</v>
      </c>
      <c r="AH1354" s="194" t="s">
        <v>1314</v>
      </c>
      <c r="AI1354" s="6" t="s">
        <v>1987</v>
      </c>
      <c r="AJ1354" s="3" t="s">
        <v>8217</v>
      </c>
      <c r="AK1354" t="s">
        <v>8668</v>
      </c>
      <c r="AV1354"/>
      <c r="AX1354"/>
      <c r="AZ1354" t="str">
        <f t="shared" si="263"/>
        <v/>
      </c>
      <c r="BA1354" t="str">
        <f t="shared" si="264"/>
        <v/>
      </c>
    </row>
    <row r="1355" spans="3:53" ht="13.5">
      <c r="C1355" s="19"/>
      <c r="D1355" s="19"/>
      <c r="AC1355" s="6">
        <v>75282</v>
      </c>
      <c r="AD1355" s="6" t="s">
        <v>7285</v>
      </c>
      <c r="AE1355" s="155" t="s">
        <v>4475</v>
      </c>
      <c r="AF1355" s="159" t="s">
        <v>8299</v>
      </c>
      <c r="AG1355" s="160" t="s">
        <v>2677</v>
      </c>
      <c r="AH1355" s="194" t="s">
        <v>1314</v>
      </c>
      <c r="AI1355" s="6" t="s">
        <v>1425</v>
      </c>
      <c r="AJ1355" s="3" t="s">
        <v>8224</v>
      </c>
      <c r="AK1355" t="s">
        <v>8224</v>
      </c>
      <c r="AV1355"/>
      <c r="AX1355"/>
      <c r="AZ1355" t="str">
        <f t="shared" si="263"/>
        <v/>
      </c>
      <c r="BA1355" t="str">
        <f t="shared" si="264"/>
        <v/>
      </c>
    </row>
    <row r="1356" spans="3:53" ht="13.5">
      <c r="C1356" s="19"/>
      <c r="D1356" s="19"/>
      <c r="AC1356" s="6" t="s">
        <v>3829</v>
      </c>
      <c r="AD1356" s="6" t="s">
        <v>7294</v>
      </c>
      <c r="AE1356" s="155" t="s">
        <v>4476</v>
      </c>
      <c r="AF1356" s="159" t="s">
        <v>8299</v>
      </c>
      <c r="AG1356" s="160" t="s">
        <v>3685</v>
      </c>
      <c r="AH1356" s="194" t="s">
        <v>679</v>
      </c>
      <c r="AI1356" s="6" t="s">
        <v>2879</v>
      </c>
      <c r="AJ1356" s="3" t="s">
        <v>8220</v>
      </c>
      <c r="AK1356" t="s">
        <v>8220</v>
      </c>
      <c r="AV1356"/>
      <c r="AX1356"/>
      <c r="AZ1356" t="str">
        <f t="shared" si="263"/>
        <v/>
      </c>
      <c r="BA1356" t="str">
        <f t="shared" si="264"/>
        <v/>
      </c>
    </row>
    <row r="1357" spans="3:53" ht="13.5">
      <c r="C1357" s="19"/>
      <c r="D1357" s="19"/>
      <c r="AC1357" s="6">
        <v>75421</v>
      </c>
      <c r="AD1357" s="6" t="s">
        <v>7285</v>
      </c>
      <c r="AE1357" s="155" t="s">
        <v>4478</v>
      </c>
      <c r="AF1357" s="159" t="s">
        <v>8339</v>
      </c>
      <c r="AG1357" s="160" t="s">
        <v>3686</v>
      </c>
      <c r="AH1357" s="194" t="s">
        <v>679</v>
      </c>
      <c r="AI1357" s="6" t="s">
        <v>3128</v>
      </c>
      <c r="AJ1357" s="3" t="s">
        <v>8220</v>
      </c>
      <c r="AK1357" t="s">
        <v>8220</v>
      </c>
      <c r="AV1357"/>
      <c r="AX1357"/>
      <c r="AZ1357" t="str">
        <f t="shared" si="263"/>
        <v/>
      </c>
      <c r="BA1357" t="str">
        <f t="shared" si="264"/>
        <v/>
      </c>
    </row>
    <row r="1358" spans="3:53" ht="13.5">
      <c r="C1358" s="19"/>
      <c r="D1358" s="19"/>
      <c r="AC1358" s="6">
        <v>315318</v>
      </c>
      <c r="AD1358" s="6" t="s">
        <v>7271</v>
      </c>
      <c r="AE1358" s="155" t="s">
        <v>4479</v>
      </c>
      <c r="AF1358" s="159" t="s">
        <v>8299</v>
      </c>
      <c r="AG1358" s="160" t="s">
        <v>3687</v>
      </c>
      <c r="AH1358" s="194" t="s">
        <v>679</v>
      </c>
      <c r="AI1358" s="6" t="s">
        <v>3132</v>
      </c>
      <c r="AJ1358" s="3" t="s">
        <v>8247</v>
      </c>
      <c r="AK1358" t="s">
        <v>8247</v>
      </c>
      <c r="AV1358"/>
      <c r="AX1358"/>
      <c r="AZ1358" t="str">
        <f t="shared" si="263"/>
        <v/>
      </c>
      <c r="BA1358" t="str">
        <f t="shared" si="264"/>
        <v/>
      </c>
    </row>
    <row r="1359" spans="3:53" ht="13.5">
      <c r="C1359" s="19"/>
      <c r="D1359" s="19"/>
      <c r="AC1359" s="6" t="s">
        <v>5164</v>
      </c>
      <c r="AD1359" s="6" t="s">
        <v>7296</v>
      </c>
      <c r="AE1359" s="155" t="s">
        <v>4480</v>
      </c>
      <c r="AF1359" s="159" t="s">
        <v>8299</v>
      </c>
      <c r="AG1359" s="160" t="s">
        <v>3688</v>
      </c>
      <c r="AH1359" s="194" t="s">
        <v>679</v>
      </c>
      <c r="AI1359" s="6" t="s">
        <v>3138</v>
      </c>
      <c r="AJ1359" s="3" t="s">
        <v>8193</v>
      </c>
      <c r="AK1359" t="s">
        <v>8205</v>
      </c>
      <c r="AV1359"/>
      <c r="AX1359"/>
      <c r="AZ1359" t="str">
        <f t="shared" si="263"/>
        <v/>
      </c>
      <c r="BA1359" t="str">
        <f t="shared" si="264"/>
        <v/>
      </c>
    </row>
    <row r="1360" spans="3:53" ht="13.5">
      <c r="C1360" s="19"/>
      <c r="D1360" s="19"/>
      <c r="AC1360" s="6" t="s">
        <v>4305</v>
      </c>
      <c r="AD1360" s="6" t="s">
        <v>7273</v>
      </c>
      <c r="AE1360" s="155" t="s">
        <v>4481</v>
      </c>
      <c r="AF1360" s="159" t="s">
        <v>8299</v>
      </c>
      <c r="AG1360" s="160" t="s">
        <v>3689</v>
      </c>
      <c r="AH1360" s="194" t="s">
        <v>679</v>
      </c>
      <c r="AI1360" s="6" t="s">
        <v>3142</v>
      </c>
      <c r="AJ1360" s="3" t="s">
        <v>8204</v>
      </c>
      <c r="AK1360" t="s">
        <v>8204</v>
      </c>
      <c r="AV1360"/>
      <c r="AX1360"/>
      <c r="AZ1360" t="str">
        <f t="shared" si="263"/>
        <v/>
      </c>
      <c r="BA1360" t="str">
        <f t="shared" si="264"/>
        <v/>
      </c>
    </row>
    <row r="1361" spans="3:53" ht="13.5">
      <c r="C1361" s="19"/>
      <c r="D1361" s="19"/>
      <c r="AC1361" s="6" t="s">
        <v>4835</v>
      </c>
      <c r="AD1361" s="6" t="s">
        <v>7266</v>
      </c>
      <c r="AE1361" s="155" t="s">
        <v>4482</v>
      </c>
      <c r="AF1361" s="159" t="s">
        <v>8299</v>
      </c>
      <c r="AG1361" s="160" t="s">
        <v>3690</v>
      </c>
      <c r="AH1361" s="194" t="s">
        <v>679</v>
      </c>
      <c r="AI1361" s="6" t="s">
        <v>3149</v>
      </c>
      <c r="AJ1361" s="3" t="s">
        <v>8204</v>
      </c>
      <c r="AK1361" t="s">
        <v>8204</v>
      </c>
      <c r="AV1361"/>
      <c r="AX1361"/>
      <c r="AZ1361" t="str">
        <f t="shared" si="263"/>
        <v/>
      </c>
      <c r="BA1361" t="str">
        <f t="shared" si="264"/>
        <v/>
      </c>
    </row>
    <row r="1362" spans="3:53" ht="13.5">
      <c r="C1362" s="19"/>
      <c r="D1362" s="19"/>
      <c r="AC1362" s="6">
        <v>45270</v>
      </c>
      <c r="AD1362" s="6" t="s">
        <v>7289</v>
      </c>
      <c r="AE1362" s="155" t="s">
        <v>4483</v>
      </c>
      <c r="AF1362" s="159" t="s">
        <v>8299</v>
      </c>
      <c r="AG1362" s="160" t="s">
        <v>84</v>
      </c>
      <c r="AH1362" s="194" t="s">
        <v>679</v>
      </c>
      <c r="AI1362" s="6" t="s">
        <v>3179</v>
      </c>
      <c r="AJ1362" s="3" t="s">
        <v>8240</v>
      </c>
      <c r="AK1362" t="s">
        <v>8240</v>
      </c>
      <c r="AV1362"/>
      <c r="AX1362"/>
      <c r="AZ1362" t="str">
        <f t="shared" si="263"/>
        <v/>
      </c>
      <c r="BA1362" t="str">
        <f t="shared" si="264"/>
        <v/>
      </c>
    </row>
    <row r="1363" spans="3:53" ht="13.5">
      <c r="C1363" s="19"/>
      <c r="D1363" s="19"/>
      <c r="AC1363" s="6" t="s">
        <v>1131</v>
      </c>
      <c r="AD1363" s="6" t="s">
        <v>7288</v>
      </c>
      <c r="AE1363" s="155" t="s">
        <v>4484</v>
      </c>
      <c r="AF1363" s="159" t="s">
        <v>8299</v>
      </c>
      <c r="AG1363" s="160" t="s">
        <v>3691</v>
      </c>
      <c r="AH1363" s="194" t="s">
        <v>679</v>
      </c>
      <c r="AI1363" s="6" t="s">
        <v>3197</v>
      </c>
      <c r="AJ1363" s="3" t="s">
        <v>8204</v>
      </c>
      <c r="AK1363" t="s">
        <v>8204</v>
      </c>
      <c r="AV1363"/>
      <c r="AX1363"/>
      <c r="AZ1363" t="str">
        <f t="shared" si="263"/>
        <v/>
      </c>
      <c r="BA1363" t="str">
        <f t="shared" si="264"/>
        <v/>
      </c>
    </row>
    <row r="1364" spans="3:53" ht="13.5">
      <c r="C1364" s="19"/>
      <c r="D1364" s="19"/>
      <c r="AC1364" s="6" t="s">
        <v>3586</v>
      </c>
      <c r="AD1364" s="6" t="s">
        <v>7266</v>
      </c>
      <c r="AE1364" s="155" t="s">
        <v>4485</v>
      </c>
      <c r="AF1364" s="159" t="s">
        <v>8339</v>
      </c>
      <c r="AG1364" s="160" t="s">
        <v>3692</v>
      </c>
      <c r="AH1364" s="194" t="s">
        <v>679</v>
      </c>
      <c r="AI1364" s="6" t="s">
        <v>3202</v>
      </c>
      <c r="AJ1364" s="3" t="s">
        <v>8211</v>
      </c>
      <c r="AK1364" t="s">
        <v>8242</v>
      </c>
      <c r="AV1364"/>
      <c r="AX1364"/>
      <c r="AZ1364" t="str">
        <f t="shared" si="263"/>
        <v/>
      </c>
      <c r="BA1364" t="str">
        <f t="shared" si="264"/>
        <v/>
      </c>
    </row>
    <row r="1365" spans="3:53" ht="13.5">
      <c r="C1365" s="19"/>
      <c r="D1365" s="19"/>
      <c r="AC1365" s="6" t="s">
        <v>3588</v>
      </c>
      <c r="AD1365" s="6" t="s">
        <v>7266</v>
      </c>
      <c r="AE1365" s="155" t="s">
        <v>4486</v>
      </c>
      <c r="AF1365" s="159" t="s">
        <v>8299</v>
      </c>
      <c r="AG1365" s="160" t="s">
        <v>3693</v>
      </c>
      <c r="AH1365" s="194" t="s">
        <v>679</v>
      </c>
      <c r="AI1365" s="6" t="s">
        <v>3259</v>
      </c>
      <c r="AJ1365" s="3" t="s">
        <v>8205</v>
      </c>
      <c r="AK1365" t="s">
        <v>8211</v>
      </c>
      <c r="AV1365"/>
      <c r="AX1365"/>
      <c r="AZ1365" t="str">
        <f t="shared" si="263"/>
        <v/>
      </c>
      <c r="BA1365" t="str">
        <f t="shared" si="264"/>
        <v/>
      </c>
    </row>
    <row r="1366" spans="3:53" ht="13.5">
      <c r="C1366" s="19"/>
      <c r="D1366" s="19"/>
      <c r="AC1366" s="6" t="s">
        <v>5625</v>
      </c>
      <c r="AD1366" s="6" t="s">
        <v>6946</v>
      </c>
      <c r="AE1366" s="155" t="s">
        <v>4487</v>
      </c>
      <c r="AF1366" s="159" t="s">
        <v>8299</v>
      </c>
      <c r="AG1366" s="160" t="s">
        <v>3694</v>
      </c>
      <c r="AH1366" s="194" t="s">
        <v>679</v>
      </c>
      <c r="AI1366" s="6" t="s">
        <v>3288</v>
      </c>
      <c r="AJ1366" s="3" t="s">
        <v>8205</v>
      </c>
      <c r="AK1366" t="s">
        <v>8211</v>
      </c>
      <c r="AV1366"/>
      <c r="AX1366"/>
      <c r="AZ1366" t="str">
        <f t="shared" si="263"/>
        <v/>
      </c>
      <c r="BA1366" t="str">
        <f t="shared" si="264"/>
        <v/>
      </c>
    </row>
    <row r="1367" spans="3:53" ht="13.5">
      <c r="C1367" s="19"/>
      <c r="D1367" s="19"/>
      <c r="AC1367" s="6" t="s">
        <v>5132</v>
      </c>
      <c r="AD1367" s="6" t="s">
        <v>7223</v>
      </c>
      <c r="AE1367" s="155" t="s">
        <v>4488</v>
      </c>
      <c r="AF1367" s="159" t="s">
        <v>8299</v>
      </c>
      <c r="AG1367" s="160" t="s">
        <v>2523</v>
      </c>
      <c r="AH1367" s="194" t="s">
        <v>1314</v>
      </c>
      <c r="AI1367" s="6" t="s">
        <v>3296</v>
      </c>
      <c r="AJ1367" s="3" t="s">
        <v>8220</v>
      </c>
      <c r="AK1367" t="s">
        <v>8220</v>
      </c>
      <c r="AV1367"/>
      <c r="AX1367"/>
      <c r="AZ1367" t="str">
        <f t="shared" si="263"/>
        <v/>
      </c>
      <c r="BA1367" t="str">
        <f t="shared" si="264"/>
        <v/>
      </c>
    </row>
    <row r="1368" spans="3:53" ht="13.5">
      <c r="C1368" s="19"/>
      <c r="D1368" s="19"/>
      <c r="AC1368" s="6" t="s">
        <v>3580</v>
      </c>
      <c r="AD1368" s="6" t="s">
        <v>7266</v>
      </c>
      <c r="AE1368" s="155" t="s">
        <v>4489</v>
      </c>
      <c r="AF1368" s="159" t="s">
        <v>8299</v>
      </c>
      <c r="AG1368" s="160" t="s">
        <v>3695</v>
      </c>
      <c r="AH1368" s="194" t="s">
        <v>679</v>
      </c>
      <c r="AI1368" s="6" t="s">
        <v>3302</v>
      </c>
      <c r="AJ1368" s="3" t="s">
        <v>8220</v>
      </c>
      <c r="AK1368" t="s">
        <v>8220</v>
      </c>
      <c r="AV1368"/>
      <c r="AX1368"/>
      <c r="AZ1368" t="str">
        <f t="shared" si="263"/>
        <v/>
      </c>
      <c r="BA1368" t="str">
        <f t="shared" si="264"/>
        <v/>
      </c>
    </row>
    <row r="1369" spans="3:53" ht="13.5">
      <c r="C1369" s="19"/>
      <c r="D1369" s="19"/>
      <c r="AC1369" s="6" t="s">
        <v>5178</v>
      </c>
      <c r="AD1369" s="6" t="s">
        <v>7167</v>
      </c>
      <c r="AE1369" s="155" t="s">
        <v>4722</v>
      </c>
      <c r="AF1369" s="159" t="s">
        <v>8299</v>
      </c>
      <c r="AG1369" s="160" t="s">
        <v>2176</v>
      </c>
      <c r="AH1369" s="194" t="s">
        <v>678</v>
      </c>
      <c r="AI1369" s="6" t="s">
        <v>3329</v>
      </c>
      <c r="AJ1369" s="3" t="s">
        <v>8240</v>
      </c>
      <c r="AK1369" t="s">
        <v>8240</v>
      </c>
      <c r="AV1369"/>
      <c r="AX1369"/>
      <c r="AZ1369" t="str">
        <f t="shared" si="263"/>
        <v/>
      </c>
      <c r="BA1369" t="str">
        <f t="shared" si="264"/>
        <v/>
      </c>
    </row>
    <row r="1370" spans="3:53" ht="13.5">
      <c r="C1370" s="19"/>
      <c r="D1370" s="19"/>
      <c r="AC1370" s="6" t="s">
        <v>3634</v>
      </c>
      <c r="AD1370" s="6" t="s">
        <v>7297</v>
      </c>
      <c r="AE1370" s="155" t="s">
        <v>4717</v>
      </c>
      <c r="AF1370" s="159" t="s">
        <v>8339</v>
      </c>
      <c r="AG1370" s="160" t="s">
        <v>2177</v>
      </c>
      <c r="AH1370" s="194" t="s">
        <v>679</v>
      </c>
      <c r="AI1370" s="6" t="s">
        <v>3335</v>
      </c>
      <c r="AJ1370" s="3" t="s">
        <v>8240</v>
      </c>
      <c r="AK1370" t="s">
        <v>8240</v>
      </c>
      <c r="AV1370"/>
      <c r="AX1370"/>
      <c r="AZ1370" t="str">
        <f t="shared" si="263"/>
        <v/>
      </c>
      <c r="BA1370" t="str">
        <f t="shared" si="264"/>
        <v/>
      </c>
    </row>
    <row r="1371" spans="3:53" ht="13.5">
      <c r="C1371" s="19"/>
      <c r="D1371" s="19"/>
      <c r="AC1371" s="6" t="s">
        <v>4306</v>
      </c>
      <c r="AD1371" s="6" t="s">
        <v>7273</v>
      </c>
      <c r="AE1371" s="155" t="s">
        <v>5527</v>
      </c>
      <c r="AF1371" s="159" t="s">
        <v>8299</v>
      </c>
      <c r="AG1371" s="160" t="s">
        <v>2178</v>
      </c>
      <c r="AH1371" s="194" t="s">
        <v>678</v>
      </c>
      <c r="AI1371" s="6" t="s">
        <v>3353</v>
      </c>
      <c r="AJ1371" s="3" t="s">
        <v>8211</v>
      </c>
      <c r="AK1371" t="s">
        <v>8242</v>
      </c>
      <c r="AV1371"/>
      <c r="AX1371"/>
      <c r="AZ1371" t="str">
        <f t="shared" si="263"/>
        <v/>
      </c>
      <c r="BA1371" t="str">
        <f t="shared" si="264"/>
        <v/>
      </c>
    </row>
    <row r="1372" spans="3:53" ht="13.5">
      <c r="C1372" s="19"/>
      <c r="D1372" s="19"/>
      <c r="AC1372" s="6" t="s">
        <v>5111</v>
      </c>
      <c r="AD1372" s="6" t="s">
        <v>6929</v>
      </c>
      <c r="AE1372" s="155" t="s">
        <v>4760</v>
      </c>
      <c r="AF1372" s="159" t="s">
        <v>8339</v>
      </c>
      <c r="AG1372" s="160" t="s">
        <v>2179</v>
      </c>
      <c r="AH1372" s="194" t="s">
        <v>679</v>
      </c>
      <c r="AI1372" s="6" t="s">
        <v>3372</v>
      </c>
      <c r="AJ1372" s="3" t="s">
        <v>8211</v>
      </c>
      <c r="AK1372" t="s">
        <v>8242</v>
      </c>
      <c r="AV1372"/>
      <c r="AX1372"/>
      <c r="AZ1372" t="str">
        <f t="shared" si="263"/>
        <v/>
      </c>
      <c r="BA1372" t="str">
        <f t="shared" si="264"/>
        <v/>
      </c>
    </row>
    <row r="1373" spans="3:53" ht="13.5">
      <c r="C1373" s="19"/>
      <c r="D1373" s="19"/>
      <c r="AC1373" s="6" t="s">
        <v>3581</v>
      </c>
      <c r="AD1373" s="6" t="s">
        <v>7266</v>
      </c>
      <c r="AE1373" s="155" t="s">
        <v>4721</v>
      </c>
      <c r="AF1373" s="159" t="s">
        <v>8339</v>
      </c>
      <c r="AG1373" s="160" t="s">
        <v>138</v>
      </c>
      <c r="AH1373" s="194" t="s">
        <v>679</v>
      </c>
      <c r="AI1373" s="6" t="s">
        <v>2154</v>
      </c>
      <c r="AJ1373" s="3" t="s">
        <v>8224</v>
      </c>
      <c r="AK1373" t="s">
        <v>8224</v>
      </c>
      <c r="AV1373"/>
      <c r="AX1373"/>
      <c r="AZ1373" t="str">
        <f t="shared" si="263"/>
        <v/>
      </c>
      <c r="BA1373" t="str">
        <f t="shared" si="264"/>
        <v/>
      </c>
    </row>
    <row r="1374" spans="3:53" ht="13.5">
      <c r="C1374" s="19"/>
      <c r="D1374" s="19"/>
      <c r="AC1374" s="6" t="s">
        <v>5474</v>
      </c>
      <c r="AD1374" s="6" t="s">
        <v>7277</v>
      </c>
      <c r="AE1374" s="155" t="s">
        <v>4037</v>
      </c>
      <c r="AF1374" s="159" t="s">
        <v>8325</v>
      </c>
      <c r="AG1374" s="160" t="s">
        <v>139</v>
      </c>
      <c r="AH1374" s="194" t="s">
        <v>678</v>
      </c>
      <c r="AI1374" s="6" t="s">
        <v>2246</v>
      </c>
      <c r="AJ1374" s="3" t="s">
        <v>8243</v>
      </c>
      <c r="AK1374" t="s">
        <v>8243</v>
      </c>
      <c r="AV1374"/>
      <c r="AX1374"/>
      <c r="AZ1374" t="str">
        <f t="shared" si="263"/>
        <v/>
      </c>
      <c r="BA1374" t="str">
        <f t="shared" si="264"/>
        <v/>
      </c>
    </row>
    <row r="1375" spans="3:53" ht="13.5">
      <c r="C1375" s="19"/>
      <c r="D1375" s="19"/>
      <c r="AC1375" s="6" t="s">
        <v>5064</v>
      </c>
      <c r="AD1375" s="6" t="s">
        <v>7298</v>
      </c>
      <c r="AE1375" s="155" t="s">
        <v>4777</v>
      </c>
      <c r="AF1375" s="159" t="s">
        <v>8299</v>
      </c>
      <c r="AG1375" s="160" t="s">
        <v>140</v>
      </c>
      <c r="AH1375" s="194" t="s">
        <v>679</v>
      </c>
      <c r="AI1375" s="6" t="s">
        <v>2314</v>
      </c>
      <c r="AJ1375" s="3" t="s">
        <v>8237</v>
      </c>
      <c r="AK1375" t="s">
        <v>8237</v>
      </c>
      <c r="AV1375"/>
      <c r="AX1375"/>
      <c r="AZ1375" t="str">
        <f t="shared" si="263"/>
        <v/>
      </c>
      <c r="BA1375" t="str">
        <f t="shared" si="264"/>
        <v/>
      </c>
    </row>
    <row r="1376" spans="3:53" ht="13.5">
      <c r="C1376" s="19"/>
      <c r="D1376" s="19"/>
      <c r="AC1376" s="6" t="s">
        <v>4322</v>
      </c>
      <c r="AD1376" s="6" t="s">
        <v>7299</v>
      </c>
      <c r="AE1376" s="155" t="s">
        <v>4781</v>
      </c>
      <c r="AF1376" s="159" t="s">
        <v>8300</v>
      </c>
      <c r="AG1376" s="160" t="s">
        <v>141</v>
      </c>
      <c r="AH1376" s="194" t="s">
        <v>679</v>
      </c>
      <c r="AI1376" s="6" t="s">
        <v>3936</v>
      </c>
      <c r="AJ1376" s="3" t="s">
        <v>8253</v>
      </c>
      <c r="AK1376" t="s">
        <v>8253</v>
      </c>
      <c r="AV1376"/>
      <c r="AX1376"/>
      <c r="AZ1376" t="str">
        <f t="shared" si="263"/>
        <v/>
      </c>
      <c r="BA1376" t="str">
        <f t="shared" si="264"/>
        <v/>
      </c>
    </row>
    <row r="1377" spans="3:53" ht="13.5">
      <c r="C1377" s="19"/>
      <c r="D1377" s="19"/>
      <c r="AC1377" s="6">
        <v>313557</v>
      </c>
      <c r="AD1377" s="6" t="s">
        <v>7271</v>
      </c>
      <c r="AE1377" s="155" t="s">
        <v>4770</v>
      </c>
      <c r="AF1377" s="159" t="s">
        <v>8299</v>
      </c>
      <c r="AG1377" s="160" t="s">
        <v>142</v>
      </c>
      <c r="AH1377" s="194" t="s">
        <v>679</v>
      </c>
      <c r="AI1377" s="6" t="s">
        <v>3945</v>
      </c>
      <c r="AJ1377" s="3" t="s">
        <v>8279</v>
      </c>
      <c r="AK1377" t="s">
        <v>8679</v>
      </c>
      <c r="AV1377"/>
      <c r="AX1377"/>
      <c r="AZ1377" t="str">
        <f t="shared" si="263"/>
        <v/>
      </c>
      <c r="BA1377" t="str">
        <f t="shared" si="264"/>
        <v/>
      </c>
    </row>
    <row r="1378" spans="3:53" ht="13.5">
      <c r="C1378" s="19"/>
      <c r="D1378" s="19"/>
      <c r="AC1378" s="6" t="s">
        <v>1141</v>
      </c>
      <c r="AD1378" s="6" t="s">
        <v>7275</v>
      </c>
      <c r="AE1378" s="155" t="s">
        <v>4701</v>
      </c>
      <c r="AF1378" s="159" t="s">
        <v>8299</v>
      </c>
      <c r="AG1378" s="160" t="s">
        <v>1480</v>
      </c>
      <c r="AH1378" s="194" t="s">
        <v>679</v>
      </c>
      <c r="AI1378" s="6" t="s">
        <v>3946</v>
      </c>
      <c r="AJ1378" s="3" t="s">
        <v>8279</v>
      </c>
      <c r="AK1378" t="s">
        <v>8679</v>
      </c>
      <c r="AV1378"/>
      <c r="AX1378"/>
      <c r="AZ1378" t="str">
        <f t="shared" si="263"/>
        <v/>
      </c>
      <c r="BA1378" t="str">
        <f t="shared" si="264"/>
        <v/>
      </c>
    </row>
    <row r="1379" spans="3:53" ht="13.5">
      <c r="C1379" s="19"/>
      <c r="D1379" s="19"/>
      <c r="AC1379" s="6" t="s">
        <v>4307</v>
      </c>
      <c r="AD1379" s="6" t="s">
        <v>7273</v>
      </c>
      <c r="AE1379" s="155" t="s">
        <v>5076</v>
      </c>
      <c r="AF1379" s="159" t="s">
        <v>8299</v>
      </c>
      <c r="AG1379" s="160" t="s">
        <v>1484</v>
      </c>
      <c r="AH1379" s="194" t="s">
        <v>679</v>
      </c>
      <c r="AI1379" s="6" t="s">
        <v>3965</v>
      </c>
      <c r="AJ1379" s="3" t="s">
        <v>8236</v>
      </c>
      <c r="AK1379" t="s">
        <v>8236</v>
      </c>
      <c r="AV1379"/>
      <c r="AX1379"/>
      <c r="AZ1379" t="str">
        <f t="shared" si="263"/>
        <v/>
      </c>
      <c r="BA1379" t="str">
        <f t="shared" si="264"/>
        <v/>
      </c>
    </row>
    <row r="1380" spans="3:53" ht="13.5">
      <c r="C1380" s="19"/>
      <c r="D1380" s="19"/>
      <c r="AC1380" s="6" t="s">
        <v>5239</v>
      </c>
      <c r="AD1380" s="6" t="s">
        <v>7300</v>
      </c>
      <c r="AE1380" s="155" t="s">
        <v>5111</v>
      </c>
      <c r="AF1380" s="159" t="s">
        <v>8299</v>
      </c>
      <c r="AG1380" s="160" t="s">
        <v>1485</v>
      </c>
      <c r="AH1380" s="194" t="s">
        <v>679</v>
      </c>
      <c r="AI1380" s="6" t="s">
        <v>444</v>
      </c>
      <c r="AJ1380" s="3" t="s">
        <v>8208</v>
      </c>
      <c r="AK1380" t="s">
        <v>8667</v>
      </c>
      <c r="AV1380"/>
      <c r="AX1380"/>
      <c r="AZ1380" t="str">
        <f t="shared" si="263"/>
        <v/>
      </c>
      <c r="BA1380" t="str">
        <f t="shared" si="264"/>
        <v/>
      </c>
    </row>
    <row r="1381" spans="3:53" ht="13.5">
      <c r="C1381" s="19"/>
      <c r="D1381" s="19"/>
      <c r="AC1381" s="6" t="s">
        <v>1130</v>
      </c>
      <c r="AD1381" s="6" t="s">
        <v>7288</v>
      </c>
      <c r="AE1381" s="155" t="s">
        <v>5039</v>
      </c>
      <c r="AF1381" s="159" t="s">
        <v>8300</v>
      </c>
      <c r="AG1381" s="160" t="s">
        <v>4410</v>
      </c>
      <c r="AH1381" s="194" t="s">
        <v>679</v>
      </c>
      <c r="AI1381" s="6" t="s">
        <v>507</v>
      </c>
      <c r="AJ1381" s="3" t="s">
        <v>8209</v>
      </c>
      <c r="AK1381" t="s">
        <v>8209</v>
      </c>
      <c r="AV1381"/>
      <c r="AX1381"/>
      <c r="AZ1381" t="str">
        <f t="shared" si="263"/>
        <v/>
      </c>
      <c r="BA1381" t="str">
        <f t="shared" si="264"/>
        <v/>
      </c>
    </row>
    <row r="1382" spans="3:53" ht="13.5">
      <c r="C1382" s="19"/>
      <c r="D1382" s="19"/>
      <c r="AC1382" s="6">
        <v>45238</v>
      </c>
      <c r="AD1382" s="6" t="s">
        <v>7289</v>
      </c>
      <c r="AE1382" s="155" t="s">
        <v>4835</v>
      </c>
      <c r="AF1382" s="159" t="s">
        <v>8299</v>
      </c>
      <c r="AG1382" s="160" t="s">
        <v>33</v>
      </c>
      <c r="AH1382" s="194" t="s">
        <v>678</v>
      </c>
      <c r="AI1382" s="6" t="s">
        <v>2663</v>
      </c>
      <c r="AJ1382" s="3" t="s">
        <v>8251</v>
      </c>
      <c r="AK1382" t="s">
        <v>8251</v>
      </c>
      <c r="AV1382"/>
      <c r="AX1382"/>
      <c r="AZ1382" t="str">
        <f t="shared" si="263"/>
        <v/>
      </c>
      <c r="BA1382" t="str">
        <f t="shared" si="264"/>
        <v/>
      </c>
    </row>
    <row r="1383" spans="3:53" ht="13.5">
      <c r="C1383" s="19"/>
      <c r="D1383" s="19"/>
      <c r="AC1383" s="6">
        <v>195223</v>
      </c>
      <c r="AD1383" s="6" t="s">
        <v>7301</v>
      </c>
      <c r="AE1383" s="155" t="s">
        <v>4041</v>
      </c>
      <c r="AF1383" s="159" t="s">
        <v>8309</v>
      </c>
      <c r="AG1383" s="160" t="s">
        <v>143</v>
      </c>
      <c r="AH1383" s="194" t="s">
        <v>679</v>
      </c>
      <c r="AI1383" s="6" t="s">
        <v>1490</v>
      </c>
      <c r="AJ1383" s="3" t="s">
        <v>8224</v>
      </c>
      <c r="AK1383" t="s">
        <v>8224</v>
      </c>
      <c r="AV1383"/>
      <c r="AX1383"/>
      <c r="AZ1383" t="str">
        <f t="shared" si="263"/>
        <v/>
      </c>
      <c r="BA1383" t="str">
        <f t="shared" si="264"/>
        <v/>
      </c>
    </row>
    <row r="1384" spans="3:53" ht="13.5">
      <c r="C1384" s="19"/>
      <c r="D1384" s="19"/>
      <c r="AC1384" s="6" t="s">
        <v>3633</v>
      </c>
      <c r="AD1384" s="6" t="s">
        <v>7298</v>
      </c>
      <c r="AE1384" s="155" t="s">
        <v>4837</v>
      </c>
      <c r="AF1384" s="159" t="s">
        <v>8299</v>
      </c>
      <c r="AG1384" s="160" t="s">
        <v>144</v>
      </c>
      <c r="AH1384" s="194" t="s">
        <v>678</v>
      </c>
      <c r="AI1384" s="6" t="s">
        <v>2381</v>
      </c>
      <c r="AJ1384" s="3" t="s">
        <v>8275</v>
      </c>
      <c r="AK1384" t="s">
        <v>8275</v>
      </c>
      <c r="AV1384"/>
      <c r="AX1384"/>
      <c r="AZ1384" t="str">
        <f t="shared" si="263"/>
        <v/>
      </c>
      <c r="BA1384" t="str">
        <f t="shared" si="264"/>
        <v/>
      </c>
    </row>
    <row r="1385" spans="3:53" ht="13.5">
      <c r="C1385" s="19"/>
      <c r="D1385" s="19"/>
      <c r="AC1385" s="6" t="s">
        <v>55</v>
      </c>
      <c r="AD1385" s="6" t="s">
        <v>7302</v>
      </c>
      <c r="AE1385" s="155" t="s">
        <v>4046</v>
      </c>
      <c r="AF1385" s="159" t="s">
        <v>8368</v>
      </c>
      <c r="AG1385" s="160" t="s">
        <v>5134</v>
      </c>
      <c r="AH1385" s="194" t="s">
        <v>679</v>
      </c>
      <c r="AI1385" s="6" t="s">
        <v>604</v>
      </c>
      <c r="AJ1385" s="3" t="s">
        <v>8224</v>
      </c>
      <c r="AK1385" t="s">
        <v>8224</v>
      </c>
      <c r="AV1385"/>
      <c r="AX1385"/>
      <c r="AZ1385" t="str">
        <f t="shared" si="263"/>
        <v/>
      </c>
      <c r="BA1385" t="str">
        <f t="shared" si="264"/>
        <v/>
      </c>
    </row>
    <row r="1386" spans="3:53" ht="13.5">
      <c r="C1386" s="19"/>
      <c r="D1386" s="19"/>
      <c r="AC1386" s="6" t="s">
        <v>3639</v>
      </c>
      <c r="AD1386" s="6" t="s">
        <v>7298</v>
      </c>
      <c r="AE1386" s="155" t="s">
        <v>5092</v>
      </c>
      <c r="AF1386" s="159" t="s">
        <v>8299</v>
      </c>
      <c r="AG1386" s="160" t="s">
        <v>5139</v>
      </c>
      <c r="AH1386" s="194" t="s">
        <v>679</v>
      </c>
      <c r="AI1386" s="6" t="s">
        <v>1637</v>
      </c>
      <c r="AJ1386" s="3" t="s">
        <v>8224</v>
      </c>
      <c r="AK1386" t="s">
        <v>8224</v>
      </c>
      <c r="AV1386"/>
      <c r="AX1386"/>
      <c r="AZ1386" t="str">
        <f t="shared" si="263"/>
        <v/>
      </c>
      <c r="BA1386" t="str">
        <f t="shared" si="264"/>
        <v/>
      </c>
    </row>
    <row r="1387" spans="3:53" ht="13.5">
      <c r="C1387" s="19"/>
      <c r="D1387" s="19"/>
      <c r="AC1387" s="6" t="s">
        <v>3636</v>
      </c>
      <c r="AD1387" s="6" t="s">
        <v>7298</v>
      </c>
      <c r="AE1387" s="155" t="s">
        <v>5046</v>
      </c>
      <c r="AF1387" s="159" t="s">
        <v>8299</v>
      </c>
      <c r="AG1387" s="160" t="s">
        <v>5174</v>
      </c>
      <c r="AH1387" s="194" t="s">
        <v>679</v>
      </c>
      <c r="AI1387" s="6" t="s">
        <v>2223</v>
      </c>
      <c r="AJ1387" s="3" t="s">
        <v>8248</v>
      </c>
      <c r="AK1387" t="s">
        <v>8248</v>
      </c>
      <c r="AV1387"/>
      <c r="AX1387"/>
      <c r="AZ1387" t="str">
        <f t="shared" si="263"/>
        <v/>
      </c>
      <c r="BA1387" t="str">
        <f t="shared" si="264"/>
        <v/>
      </c>
    </row>
    <row r="1388" spans="3:53" ht="13.5">
      <c r="C1388" s="19"/>
      <c r="D1388" s="19"/>
      <c r="AC1388" s="6" t="s">
        <v>1007</v>
      </c>
      <c r="AD1388" s="6" t="s">
        <v>7167</v>
      </c>
      <c r="AE1388" s="155" t="s">
        <v>5150</v>
      </c>
      <c r="AF1388" s="159" t="s">
        <v>8299</v>
      </c>
      <c r="AG1388" s="160" t="s">
        <v>5123</v>
      </c>
      <c r="AH1388" s="194" t="s">
        <v>4700</v>
      </c>
      <c r="AI1388" s="6" t="s">
        <v>2675</v>
      </c>
      <c r="AJ1388" s="3" t="s">
        <v>8256</v>
      </c>
      <c r="AK1388" t="s">
        <v>8256</v>
      </c>
      <c r="AV1388"/>
      <c r="AX1388"/>
      <c r="AZ1388" t="str">
        <f t="shared" si="263"/>
        <v/>
      </c>
      <c r="BA1388" t="str">
        <f t="shared" si="264"/>
        <v/>
      </c>
    </row>
    <row r="1389" spans="3:53" ht="13.5">
      <c r="C1389" s="19"/>
      <c r="D1389" s="19"/>
      <c r="AC1389" s="6" t="s">
        <v>3646</v>
      </c>
      <c r="AD1389" s="6" t="s">
        <v>7298</v>
      </c>
      <c r="AE1389" s="155" t="s">
        <v>5093</v>
      </c>
      <c r="AF1389" s="159" t="s">
        <v>8299</v>
      </c>
      <c r="AG1389" s="160" t="s">
        <v>145</v>
      </c>
      <c r="AH1389" s="194" t="s">
        <v>679</v>
      </c>
      <c r="AI1389" s="6" t="s">
        <v>4002</v>
      </c>
      <c r="AJ1389" s="3" t="s">
        <v>8266</v>
      </c>
      <c r="AK1389" t="s">
        <v>8266</v>
      </c>
      <c r="AV1389"/>
      <c r="AX1389"/>
      <c r="AZ1389" t="str">
        <f t="shared" si="263"/>
        <v/>
      </c>
      <c r="BA1389" t="str">
        <f t="shared" si="264"/>
        <v/>
      </c>
    </row>
    <row r="1390" spans="3:53" ht="13.5">
      <c r="C1390" s="19"/>
      <c r="D1390" s="19"/>
      <c r="AC1390" s="6" t="s">
        <v>3635</v>
      </c>
      <c r="AD1390" s="6" t="s">
        <v>7298</v>
      </c>
      <c r="AE1390" s="155" t="s">
        <v>5192</v>
      </c>
      <c r="AF1390" s="159" t="s">
        <v>8299</v>
      </c>
      <c r="AG1390" s="160" t="s">
        <v>1633</v>
      </c>
      <c r="AH1390" s="194" t="s">
        <v>679</v>
      </c>
      <c r="AI1390" s="6" t="s">
        <v>2012</v>
      </c>
      <c r="AJ1390" s="3" t="s">
        <v>8194</v>
      </c>
      <c r="AK1390" t="s">
        <v>8194</v>
      </c>
      <c r="AV1390"/>
      <c r="AX1390"/>
      <c r="AZ1390" t="str">
        <f t="shared" si="263"/>
        <v/>
      </c>
      <c r="BA1390" t="str">
        <f t="shared" si="264"/>
        <v/>
      </c>
    </row>
    <row r="1391" spans="3:53" ht="13.5">
      <c r="C1391" s="19"/>
      <c r="D1391" s="19"/>
      <c r="AC1391" s="6" t="s">
        <v>3632</v>
      </c>
      <c r="AD1391" s="6" t="s">
        <v>7298</v>
      </c>
      <c r="AE1391" s="155" t="s">
        <v>5075</v>
      </c>
      <c r="AF1391" s="159" t="s">
        <v>8299</v>
      </c>
      <c r="AG1391" s="160" t="s">
        <v>146</v>
      </c>
      <c r="AH1391" s="194" t="s">
        <v>679</v>
      </c>
      <c r="AI1391" s="6" t="s">
        <v>2030</v>
      </c>
      <c r="AJ1391" s="3" t="s">
        <v>8194</v>
      </c>
      <c r="AK1391" t="s">
        <v>8194</v>
      </c>
      <c r="AV1391"/>
      <c r="AX1391"/>
      <c r="AZ1391" t="str">
        <f t="shared" si="263"/>
        <v/>
      </c>
      <c r="BA1391" t="str">
        <f t="shared" si="264"/>
        <v/>
      </c>
    </row>
    <row r="1392" spans="3:53" ht="13.5">
      <c r="C1392" s="19"/>
      <c r="D1392" s="19"/>
      <c r="AC1392" s="6" t="s">
        <v>3638</v>
      </c>
      <c r="AD1392" s="6" t="s">
        <v>7298</v>
      </c>
      <c r="AE1392" s="155" t="s">
        <v>5073</v>
      </c>
      <c r="AF1392" s="159" t="s">
        <v>8299</v>
      </c>
      <c r="AG1392" s="160" t="s">
        <v>981</v>
      </c>
      <c r="AH1392" s="194" t="s">
        <v>679</v>
      </c>
      <c r="AI1392" s="6" t="s">
        <v>623</v>
      </c>
      <c r="AJ1392" s="3" t="s">
        <v>8202</v>
      </c>
      <c r="AK1392" t="s">
        <v>8202</v>
      </c>
      <c r="AV1392"/>
      <c r="AX1392"/>
      <c r="AZ1392" t="str">
        <f t="shared" si="263"/>
        <v/>
      </c>
      <c r="BA1392" t="str">
        <f t="shared" si="264"/>
        <v/>
      </c>
    </row>
    <row r="1393" spans="3:53" ht="13.5">
      <c r="C1393" s="19"/>
      <c r="D1393" s="19"/>
      <c r="AC1393" s="6" t="s">
        <v>4481</v>
      </c>
      <c r="AD1393" s="6" t="s">
        <v>7298</v>
      </c>
      <c r="AE1393" s="155" t="s">
        <v>5066</v>
      </c>
      <c r="AF1393" s="159" t="s">
        <v>8299</v>
      </c>
      <c r="AG1393" s="160" t="s">
        <v>4400</v>
      </c>
      <c r="AH1393" s="194" t="s">
        <v>4700</v>
      </c>
      <c r="AI1393" s="6" t="s">
        <v>861</v>
      </c>
      <c r="AJ1393" s="3" t="s">
        <v>8215</v>
      </c>
      <c r="AK1393" t="s">
        <v>8215</v>
      </c>
      <c r="AV1393"/>
      <c r="AX1393"/>
      <c r="AZ1393" t="str">
        <f t="shared" si="263"/>
        <v/>
      </c>
      <c r="BA1393" t="str">
        <f t="shared" si="264"/>
        <v/>
      </c>
    </row>
    <row r="1394" spans="3:53" ht="13.5">
      <c r="C1394" s="19"/>
      <c r="D1394" s="19"/>
      <c r="AC1394" s="6" t="s">
        <v>3645</v>
      </c>
      <c r="AD1394" s="6" t="s">
        <v>7298</v>
      </c>
      <c r="AE1394" s="155" t="s">
        <v>5067</v>
      </c>
      <c r="AF1394" s="159" t="s">
        <v>8300</v>
      </c>
      <c r="AG1394" s="160" t="s">
        <v>4401</v>
      </c>
      <c r="AH1394" s="194" t="s">
        <v>4700</v>
      </c>
      <c r="AI1394" s="6" t="s">
        <v>1836</v>
      </c>
      <c r="AJ1394" s="3" t="s">
        <v>8248</v>
      </c>
      <c r="AK1394" t="s">
        <v>8248</v>
      </c>
      <c r="AV1394"/>
      <c r="AX1394"/>
      <c r="AZ1394" t="str">
        <f t="shared" si="263"/>
        <v/>
      </c>
      <c r="BA1394" t="str">
        <f t="shared" si="264"/>
        <v/>
      </c>
    </row>
    <row r="1395" spans="3:53" ht="13.5">
      <c r="C1395" s="19"/>
      <c r="D1395" s="19"/>
      <c r="AC1395" s="6" t="s">
        <v>57</v>
      </c>
      <c r="AD1395" s="6" t="s">
        <v>7298</v>
      </c>
      <c r="AE1395" s="155" t="s">
        <v>5089</v>
      </c>
      <c r="AF1395" s="159" t="s">
        <v>8299</v>
      </c>
      <c r="AG1395" s="160" t="s">
        <v>4402</v>
      </c>
      <c r="AH1395" s="194" t="s">
        <v>4700</v>
      </c>
      <c r="AI1395" s="6" t="s">
        <v>926</v>
      </c>
      <c r="AJ1395" s="3" t="s">
        <v>8215</v>
      </c>
      <c r="AK1395" t="s">
        <v>8215</v>
      </c>
      <c r="AV1395"/>
      <c r="AX1395"/>
      <c r="AZ1395" t="str">
        <f t="shared" si="263"/>
        <v/>
      </c>
      <c r="BA1395" t="str">
        <f t="shared" si="264"/>
        <v/>
      </c>
    </row>
    <row r="1396" spans="3:53" ht="13.5">
      <c r="C1396" s="19"/>
      <c r="D1396" s="19"/>
      <c r="AC1396" s="6" t="s">
        <v>3640</v>
      </c>
      <c r="AD1396" s="6" t="s">
        <v>7298</v>
      </c>
      <c r="AE1396" s="155" t="s">
        <v>5175</v>
      </c>
      <c r="AF1396" s="159" t="s">
        <v>8299</v>
      </c>
      <c r="AG1396" s="160" t="s">
        <v>4403</v>
      </c>
      <c r="AH1396" s="194" t="s">
        <v>4700</v>
      </c>
      <c r="AI1396" s="6" t="s">
        <v>929</v>
      </c>
      <c r="AJ1396" s="3" t="s">
        <v>8257</v>
      </c>
      <c r="AK1396" t="s">
        <v>8257</v>
      </c>
      <c r="AV1396"/>
      <c r="AX1396"/>
      <c r="AZ1396" t="str">
        <f t="shared" si="263"/>
        <v/>
      </c>
      <c r="BA1396" t="str">
        <f t="shared" si="264"/>
        <v/>
      </c>
    </row>
    <row r="1397" spans="3:53" ht="13.5">
      <c r="C1397" s="19"/>
      <c r="D1397" s="19"/>
      <c r="AC1397" s="6" t="s">
        <v>3642</v>
      </c>
      <c r="AD1397" s="6" t="s">
        <v>7298</v>
      </c>
      <c r="AE1397" s="155" t="s">
        <v>5062</v>
      </c>
      <c r="AF1397" s="159" t="s">
        <v>8300</v>
      </c>
      <c r="AG1397" s="160" t="s">
        <v>4404</v>
      </c>
      <c r="AH1397" s="194" t="s">
        <v>4700</v>
      </c>
      <c r="AI1397" s="6" t="s">
        <v>1650</v>
      </c>
      <c r="AJ1397" s="3" t="s">
        <v>8223</v>
      </c>
      <c r="AK1397" t="s">
        <v>8223</v>
      </c>
      <c r="AV1397"/>
      <c r="AX1397"/>
      <c r="AZ1397" t="str">
        <f t="shared" si="263"/>
        <v/>
      </c>
      <c r="BA1397" t="str">
        <f t="shared" si="264"/>
        <v/>
      </c>
    </row>
    <row r="1398" spans="3:53" ht="13.5">
      <c r="C1398" s="19"/>
      <c r="D1398" s="19"/>
      <c r="AC1398" s="6" t="s">
        <v>1128</v>
      </c>
      <c r="AD1398" s="6" t="s">
        <v>7167</v>
      </c>
      <c r="AE1398" s="155" t="s">
        <v>5059</v>
      </c>
      <c r="AF1398" s="159" t="s">
        <v>8300</v>
      </c>
      <c r="AG1398" s="160" t="s">
        <v>4405</v>
      </c>
      <c r="AH1398" s="194" t="s">
        <v>4700</v>
      </c>
      <c r="AI1398" s="6" t="s">
        <v>1119</v>
      </c>
      <c r="AJ1398" s="3" t="s">
        <v>8265</v>
      </c>
      <c r="AK1398" t="s">
        <v>8265</v>
      </c>
      <c r="AV1398"/>
      <c r="AX1398"/>
      <c r="AZ1398" t="str">
        <f t="shared" si="263"/>
        <v/>
      </c>
      <c r="BA1398" t="str">
        <f t="shared" si="264"/>
        <v/>
      </c>
    </row>
    <row r="1399" spans="3:53" ht="13.5">
      <c r="C1399" s="19"/>
      <c r="D1399" s="19"/>
      <c r="AC1399" s="6" t="s">
        <v>3641</v>
      </c>
      <c r="AD1399" s="6" t="s">
        <v>7298</v>
      </c>
      <c r="AE1399" s="155" t="s">
        <v>5162</v>
      </c>
      <c r="AF1399" s="159" t="s">
        <v>8299</v>
      </c>
      <c r="AG1399" s="160" t="s">
        <v>4406</v>
      </c>
      <c r="AH1399" s="194" t="s">
        <v>4700</v>
      </c>
      <c r="AI1399" s="6" t="s">
        <v>2446</v>
      </c>
      <c r="AJ1399" s="3" t="s">
        <v>8276</v>
      </c>
      <c r="AK1399" t="s">
        <v>8276</v>
      </c>
      <c r="AV1399"/>
      <c r="AX1399"/>
      <c r="AZ1399" t="str">
        <f t="shared" si="263"/>
        <v/>
      </c>
      <c r="BA1399" t="str">
        <f t="shared" si="264"/>
        <v/>
      </c>
    </row>
    <row r="1400" spans="3:53" ht="13.5">
      <c r="C1400" s="19"/>
      <c r="D1400" s="19"/>
      <c r="AC1400" s="6" t="s">
        <v>968</v>
      </c>
      <c r="AD1400" s="6" t="s">
        <v>7303</v>
      </c>
      <c r="AE1400" s="155" t="s">
        <v>5040</v>
      </c>
      <c r="AF1400" s="159" t="s">
        <v>8300</v>
      </c>
      <c r="AG1400" s="160" t="s">
        <v>4407</v>
      </c>
      <c r="AH1400" s="194" t="s">
        <v>4700</v>
      </c>
      <c r="AI1400" s="6" t="s">
        <v>2457</v>
      </c>
      <c r="AJ1400" s="3" t="s">
        <v>8276</v>
      </c>
      <c r="AK1400" t="s">
        <v>8276</v>
      </c>
      <c r="AV1400"/>
      <c r="AX1400"/>
      <c r="AZ1400" t="str">
        <f t="shared" si="263"/>
        <v/>
      </c>
      <c r="BA1400" t="str">
        <f t="shared" si="264"/>
        <v/>
      </c>
    </row>
    <row r="1401" spans="3:53" ht="13.5">
      <c r="C1401" s="19"/>
      <c r="D1401" s="19"/>
      <c r="AC1401" s="6" t="s">
        <v>3647</v>
      </c>
      <c r="AD1401" s="6" t="s">
        <v>7303</v>
      </c>
      <c r="AE1401" s="155" t="s">
        <v>5068</v>
      </c>
      <c r="AF1401" s="159" t="s">
        <v>8300</v>
      </c>
      <c r="AG1401" s="160" t="s">
        <v>4408</v>
      </c>
      <c r="AH1401" s="194" t="s">
        <v>4700</v>
      </c>
      <c r="AI1401" s="6" t="s">
        <v>2464</v>
      </c>
      <c r="AJ1401" s="3" t="s">
        <v>8276</v>
      </c>
      <c r="AK1401" t="s">
        <v>8276</v>
      </c>
      <c r="AV1401"/>
      <c r="AX1401"/>
      <c r="AZ1401" t="str">
        <f t="shared" si="263"/>
        <v/>
      </c>
      <c r="BA1401" t="str">
        <f t="shared" si="264"/>
        <v/>
      </c>
    </row>
    <row r="1402" spans="3:53" ht="13.5">
      <c r="C1402" s="19"/>
      <c r="D1402" s="19"/>
      <c r="AC1402" s="6" t="s">
        <v>4321</v>
      </c>
      <c r="AD1402" s="6" t="s">
        <v>7304</v>
      </c>
      <c r="AE1402" s="155" t="s">
        <v>5058</v>
      </c>
      <c r="AF1402" s="159" t="s">
        <v>8300</v>
      </c>
      <c r="AG1402" s="160" t="s">
        <v>3551</v>
      </c>
      <c r="AH1402" s="194" t="s">
        <v>1314</v>
      </c>
      <c r="AI1402" s="6" t="s">
        <v>2466</v>
      </c>
      <c r="AJ1402" s="3" t="s">
        <v>8226</v>
      </c>
      <c r="AK1402" t="s">
        <v>8671</v>
      </c>
      <c r="AV1402"/>
      <c r="AX1402"/>
      <c r="AZ1402" t="str">
        <f t="shared" ref="AZ1402:AZ1465" si="265">IF(ISBLANK(AW1402),"",CONCATENATE("(",RIGHT(AW1402,5),"-",TEXT(AX1402,"h:mm;@"),")"))</f>
        <v/>
      </c>
      <c r="BA1402" t="str">
        <f t="shared" ref="BA1402:BA1465" si="266">IF(AV1418=AV1402,"",CONCATENATE(IF(AV1417=AV1402,BA1417,""),IF(AV1416=AV1402,BA1416,""),IF(AV1415=AV1402,BA1415,""),IF(AV1414=AV1402,BA1414,""),IF(AV1413=AV1402,BA1413,""),IF(AV1412=AV1402,BA1412,""),IF(AV1411=AV1402,BA1411,""),IF(AV1410=AV1402,BA1410,""),IF(AV1409=AV1402,BA1409,""),IF(AV1408=AV1402,BA1408,""),IF(AV1407=AV1402,BA1407,""),IF(AV1406=AV1402,BA1406,""),IF(AV1405=AV1402,BA1405,""),IF(AV1404=AV1402,BA1404,""),IF(AV1403=AV1402,BA1403,""),IF(AV1401=AV1402,BA1401,""),BA1402))</f>
        <v/>
      </c>
    </row>
    <row r="1403" spans="3:53" ht="13.5">
      <c r="C1403" s="19"/>
      <c r="D1403" s="19"/>
      <c r="AC1403" s="6" t="s">
        <v>4293</v>
      </c>
      <c r="AD1403" s="6" t="s">
        <v>7266</v>
      </c>
      <c r="AE1403" s="155" t="s">
        <v>5061</v>
      </c>
      <c r="AF1403" s="159" t="s">
        <v>8300</v>
      </c>
      <c r="AG1403" s="160" t="s">
        <v>3552</v>
      </c>
      <c r="AH1403" s="194" t="s">
        <v>4700</v>
      </c>
      <c r="AI1403" s="6" t="s">
        <v>2652</v>
      </c>
      <c r="AJ1403" s="3" t="s">
        <v>8226</v>
      </c>
      <c r="AK1403" t="s">
        <v>8671</v>
      </c>
      <c r="AV1403"/>
      <c r="AX1403"/>
      <c r="AZ1403" t="str">
        <f t="shared" si="265"/>
        <v/>
      </c>
      <c r="BA1403" t="str">
        <f t="shared" si="266"/>
        <v/>
      </c>
    </row>
    <row r="1404" spans="3:53" ht="13.5">
      <c r="C1404" s="19"/>
      <c r="D1404" s="19"/>
      <c r="AC1404" s="6" t="s">
        <v>4266</v>
      </c>
      <c r="AD1404" s="6" t="s">
        <v>7305</v>
      </c>
      <c r="AE1404" s="155" t="s">
        <v>5119</v>
      </c>
      <c r="AF1404" s="159" t="s">
        <v>8299</v>
      </c>
      <c r="AG1404" s="160" t="s">
        <v>3696</v>
      </c>
      <c r="AH1404" s="194" t="s">
        <v>679</v>
      </c>
      <c r="AI1404" s="6" t="s">
        <v>2659</v>
      </c>
      <c r="AJ1404" s="3" t="s">
        <v>8226</v>
      </c>
      <c r="AK1404" t="s">
        <v>8671</v>
      </c>
      <c r="AV1404"/>
      <c r="AX1404"/>
      <c r="AZ1404" t="str">
        <f t="shared" si="265"/>
        <v/>
      </c>
      <c r="BA1404" t="str">
        <f t="shared" si="266"/>
        <v/>
      </c>
    </row>
    <row r="1405" spans="3:53" ht="13.5">
      <c r="C1405" s="19"/>
      <c r="D1405" s="19"/>
      <c r="AC1405" s="6" t="s">
        <v>56</v>
      </c>
      <c r="AD1405" s="6" t="s">
        <v>7303</v>
      </c>
      <c r="AE1405" s="155" t="s">
        <v>5147</v>
      </c>
      <c r="AF1405" s="159" t="s">
        <v>8299</v>
      </c>
      <c r="AG1405" s="160" t="s">
        <v>3697</v>
      </c>
      <c r="AH1405" s="194" t="s">
        <v>678</v>
      </c>
      <c r="AI1405" s="6" t="s">
        <v>2703</v>
      </c>
      <c r="AJ1405" s="3" t="s">
        <v>8276</v>
      </c>
      <c r="AK1405" t="s">
        <v>8276</v>
      </c>
      <c r="AV1405"/>
      <c r="AX1405"/>
      <c r="AZ1405" t="str">
        <f t="shared" si="265"/>
        <v/>
      </c>
      <c r="BA1405" t="str">
        <f t="shared" si="266"/>
        <v/>
      </c>
    </row>
    <row r="1406" spans="3:53" ht="13.5">
      <c r="C1406" s="19"/>
      <c r="D1406" s="19"/>
      <c r="AC1406" s="6" t="s">
        <v>3637</v>
      </c>
      <c r="AD1406" s="6" t="s">
        <v>7298</v>
      </c>
      <c r="AE1406" s="155" t="s">
        <v>5115</v>
      </c>
      <c r="AF1406" s="159" t="s">
        <v>8300</v>
      </c>
      <c r="AG1406" s="160" t="s">
        <v>3698</v>
      </c>
      <c r="AH1406" s="194" t="s">
        <v>678</v>
      </c>
      <c r="AI1406" s="6" t="s">
        <v>2724</v>
      </c>
      <c r="AJ1406" s="3" t="s">
        <v>8276</v>
      </c>
      <c r="AK1406" t="s">
        <v>8276</v>
      </c>
      <c r="AV1406"/>
      <c r="AX1406"/>
      <c r="AZ1406" t="str">
        <f t="shared" si="265"/>
        <v/>
      </c>
      <c r="BA1406" t="str">
        <f t="shared" si="266"/>
        <v/>
      </c>
    </row>
    <row r="1407" spans="3:53" ht="13.5">
      <c r="C1407" s="19"/>
      <c r="D1407" s="19"/>
      <c r="AC1407" s="6" t="s">
        <v>3549</v>
      </c>
      <c r="AD1407" s="6" t="s">
        <v>7305</v>
      </c>
      <c r="AE1407" s="155" t="s">
        <v>5122</v>
      </c>
      <c r="AF1407" s="159" t="s">
        <v>8300</v>
      </c>
      <c r="AG1407" s="160" t="s">
        <v>3699</v>
      </c>
      <c r="AH1407" s="194" t="s">
        <v>678</v>
      </c>
      <c r="AI1407" s="6" t="s">
        <v>1769</v>
      </c>
      <c r="AJ1407" s="3" t="s">
        <v>8217</v>
      </c>
      <c r="AK1407" t="s">
        <v>8668</v>
      </c>
      <c r="AV1407"/>
      <c r="AX1407"/>
      <c r="AZ1407" t="str">
        <f t="shared" si="265"/>
        <v/>
      </c>
      <c r="BA1407" t="str">
        <f t="shared" si="266"/>
        <v/>
      </c>
    </row>
    <row r="1408" spans="3:53" ht="13.5">
      <c r="C1408" s="19"/>
      <c r="D1408" s="19"/>
      <c r="AC1408" s="6" t="s">
        <v>1142</v>
      </c>
      <c r="AD1408" s="6" t="s">
        <v>7275</v>
      </c>
      <c r="AE1408" s="155" t="s">
        <v>5035</v>
      </c>
      <c r="AF1408" s="159" t="s">
        <v>8300</v>
      </c>
      <c r="AG1408" s="160" t="s">
        <v>3700</v>
      </c>
      <c r="AH1408" s="194" t="s">
        <v>679</v>
      </c>
      <c r="AI1408" s="6" t="s">
        <v>2032</v>
      </c>
      <c r="AJ1408" s="3" t="s">
        <v>8194</v>
      </c>
      <c r="AK1408" t="s">
        <v>8194</v>
      </c>
      <c r="AV1408"/>
      <c r="AX1408"/>
      <c r="AZ1408" t="str">
        <f t="shared" si="265"/>
        <v/>
      </c>
      <c r="BA1408" t="str">
        <f t="shared" si="266"/>
        <v/>
      </c>
    </row>
    <row r="1409" spans="3:53" ht="13.5">
      <c r="C1409" s="19"/>
      <c r="D1409" s="19"/>
      <c r="AC1409" s="6" t="s">
        <v>3548</v>
      </c>
      <c r="AD1409" s="6" t="s">
        <v>7305</v>
      </c>
      <c r="AE1409" s="155" t="s">
        <v>5170</v>
      </c>
      <c r="AF1409" s="159" t="s">
        <v>8299</v>
      </c>
      <c r="AG1409" s="160" t="s">
        <v>3701</v>
      </c>
      <c r="AH1409" s="194" t="s">
        <v>679</v>
      </c>
      <c r="AI1409" s="6" t="s">
        <v>4103</v>
      </c>
      <c r="AJ1409" s="3" t="s">
        <v>8225</v>
      </c>
      <c r="AK1409" t="s">
        <v>8225</v>
      </c>
      <c r="AV1409"/>
      <c r="AX1409"/>
      <c r="AZ1409" t="str">
        <f t="shared" si="265"/>
        <v/>
      </c>
      <c r="BA1409" t="str">
        <f t="shared" si="266"/>
        <v/>
      </c>
    </row>
    <row r="1410" spans="3:53" ht="13.5">
      <c r="C1410" s="19"/>
      <c r="D1410" s="19"/>
      <c r="AC1410" s="6" t="s">
        <v>3583</v>
      </c>
      <c r="AD1410" s="6" t="s">
        <v>7266</v>
      </c>
      <c r="AE1410" s="155" t="s">
        <v>5171</v>
      </c>
      <c r="AF1410" s="159" t="s">
        <v>8299</v>
      </c>
      <c r="AG1410" s="160" t="s">
        <v>3702</v>
      </c>
      <c r="AH1410" s="194" t="s">
        <v>679</v>
      </c>
      <c r="AI1410" s="6" t="s">
        <v>4114</v>
      </c>
      <c r="AJ1410" s="3" t="s">
        <v>8225</v>
      </c>
      <c r="AK1410" t="s">
        <v>8225</v>
      </c>
      <c r="AV1410"/>
      <c r="AX1410"/>
      <c r="AZ1410" t="str">
        <f t="shared" si="265"/>
        <v/>
      </c>
      <c r="BA1410" t="str">
        <f t="shared" si="266"/>
        <v/>
      </c>
    </row>
    <row r="1411" spans="3:53" ht="13.5">
      <c r="C1411" s="19"/>
      <c r="D1411" s="19"/>
      <c r="AC1411" s="6" t="s">
        <v>1129</v>
      </c>
      <c r="AD1411" s="6" t="s">
        <v>7288</v>
      </c>
      <c r="AE1411" s="155" t="s">
        <v>5054</v>
      </c>
      <c r="AF1411" s="159" t="s">
        <v>8300</v>
      </c>
      <c r="AG1411" s="160" t="s">
        <v>3703</v>
      </c>
      <c r="AH1411" s="194" t="s">
        <v>678</v>
      </c>
      <c r="AI1411" s="6" t="s">
        <v>2610</v>
      </c>
      <c r="AJ1411" s="3" t="s">
        <v>8275</v>
      </c>
      <c r="AK1411" t="s">
        <v>8275</v>
      </c>
      <c r="AV1411"/>
      <c r="AX1411"/>
      <c r="AZ1411" t="str">
        <f t="shared" si="265"/>
        <v/>
      </c>
      <c r="BA1411" t="str">
        <f t="shared" si="266"/>
        <v/>
      </c>
    </row>
    <row r="1412" spans="3:53" ht="13.5">
      <c r="C1412" s="19"/>
      <c r="D1412" s="19"/>
      <c r="AC1412" s="6" t="s">
        <v>3582</v>
      </c>
      <c r="AD1412" s="6" t="s">
        <v>7266</v>
      </c>
      <c r="AE1412" s="155" t="s">
        <v>5060</v>
      </c>
      <c r="AF1412" s="159" t="s">
        <v>8299</v>
      </c>
      <c r="AG1412" s="160" t="s">
        <v>3704</v>
      </c>
      <c r="AH1412" s="194" t="s">
        <v>678</v>
      </c>
      <c r="AI1412" s="6" t="s">
        <v>4147</v>
      </c>
      <c r="AJ1412" s="3" t="s">
        <v>8214</v>
      </c>
      <c r="AK1412" t="s">
        <v>8214</v>
      </c>
      <c r="AV1412"/>
      <c r="AX1412"/>
      <c r="AZ1412" t="str">
        <f t="shared" si="265"/>
        <v/>
      </c>
      <c r="BA1412" t="str">
        <f t="shared" si="266"/>
        <v/>
      </c>
    </row>
    <row r="1413" spans="3:53" ht="13.5">
      <c r="C1413" s="19"/>
      <c r="D1413" s="19"/>
      <c r="AC1413" s="6">
        <v>315319</v>
      </c>
      <c r="AD1413" s="6" t="s">
        <v>7271</v>
      </c>
      <c r="AE1413" s="155" t="s">
        <v>5077</v>
      </c>
      <c r="AF1413" s="159" t="s">
        <v>8299</v>
      </c>
      <c r="AG1413" s="160" t="s">
        <v>3705</v>
      </c>
      <c r="AH1413" s="194" t="s">
        <v>679</v>
      </c>
      <c r="AI1413" s="6" t="s">
        <v>4148</v>
      </c>
      <c r="AJ1413" s="3" t="s">
        <v>8214</v>
      </c>
      <c r="AK1413" t="s">
        <v>8214</v>
      </c>
      <c r="AV1413"/>
      <c r="AX1413"/>
      <c r="AZ1413" t="str">
        <f t="shared" si="265"/>
        <v/>
      </c>
      <c r="BA1413" t="str">
        <f t="shared" si="266"/>
        <v/>
      </c>
    </row>
    <row r="1414" spans="3:53" ht="13.5">
      <c r="C1414" s="19"/>
      <c r="D1414" s="19"/>
      <c r="AC1414" s="6" t="s">
        <v>6635</v>
      </c>
      <c r="AD1414" s="6" t="s">
        <v>7306</v>
      </c>
      <c r="AE1414" s="155" t="s">
        <v>5179</v>
      </c>
      <c r="AF1414" s="159" t="s">
        <v>8299</v>
      </c>
      <c r="AG1414" s="160" t="s">
        <v>938</v>
      </c>
      <c r="AH1414" s="194" t="s">
        <v>678</v>
      </c>
      <c r="AI1414" s="6" t="s">
        <v>4162</v>
      </c>
      <c r="AJ1414" s="3" t="s">
        <v>8214</v>
      </c>
      <c r="AK1414" t="s">
        <v>8214</v>
      </c>
      <c r="AV1414"/>
      <c r="AX1414"/>
      <c r="AZ1414" t="str">
        <f t="shared" si="265"/>
        <v/>
      </c>
      <c r="BA1414" t="str">
        <f t="shared" si="266"/>
        <v/>
      </c>
    </row>
    <row r="1415" spans="3:53" ht="13.5">
      <c r="C1415" s="19"/>
      <c r="D1415" s="19"/>
      <c r="AC1415" s="6">
        <v>45269</v>
      </c>
      <c r="AD1415" s="6" t="s">
        <v>7289</v>
      </c>
      <c r="AE1415" s="155" t="s">
        <v>4105</v>
      </c>
      <c r="AF1415" s="159" t="s">
        <v>8352</v>
      </c>
      <c r="AG1415" s="160" t="s">
        <v>3706</v>
      </c>
      <c r="AH1415" s="194" t="s">
        <v>678</v>
      </c>
      <c r="AI1415" s="6" t="s">
        <v>4167</v>
      </c>
      <c r="AJ1415" s="3" t="s">
        <v>8268</v>
      </c>
      <c r="AK1415" t="s">
        <v>8268</v>
      </c>
      <c r="AV1415"/>
      <c r="AX1415"/>
      <c r="AZ1415" t="str">
        <f t="shared" si="265"/>
        <v/>
      </c>
      <c r="BA1415" t="str">
        <f t="shared" si="266"/>
        <v/>
      </c>
    </row>
    <row r="1416" spans="3:53" ht="13.5">
      <c r="C1416" s="19"/>
      <c r="D1416" s="19"/>
      <c r="AC1416" s="6" t="s">
        <v>5131</v>
      </c>
      <c r="AD1416" s="6" t="s">
        <v>7151</v>
      </c>
      <c r="AE1416" s="155" t="s">
        <v>5042</v>
      </c>
      <c r="AF1416" s="159" t="s">
        <v>8299</v>
      </c>
      <c r="AG1416" s="160" t="s">
        <v>3707</v>
      </c>
      <c r="AH1416" s="194" t="s">
        <v>679</v>
      </c>
      <c r="AI1416" s="6" t="s">
        <v>2340</v>
      </c>
      <c r="AJ1416" s="3" t="s">
        <v>8206</v>
      </c>
      <c r="AK1416" t="s">
        <v>8206</v>
      </c>
      <c r="AV1416"/>
      <c r="AX1416"/>
      <c r="AZ1416" t="str">
        <f t="shared" si="265"/>
        <v/>
      </c>
      <c r="BA1416" t="str">
        <f t="shared" si="266"/>
        <v/>
      </c>
    </row>
    <row r="1417" spans="3:53" ht="13.5">
      <c r="C1417" s="19"/>
      <c r="D1417" s="19"/>
      <c r="AC1417" s="6" t="s">
        <v>4122</v>
      </c>
      <c r="AD1417" s="6" t="s">
        <v>7307</v>
      </c>
      <c r="AE1417" s="155" t="s">
        <v>5193</v>
      </c>
      <c r="AF1417" s="159" t="s">
        <v>8299</v>
      </c>
      <c r="AG1417" s="160" t="s">
        <v>3708</v>
      </c>
      <c r="AH1417" s="194" t="s">
        <v>679</v>
      </c>
      <c r="AI1417" s="6" t="s">
        <v>2021</v>
      </c>
      <c r="AJ1417" s="3" t="s">
        <v>8239</v>
      </c>
      <c r="AK1417" t="s">
        <v>8674</v>
      </c>
      <c r="AV1417"/>
      <c r="AX1417"/>
      <c r="AZ1417" t="str">
        <f t="shared" si="265"/>
        <v/>
      </c>
      <c r="BA1417" t="str">
        <f t="shared" si="266"/>
        <v/>
      </c>
    </row>
    <row r="1418" spans="3:53" ht="13.5">
      <c r="C1418" s="19"/>
      <c r="D1418" s="19"/>
      <c r="AC1418" s="6" t="s">
        <v>3644</v>
      </c>
      <c r="AD1418" s="6" t="s">
        <v>7308</v>
      </c>
      <c r="AE1418" s="155" t="s">
        <v>5110</v>
      </c>
      <c r="AF1418" s="159" t="s">
        <v>8299</v>
      </c>
      <c r="AG1418" s="160" t="s">
        <v>3709</v>
      </c>
      <c r="AH1418" s="194" t="s">
        <v>678</v>
      </c>
      <c r="AI1418" s="6" t="s">
        <v>2747</v>
      </c>
      <c r="AJ1418" s="3" t="s">
        <v>8256</v>
      </c>
      <c r="AK1418" t="s">
        <v>8256</v>
      </c>
      <c r="AV1418"/>
      <c r="AX1418"/>
      <c r="AZ1418" t="str">
        <f t="shared" si="265"/>
        <v/>
      </c>
      <c r="BA1418" t="str">
        <f t="shared" si="266"/>
        <v/>
      </c>
    </row>
    <row r="1419" spans="3:53" ht="13.5">
      <c r="C1419" s="19"/>
      <c r="D1419" s="19"/>
      <c r="AC1419" s="6" t="s">
        <v>4119</v>
      </c>
      <c r="AD1419" s="6" t="s">
        <v>7309</v>
      </c>
      <c r="AE1419" s="155" t="s">
        <v>5057</v>
      </c>
      <c r="AF1419" s="159" t="s">
        <v>8299</v>
      </c>
      <c r="AG1419" s="160" t="s">
        <v>3710</v>
      </c>
      <c r="AH1419" s="194" t="s">
        <v>4700</v>
      </c>
      <c r="AI1419" s="6" t="s">
        <v>4238</v>
      </c>
      <c r="AJ1419" s="3" t="s">
        <v>8253</v>
      </c>
      <c r="AK1419" t="s">
        <v>8253</v>
      </c>
      <c r="AV1419"/>
      <c r="AX1419"/>
      <c r="AZ1419" t="str">
        <f t="shared" si="265"/>
        <v/>
      </c>
      <c r="BA1419" t="str">
        <f t="shared" si="266"/>
        <v/>
      </c>
    </row>
    <row r="1420" spans="3:53" ht="13.5">
      <c r="C1420" s="19"/>
      <c r="D1420" s="19"/>
      <c r="AC1420" s="6" t="s">
        <v>3584</v>
      </c>
      <c r="AD1420" s="6" t="s">
        <v>7310</v>
      </c>
      <c r="AE1420" s="155" t="s">
        <v>5161</v>
      </c>
      <c r="AF1420" s="159" t="s">
        <v>8299</v>
      </c>
      <c r="AG1420" s="160" t="s">
        <v>4484</v>
      </c>
      <c r="AH1420" s="194" t="s">
        <v>678</v>
      </c>
      <c r="AI1420" s="6" t="s">
        <v>2256</v>
      </c>
      <c r="AJ1420" s="3" t="s">
        <v>8221</v>
      </c>
      <c r="AK1420" t="s">
        <v>8669</v>
      </c>
      <c r="AV1420"/>
      <c r="AX1420"/>
      <c r="AZ1420" t="str">
        <f t="shared" si="265"/>
        <v/>
      </c>
      <c r="BA1420" t="str">
        <f t="shared" si="266"/>
        <v/>
      </c>
    </row>
    <row r="1421" spans="3:53" ht="13.5">
      <c r="C1421" s="19"/>
      <c r="D1421" s="19"/>
      <c r="AC1421" s="6" t="s">
        <v>4267</v>
      </c>
      <c r="AD1421" s="6" t="s">
        <v>7305</v>
      </c>
      <c r="AE1421" s="155" t="s">
        <v>5472</v>
      </c>
      <c r="AF1421" s="159" t="s">
        <v>8299</v>
      </c>
      <c r="AG1421" s="160" t="s">
        <v>3711</v>
      </c>
      <c r="AH1421" s="194" t="s">
        <v>678</v>
      </c>
      <c r="AI1421" s="6" t="s">
        <v>3645</v>
      </c>
      <c r="AJ1421" s="3" t="s">
        <v>8199</v>
      </c>
      <c r="AK1421" t="s">
        <v>8199</v>
      </c>
      <c r="AV1421"/>
      <c r="AX1421"/>
      <c r="AZ1421" t="str">
        <f t="shared" si="265"/>
        <v/>
      </c>
      <c r="BA1421" t="str">
        <f t="shared" si="266"/>
        <v/>
      </c>
    </row>
    <row r="1422" spans="3:53" ht="13.5">
      <c r="C1422" s="19"/>
      <c r="D1422" s="19"/>
      <c r="AC1422" s="6">
        <v>195222</v>
      </c>
      <c r="AD1422" s="6" t="s">
        <v>7311</v>
      </c>
      <c r="AE1422" s="155" t="s">
        <v>5127</v>
      </c>
      <c r="AF1422" s="159" t="s">
        <v>8299</v>
      </c>
      <c r="AG1422" s="160" t="s">
        <v>3712</v>
      </c>
      <c r="AH1422" s="194" t="s">
        <v>679</v>
      </c>
      <c r="AI1422" s="6" t="s">
        <v>3683</v>
      </c>
      <c r="AJ1422" s="3" t="s">
        <v>8232</v>
      </c>
      <c r="AK1422" t="s">
        <v>8232</v>
      </c>
      <c r="AV1422"/>
      <c r="AX1422"/>
      <c r="AZ1422" t="str">
        <f t="shared" si="265"/>
        <v/>
      </c>
      <c r="BA1422" t="str">
        <f t="shared" si="266"/>
        <v/>
      </c>
    </row>
    <row r="1423" spans="3:53" ht="13.5">
      <c r="C1423" s="19"/>
      <c r="D1423" s="19"/>
      <c r="AC1423" s="6" t="s">
        <v>4341</v>
      </c>
      <c r="AD1423" s="6" t="s">
        <v>7312</v>
      </c>
      <c r="AE1423" s="155" t="s">
        <v>5268</v>
      </c>
      <c r="AF1423" s="159" t="s">
        <v>8299</v>
      </c>
      <c r="AG1423" s="160" t="s">
        <v>3713</v>
      </c>
      <c r="AH1423" s="194" t="s">
        <v>678</v>
      </c>
      <c r="AI1423" s="6" t="s">
        <v>3684</v>
      </c>
      <c r="AJ1423" s="3" t="s">
        <v>8232</v>
      </c>
      <c r="AK1423" t="s">
        <v>8232</v>
      </c>
      <c r="AV1423"/>
      <c r="AX1423"/>
      <c r="AZ1423" t="str">
        <f t="shared" si="265"/>
        <v/>
      </c>
      <c r="BA1423" t="str">
        <f t="shared" si="266"/>
        <v/>
      </c>
    </row>
    <row r="1424" spans="3:53" ht="13.5">
      <c r="C1424" s="19"/>
      <c r="D1424" s="19"/>
      <c r="AC1424" s="6" t="s">
        <v>5168</v>
      </c>
      <c r="AD1424" s="6" t="s">
        <v>7007</v>
      </c>
      <c r="AE1424" s="155" t="s">
        <v>5069</v>
      </c>
      <c r="AF1424" s="159" t="s">
        <v>8300</v>
      </c>
      <c r="AG1424" s="160" t="s">
        <v>3714</v>
      </c>
      <c r="AH1424" s="194" t="s">
        <v>679</v>
      </c>
      <c r="AI1424" s="6" t="s">
        <v>2434</v>
      </c>
      <c r="AJ1424" s="3" t="s">
        <v>8276</v>
      </c>
      <c r="AK1424" t="s">
        <v>8276</v>
      </c>
      <c r="AV1424"/>
      <c r="AX1424"/>
      <c r="AZ1424" t="str">
        <f t="shared" si="265"/>
        <v/>
      </c>
      <c r="BA1424" t="str">
        <f t="shared" si="266"/>
        <v/>
      </c>
    </row>
    <row r="1425" spans="3:53" ht="13.5">
      <c r="C1425" s="19"/>
      <c r="D1425" s="19"/>
      <c r="AC1425" s="6" t="s">
        <v>6636</v>
      </c>
      <c r="AD1425" s="6" t="s">
        <v>7306</v>
      </c>
      <c r="AE1425" s="155" t="s">
        <v>5528</v>
      </c>
      <c r="AF1425" s="159" t="s">
        <v>8339</v>
      </c>
      <c r="AG1425" s="160" t="s">
        <v>3715</v>
      </c>
      <c r="AH1425" s="194" t="s">
        <v>679</v>
      </c>
      <c r="AI1425" s="6" t="s">
        <v>4133</v>
      </c>
      <c r="AJ1425" s="3" t="s">
        <v>8267</v>
      </c>
      <c r="AK1425" t="s">
        <v>8280</v>
      </c>
      <c r="AV1425"/>
      <c r="AX1425"/>
      <c r="AZ1425" t="str">
        <f t="shared" si="265"/>
        <v/>
      </c>
      <c r="BA1425" t="str">
        <f t="shared" si="266"/>
        <v/>
      </c>
    </row>
    <row r="1426" spans="3:53" ht="13.5">
      <c r="C1426" s="19"/>
      <c r="D1426" s="19"/>
      <c r="AC1426" s="6" t="s">
        <v>5113</v>
      </c>
      <c r="AD1426" s="6" t="s">
        <v>7063</v>
      </c>
      <c r="AE1426" s="155" t="s">
        <v>5319</v>
      </c>
      <c r="AF1426" s="159" t="s">
        <v>8299</v>
      </c>
      <c r="AG1426" s="160" t="s">
        <v>3716</v>
      </c>
      <c r="AH1426" s="194" t="s">
        <v>678</v>
      </c>
      <c r="AI1426" s="6" t="s">
        <v>2530</v>
      </c>
      <c r="AJ1426" s="3" t="s">
        <v>8271</v>
      </c>
      <c r="AK1426" t="s">
        <v>8271</v>
      </c>
      <c r="AV1426"/>
      <c r="AX1426"/>
      <c r="AZ1426" t="str">
        <f t="shared" si="265"/>
        <v/>
      </c>
      <c r="BA1426" t="str">
        <f t="shared" si="266"/>
        <v/>
      </c>
    </row>
    <row r="1427" spans="3:53" ht="13.5">
      <c r="C1427" s="19"/>
      <c r="D1427" s="19"/>
      <c r="AC1427" s="6" t="s">
        <v>5455</v>
      </c>
      <c r="AD1427" s="6" t="s">
        <v>7298</v>
      </c>
      <c r="AE1427" s="155" t="s">
        <v>5176</v>
      </c>
      <c r="AF1427" s="159" t="s">
        <v>8299</v>
      </c>
      <c r="AG1427" s="160" t="s">
        <v>940</v>
      </c>
      <c r="AH1427" s="194" t="s">
        <v>678</v>
      </c>
      <c r="AI1427" s="6">
        <v>15344</v>
      </c>
      <c r="AJ1427" s="3" t="s">
        <v>8227</v>
      </c>
      <c r="AK1427" t="s">
        <v>8227</v>
      </c>
      <c r="AV1427"/>
      <c r="AX1427"/>
      <c r="AZ1427" t="str">
        <f t="shared" si="265"/>
        <v/>
      </c>
      <c r="BA1427" t="str">
        <f t="shared" si="266"/>
        <v/>
      </c>
    </row>
    <row r="1428" spans="3:53" ht="13.5">
      <c r="C1428" s="19"/>
      <c r="D1428" s="19"/>
      <c r="AC1428" s="6" t="s">
        <v>4320</v>
      </c>
      <c r="AD1428" s="6" t="s">
        <v>7313</v>
      </c>
      <c r="AE1428" s="155" t="s">
        <v>5112</v>
      </c>
      <c r="AF1428" s="159" t="s">
        <v>8299</v>
      </c>
      <c r="AG1428" s="160" t="s">
        <v>3717</v>
      </c>
      <c r="AH1428" s="194" t="s">
        <v>678</v>
      </c>
      <c r="AI1428" s="6">
        <v>25234</v>
      </c>
      <c r="AJ1428" s="3" t="s">
        <v>8227</v>
      </c>
      <c r="AK1428" t="s">
        <v>8227</v>
      </c>
      <c r="AV1428"/>
      <c r="AX1428"/>
      <c r="AZ1428" t="str">
        <f t="shared" si="265"/>
        <v/>
      </c>
      <c r="BA1428" t="str">
        <f t="shared" si="266"/>
        <v/>
      </c>
    </row>
    <row r="1429" spans="3:53" ht="13.5">
      <c r="C1429" s="19"/>
      <c r="D1429" s="19"/>
      <c r="AC1429" s="6" t="s">
        <v>4268</v>
      </c>
      <c r="AD1429" s="6" t="s">
        <v>7305</v>
      </c>
      <c r="AE1429" s="155" t="s">
        <v>5064</v>
      </c>
      <c r="AF1429" s="159" t="s">
        <v>8299</v>
      </c>
      <c r="AG1429" s="160" t="s">
        <v>3718</v>
      </c>
      <c r="AH1429" s="194" t="s">
        <v>679</v>
      </c>
      <c r="AI1429" s="6">
        <v>35267</v>
      </c>
      <c r="AJ1429" s="3" t="s">
        <v>8194</v>
      </c>
      <c r="AK1429" t="s">
        <v>8194</v>
      </c>
      <c r="AV1429"/>
      <c r="AX1429"/>
      <c r="AZ1429" t="str">
        <f t="shared" si="265"/>
        <v/>
      </c>
      <c r="BA1429" t="str">
        <f t="shared" si="266"/>
        <v/>
      </c>
    </row>
    <row r="1430" spans="3:53" ht="13.5">
      <c r="C1430" s="19"/>
      <c r="D1430" s="19"/>
      <c r="AC1430" s="6" t="s">
        <v>5473</v>
      </c>
      <c r="AD1430" s="6" t="s">
        <v>7277</v>
      </c>
      <c r="AE1430" s="155" t="s">
        <v>5136</v>
      </c>
      <c r="AF1430" s="159" t="s">
        <v>8299</v>
      </c>
      <c r="AG1430" s="160" t="s">
        <v>3719</v>
      </c>
      <c r="AH1430" s="194" t="s">
        <v>679</v>
      </c>
      <c r="AI1430" s="6">
        <v>105578</v>
      </c>
      <c r="AJ1430" s="3" t="s">
        <v>8283</v>
      </c>
      <c r="AK1430" t="s">
        <v>8283</v>
      </c>
      <c r="AV1430"/>
      <c r="AX1430"/>
      <c r="AZ1430" t="str">
        <f t="shared" si="265"/>
        <v/>
      </c>
      <c r="BA1430" t="str">
        <f t="shared" si="266"/>
        <v/>
      </c>
    </row>
    <row r="1431" spans="3:53" ht="13.5">
      <c r="C1431" s="19"/>
      <c r="D1431" s="19"/>
      <c r="AC1431" s="6" t="s">
        <v>4121</v>
      </c>
      <c r="AD1431" s="6" t="s">
        <v>7314</v>
      </c>
      <c r="AE1431" s="155" t="s">
        <v>5128</v>
      </c>
      <c r="AF1431" s="159" t="s">
        <v>8299</v>
      </c>
      <c r="AG1431" s="160" t="s">
        <v>3720</v>
      </c>
      <c r="AH1431" s="194" t="s">
        <v>678</v>
      </c>
      <c r="AI1431" s="6" t="s">
        <v>4279</v>
      </c>
      <c r="AJ1431" s="3" t="s">
        <v>8232</v>
      </c>
      <c r="AK1431" t="s">
        <v>8232</v>
      </c>
      <c r="AV1431"/>
      <c r="AX1431"/>
      <c r="AZ1431" t="str">
        <f t="shared" si="265"/>
        <v/>
      </c>
      <c r="BA1431" t="str">
        <f t="shared" si="266"/>
        <v/>
      </c>
    </row>
    <row r="1432" spans="3:53" ht="13.5">
      <c r="C1432" s="19"/>
      <c r="D1432" s="19"/>
      <c r="AC1432" s="6" t="s">
        <v>4118</v>
      </c>
      <c r="AD1432" s="6" t="s">
        <v>7315</v>
      </c>
      <c r="AE1432" s="155" t="s">
        <v>5041</v>
      </c>
      <c r="AF1432" s="159" t="s">
        <v>8299</v>
      </c>
      <c r="AG1432" s="160" t="s">
        <v>3721</v>
      </c>
      <c r="AH1432" s="194" t="s">
        <v>678</v>
      </c>
      <c r="AI1432" s="6" t="s">
        <v>4283</v>
      </c>
      <c r="AJ1432" s="3" t="s">
        <v>8253</v>
      </c>
      <c r="AK1432" t="s">
        <v>8253</v>
      </c>
      <c r="AV1432"/>
      <c r="AX1432"/>
      <c r="AZ1432" t="str">
        <f t="shared" si="265"/>
        <v/>
      </c>
      <c r="BA1432" t="str">
        <f t="shared" si="266"/>
        <v/>
      </c>
    </row>
    <row r="1433" spans="3:53" ht="13.5">
      <c r="C1433" s="19"/>
      <c r="D1433" s="19"/>
      <c r="AC1433" s="6">
        <v>195221</v>
      </c>
      <c r="AD1433" s="6" t="s">
        <v>7316</v>
      </c>
      <c r="AE1433" s="155" t="s">
        <v>5096</v>
      </c>
      <c r="AF1433" s="159" t="s">
        <v>8299</v>
      </c>
      <c r="AG1433" s="160" t="s">
        <v>3722</v>
      </c>
      <c r="AH1433" s="194" t="s">
        <v>679</v>
      </c>
      <c r="AI1433" s="6" t="s">
        <v>4289</v>
      </c>
      <c r="AJ1433" s="3" t="s">
        <v>8253</v>
      </c>
      <c r="AK1433" t="s">
        <v>8253</v>
      </c>
      <c r="AV1433"/>
      <c r="AX1433"/>
      <c r="AZ1433" t="str">
        <f t="shared" si="265"/>
        <v/>
      </c>
      <c r="BA1433" t="str">
        <f t="shared" si="266"/>
        <v/>
      </c>
    </row>
    <row r="1434" spans="3:53" ht="13.5">
      <c r="C1434" s="19"/>
      <c r="D1434" s="19"/>
      <c r="AC1434" s="6" t="s">
        <v>1122</v>
      </c>
      <c r="AD1434" s="6" t="s">
        <v>7277</v>
      </c>
      <c r="AE1434" s="155" t="s">
        <v>5065</v>
      </c>
      <c r="AF1434" s="159" t="s">
        <v>8299</v>
      </c>
      <c r="AG1434" s="160" t="s">
        <v>3723</v>
      </c>
      <c r="AH1434" s="194" t="s">
        <v>679</v>
      </c>
      <c r="AI1434" s="6" t="s">
        <v>1137</v>
      </c>
      <c r="AJ1434" s="3" t="s">
        <v>8224</v>
      </c>
      <c r="AK1434" t="s">
        <v>8224</v>
      </c>
      <c r="AV1434"/>
      <c r="AX1434"/>
      <c r="AZ1434" t="str">
        <f t="shared" si="265"/>
        <v/>
      </c>
      <c r="BA1434" t="str">
        <f t="shared" si="266"/>
        <v/>
      </c>
    </row>
    <row r="1435" spans="3:53" ht="13.5">
      <c r="C1435" s="19"/>
      <c r="D1435" s="19"/>
      <c r="AC1435" s="6">
        <v>293591</v>
      </c>
      <c r="AD1435" s="6" t="s">
        <v>7317</v>
      </c>
      <c r="AE1435" s="155" t="s">
        <v>5239</v>
      </c>
      <c r="AF1435" s="159" t="s">
        <v>8299</v>
      </c>
      <c r="AG1435" s="160" t="s">
        <v>3724</v>
      </c>
      <c r="AH1435" s="194" t="s">
        <v>678</v>
      </c>
      <c r="AI1435" s="6" t="s">
        <v>126</v>
      </c>
      <c r="AJ1435" s="3" t="s">
        <v>8233</v>
      </c>
      <c r="AK1435" t="s">
        <v>8233</v>
      </c>
      <c r="AV1435"/>
      <c r="AX1435"/>
      <c r="AZ1435" t="str">
        <f t="shared" si="265"/>
        <v/>
      </c>
      <c r="BA1435" t="str">
        <f t="shared" si="266"/>
        <v/>
      </c>
    </row>
    <row r="1436" spans="3:53" ht="13.5">
      <c r="C1436" s="19"/>
      <c r="D1436" s="19"/>
      <c r="AC1436" s="6" t="s">
        <v>4340</v>
      </c>
      <c r="AD1436" s="6" t="s">
        <v>7312</v>
      </c>
      <c r="AE1436" s="155" t="s">
        <v>5146</v>
      </c>
      <c r="AF1436" s="159" t="s">
        <v>8299</v>
      </c>
      <c r="AG1436" s="160" t="s">
        <v>3725</v>
      </c>
      <c r="AH1436" s="194" t="s">
        <v>678</v>
      </c>
      <c r="AI1436" s="6">
        <v>245284</v>
      </c>
      <c r="AJ1436" s="3" t="s">
        <v>8241</v>
      </c>
      <c r="AK1436" t="s">
        <v>8675</v>
      </c>
      <c r="AV1436"/>
      <c r="AX1436"/>
      <c r="AZ1436" t="str">
        <f t="shared" si="265"/>
        <v/>
      </c>
      <c r="BA1436" t="str">
        <f t="shared" si="266"/>
        <v/>
      </c>
    </row>
    <row r="1437" spans="3:53" ht="13.5">
      <c r="C1437" s="19"/>
      <c r="D1437" s="19"/>
      <c r="AC1437" s="6" t="s">
        <v>4269</v>
      </c>
      <c r="AD1437" s="6" t="s">
        <v>7305</v>
      </c>
      <c r="AE1437" s="155" t="s">
        <v>5205</v>
      </c>
      <c r="AF1437" s="159" t="s">
        <v>8299</v>
      </c>
      <c r="AG1437" s="160" t="s">
        <v>3726</v>
      </c>
      <c r="AH1437" s="194" t="s">
        <v>678</v>
      </c>
      <c r="AI1437" s="6" t="s">
        <v>2264</v>
      </c>
      <c r="AJ1437" s="3" t="s">
        <v>8213</v>
      </c>
      <c r="AK1437" t="s">
        <v>8213</v>
      </c>
      <c r="AV1437"/>
      <c r="AX1437"/>
      <c r="AZ1437" t="str">
        <f t="shared" si="265"/>
        <v/>
      </c>
      <c r="BA1437" t="str">
        <f t="shared" si="266"/>
        <v/>
      </c>
    </row>
    <row r="1438" spans="3:53" ht="13.5">
      <c r="C1438" s="19"/>
      <c r="D1438" s="19"/>
      <c r="AC1438" s="6" t="s">
        <v>5118</v>
      </c>
      <c r="AD1438" s="6" t="s">
        <v>7098</v>
      </c>
      <c r="AE1438" s="155" t="s">
        <v>5237</v>
      </c>
      <c r="AF1438" s="159" t="s">
        <v>8299</v>
      </c>
      <c r="AG1438" s="160" t="s">
        <v>4722</v>
      </c>
      <c r="AH1438" s="194" t="s">
        <v>678</v>
      </c>
      <c r="AI1438" s="6" t="s">
        <v>1504</v>
      </c>
      <c r="AJ1438" s="3" t="s">
        <v>8224</v>
      </c>
      <c r="AK1438" t="s">
        <v>8224</v>
      </c>
      <c r="AV1438"/>
      <c r="AX1438"/>
      <c r="AZ1438" t="str">
        <f t="shared" si="265"/>
        <v/>
      </c>
      <c r="BA1438" t="str">
        <f t="shared" si="266"/>
        <v/>
      </c>
    </row>
    <row r="1439" spans="3:53" ht="13.5">
      <c r="C1439" s="19"/>
      <c r="D1439" s="19"/>
      <c r="AC1439" s="6" t="s">
        <v>4319</v>
      </c>
      <c r="AD1439" s="6" t="s">
        <v>7318</v>
      </c>
      <c r="AE1439" s="155" t="s">
        <v>5451</v>
      </c>
      <c r="AF1439" s="159" t="s">
        <v>8299</v>
      </c>
      <c r="AG1439" s="160" t="s">
        <v>3727</v>
      </c>
      <c r="AH1439" s="194" t="s">
        <v>679</v>
      </c>
      <c r="AI1439" s="6">
        <v>335409</v>
      </c>
      <c r="AJ1439" s="3" t="s">
        <v>8224</v>
      </c>
      <c r="AK1439" t="s">
        <v>8224</v>
      </c>
      <c r="AV1439"/>
      <c r="AX1439"/>
      <c r="AZ1439" t="str">
        <f t="shared" si="265"/>
        <v/>
      </c>
      <c r="BA1439" t="str">
        <f t="shared" si="266"/>
        <v/>
      </c>
    </row>
    <row r="1440" spans="3:53" ht="13.5">
      <c r="C1440" s="19"/>
      <c r="D1440" s="19"/>
      <c r="AC1440" s="6" t="s">
        <v>1121</v>
      </c>
      <c r="AD1440" s="6" t="s">
        <v>7277</v>
      </c>
      <c r="AE1440" s="155" t="s">
        <v>5406</v>
      </c>
      <c r="AF1440" s="159" t="s">
        <v>8339</v>
      </c>
      <c r="AG1440" s="160" t="s">
        <v>4489</v>
      </c>
      <c r="AH1440" s="194" t="s">
        <v>678</v>
      </c>
      <c r="AI1440" s="6" t="s">
        <v>2122</v>
      </c>
      <c r="AJ1440" s="3" t="s">
        <v>8258</v>
      </c>
      <c r="AK1440" t="s">
        <v>8258</v>
      </c>
      <c r="AV1440"/>
      <c r="AX1440"/>
      <c r="AZ1440" t="str">
        <f t="shared" si="265"/>
        <v/>
      </c>
      <c r="BA1440" t="str">
        <f t="shared" si="266"/>
        <v/>
      </c>
    </row>
    <row r="1441" spans="3:53" ht="13.5">
      <c r="C1441" s="19"/>
      <c r="D1441" s="19"/>
      <c r="AC1441" s="6" t="s">
        <v>3579</v>
      </c>
      <c r="AD1441" s="6" t="s">
        <v>7266</v>
      </c>
      <c r="AE1441" s="155" t="s">
        <v>5407</v>
      </c>
      <c r="AF1441" s="159" t="s">
        <v>8299</v>
      </c>
      <c r="AG1441" s="160" t="s">
        <v>4480</v>
      </c>
      <c r="AH1441" s="194" t="s">
        <v>678</v>
      </c>
      <c r="AI1441" s="6">
        <v>535374</v>
      </c>
      <c r="AJ1441" s="3" t="s">
        <v>8218</v>
      </c>
      <c r="AK1441" t="s">
        <v>8218</v>
      </c>
      <c r="AV1441"/>
      <c r="AX1441"/>
      <c r="AZ1441" t="str">
        <f t="shared" si="265"/>
        <v/>
      </c>
      <c r="BA1441" t="str">
        <f t="shared" si="266"/>
        <v/>
      </c>
    </row>
    <row r="1442" spans="3:53" ht="13.5">
      <c r="C1442" s="19"/>
      <c r="D1442" s="19"/>
      <c r="AC1442" s="6">
        <v>295248</v>
      </c>
      <c r="AD1442" s="6" t="s">
        <v>7317</v>
      </c>
      <c r="AE1442" s="155" t="s">
        <v>5213</v>
      </c>
      <c r="AF1442" s="159" t="s">
        <v>8299</v>
      </c>
      <c r="AG1442" s="160" t="s">
        <v>13</v>
      </c>
      <c r="AH1442" s="194" t="s">
        <v>678</v>
      </c>
      <c r="AI1442" s="6">
        <v>543135</v>
      </c>
      <c r="AJ1442" s="3" t="s">
        <v>8194</v>
      </c>
      <c r="AK1442" t="s">
        <v>8194</v>
      </c>
      <c r="AV1442"/>
      <c r="AX1442"/>
      <c r="AZ1442" t="str">
        <f t="shared" si="265"/>
        <v/>
      </c>
      <c r="BA1442" t="str">
        <f t="shared" si="266"/>
        <v/>
      </c>
    </row>
    <row r="1443" spans="3:53" ht="13.5">
      <c r="C1443" s="19"/>
      <c r="D1443" s="19"/>
      <c r="AC1443" s="6" t="s">
        <v>4132</v>
      </c>
      <c r="AD1443" s="6" t="s">
        <v>7277</v>
      </c>
      <c r="AE1443" s="155" t="s">
        <v>5481</v>
      </c>
      <c r="AF1443" s="159" t="s">
        <v>8299</v>
      </c>
      <c r="AG1443" s="160" t="s">
        <v>4760</v>
      </c>
      <c r="AH1443" s="194" t="s">
        <v>678</v>
      </c>
      <c r="AI1443" s="6">
        <v>543138</v>
      </c>
      <c r="AJ1443" s="3" t="s">
        <v>8248</v>
      </c>
      <c r="AK1443" t="s">
        <v>8248</v>
      </c>
      <c r="AV1443"/>
      <c r="AX1443"/>
      <c r="AZ1443" t="str">
        <f t="shared" si="265"/>
        <v/>
      </c>
      <c r="BA1443" t="str">
        <f t="shared" si="266"/>
        <v/>
      </c>
    </row>
    <row r="1444" spans="3:53" ht="13.5">
      <c r="C1444" s="19"/>
      <c r="D1444" s="19"/>
      <c r="AC1444" s="6" t="s">
        <v>5042</v>
      </c>
      <c r="AD1444" s="6" t="s">
        <v>7279</v>
      </c>
      <c r="AE1444" s="155" t="s">
        <v>5452</v>
      </c>
      <c r="AF1444" s="159" t="s">
        <v>8299</v>
      </c>
      <c r="AG1444" s="160" t="s">
        <v>3728</v>
      </c>
      <c r="AH1444" s="194" t="s">
        <v>678</v>
      </c>
      <c r="AI1444" s="6">
        <v>745460</v>
      </c>
      <c r="AJ1444" s="3" t="s">
        <v>8224</v>
      </c>
      <c r="AK1444" t="s">
        <v>8224</v>
      </c>
      <c r="AV1444"/>
      <c r="AX1444"/>
      <c r="AZ1444" t="str">
        <f t="shared" si="265"/>
        <v/>
      </c>
      <c r="BA1444" t="str">
        <f t="shared" si="266"/>
        <v/>
      </c>
    </row>
    <row r="1445" spans="3:53" ht="13.5">
      <c r="C1445" s="19"/>
      <c r="D1445" s="19"/>
      <c r="AC1445" s="6" t="s">
        <v>4721</v>
      </c>
      <c r="AD1445" s="6" t="s">
        <v>7277</v>
      </c>
      <c r="AE1445" s="155" t="s">
        <v>5204</v>
      </c>
      <c r="AF1445" s="159" t="s">
        <v>8299</v>
      </c>
      <c r="AG1445" s="161" t="s">
        <v>4479</v>
      </c>
      <c r="AH1445" s="194" t="s">
        <v>679</v>
      </c>
      <c r="AI1445" s="6" t="s">
        <v>1950</v>
      </c>
      <c r="AJ1445" s="3" t="s">
        <v>8234</v>
      </c>
      <c r="AK1445" t="s">
        <v>8234</v>
      </c>
      <c r="AV1445"/>
      <c r="AX1445"/>
      <c r="AZ1445" t="str">
        <f t="shared" si="265"/>
        <v/>
      </c>
      <c r="BA1445" t="str">
        <f t="shared" si="266"/>
        <v/>
      </c>
    </row>
    <row r="1446" spans="3:53" ht="13.5">
      <c r="C1446" s="19"/>
      <c r="D1446" s="19"/>
      <c r="AC1446" s="6" t="s">
        <v>4103</v>
      </c>
      <c r="AD1446" s="6" t="s">
        <v>7277</v>
      </c>
      <c r="AE1446" s="155" t="s">
        <v>5470</v>
      </c>
      <c r="AF1446" s="159" t="s">
        <v>8299</v>
      </c>
      <c r="AG1446" s="160" t="s">
        <v>4464</v>
      </c>
      <c r="AH1446" s="194" t="s">
        <v>679</v>
      </c>
      <c r="AI1446" s="6" t="s">
        <v>2195</v>
      </c>
      <c r="AJ1446" s="3" t="s">
        <v>8235</v>
      </c>
      <c r="AK1446" t="s">
        <v>8672</v>
      </c>
      <c r="AV1446"/>
      <c r="AX1446"/>
      <c r="AZ1446" t="str">
        <f t="shared" si="265"/>
        <v/>
      </c>
      <c r="BA1446" t="str">
        <f t="shared" si="266"/>
        <v/>
      </c>
    </row>
    <row r="1447" spans="3:53" ht="13.5">
      <c r="C1447" s="19"/>
      <c r="D1447" s="19"/>
      <c r="AC1447" s="6" t="s">
        <v>4127</v>
      </c>
      <c r="AD1447" s="6" t="s">
        <v>7277</v>
      </c>
      <c r="AE1447" s="155" t="s">
        <v>5203</v>
      </c>
      <c r="AF1447" s="159" t="s">
        <v>8299</v>
      </c>
      <c r="AG1447" s="160" t="s">
        <v>4466</v>
      </c>
      <c r="AH1447" s="194" t="s">
        <v>679</v>
      </c>
      <c r="AI1447" s="6" t="s">
        <v>4077</v>
      </c>
      <c r="AJ1447" s="3" t="s">
        <v>8268</v>
      </c>
      <c r="AK1447" t="s">
        <v>8268</v>
      </c>
      <c r="AV1447"/>
      <c r="AX1447"/>
      <c r="AZ1447" t="str">
        <f t="shared" si="265"/>
        <v/>
      </c>
      <c r="BA1447" t="str">
        <f t="shared" si="266"/>
        <v/>
      </c>
    </row>
    <row r="1448" spans="3:53" ht="13.5">
      <c r="C1448" s="19"/>
      <c r="D1448" s="19"/>
      <c r="AC1448" s="6" t="s">
        <v>5237</v>
      </c>
      <c r="AD1448" s="6" t="s">
        <v>7277</v>
      </c>
      <c r="AE1448" s="155" t="s">
        <v>5381</v>
      </c>
      <c r="AF1448" s="159" t="s">
        <v>8299</v>
      </c>
      <c r="AG1448" s="160" t="s">
        <v>3729</v>
      </c>
      <c r="AH1448" s="194" t="s">
        <v>678</v>
      </c>
      <c r="AI1448" s="6" t="s">
        <v>875</v>
      </c>
      <c r="AJ1448" s="3" t="s">
        <v>8215</v>
      </c>
      <c r="AK1448" t="s">
        <v>8215</v>
      </c>
      <c r="AV1448"/>
      <c r="AX1448"/>
      <c r="AZ1448" t="str">
        <f t="shared" si="265"/>
        <v/>
      </c>
      <c r="BA1448" t="str">
        <f t="shared" si="266"/>
        <v/>
      </c>
    </row>
    <row r="1449" spans="3:53" ht="13.5">
      <c r="C1449" s="19"/>
      <c r="D1449" s="19"/>
      <c r="AC1449" s="6" t="s">
        <v>964</v>
      </c>
      <c r="AD1449" s="6" t="s">
        <v>7277</v>
      </c>
      <c r="AE1449" s="155" t="s">
        <v>5168</v>
      </c>
      <c r="AF1449" s="159" t="s">
        <v>8300</v>
      </c>
      <c r="AG1449" s="160" t="s">
        <v>3730</v>
      </c>
      <c r="AH1449" s="194" t="s">
        <v>678</v>
      </c>
      <c r="AI1449" s="6">
        <v>335300</v>
      </c>
      <c r="AJ1449" s="3" t="s">
        <v>8224</v>
      </c>
      <c r="AK1449" t="s">
        <v>8224</v>
      </c>
      <c r="AV1449"/>
      <c r="AX1449"/>
      <c r="AZ1449" t="str">
        <f t="shared" si="265"/>
        <v/>
      </c>
      <c r="BA1449" t="str">
        <f t="shared" si="266"/>
        <v/>
      </c>
    </row>
    <row r="1450" spans="3:53" ht="13.5">
      <c r="C1450" s="19"/>
      <c r="D1450" s="19"/>
      <c r="AC1450" s="6" t="s">
        <v>4116</v>
      </c>
      <c r="AD1450" s="6" t="s">
        <v>7277</v>
      </c>
      <c r="AE1450" s="155" t="s">
        <v>5348</v>
      </c>
      <c r="AF1450" s="159" t="s">
        <v>8299</v>
      </c>
      <c r="AG1450" s="160" t="s">
        <v>3731</v>
      </c>
      <c r="AH1450" s="194" t="s">
        <v>678</v>
      </c>
      <c r="AI1450" s="6" t="s">
        <v>3969</v>
      </c>
      <c r="AJ1450" s="3" t="s">
        <v>8236</v>
      </c>
      <c r="AK1450" t="s">
        <v>8236</v>
      </c>
      <c r="AV1450"/>
      <c r="AX1450"/>
      <c r="AZ1450" t="str">
        <f t="shared" si="265"/>
        <v/>
      </c>
      <c r="BA1450" t="str">
        <f t="shared" si="266"/>
        <v/>
      </c>
    </row>
    <row r="1451" spans="3:53" ht="13.5">
      <c r="C1451" s="19"/>
      <c r="D1451" s="19"/>
      <c r="AC1451" s="6" t="s">
        <v>4110</v>
      </c>
      <c r="AD1451" s="6" t="s">
        <v>7277</v>
      </c>
      <c r="AE1451" s="155" t="s">
        <v>5056</v>
      </c>
      <c r="AF1451" s="159" t="s">
        <v>8299</v>
      </c>
      <c r="AG1451" s="160" t="s">
        <v>3732</v>
      </c>
      <c r="AH1451" s="194" t="s">
        <v>678</v>
      </c>
      <c r="AI1451" s="6" t="s">
        <v>2710</v>
      </c>
      <c r="AJ1451" s="3" t="s">
        <v>8254</v>
      </c>
      <c r="AK1451" t="s">
        <v>8254</v>
      </c>
      <c r="AV1451"/>
      <c r="AX1451"/>
      <c r="AZ1451" t="str">
        <f t="shared" si="265"/>
        <v/>
      </c>
      <c r="BA1451" t="str">
        <f t="shared" si="266"/>
        <v/>
      </c>
    </row>
    <row r="1452" spans="3:53" ht="13.5">
      <c r="C1452" s="19"/>
      <c r="D1452" s="19"/>
      <c r="AC1452" s="6" t="s">
        <v>4101</v>
      </c>
      <c r="AD1452" s="6" t="s">
        <v>7277</v>
      </c>
      <c r="AE1452" s="155" t="s">
        <v>5206</v>
      </c>
      <c r="AF1452" s="159" t="s">
        <v>8299</v>
      </c>
      <c r="AG1452" s="160" t="s">
        <v>3733</v>
      </c>
      <c r="AH1452" s="194" t="s">
        <v>678</v>
      </c>
      <c r="AI1452" s="6" t="s">
        <v>2736</v>
      </c>
      <c r="AJ1452" s="3" t="s">
        <v>8275</v>
      </c>
      <c r="AK1452" t="s">
        <v>8275</v>
      </c>
      <c r="AV1452"/>
      <c r="AX1452"/>
      <c r="AZ1452" t="str">
        <f t="shared" si="265"/>
        <v/>
      </c>
      <c r="BA1452" t="str">
        <f t="shared" si="266"/>
        <v/>
      </c>
    </row>
    <row r="1453" spans="3:53" ht="13.5">
      <c r="C1453" s="19"/>
      <c r="D1453" s="19"/>
      <c r="AC1453" s="6" t="s">
        <v>4130</v>
      </c>
      <c r="AD1453" s="6" t="s">
        <v>7277</v>
      </c>
      <c r="AE1453" s="155" t="s">
        <v>5113</v>
      </c>
      <c r="AF1453" s="159" t="s">
        <v>8300</v>
      </c>
      <c r="AG1453" s="160" t="s">
        <v>3734</v>
      </c>
      <c r="AH1453" s="194" t="s">
        <v>678</v>
      </c>
      <c r="AI1453" s="6" t="s">
        <v>3323</v>
      </c>
      <c r="AJ1453" s="3" t="s">
        <v>8203</v>
      </c>
      <c r="AK1453" t="s">
        <v>8203</v>
      </c>
      <c r="AV1453"/>
      <c r="AX1453"/>
      <c r="AZ1453" t="str">
        <f t="shared" si="265"/>
        <v/>
      </c>
      <c r="BA1453" t="str">
        <f t="shared" si="266"/>
        <v/>
      </c>
    </row>
    <row r="1454" spans="3:53" ht="13.5">
      <c r="C1454" s="19"/>
      <c r="D1454" s="19"/>
      <c r="AC1454" s="6" t="s">
        <v>4109</v>
      </c>
      <c r="AD1454" s="6" t="s">
        <v>7277</v>
      </c>
      <c r="AE1454" s="155" t="s">
        <v>5183</v>
      </c>
      <c r="AF1454" s="159" t="s">
        <v>8299</v>
      </c>
      <c r="AG1454" s="160" t="s">
        <v>43</v>
      </c>
      <c r="AH1454" s="194" t="s">
        <v>678</v>
      </c>
      <c r="AI1454" s="6" t="s">
        <v>1111</v>
      </c>
      <c r="AJ1454" s="3" t="s">
        <v>8267</v>
      </c>
      <c r="AK1454" t="s">
        <v>8280</v>
      </c>
      <c r="AV1454"/>
      <c r="AX1454"/>
      <c r="AZ1454" t="str">
        <f t="shared" si="265"/>
        <v/>
      </c>
      <c r="BA1454" t="str">
        <f t="shared" si="266"/>
        <v/>
      </c>
    </row>
    <row r="1455" spans="3:53" ht="13.5">
      <c r="C1455" s="19"/>
      <c r="D1455" s="19"/>
      <c r="AC1455" s="6" t="s">
        <v>4270</v>
      </c>
      <c r="AD1455" s="6" t="s">
        <v>7305</v>
      </c>
      <c r="AE1455" s="155" t="s">
        <v>5223</v>
      </c>
      <c r="AF1455" s="159" t="s">
        <v>8299</v>
      </c>
      <c r="AG1455" s="160" t="s">
        <v>3735</v>
      </c>
      <c r="AH1455" s="194" t="s">
        <v>678</v>
      </c>
      <c r="AI1455" s="6" t="s">
        <v>2754</v>
      </c>
      <c r="AJ1455" s="3" t="s">
        <v>8251</v>
      </c>
      <c r="AK1455" t="s">
        <v>8251</v>
      </c>
      <c r="AV1455"/>
      <c r="AX1455"/>
      <c r="AZ1455" t="str">
        <f t="shared" si="265"/>
        <v/>
      </c>
      <c r="BA1455" t="str">
        <f t="shared" si="266"/>
        <v/>
      </c>
    </row>
    <row r="1456" spans="3:53" ht="13.5">
      <c r="C1456" s="19"/>
      <c r="D1456" s="19"/>
      <c r="AC1456" s="6" t="s">
        <v>4129</v>
      </c>
      <c r="AD1456" s="6" t="s">
        <v>7277</v>
      </c>
      <c r="AE1456" s="155" t="s">
        <v>5473</v>
      </c>
      <c r="AF1456" s="159" t="s">
        <v>8299</v>
      </c>
      <c r="AG1456" s="160" t="s">
        <v>3736</v>
      </c>
      <c r="AH1456" s="194" t="s">
        <v>678</v>
      </c>
      <c r="AI1456" s="6" t="s">
        <v>4205</v>
      </c>
      <c r="AJ1456" s="3" t="s">
        <v>8253</v>
      </c>
      <c r="AK1456" t="s">
        <v>8253</v>
      </c>
      <c r="AV1456"/>
      <c r="AX1456"/>
      <c r="AZ1456" t="str">
        <f t="shared" si="265"/>
        <v/>
      </c>
      <c r="BA1456" t="str">
        <f t="shared" si="266"/>
        <v/>
      </c>
    </row>
    <row r="1457" spans="3:53" ht="13.5">
      <c r="C1457" s="19"/>
      <c r="D1457" s="19"/>
      <c r="AC1457" s="6" t="s">
        <v>4271</v>
      </c>
      <c r="AD1457" s="6" t="s">
        <v>7305</v>
      </c>
      <c r="AE1457" s="155" t="s">
        <v>5471</v>
      </c>
      <c r="AF1457" s="159" t="s">
        <v>8299</v>
      </c>
      <c r="AG1457" s="160" t="s">
        <v>3737</v>
      </c>
      <c r="AH1457" s="194" t="s">
        <v>678</v>
      </c>
      <c r="AI1457" s="6" t="s">
        <v>3922</v>
      </c>
      <c r="AJ1457" s="3" t="s">
        <v>8268</v>
      </c>
      <c r="AK1457" t="s">
        <v>8268</v>
      </c>
      <c r="AV1457"/>
      <c r="AX1457"/>
      <c r="AZ1457" t="str">
        <f t="shared" si="265"/>
        <v/>
      </c>
      <c r="BA1457" t="str">
        <f t="shared" si="266"/>
        <v/>
      </c>
    </row>
    <row r="1458" spans="3:53" ht="13.5">
      <c r="C1458" s="19"/>
      <c r="D1458" s="19"/>
      <c r="AC1458" s="6" t="s">
        <v>4108</v>
      </c>
      <c r="AD1458" s="6" t="s">
        <v>7277</v>
      </c>
      <c r="AE1458" s="155" t="s">
        <v>5214</v>
      </c>
      <c r="AF1458" s="159" t="s">
        <v>8299</v>
      </c>
      <c r="AG1458" s="160" t="s">
        <v>3738</v>
      </c>
      <c r="AH1458" s="194" t="s">
        <v>678</v>
      </c>
      <c r="AI1458" s="6" t="s">
        <v>2686</v>
      </c>
      <c r="AJ1458" s="3" t="s">
        <v>8226</v>
      </c>
      <c r="AK1458" t="s">
        <v>8671</v>
      </c>
      <c r="AV1458"/>
      <c r="AX1458"/>
      <c r="AZ1458" t="str">
        <f t="shared" si="265"/>
        <v/>
      </c>
      <c r="BA1458" t="str">
        <f t="shared" si="266"/>
        <v/>
      </c>
    </row>
    <row r="1459" spans="3:53" ht="13.5">
      <c r="C1459" s="19"/>
      <c r="D1459" s="19"/>
      <c r="AC1459" s="6" t="s">
        <v>4041</v>
      </c>
      <c r="AD1459" s="6" t="s">
        <v>7319</v>
      </c>
      <c r="AE1459" s="155" t="s">
        <v>5468</v>
      </c>
      <c r="AF1459" s="159" t="s">
        <v>8299</v>
      </c>
      <c r="AG1459" s="160" t="s">
        <v>3739</v>
      </c>
      <c r="AH1459" s="194" t="s">
        <v>678</v>
      </c>
      <c r="AI1459" s="6" t="s">
        <v>6670</v>
      </c>
      <c r="AJ1459" s="3" t="s">
        <v>8219</v>
      </c>
      <c r="AK1459" t="s">
        <v>8219</v>
      </c>
      <c r="AV1459"/>
      <c r="AX1459"/>
      <c r="AZ1459" t="str">
        <f t="shared" si="265"/>
        <v/>
      </c>
      <c r="BA1459" t="str">
        <f t="shared" si="266"/>
        <v/>
      </c>
    </row>
    <row r="1460" spans="3:53" ht="13.5">
      <c r="C1460" s="19"/>
      <c r="D1460" s="19"/>
      <c r="AC1460" s="6" t="s">
        <v>4126</v>
      </c>
      <c r="AD1460" s="6" t="s">
        <v>7277</v>
      </c>
      <c r="AE1460" s="155" t="s">
        <v>4164</v>
      </c>
      <c r="AF1460" s="159" t="s">
        <v>8384</v>
      </c>
      <c r="AG1460" s="160" t="s">
        <v>3740</v>
      </c>
      <c r="AH1460" s="194" t="s">
        <v>678</v>
      </c>
      <c r="AI1460" s="6" t="s">
        <v>167</v>
      </c>
      <c r="AJ1460" s="3" t="s">
        <v>8224</v>
      </c>
      <c r="AK1460" t="s">
        <v>8224</v>
      </c>
      <c r="AV1460"/>
      <c r="AX1460"/>
      <c r="AZ1460" t="str">
        <f t="shared" si="265"/>
        <v/>
      </c>
      <c r="BA1460" t="str">
        <f t="shared" si="266"/>
        <v/>
      </c>
    </row>
    <row r="1461" spans="3:53" ht="13.5">
      <c r="C1461" s="19"/>
      <c r="D1461" s="19"/>
      <c r="AC1461" s="6" t="s">
        <v>4107</v>
      </c>
      <c r="AD1461" s="6" t="s">
        <v>7277</v>
      </c>
      <c r="AE1461" s="155" t="s">
        <v>5458</v>
      </c>
      <c r="AF1461" s="159" t="s">
        <v>8299</v>
      </c>
      <c r="AG1461" s="160" t="s">
        <v>3741</v>
      </c>
      <c r="AH1461" s="194" t="s">
        <v>678</v>
      </c>
      <c r="AI1461" s="6" t="s">
        <v>1546</v>
      </c>
      <c r="AJ1461" s="3" t="s">
        <v>8224</v>
      </c>
      <c r="AK1461" t="s">
        <v>8224</v>
      </c>
      <c r="AV1461"/>
      <c r="AX1461"/>
      <c r="AZ1461" t="str">
        <f t="shared" si="265"/>
        <v/>
      </c>
      <c r="BA1461" t="str">
        <f t="shared" si="266"/>
        <v/>
      </c>
    </row>
    <row r="1462" spans="3:53" ht="13.5">
      <c r="C1462" s="19"/>
      <c r="D1462" s="19"/>
      <c r="AC1462" s="6" t="s">
        <v>4112</v>
      </c>
      <c r="AD1462" s="6" t="s">
        <v>7277</v>
      </c>
      <c r="AE1462" s="155" t="s">
        <v>5450</v>
      </c>
      <c r="AF1462" s="159" t="s">
        <v>8299</v>
      </c>
      <c r="AG1462" s="160" t="s">
        <v>3742</v>
      </c>
      <c r="AH1462" s="194" t="s">
        <v>678</v>
      </c>
      <c r="AI1462" s="6" t="s">
        <v>1568</v>
      </c>
      <c r="AJ1462" s="3" t="s">
        <v>8224</v>
      </c>
      <c r="AK1462" t="s">
        <v>8224</v>
      </c>
      <c r="AV1462"/>
      <c r="AX1462"/>
      <c r="AZ1462" t="str">
        <f t="shared" si="265"/>
        <v/>
      </c>
      <c r="BA1462" t="str">
        <f t="shared" si="266"/>
        <v/>
      </c>
    </row>
    <row r="1463" spans="3:53" ht="13.5">
      <c r="C1463" s="19"/>
      <c r="D1463" s="19"/>
      <c r="AC1463" s="6" t="s">
        <v>68</v>
      </c>
      <c r="AD1463" s="6" t="s">
        <v>7277</v>
      </c>
      <c r="AE1463" s="155" t="s">
        <v>5474</v>
      </c>
      <c r="AF1463" s="159" t="s">
        <v>8299</v>
      </c>
      <c r="AG1463" s="160" t="s">
        <v>3743</v>
      </c>
      <c r="AH1463" s="194" t="s">
        <v>679</v>
      </c>
      <c r="AI1463" s="6" t="s">
        <v>1595</v>
      </c>
      <c r="AJ1463" s="3" t="s">
        <v>8224</v>
      </c>
      <c r="AK1463" t="s">
        <v>8224</v>
      </c>
      <c r="AV1463"/>
      <c r="AX1463"/>
      <c r="AZ1463" t="str">
        <f t="shared" si="265"/>
        <v/>
      </c>
      <c r="BA1463" t="str">
        <f t="shared" si="266"/>
        <v/>
      </c>
    </row>
    <row r="1464" spans="3:53" ht="13.5">
      <c r="C1464" s="19"/>
      <c r="D1464" s="19"/>
      <c r="AC1464" s="6" t="s">
        <v>4128</v>
      </c>
      <c r="AD1464" s="6" t="s">
        <v>7277</v>
      </c>
      <c r="AE1464" s="155" t="s">
        <v>5455</v>
      </c>
      <c r="AF1464" s="159" t="s">
        <v>8299</v>
      </c>
      <c r="AG1464" s="160" t="s">
        <v>3744</v>
      </c>
      <c r="AH1464" s="194" t="s">
        <v>678</v>
      </c>
      <c r="AI1464" s="6" t="s">
        <v>1596</v>
      </c>
      <c r="AJ1464" s="3" t="s">
        <v>8224</v>
      </c>
      <c r="AK1464" t="s">
        <v>8224</v>
      </c>
      <c r="AV1464"/>
      <c r="AX1464"/>
      <c r="AZ1464" t="str">
        <f t="shared" si="265"/>
        <v/>
      </c>
      <c r="BA1464" t="str">
        <f t="shared" si="266"/>
        <v/>
      </c>
    </row>
    <row r="1465" spans="3:53" ht="13.5">
      <c r="C1465" s="19"/>
      <c r="D1465" s="19"/>
      <c r="AC1465" s="6" t="s">
        <v>4115</v>
      </c>
      <c r="AD1465" s="6" t="s">
        <v>7277</v>
      </c>
      <c r="AE1465" s="155" t="s">
        <v>5328</v>
      </c>
      <c r="AF1465" s="159" t="s">
        <v>8299</v>
      </c>
      <c r="AG1465" s="160" t="s">
        <v>3745</v>
      </c>
      <c r="AH1465" s="194" t="s">
        <v>678</v>
      </c>
      <c r="AI1465" s="6" t="s">
        <v>170</v>
      </c>
      <c r="AJ1465" s="3" t="s">
        <v>8224</v>
      </c>
      <c r="AK1465" t="s">
        <v>8224</v>
      </c>
      <c r="AV1465"/>
      <c r="AX1465"/>
      <c r="AZ1465" t="str">
        <f t="shared" si="265"/>
        <v/>
      </c>
      <c r="BA1465" t="str">
        <f t="shared" si="266"/>
        <v/>
      </c>
    </row>
    <row r="1466" spans="3:53" ht="13.5">
      <c r="C1466" s="19"/>
      <c r="D1466" s="19"/>
      <c r="AC1466" s="6" t="s">
        <v>5053</v>
      </c>
      <c r="AD1466" s="6" t="s">
        <v>7165</v>
      </c>
      <c r="AE1466" s="155" t="s">
        <v>5453</v>
      </c>
      <c r="AF1466" s="159" t="s">
        <v>8299</v>
      </c>
      <c r="AG1466" s="160" t="s">
        <v>3746</v>
      </c>
      <c r="AH1466" s="194" t="s">
        <v>678</v>
      </c>
      <c r="AI1466" s="6" t="s">
        <v>1600</v>
      </c>
      <c r="AJ1466" s="3" t="s">
        <v>8224</v>
      </c>
      <c r="AK1466" t="s">
        <v>8224</v>
      </c>
      <c r="AV1466"/>
      <c r="AX1466"/>
      <c r="AZ1466" t="str">
        <f t="shared" ref="AZ1466:AZ1529" si="267">IF(ISBLANK(AW1466),"",CONCATENATE("(",RIGHT(AW1466,5),"-",TEXT(AX1466,"h:mm;@"),")"))</f>
        <v/>
      </c>
      <c r="BA1466" t="str">
        <f t="shared" ref="BA1466:BA1529" si="268">IF(AV1482=AV1466,"",CONCATENATE(IF(AV1481=AV1466,BA1481,""),IF(AV1480=AV1466,BA1480,""),IF(AV1479=AV1466,BA1479,""),IF(AV1478=AV1466,BA1478,""),IF(AV1477=AV1466,BA1477,""),IF(AV1476=AV1466,BA1476,""),IF(AV1475=AV1466,BA1475,""),IF(AV1474=AV1466,BA1474,""),IF(AV1473=AV1466,BA1473,""),IF(AV1472=AV1466,BA1472,""),IF(AV1471=AV1466,BA1471,""),IF(AV1470=AV1466,BA1470,""),IF(AV1469=AV1466,BA1469,""),IF(AV1468=AV1466,BA1468,""),IF(AV1467=AV1466,BA1467,""),IF(AV1465=AV1466,BA1465,""),BA1466))</f>
        <v/>
      </c>
    </row>
    <row r="1467" spans="3:53" ht="13.5">
      <c r="C1467" s="19"/>
      <c r="D1467" s="19"/>
      <c r="AC1467" s="6" t="s">
        <v>4124</v>
      </c>
      <c r="AD1467" s="6" t="s">
        <v>7277</v>
      </c>
      <c r="AE1467" s="155" t="s">
        <v>5467</v>
      </c>
      <c r="AF1467" s="159" t="s">
        <v>8299</v>
      </c>
      <c r="AG1467" s="160" t="s">
        <v>3747</v>
      </c>
      <c r="AH1467" s="194" t="s">
        <v>678</v>
      </c>
      <c r="AI1467" s="6" t="s">
        <v>1602</v>
      </c>
      <c r="AJ1467" s="3" t="s">
        <v>8224</v>
      </c>
      <c r="AK1467" t="s">
        <v>8224</v>
      </c>
      <c r="AV1467"/>
      <c r="AX1467"/>
      <c r="AZ1467" t="str">
        <f t="shared" si="267"/>
        <v/>
      </c>
      <c r="BA1467" t="str">
        <f t="shared" si="268"/>
        <v/>
      </c>
    </row>
    <row r="1468" spans="3:53" ht="13.5">
      <c r="C1468" s="19"/>
      <c r="D1468" s="19"/>
      <c r="AC1468" s="6" t="s">
        <v>4117</v>
      </c>
      <c r="AD1468" s="6" t="s">
        <v>7277</v>
      </c>
      <c r="AE1468" s="155" t="s">
        <v>4174</v>
      </c>
      <c r="AF1468" s="159" t="s">
        <v>8296</v>
      </c>
      <c r="AG1468" s="160" t="s">
        <v>3748</v>
      </c>
      <c r="AH1468" s="194" t="s">
        <v>678</v>
      </c>
      <c r="AI1468" s="6" t="s">
        <v>1604</v>
      </c>
      <c r="AJ1468" s="3" t="s">
        <v>8224</v>
      </c>
      <c r="AK1468" t="s">
        <v>8224</v>
      </c>
      <c r="AV1468"/>
      <c r="AX1468"/>
      <c r="AZ1468" t="str">
        <f t="shared" si="267"/>
        <v/>
      </c>
      <c r="BA1468" t="str">
        <f t="shared" si="268"/>
        <v/>
      </c>
    </row>
    <row r="1469" spans="3:53" ht="13.5">
      <c r="C1469" s="19"/>
      <c r="D1469" s="19"/>
      <c r="AC1469" s="6" t="s">
        <v>4111</v>
      </c>
      <c r="AD1469" s="6" t="s">
        <v>7277</v>
      </c>
      <c r="AE1469" s="155" t="s">
        <v>5345</v>
      </c>
      <c r="AF1469" s="159" t="s">
        <v>8299</v>
      </c>
      <c r="AG1469" s="160" t="s">
        <v>3749</v>
      </c>
      <c r="AH1469" s="194" t="s">
        <v>678</v>
      </c>
      <c r="AI1469" s="6" t="s">
        <v>1605</v>
      </c>
      <c r="AJ1469" s="3" t="s">
        <v>8224</v>
      </c>
      <c r="AK1469" t="s">
        <v>8224</v>
      </c>
      <c r="AV1469"/>
      <c r="AX1469"/>
      <c r="AZ1469" t="str">
        <f t="shared" si="267"/>
        <v/>
      </c>
      <c r="BA1469" t="str">
        <f t="shared" si="268"/>
        <v/>
      </c>
    </row>
    <row r="1470" spans="3:53" ht="13.5">
      <c r="C1470" s="19"/>
      <c r="D1470" s="19"/>
      <c r="AC1470" s="6" t="s">
        <v>4100</v>
      </c>
      <c r="AD1470" s="6" t="s">
        <v>7277</v>
      </c>
      <c r="AE1470" s="155" t="s">
        <v>5454</v>
      </c>
      <c r="AF1470" s="159" t="s">
        <v>8299</v>
      </c>
      <c r="AG1470" s="160" t="s">
        <v>3750</v>
      </c>
      <c r="AH1470" s="194" t="s">
        <v>678</v>
      </c>
      <c r="AI1470" s="6" t="s">
        <v>1608</v>
      </c>
      <c r="AJ1470" s="3" t="s">
        <v>8224</v>
      </c>
      <c r="AK1470" t="s">
        <v>8224</v>
      </c>
      <c r="AV1470"/>
      <c r="AX1470"/>
      <c r="AZ1470" t="str">
        <f t="shared" si="267"/>
        <v/>
      </c>
      <c r="BA1470" t="str">
        <f t="shared" si="268"/>
        <v/>
      </c>
    </row>
    <row r="1471" spans="3:53" ht="13.5">
      <c r="C1471" s="19"/>
      <c r="D1471" s="19"/>
      <c r="AC1471" s="6" t="s">
        <v>4104</v>
      </c>
      <c r="AD1471" s="6" t="s">
        <v>7277</v>
      </c>
      <c r="AE1471" s="155" t="s">
        <v>5347</v>
      </c>
      <c r="AF1471" s="159" t="s">
        <v>8299</v>
      </c>
      <c r="AG1471" s="160" t="s">
        <v>3751</v>
      </c>
      <c r="AH1471" s="194" t="s">
        <v>678</v>
      </c>
      <c r="AI1471" s="6" t="s">
        <v>605</v>
      </c>
      <c r="AJ1471" s="3" t="s">
        <v>8224</v>
      </c>
      <c r="AK1471" t="s">
        <v>8224</v>
      </c>
      <c r="AV1471"/>
      <c r="AX1471"/>
      <c r="AZ1471" t="str">
        <f t="shared" si="267"/>
        <v/>
      </c>
      <c r="BA1471" t="str">
        <f t="shared" si="268"/>
        <v/>
      </c>
    </row>
    <row r="1472" spans="3:53" ht="13.5">
      <c r="C1472" s="19"/>
      <c r="D1472" s="19"/>
      <c r="AC1472" s="6" t="s">
        <v>4120</v>
      </c>
      <c r="AD1472" s="6" t="s">
        <v>7277</v>
      </c>
      <c r="AE1472" s="155" t="s">
        <v>4220</v>
      </c>
      <c r="AF1472" s="159" t="s">
        <v>8320</v>
      </c>
      <c r="AG1472" s="161" t="s">
        <v>3752</v>
      </c>
      <c r="AH1472" s="194" t="s">
        <v>678</v>
      </c>
      <c r="AI1472" s="6" t="s">
        <v>606</v>
      </c>
      <c r="AJ1472" s="3" t="s">
        <v>8224</v>
      </c>
      <c r="AK1472" t="s">
        <v>8224</v>
      </c>
      <c r="AV1472"/>
      <c r="AX1472"/>
      <c r="AZ1472" t="str">
        <f t="shared" si="267"/>
        <v/>
      </c>
      <c r="BA1472" t="str">
        <f t="shared" si="268"/>
        <v/>
      </c>
    </row>
    <row r="1473" spans="3:53" ht="13.5">
      <c r="C1473" s="19"/>
      <c r="D1473" s="19"/>
      <c r="AC1473" s="6" t="s">
        <v>69</v>
      </c>
      <c r="AD1473" s="6" t="s">
        <v>7277</v>
      </c>
      <c r="AE1473" s="155" t="s">
        <v>4221</v>
      </c>
      <c r="AF1473" s="159" t="s">
        <v>8300</v>
      </c>
      <c r="AG1473" s="160" t="s">
        <v>3753</v>
      </c>
      <c r="AH1473" s="194" t="s">
        <v>678</v>
      </c>
      <c r="AI1473" s="6" t="s">
        <v>615</v>
      </c>
      <c r="AJ1473" s="3" t="s">
        <v>8202</v>
      </c>
      <c r="AK1473" t="s">
        <v>8202</v>
      </c>
      <c r="AV1473"/>
      <c r="AX1473"/>
      <c r="AZ1473" t="str">
        <f t="shared" si="267"/>
        <v/>
      </c>
      <c r="BA1473" t="str">
        <f t="shared" si="268"/>
        <v/>
      </c>
    </row>
    <row r="1474" spans="3:53" ht="13.5">
      <c r="C1474" s="19"/>
      <c r="D1474" s="19"/>
      <c r="AC1474" s="6" t="s">
        <v>4125</v>
      </c>
      <c r="AD1474" s="6" t="s">
        <v>7277</v>
      </c>
      <c r="AE1474" s="155" t="s">
        <v>5346</v>
      </c>
      <c r="AF1474" s="159" t="s">
        <v>8299</v>
      </c>
      <c r="AG1474" s="160" t="s">
        <v>3754</v>
      </c>
      <c r="AH1474" s="194" t="s">
        <v>678</v>
      </c>
      <c r="AI1474" s="6" t="s">
        <v>67</v>
      </c>
      <c r="AJ1474" s="3" t="s">
        <v>8229</v>
      </c>
      <c r="AK1474" t="s">
        <v>8229</v>
      </c>
      <c r="AV1474"/>
      <c r="AX1474"/>
      <c r="AZ1474" t="str">
        <f t="shared" si="267"/>
        <v/>
      </c>
      <c r="BA1474" t="str">
        <f t="shared" si="268"/>
        <v/>
      </c>
    </row>
    <row r="1475" spans="3:53" ht="13.5">
      <c r="C1475" s="19"/>
      <c r="D1475" s="19"/>
      <c r="AC1475" s="6" t="s">
        <v>4131</v>
      </c>
      <c r="AD1475" s="6" t="s">
        <v>7277</v>
      </c>
      <c r="AE1475" s="155" t="s">
        <v>5530</v>
      </c>
      <c r="AF1475" s="159" t="s">
        <v>8299</v>
      </c>
      <c r="AG1475" s="160" t="s">
        <v>3755</v>
      </c>
      <c r="AH1475" s="194" t="s">
        <v>678</v>
      </c>
      <c r="AI1475" s="6" t="s">
        <v>68</v>
      </c>
      <c r="AJ1475" s="3" t="s">
        <v>8229</v>
      </c>
      <c r="AK1475" t="s">
        <v>8229</v>
      </c>
      <c r="AV1475"/>
      <c r="AX1475"/>
      <c r="AZ1475" t="str">
        <f t="shared" si="267"/>
        <v/>
      </c>
      <c r="BA1475" t="str">
        <f t="shared" si="268"/>
        <v/>
      </c>
    </row>
    <row r="1476" spans="3:53" ht="13.5">
      <c r="C1476" s="19"/>
      <c r="D1476" s="19"/>
      <c r="AC1476" s="6" t="s">
        <v>4106</v>
      </c>
      <c r="AD1476" s="6" t="s">
        <v>7277</v>
      </c>
      <c r="AE1476" s="155" t="s">
        <v>5487</v>
      </c>
      <c r="AF1476" s="159" t="s">
        <v>8299</v>
      </c>
      <c r="AG1476" s="160" t="s">
        <v>3756</v>
      </c>
      <c r="AH1476" s="194" t="s">
        <v>678</v>
      </c>
      <c r="AI1476" s="6" t="s">
        <v>69</v>
      </c>
      <c r="AJ1476" s="3" t="s">
        <v>8225</v>
      </c>
      <c r="AK1476" t="s">
        <v>8225</v>
      </c>
      <c r="AV1476"/>
      <c r="AX1476"/>
      <c r="AZ1476" t="str">
        <f t="shared" si="267"/>
        <v/>
      </c>
      <c r="BA1476" t="str">
        <f t="shared" si="268"/>
        <v/>
      </c>
    </row>
    <row r="1477" spans="3:53" ht="13.5">
      <c r="C1477" s="19"/>
      <c r="D1477" s="19"/>
      <c r="AC1477" s="6" t="s">
        <v>4102</v>
      </c>
      <c r="AD1477" s="6" t="s">
        <v>7277</v>
      </c>
      <c r="AE1477" s="155" t="s">
        <v>5531</v>
      </c>
      <c r="AF1477" s="159" t="s">
        <v>8299</v>
      </c>
      <c r="AG1477" s="160" t="s">
        <v>3757</v>
      </c>
      <c r="AH1477" s="194" t="s">
        <v>679</v>
      </c>
      <c r="AI1477" s="6" t="s">
        <v>4106</v>
      </c>
      <c r="AJ1477" s="3" t="s">
        <v>8225</v>
      </c>
      <c r="AK1477" t="s">
        <v>8225</v>
      </c>
      <c r="AV1477"/>
      <c r="AX1477"/>
      <c r="AZ1477" t="str">
        <f t="shared" si="267"/>
        <v/>
      </c>
      <c r="BA1477" t="str">
        <f t="shared" si="268"/>
        <v/>
      </c>
    </row>
    <row r="1478" spans="3:53" ht="13.5">
      <c r="C1478" s="19"/>
      <c r="D1478" s="19"/>
      <c r="AC1478" s="6" t="s">
        <v>4114</v>
      </c>
      <c r="AD1478" s="6" t="s">
        <v>7277</v>
      </c>
      <c r="AE1478" s="155" t="s">
        <v>5532</v>
      </c>
      <c r="AF1478" s="159" t="s">
        <v>8299</v>
      </c>
      <c r="AG1478" s="160" t="s">
        <v>3758</v>
      </c>
      <c r="AH1478" s="194" t="s">
        <v>679</v>
      </c>
      <c r="AI1478" s="6" t="s">
        <v>4110</v>
      </c>
      <c r="AJ1478" s="3" t="s">
        <v>8225</v>
      </c>
      <c r="AK1478" t="s">
        <v>8225</v>
      </c>
      <c r="AV1478"/>
      <c r="AX1478"/>
      <c r="AZ1478" t="str">
        <f t="shared" si="267"/>
        <v/>
      </c>
      <c r="BA1478" t="str">
        <f t="shared" si="268"/>
        <v/>
      </c>
    </row>
    <row r="1479" spans="3:53" ht="13.5">
      <c r="C1479" s="19"/>
      <c r="D1479" s="19"/>
      <c r="AC1479" s="6" t="s">
        <v>4113</v>
      </c>
      <c r="AD1479" s="6" t="s">
        <v>7277</v>
      </c>
      <c r="AE1479" s="155" t="s">
        <v>5533</v>
      </c>
      <c r="AF1479" s="159" t="s">
        <v>8299</v>
      </c>
      <c r="AG1479" s="160" t="s">
        <v>3759</v>
      </c>
      <c r="AH1479" s="194" t="s">
        <v>678</v>
      </c>
      <c r="AI1479" s="6" t="s">
        <v>4112</v>
      </c>
      <c r="AJ1479" s="3" t="s">
        <v>8229</v>
      </c>
      <c r="AK1479" t="s">
        <v>8229</v>
      </c>
      <c r="AV1479"/>
      <c r="AX1479"/>
      <c r="AZ1479" t="str">
        <f t="shared" si="267"/>
        <v/>
      </c>
      <c r="BA1479" t="str">
        <f t="shared" si="268"/>
        <v/>
      </c>
    </row>
    <row r="1480" spans="3:53" ht="13.5">
      <c r="C1480" s="19"/>
      <c r="D1480" s="19"/>
      <c r="AC1480" s="6">
        <v>195220</v>
      </c>
      <c r="AD1480" s="6" t="s">
        <v>7320</v>
      </c>
      <c r="AE1480" s="155" t="s">
        <v>5534</v>
      </c>
      <c r="AF1480" s="159" t="s">
        <v>8299</v>
      </c>
      <c r="AG1480" s="160" t="s">
        <v>3760</v>
      </c>
      <c r="AH1480" s="194" t="s">
        <v>678</v>
      </c>
      <c r="AI1480" s="6" t="s">
        <v>4115</v>
      </c>
      <c r="AJ1480" s="3" t="s">
        <v>8225</v>
      </c>
      <c r="AK1480" t="s">
        <v>8225</v>
      </c>
      <c r="AV1480"/>
      <c r="AX1480"/>
      <c r="AZ1480" t="str">
        <f t="shared" si="267"/>
        <v/>
      </c>
      <c r="BA1480" t="str">
        <f t="shared" si="268"/>
        <v/>
      </c>
    </row>
    <row r="1481" spans="3:53" ht="13.5">
      <c r="C1481" s="19"/>
      <c r="D1481" s="19"/>
      <c r="AC1481" s="6" t="s">
        <v>4123</v>
      </c>
      <c r="AD1481" s="6" t="s">
        <v>7277</v>
      </c>
      <c r="AE1481" s="155" t="s">
        <v>5486</v>
      </c>
      <c r="AF1481" s="159" t="s">
        <v>8299</v>
      </c>
      <c r="AG1481" s="160" t="s">
        <v>3761</v>
      </c>
      <c r="AH1481" s="194" t="s">
        <v>678</v>
      </c>
      <c r="AI1481" s="6" t="s">
        <v>4117</v>
      </c>
      <c r="AJ1481" s="3" t="s">
        <v>8225</v>
      </c>
      <c r="AK1481" t="s">
        <v>8225</v>
      </c>
      <c r="AV1481"/>
      <c r="AX1481"/>
      <c r="AZ1481" t="str">
        <f t="shared" si="267"/>
        <v/>
      </c>
      <c r="BA1481" t="str">
        <f t="shared" si="268"/>
        <v/>
      </c>
    </row>
    <row r="1482" spans="3:53" ht="13.5">
      <c r="C1482" s="19"/>
      <c r="D1482" s="19"/>
      <c r="AC1482" s="6" t="s">
        <v>67</v>
      </c>
      <c r="AD1482" s="6" t="s">
        <v>7277</v>
      </c>
      <c r="AE1482" s="155" t="s">
        <v>5447</v>
      </c>
      <c r="AF1482" s="159" t="s">
        <v>8299</v>
      </c>
      <c r="AG1482" s="160" t="s">
        <v>3762</v>
      </c>
      <c r="AH1482" s="194" t="s">
        <v>678</v>
      </c>
      <c r="AI1482" s="6" t="s">
        <v>669</v>
      </c>
      <c r="AJ1482" s="3" t="s">
        <v>8198</v>
      </c>
      <c r="AK1482" t="s">
        <v>8198</v>
      </c>
      <c r="AV1482"/>
      <c r="AX1482"/>
      <c r="AZ1482" t="str">
        <f t="shared" si="267"/>
        <v/>
      </c>
      <c r="BA1482" t="str">
        <f t="shared" si="268"/>
        <v/>
      </c>
    </row>
    <row r="1483" spans="3:53" ht="13.5">
      <c r="C1483" s="19"/>
      <c r="D1483" s="19"/>
      <c r="AC1483" s="6" t="s">
        <v>5192</v>
      </c>
      <c r="AD1483" s="6" t="s">
        <v>7140</v>
      </c>
      <c r="AE1483" s="155" t="s">
        <v>5466</v>
      </c>
      <c r="AF1483" s="159" t="s">
        <v>8299</v>
      </c>
      <c r="AG1483" s="160" t="s">
        <v>3763</v>
      </c>
      <c r="AH1483" s="194" t="s">
        <v>678</v>
      </c>
      <c r="AI1483" s="6" t="s">
        <v>1630</v>
      </c>
      <c r="AJ1483" s="3" t="s">
        <v>8198</v>
      </c>
      <c r="AK1483" t="s">
        <v>8198</v>
      </c>
      <c r="AV1483"/>
      <c r="AX1483"/>
      <c r="AZ1483" t="str">
        <f t="shared" si="267"/>
        <v/>
      </c>
      <c r="BA1483" t="str">
        <f t="shared" si="268"/>
        <v/>
      </c>
    </row>
    <row r="1484" spans="3:53" ht="13.5">
      <c r="C1484" s="19"/>
      <c r="D1484" s="19"/>
      <c r="AC1484" s="6" t="s">
        <v>4318</v>
      </c>
      <c r="AD1484" s="6" t="s">
        <v>7321</v>
      </c>
      <c r="AE1484" s="155" t="s">
        <v>5535</v>
      </c>
      <c r="AF1484" s="159" t="s">
        <v>8342</v>
      </c>
      <c r="AG1484" s="160" t="s">
        <v>3764</v>
      </c>
      <c r="AH1484" s="194" t="s">
        <v>678</v>
      </c>
      <c r="AI1484" s="6" t="s">
        <v>4125</v>
      </c>
      <c r="AJ1484" s="3" t="s">
        <v>8225</v>
      </c>
      <c r="AK1484" t="s">
        <v>8225</v>
      </c>
      <c r="AV1484"/>
      <c r="AX1484"/>
      <c r="AZ1484" t="str">
        <f t="shared" si="267"/>
        <v/>
      </c>
      <c r="BA1484" t="str">
        <f t="shared" si="268"/>
        <v/>
      </c>
    </row>
    <row r="1485" spans="3:53" ht="13.5">
      <c r="C1485" s="19"/>
      <c r="D1485" s="19"/>
      <c r="AC1485" s="6">
        <v>125624</v>
      </c>
      <c r="AD1485" s="6" t="s">
        <v>7322</v>
      </c>
      <c r="AE1485" s="155" t="s">
        <v>5308</v>
      </c>
      <c r="AF1485" s="159" t="s">
        <v>8300</v>
      </c>
      <c r="AG1485" s="160" t="s">
        <v>3765</v>
      </c>
      <c r="AH1485" s="194" t="s">
        <v>678</v>
      </c>
      <c r="AI1485" s="6" t="s">
        <v>2374</v>
      </c>
      <c r="AJ1485" s="3" t="s">
        <v>8275</v>
      </c>
      <c r="AK1485" t="s">
        <v>8275</v>
      </c>
      <c r="AV1485"/>
      <c r="AX1485"/>
      <c r="AZ1485" t="str">
        <f t="shared" si="267"/>
        <v/>
      </c>
      <c r="BA1485" t="str">
        <f t="shared" si="268"/>
        <v/>
      </c>
    </row>
    <row r="1486" spans="3:53" ht="13.5">
      <c r="C1486" s="19"/>
      <c r="D1486" s="19"/>
      <c r="AC1486" s="6" t="s">
        <v>3577</v>
      </c>
      <c r="AD1486" s="6" t="s">
        <v>7323</v>
      </c>
      <c r="AE1486" s="155" t="s">
        <v>5536</v>
      </c>
      <c r="AF1486" s="159" t="s">
        <v>8299</v>
      </c>
      <c r="AG1486" s="160" t="s">
        <v>3766</v>
      </c>
      <c r="AH1486" s="194" t="s">
        <v>678</v>
      </c>
      <c r="AI1486" s="6" t="s">
        <v>616</v>
      </c>
      <c r="AJ1486" s="3" t="s">
        <v>8202</v>
      </c>
      <c r="AK1486" t="s">
        <v>8202</v>
      </c>
      <c r="AV1486"/>
      <c r="AX1486"/>
      <c r="AZ1486" t="str">
        <f t="shared" si="267"/>
        <v/>
      </c>
      <c r="BA1486" t="str">
        <f t="shared" si="268"/>
        <v/>
      </c>
    </row>
    <row r="1487" spans="3:53" ht="13.5">
      <c r="C1487" s="19"/>
      <c r="D1487" s="19"/>
      <c r="AC1487" s="6" t="s">
        <v>5308</v>
      </c>
      <c r="AD1487" s="6" t="s">
        <v>7223</v>
      </c>
      <c r="AE1487" s="155" t="s">
        <v>5537</v>
      </c>
      <c r="AF1487" s="159" t="s">
        <v>8299</v>
      </c>
      <c r="AG1487" s="160" t="s">
        <v>3767</v>
      </c>
      <c r="AH1487" s="194" t="s">
        <v>678</v>
      </c>
      <c r="AI1487" s="6" t="s">
        <v>3589</v>
      </c>
      <c r="AJ1487" s="3" t="s">
        <v>8282</v>
      </c>
      <c r="AK1487" t="s">
        <v>8282</v>
      </c>
      <c r="AV1487"/>
      <c r="AX1487"/>
      <c r="AZ1487" t="str">
        <f t="shared" si="267"/>
        <v/>
      </c>
      <c r="BA1487" t="str">
        <f t="shared" si="268"/>
        <v/>
      </c>
    </row>
    <row r="1488" spans="3:53" ht="13.5">
      <c r="C1488" s="19"/>
      <c r="D1488" s="19"/>
      <c r="AC1488" s="6" t="s">
        <v>5140</v>
      </c>
      <c r="AD1488" s="6" t="s">
        <v>7238</v>
      </c>
      <c r="AE1488" s="155" t="s">
        <v>5538</v>
      </c>
      <c r="AF1488" s="159" t="s">
        <v>8339</v>
      </c>
      <c r="AG1488" s="161" t="s">
        <v>3768</v>
      </c>
      <c r="AH1488" s="194" t="s">
        <v>678</v>
      </c>
      <c r="AI1488" s="6" t="s">
        <v>2587</v>
      </c>
      <c r="AJ1488" s="3" t="s">
        <v>8241</v>
      </c>
      <c r="AK1488" t="s">
        <v>8675</v>
      </c>
      <c r="AV1488"/>
      <c r="AX1488"/>
      <c r="AZ1488" t="str">
        <f t="shared" si="267"/>
        <v/>
      </c>
      <c r="BA1488" t="str">
        <f t="shared" si="268"/>
        <v/>
      </c>
    </row>
    <row r="1489" spans="3:53" ht="13.5">
      <c r="C1489" s="19"/>
      <c r="D1489" s="19"/>
      <c r="AC1489" s="6">
        <v>125623</v>
      </c>
      <c r="AD1489" s="6" t="s">
        <v>7322</v>
      </c>
      <c r="AE1489" s="155" t="s">
        <v>5539</v>
      </c>
      <c r="AF1489" s="159" t="s">
        <v>8299</v>
      </c>
      <c r="AG1489" s="160" t="s">
        <v>3769</v>
      </c>
      <c r="AH1489" s="194" t="s">
        <v>678</v>
      </c>
      <c r="AI1489" s="6" t="s">
        <v>2729</v>
      </c>
      <c r="AJ1489" s="3" t="s">
        <v>8241</v>
      </c>
      <c r="AK1489" t="s">
        <v>8675</v>
      </c>
      <c r="AV1489"/>
      <c r="AX1489"/>
      <c r="AZ1489" t="str">
        <f t="shared" si="267"/>
        <v/>
      </c>
      <c r="BA1489" t="str">
        <f t="shared" si="268"/>
        <v/>
      </c>
    </row>
    <row r="1490" spans="3:53" ht="13.5">
      <c r="C1490" s="19"/>
      <c r="D1490" s="19"/>
      <c r="AC1490" s="6">
        <v>195219</v>
      </c>
      <c r="AD1490" s="6" t="s">
        <v>7324</v>
      </c>
      <c r="AE1490" s="155" t="s">
        <v>5730</v>
      </c>
      <c r="AF1490" s="159" t="s">
        <v>8299</v>
      </c>
      <c r="AG1490" s="160" t="s">
        <v>3770</v>
      </c>
      <c r="AH1490" s="194" t="s">
        <v>679</v>
      </c>
      <c r="AI1490" s="6" t="s">
        <v>2339</v>
      </c>
      <c r="AJ1490" s="3" t="s">
        <v>8206</v>
      </c>
      <c r="AK1490" t="s">
        <v>8206</v>
      </c>
      <c r="AV1490"/>
      <c r="AX1490"/>
      <c r="AZ1490" t="str">
        <f t="shared" si="267"/>
        <v/>
      </c>
      <c r="BA1490" t="str">
        <f t="shared" si="268"/>
        <v/>
      </c>
    </row>
    <row r="1491" spans="3:53" ht="13.5">
      <c r="C1491" s="19"/>
      <c r="D1491" s="19"/>
      <c r="AC1491" s="6" t="s">
        <v>4317</v>
      </c>
      <c r="AD1491" s="6" t="s">
        <v>7325</v>
      </c>
      <c r="AE1491" s="155" t="s">
        <v>5731</v>
      </c>
      <c r="AF1491" s="159" t="s">
        <v>8299</v>
      </c>
      <c r="AG1491" s="160" t="s">
        <v>3771</v>
      </c>
      <c r="AH1491" s="194" t="s">
        <v>678</v>
      </c>
      <c r="AI1491" s="6" t="s">
        <v>4300</v>
      </c>
      <c r="AJ1491" s="3" t="s">
        <v>8236</v>
      </c>
      <c r="AK1491" t="s">
        <v>8236</v>
      </c>
      <c r="AV1491"/>
      <c r="AX1491"/>
      <c r="AZ1491" t="str">
        <f t="shared" si="267"/>
        <v/>
      </c>
      <c r="BA1491" t="str">
        <f t="shared" si="268"/>
        <v/>
      </c>
    </row>
    <row r="1492" spans="3:53" ht="13.5">
      <c r="C1492" s="19"/>
      <c r="D1492" s="19"/>
      <c r="AC1492" s="6" t="s">
        <v>80</v>
      </c>
      <c r="AD1492" s="6" t="s">
        <v>7326</v>
      </c>
      <c r="AE1492" s="155">
        <v>115596</v>
      </c>
      <c r="AF1492" s="159" t="s">
        <v>8299</v>
      </c>
      <c r="AG1492" s="160" t="s">
        <v>3772</v>
      </c>
      <c r="AH1492" s="194" t="s">
        <v>678</v>
      </c>
      <c r="AI1492" s="6" t="s">
        <v>716</v>
      </c>
      <c r="AJ1492" s="3" t="s">
        <v>8263</v>
      </c>
      <c r="AK1492" t="s">
        <v>8263</v>
      </c>
      <c r="AV1492"/>
      <c r="AX1492"/>
      <c r="AZ1492" t="str">
        <f t="shared" si="267"/>
        <v/>
      </c>
      <c r="BA1492" t="str">
        <f t="shared" si="268"/>
        <v/>
      </c>
    </row>
    <row r="1493" spans="3:53" ht="13.5">
      <c r="C1493" s="19"/>
      <c r="D1493" s="19"/>
      <c r="AC1493" s="6" t="s">
        <v>70</v>
      </c>
      <c r="AD1493" s="6" t="s">
        <v>7327</v>
      </c>
      <c r="AE1493" s="155" t="s">
        <v>4222</v>
      </c>
      <c r="AF1493" s="159" t="s">
        <v>8299</v>
      </c>
      <c r="AG1493" s="160" t="s">
        <v>3773</v>
      </c>
      <c r="AH1493" s="194" t="s">
        <v>678</v>
      </c>
      <c r="AI1493" s="6" t="s">
        <v>1858</v>
      </c>
      <c r="AJ1493" s="3" t="s">
        <v>8222</v>
      </c>
      <c r="AK1493" t="s">
        <v>8670</v>
      </c>
      <c r="AV1493"/>
      <c r="AX1493"/>
      <c r="AZ1493" t="str">
        <f t="shared" si="267"/>
        <v/>
      </c>
      <c r="BA1493" t="str">
        <f t="shared" si="268"/>
        <v/>
      </c>
    </row>
    <row r="1494" spans="3:53" ht="13.5">
      <c r="C1494" s="19"/>
      <c r="D1494" s="19"/>
      <c r="AC1494" s="6" t="s">
        <v>1159</v>
      </c>
      <c r="AD1494" s="6" t="s">
        <v>7328</v>
      </c>
      <c r="AE1494" s="155" t="s">
        <v>5732</v>
      </c>
      <c r="AF1494" s="159" t="s">
        <v>8300</v>
      </c>
      <c r="AG1494" s="160" t="s">
        <v>3774</v>
      </c>
      <c r="AH1494" s="194" t="s">
        <v>678</v>
      </c>
      <c r="AI1494" s="6" t="s">
        <v>5760</v>
      </c>
      <c r="AJ1494" s="3" t="s">
        <v>8226</v>
      </c>
      <c r="AK1494" t="s">
        <v>8671</v>
      </c>
      <c r="AV1494"/>
      <c r="AX1494"/>
      <c r="AZ1494" t="str">
        <f t="shared" si="267"/>
        <v/>
      </c>
      <c r="BA1494" t="str">
        <f t="shared" si="268"/>
        <v/>
      </c>
    </row>
    <row r="1495" spans="3:53" ht="13.5">
      <c r="C1495" s="19"/>
      <c r="D1495" s="19"/>
      <c r="AC1495" s="6" t="s">
        <v>4137</v>
      </c>
      <c r="AD1495" s="6" t="s">
        <v>7329</v>
      </c>
      <c r="AE1495" s="155" t="s">
        <v>5733</v>
      </c>
      <c r="AF1495" s="159" t="s">
        <v>8300</v>
      </c>
      <c r="AG1495" s="160" t="s">
        <v>3775</v>
      </c>
      <c r="AH1495" s="194" t="s">
        <v>678</v>
      </c>
      <c r="AI1495" s="6" t="s">
        <v>5761</v>
      </c>
      <c r="AJ1495" s="3" t="s">
        <v>8226</v>
      </c>
      <c r="AK1495" t="s">
        <v>8671</v>
      </c>
      <c r="AV1495"/>
      <c r="AX1495"/>
      <c r="AZ1495" t="str">
        <f t="shared" si="267"/>
        <v/>
      </c>
      <c r="BA1495" t="str">
        <f t="shared" si="268"/>
        <v/>
      </c>
    </row>
    <row r="1496" spans="3:53" ht="13.5">
      <c r="C1496" s="19"/>
      <c r="D1496" s="19"/>
      <c r="AC1496" s="6" t="s">
        <v>4396</v>
      </c>
      <c r="AD1496" s="6" t="s">
        <v>7328</v>
      </c>
      <c r="AE1496" s="155" t="s">
        <v>5734</v>
      </c>
      <c r="AF1496" s="159" t="s">
        <v>8300</v>
      </c>
      <c r="AG1496" s="160" t="s">
        <v>3776</v>
      </c>
      <c r="AH1496" s="194" t="s">
        <v>678</v>
      </c>
      <c r="AI1496" s="6" t="s">
        <v>5622</v>
      </c>
      <c r="AJ1496" s="3" t="s">
        <v>8226</v>
      </c>
      <c r="AK1496" t="s">
        <v>8671</v>
      </c>
      <c r="AV1496"/>
      <c r="AX1496"/>
      <c r="AZ1496" t="str">
        <f t="shared" si="267"/>
        <v/>
      </c>
      <c r="BA1496" t="str">
        <f t="shared" si="268"/>
        <v/>
      </c>
    </row>
    <row r="1497" spans="3:53" ht="13.5">
      <c r="C1497" s="19"/>
      <c r="D1497" s="19"/>
      <c r="AC1497" s="6" t="s">
        <v>4039</v>
      </c>
      <c r="AD1497" s="6" t="s">
        <v>7330</v>
      </c>
      <c r="AE1497" s="155" t="s">
        <v>5581</v>
      </c>
      <c r="AF1497" s="159" t="s">
        <v>8299</v>
      </c>
      <c r="AG1497" s="160" t="s">
        <v>3777</v>
      </c>
      <c r="AH1497" s="194" t="s">
        <v>679</v>
      </c>
      <c r="AI1497" s="6" t="s">
        <v>3458</v>
      </c>
      <c r="AJ1497" s="3" t="s">
        <v>8203</v>
      </c>
      <c r="AK1497" t="s">
        <v>8203</v>
      </c>
      <c r="AV1497"/>
      <c r="AX1497"/>
      <c r="AZ1497" t="str">
        <f t="shared" si="267"/>
        <v/>
      </c>
      <c r="BA1497" t="str">
        <f t="shared" si="268"/>
        <v/>
      </c>
    </row>
    <row r="1498" spans="3:53" ht="13.5">
      <c r="C1498" s="19"/>
      <c r="D1498" s="19"/>
      <c r="AC1498" s="6" t="s">
        <v>3910</v>
      </c>
      <c r="AD1498" s="6" t="s">
        <v>7272</v>
      </c>
      <c r="AE1498" s="155" t="s">
        <v>5630</v>
      </c>
      <c r="AF1498" s="159" t="s">
        <v>8299</v>
      </c>
      <c r="AG1498" s="160" t="s">
        <v>3778</v>
      </c>
      <c r="AH1498" s="194" t="s">
        <v>679</v>
      </c>
      <c r="AI1498" s="6" t="s">
        <v>29</v>
      </c>
      <c r="AJ1498" s="3" t="s">
        <v>8201</v>
      </c>
      <c r="AK1498" t="s">
        <v>8666</v>
      </c>
      <c r="AV1498"/>
      <c r="AX1498"/>
      <c r="AZ1498" t="str">
        <f t="shared" si="267"/>
        <v/>
      </c>
      <c r="BA1498" t="str">
        <f t="shared" si="268"/>
        <v/>
      </c>
    </row>
    <row r="1499" spans="3:53" ht="13.5">
      <c r="C1499" s="19"/>
      <c r="D1499" s="19"/>
      <c r="AC1499" s="6" t="s">
        <v>4136</v>
      </c>
      <c r="AD1499" s="6" t="s">
        <v>7329</v>
      </c>
      <c r="AE1499" s="155" t="s">
        <v>3049</v>
      </c>
      <c r="AF1499" s="159" t="s">
        <v>8299</v>
      </c>
      <c r="AG1499" s="160" t="s">
        <v>3779</v>
      </c>
      <c r="AH1499" s="194" t="s">
        <v>679</v>
      </c>
      <c r="AI1499" s="6" t="s">
        <v>5780</v>
      </c>
      <c r="AJ1499" s="3" t="s">
        <v>8200</v>
      </c>
      <c r="AK1499" t="s">
        <v>8200</v>
      </c>
      <c r="AV1499"/>
      <c r="AX1499"/>
      <c r="AZ1499" t="str">
        <f t="shared" si="267"/>
        <v/>
      </c>
      <c r="BA1499" t="str">
        <f t="shared" si="268"/>
        <v/>
      </c>
    </row>
    <row r="1500" spans="3:53" ht="13.5">
      <c r="C1500" s="19"/>
      <c r="D1500" s="19"/>
      <c r="AC1500" s="6" t="s">
        <v>4035</v>
      </c>
      <c r="AD1500" s="6" t="s">
        <v>7331</v>
      </c>
      <c r="AE1500" s="155" t="s">
        <v>2311</v>
      </c>
      <c r="AF1500" s="159" t="s">
        <v>8339</v>
      </c>
      <c r="AG1500" s="160" t="s">
        <v>3780</v>
      </c>
      <c r="AH1500" s="194" t="s">
        <v>679</v>
      </c>
      <c r="AI1500" s="6" t="s">
        <v>2552</v>
      </c>
      <c r="AJ1500" s="3" t="s">
        <v>8255</v>
      </c>
      <c r="AK1500" t="s">
        <v>8255</v>
      </c>
      <c r="AV1500"/>
      <c r="AX1500"/>
      <c r="AZ1500" t="str">
        <f t="shared" si="267"/>
        <v/>
      </c>
      <c r="BA1500" t="str">
        <f t="shared" si="268"/>
        <v/>
      </c>
    </row>
    <row r="1501" spans="3:53" ht="13.5">
      <c r="C1501" s="19"/>
      <c r="D1501" s="19"/>
      <c r="AC1501" s="6" t="s">
        <v>3906</v>
      </c>
      <c r="AD1501" s="6" t="s">
        <v>7332</v>
      </c>
      <c r="AE1501" s="155" t="s">
        <v>2312</v>
      </c>
      <c r="AF1501" s="159" t="s">
        <v>8299</v>
      </c>
      <c r="AG1501" s="160" t="s">
        <v>3781</v>
      </c>
      <c r="AH1501" s="194" t="s">
        <v>678</v>
      </c>
      <c r="AI1501" s="6" t="s">
        <v>2047</v>
      </c>
      <c r="AJ1501" s="3" t="s">
        <v>8235</v>
      </c>
      <c r="AK1501" t="s">
        <v>8672</v>
      </c>
      <c r="AV1501"/>
      <c r="AX1501"/>
      <c r="AZ1501" t="str">
        <f t="shared" si="267"/>
        <v/>
      </c>
      <c r="BA1501" t="str">
        <f t="shared" si="268"/>
        <v/>
      </c>
    </row>
    <row r="1502" spans="3:53" ht="13.5">
      <c r="C1502" s="19"/>
      <c r="D1502" s="19"/>
      <c r="AC1502" s="6" t="s">
        <v>3904</v>
      </c>
      <c r="AD1502" s="6" t="s">
        <v>7272</v>
      </c>
      <c r="AE1502" s="155" t="s">
        <v>2313</v>
      </c>
      <c r="AF1502" s="159" t="s">
        <v>8299</v>
      </c>
      <c r="AG1502" s="160" t="s">
        <v>3782</v>
      </c>
      <c r="AH1502" s="194" t="s">
        <v>679</v>
      </c>
      <c r="AI1502" s="6" t="s">
        <v>2159</v>
      </c>
      <c r="AJ1502" s="3" t="s">
        <v>8235</v>
      </c>
      <c r="AK1502" t="s">
        <v>8672</v>
      </c>
      <c r="AV1502"/>
      <c r="AX1502"/>
      <c r="AZ1502" t="str">
        <f t="shared" si="267"/>
        <v/>
      </c>
      <c r="BA1502" t="str">
        <f t="shared" si="268"/>
        <v/>
      </c>
    </row>
    <row r="1503" spans="3:53" ht="13.5">
      <c r="C1503" s="19"/>
      <c r="D1503" s="19"/>
      <c r="AC1503" s="6" t="s">
        <v>4036</v>
      </c>
      <c r="AD1503" s="6" t="s">
        <v>7331</v>
      </c>
      <c r="AE1503" s="155" t="s">
        <v>1235</v>
      </c>
      <c r="AF1503" s="159" t="s">
        <v>8299</v>
      </c>
      <c r="AG1503" s="160" t="s">
        <v>3783</v>
      </c>
      <c r="AH1503" s="194" t="s">
        <v>678</v>
      </c>
      <c r="AI1503" s="6" t="s">
        <v>2164</v>
      </c>
      <c r="AJ1503" s="3" t="s">
        <v>8235</v>
      </c>
      <c r="AK1503" t="s">
        <v>8672</v>
      </c>
      <c r="AV1503"/>
      <c r="AX1503"/>
      <c r="AZ1503" t="str">
        <f t="shared" si="267"/>
        <v/>
      </c>
      <c r="BA1503" t="str">
        <f t="shared" si="268"/>
        <v/>
      </c>
    </row>
    <row r="1504" spans="3:53" ht="13.5">
      <c r="C1504" s="19"/>
      <c r="D1504" s="19"/>
      <c r="AC1504" s="6" t="s">
        <v>3902</v>
      </c>
      <c r="AD1504" s="6" t="s">
        <v>7272</v>
      </c>
      <c r="AE1504" s="155" t="s">
        <v>2314</v>
      </c>
      <c r="AF1504" s="159" t="s">
        <v>8309</v>
      </c>
      <c r="AG1504" s="160" t="s">
        <v>3784</v>
      </c>
      <c r="AH1504" s="194" t="s">
        <v>678</v>
      </c>
      <c r="AI1504" s="6" t="s">
        <v>4769</v>
      </c>
      <c r="AJ1504" s="3" t="s">
        <v>8235</v>
      </c>
      <c r="AK1504" t="s">
        <v>8672</v>
      </c>
      <c r="AV1504"/>
      <c r="AX1504"/>
      <c r="AZ1504" t="str">
        <f t="shared" si="267"/>
        <v/>
      </c>
      <c r="BA1504" t="str">
        <f t="shared" si="268"/>
        <v/>
      </c>
    </row>
    <row r="1505" spans="3:53" ht="13.5">
      <c r="C1505" s="19"/>
      <c r="D1505" s="19"/>
      <c r="AC1505" s="6" t="s">
        <v>3911</v>
      </c>
      <c r="AD1505" s="6" t="s">
        <v>7272</v>
      </c>
      <c r="AE1505" s="155" t="s">
        <v>2315</v>
      </c>
      <c r="AF1505" s="159" t="s">
        <v>8299</v>
      </c>
      <c r="AG1505" s="160" t="s">
        <v>3785</v>
      </c>
      <c r="AH1505" s="194" t="s">
        <v>678</v>
      </c>
      <c r="AI1505" s="6" t="s">
        <v>5548</v>
      </c>
      <c r="AJ1505" s="3" t="s">
        <v>8235</v>
      </c>
      <c r="AK1505" t="s">
        <v>8672</v>
      </c>
      <c r="AV1505"/>
      <c r="AX1505"/>
      <c r="AZ1505" t="str">
        <f t="shared" si="267"/>
        <v/>
      </c>
      <c r="BA1505" t="str">
        <f t="shared" si="268"/>
        <v/>
      </c>
    </row>
    <row r="1506" spans="3:53" ht="13.5">
      <c r="C1506" s="19"/>
      <c r="D1506" s="19"/>
      <c r="AC1506" s="6">
        <v>125622</v>
      </c>
      <c r="AD1506" s="6" t="s">
        <v>7322</v>
      </c>
      <c r="AE1506" s="155" t="s">
        <v>2316</v>
      </c>
      <c r="AF1506" s="159" t="s">
        <v>8299</v>
      </c>
      <c r="AG1506" s="160" t="s">
        <v>3786</v>
      </c>
      <c r="AH1506" s="194" t="s">
        <v>679</v>
      </c>
      <c r="AI1506" s="6" t="s">
        <v>2216</v>
      </c>
      <c r="AJ1506" s="3" t="s">
        <v>8235</v>
      </c>
      <c r="AK1506" t="s">
        <v>8672</v>
      </c>
      <c r="AV1506"/>
      <c r="AX1506"/>
      <c r="AZ1506" t="str">
        <f t="shared" si="267"/>
        <v/>
      </c>
      <c r="BA1506" t="str">
        <f t="shared" si="268"/>
        <v/>
      </c>
    </row>
    <row r="1507" spans="3:53" ht="13.5">
      <c r="C1507" s="19"/>
      <c r="D1507" s="19"/>
      <c r="AC1507" s="6" t="s">
        <v>3907</v>
      </c>
      <c r="AD1507" s="6" t="s">
        <v>7332</v>
      </c>
      <c r="AE1507" s="155" t="s">
        <v>2317</v>
      </c>
      <c r="AF1507" s="159" t="s">
        <v>8299</v>
      </c>
      <c r="AG1507" s="160" t="s">
        <v>3787</v>
      </c>
      <c r="AH1507" s="194" t="s">
        <v>678</v>
      </c>
      <c r="AI1507" s="6" t="s">
        <v>2217</v>
      </c>
      <c r="AJ1507" s="3" t="s">
        <v>8235</v>
      </c>
      <c r="AK1507" t="s">
        <v>8672</v>
      </c>
      <c r="AV1507"/>
      <c r="AX1507"/>
      <c r="AZ1507" t="str">
        <f t="shared" si="267"/>
        <v/>
      </c>
      <c r="BA1507" t="str">
        <f t="shared" si="268"/>
        <v/>
      </c>
    </row>
    <row r="1508" spans="3:53" ht="13.5">
      <c r="C1508" s="19"/>
      <c r="D1508" s="19"/>
      <c r="AC1508" s="6" t="s">
        <v>3909</v>
      </c>
      <c r="AD1508" s="6" t="s">
        <v>7272</v>
      </c>
      <c r="AE1508" s="155" t="s">
        <v>2320</v>
      </c>
      <c r="AF1508" s="159" t="s">
        <v>8299</v>
      </c>
      <c r="AG1508" s="160" t="s">
        <v>3788</v>
      </c>
      <c r="AH1508" s="194" t="s">
        <v>678</v>
      </c>
      <c r="AI1508" s="6" t="s">
        <v>2222</v>
      </c>
      <c r="AJ1508" s="3" t="s">
        <v>8235</v>
      </c>
      <c r="AK1508" t="s">
        <v>8672</v>
      </c>
      <c r="AV1508"/>
      <c r="AX1508"/>
      <c r="AZ1508" t="str">
        <f t="shared" si="267"/>
        <v/>
      </c>
      <c r="BA1508" t="str">
        <f t="shared" si="268"/>
        <v/>
      </c>
    </row>
    <row r="1509" spans="3:53" ht="13.5">
      <c r="C1509" s="19"/>
      <c r="D1509" s="19"/>
      <c r="AC1509" s="6" t="s">
        <v>3903</v>
      </c>
      <c r="AD1509" s="6" t="s">
        <v>7272</v>
      </c>
      <c r="AE1509" s="155" t="s">
        <v>2321</v>
      </c>
      <c r="AF1509" s="159" t="s">
        <v>8344</v>
      </c>
      <c r="AG1509" s="160" t="s">
        <v>3789</v>
      </c>
      <c r="AH1509" s="194" t="s">
        <v>678</v>
      </c>
      <c r="AI1509" s="6" t="s">
        <v>3554</v>
      </c>
      <c r="AJ1509" s="3" t="s">
        <v>8278</v>
      </c>
      <c r="AK1509" t="s">
        <v>8278</v>
      </c>
      <c r="AV1509"/>
      <c r="AX1509"/>
      <c r="AZ1509" t="str">
        <f t="shared" si="267"/>
        <v/>
      </c>
      <c r="BA1509" t="str">
        <f t="shared" si="268"/>
        <v/>
      </c>
    </row>
    <row r="1510" spans="3:53" ht="13.5">
      <c r="C1510" s="19"/>
      <c r="D1510" s="19"/>
      <c r="AC1510" s="6">
        <v>125621</v>
      </c>
      <c r="AD1510" s="6" t="s">
        <v>7322</v>
      </c>
      <c r="AE1510" s="155" t="s">
        <v>1237</v>
      </c>
      <c r="AF1510" s="159" t="s">
        <v>8299</v>
      </c>
      <c r="AG1510" s="160" t="s">
        <v>3790</v>
      </c>
      <c r="AH1510" s="194" t="s">
        <v>678</v>
      </c>
      <c r="AI1510" s="6" t="s">
        <v>1431</v>
      </c>
      <c r="AJ1510" s="3" t="s">
        <v>8233</v>
      </c>
      <c r="AK1510" t="s">
        <v>8233</v>
      </c>
      <c r="AV1510"/>
      <c r="AX1510"/>
      <c r="AZ1510" t="str">
        <f t="shared" si="267"/>
        <v/>
      </c>
      <c r="BA1510" t="str">
        <f t="shared" si="268"/>
        <v/>
      </c>
    </row>
    <row r="1511" spans="3:53" ht="13.5">
      <c r="C1511" s="19"/>
      <c r="D1511" s="19"/>
      <c r="AC1511" s="6" t="s">
        <v>3901</v>
      </c>
      <c r="AD1511" s="6" t="s">
        <v>7272</v>
      </c>
      <c r="AE1511" s="155" t="s">
        <v>3573</v>
      </c>
      <c r="AF1511" s="159" t="s">
        <v>8309</v>
      </c>
      <c r="AG1511" s="160" t="s">
        <v>3791</v>
      </c>
      <c r="AH1511" s="194" t="s">
        <v>678</v>
      </c>
      <c r="AI1511" s="6" t="s">
        <v>3561</v>
      </c>
      <c r="AJ1511" s="3" t="s">
        <v>8262</v>
      </c>
      <c r="AK1511" t="s">
        <v>8262</v>
      </c>
      <c r="AV1511"/>
      <c r="AX1511"/>
      <c r="AZ1511" t="str">
        <f t="shared" si="267"/>
        <v/>
      </c>
      <c r="BA1511" t="str">
        <f t="shared" si="268"/>
        <v/>
      </c>
    </row>
    <row r="1512" spans="3:53" ht="13.5">
      <c r="C1512" s="19"/>
      <c r="D1512" s="19"/>
      <c r="AC1512" s="6" t="s">
        <v>1143</v>
      </c>
      <c r="AD1512" s="6" t="s">
        <v>7333</v>
      </c>
      <c r="AE1512" s="155" t="s">
        <v>2323</v>
      </c>
      <c r="AF1512" s="159" t="s">
        <v>8299</v>
      </c>
      <c r="AG1512" s="160" t="s">
        <v>3792</v>
      </c>
      <c r="AH1512" s="194" t="s">
        <v>678</v>
      </c>
      <c r="AI1512" s="6" t="s">
        <v>3562</v>
      </c>
      <c r="AJ1512" s="3" t="s">
        <v>8262</v>
      </c>
      <c r="AK1512" t="s">
        <v>8262</v>
      </c>
      <c r="AV1512"/>
      <c r="AX1512"/>
      <c r="AZ1512" t="str">
        <f t="shared" si="267"/>
        <v/>
      </c>
      <c r="BA1512" t="str">
        <f t="shared" si="268"/>
        <v/>
      </c>
    </row>
    <row r="1513" spans="3:53" ht="13.5">
      <c r="C1513" s="19"/>
      <c r="D1513" s="19"/>
      <c r="AC1513" s="6" t="s">
        <v>1119</v>
      </c>
      <c r="AD1513" s="6" t="s">
        <v>7334</v>
      </c>
      <c r="AE1513" s="155" t="s">
        <v>2324</v>
      </c>
      <c r="AF1513" s="159" t="s">
        <v>8299</v>
      </c>
      <c r="AG1513" s="160" t="s">
        <v>3793</v>
      </c>
      <c r="AH1513" s="194" t="s">
        <v>679</v>
      </c>
      <c r="AI1513" s="6" t="s">
        <v>1738</v>
      </c>
      <c r="AJ1513" s="3" t="s">
        <v>8238</v>
      </c>
      <c r="AK1513" t="s">
        <v>8673</v>
      </c>
      <c r="AV1513"/>
      <c r="AX1513"/>
      <c r="AZ1513" t="str">
        <f t="shared" si="267"/>
        <v/>
      </c>
      <c r="BA1513" t="str">
        <f t="shared" si="268"/>
        <v/>
      </c>
    </row>
    <row r="1514" spans="3:53" ht="13.5">
      <c r="C1514" s="19"/>
      <c r="D1514" s="19"/>
      <c r="AC1514" s="6" t="s">
        <v>1120</v>
      </c>
      <c r="AD1514" s="6" t="s">
        <v>7335</v>
      </c>
      <c r="AE1514" s="155" t="s">
        <v>2325</v>
      </c>
      <c r="AF1514" s="159" t="s">
        <v>8299</v>
      </c>
      <c r="AG1514" s="160" t="s">
        <v>3794</v>
      </c>
      <c r="AH1514" s="194" t="s">
        <v>679</v>
      </c>
      <c r="AI1514" s="6" t="s">
        <v>1739</v>
      </c>
      <c r="AJ1514" s="3" t="s">
        <v>8238</v>
      </c>
      <c r="AK1514" t="s">
        <v>8673</v>
      </c>
      <c r="AV1514"/>
      <c r="AX1514"/>
      <c r="AZ1514" t="str">
        <f t="shared" si="267"/>
        <v/>
      </c>
      <c r="BA1514" t="str">
        <f t="shared" si="268"/>
        <v/>
      </c>
    </row>
    <row r="1515" spans="3:53" ht="13.5">
      <c r="C1515" s="19"/>
      <c r="D1515" s="19"/>
      <c r="AC1515" s="6" t="s">
        <v>4316</v>
      </c>
      <c r="AD1515" s="6" t="s">
        <v>7325</v>
      </c>
      <c r="AE1515" s="155" t="s">
        <v>1239</v>
      </c>
      <c r="AF1515" s="159" t="s">
        <v>8299</v>
      </c>
      <c r="AG1515" s="160" t="s">
        <v>3795</v>
      </c>
      <c r="AH1515" s="194" t="s">
        <v>679</v>
      </c>
      <c r="AI1515" s="6" t="s">
        <v>1925</v>
      </c>
      <c r="AJ1515" s="3" t="s">
        <v>8238</v>
      </c>
      <c r="AK1515" t="s">
        <v>8673</v>
      </c>
      <c r="AV1515"/>
      <c r="AX1515"/>
      <c r="AZ1515" t="str">
        <f t="shared" si="267"/>
        <v/>
      </c>
      <c r="BA1515" t="str">
        <f t="shared" si="268"/>
        <v/>
      </c>
    </row>
    <row r="1516" spans="3:53" ht="13.5">
      <c r="C1516" s="19"/>
      <c r="D1516" s="19"/>
      <c r="AC1516" s="6">
        <v>125620</v>
      </c>
      <c r="AD1516" s="6" t="s">
        <v>7322</v>
      </c>
      <c r="AE1516" s="155" t="s">
        <v>2329</v>
      </c>
      <c r="AF1516" s="159" t="s">
        <v>8299</v>
      </c>
      <c r="AG1516" s="160" t="s">
        <v>3796</v>
      </c>
      <c r="AH1516" s="194" t="s">
        <v>678</v>
      </c>
      <c r="AI1516" s="6" t="s">
        <v>1953</v>
      </c>
      <c r="AJ1516" s="3" t="s">
        <v>8238</v>
      </c>
      <c r="AK1516" t="s">
        <v>8673</v>
      </c>
      <c r="AV1516"/>
      <c r="AX1516"/>
      <c r="AZ1516" t="str">
        <f t="shared" si="267"/>
        <v/>
      </c>
      <c r="BA1516" t="str">
        <f t="shared" si="268"/>
        <v/>
      </c>
    </row>
    <row r="1517" spans="3:53" ht="13.5">
      <c r="C1517" s="19"/>
      <c r="D1517" s="19"/>
      <c r="AC1517" s="6" t="s">
        <v>3905</v>
      </c>
      <c r="AD1517" s="6" t="s">
        <v>7272</v>
      </c>
      <c r="AE1517" s="155" t="s">
        <v>2330</v>
      </c>
      <c r="AF1517" s="159" t="s">
        <v>8296</v>
      </c>
      <c r="AG1517" s="160" t="s">
        <v>1006</v>
      </c>
      <c r="AH1517" s="194" t="s">
        <v>678</v>
      </c>
      <c r="AI1517" s="6" t="s">
        <v>5312</v>
      </c>
      <c r="AJ1517" s="3" t="s">
        <v>8238</v>
      </c>
      <c r="AK1517" t="s">
        <v>8673</v>
      </c>
      <c r="AV1517"/>
      <c r="AX1517"/>
      <c r="AZ1517" t="str">
        <f t="shared" si="267"/>
        <v/>
      </c>
      <c r="BA1517" t="str">
        <f t="shared" si="268"/>
        <v/>
      </c>
    </row>
    <row r="1518" spans="3:53" ht="13.5">
      <c r="C1518" s="19"/>
      <c r="D1518" s="19"/>
      <c r="AC1518" s="6" t="s">
        <v>81</v>
      </c>
      <c r="AD1518" s="6" t="s">
        <v>7336</v>
      </c>
      <c r="AE1518" s="155" t="s">
        <v>2331</v>
      </c>
      <c r="AF1518" s="159" t="s">
        <v>8320</v>
      </c>
      <c r="AG1518" s="160" t="s">
        <v>3797</v>
      </c>
      <c r="AH1518" s="194" t="s">
        <v>678</v>
      </c>
      <c r="AI1518" s="6" t="s">
        <v>1954</v>
      </c>
      <c r="AJ1518" s="3" t="s">
        <v>8238</v>
      </c>
      <c r="AK1518" t="s">
        <v>8673</v>
      </c>
      <c r="AV1518"/>
      <c r="AX1518"/>
      <c r="AZ1518" t="str">
        <f t="shared" si="267"/>
        <v/>
      </c>
      <c r="BA1518" t="str">
        <f t="shared" si="268"/>
        <v/>
      </c>
    </row>
    <row r="1519" spans="3:53" ht="13.5">
      <c r="C1519" s="19"/>
      <c r="D1519" s="19"/>
      <c r="AC1519" s="6">
        <v>195218</v>
      </c>
      <c r="AD1519" s="6" t="s">
        <v>7324</v>
      </c>
      <c r="AE1519" s="155" t="s">
        <v>2332</v>
      </c>
      <c r="AF1519" s="159" t="s">
        <v>8299</v>
      </c>
      <c r="AG1519" s="160" t="s">
        <v>3798</v>
      </c>
      <c r="AH1519" s="194" t="s">
        <v>679</v>
      </c>
      <c r="AI1519" s="6" t="s">
        <v>1955</v>
      </c>
      <c r="AJ1519" s="3" t="s">
        <v>8238</v>
      </c>
      <c r="AK1519" t="s">
        <v>8673</v>
      </c>
      <c r="AV1519"/>
      <c r="AX1519"/>
      <c r="AZ1519" t="str">
        <f t="shared" si="267"/>
        <v/>
      </c>
      <c r="BA1519" t="str">
        <f t="shared" si="268"/>
        <v/>
      </c>
    </row>
    <row r="1520" spans="3:53" ht="13.5">
      <c r="C1520" s="19"/>
      <c r="D1520" s="19"/>
      <c r="AC1520" s="6" t="s">
        <v>1144</v>
      </c>
      <c r="AD1520" s="6" t="s">
        <v>7333</v>
      </c>
      <c r="AE1520" s="155" t="s">
        <v>2333</v>
      </c>
      <c r="AF1520" s="159" t="s">
        <v>8299</v>
      </c>
      <c r="AG1520" s="160" t="s">
        <v>3799</v>
      </c>
      <c r="AH1520" s="194" t="s">
        <v>678</v>
      </c>
      <c r="AI1520" s="6" t="s">
        <v>3570</v>
      </c>
      <c r="AJ1520" s="3" t="s">
        <v>8214</v>
      </c>
      <c r="AK1520" t="s">
        <v>8214</v>
      </c>
      <c r="AV1520"/>
      <c r="AX1520"/>
      <c r="AZ1520" t="str">
        <f t="shared" si="267"/>
        <v/>
      </c>
      <c r="BA1520" t="str">
        <f t="shared" si="268"/>
        <v/>
      </c>
    </row>
    <row r="1521" spans="3:53" ht="13.5">
      <c r="C1521" s="19"/>
      <c r="D1521" s="19"/>
      <c r="AC1521" s="6" t="s">
        <v>5406</v>
      </c>
      <c r="AD1521" s="6" t="s">
        <v>7272</v>
      </c>
      <c r="AE1521" s="155" t="s">
        <v>2334</v>
      </c>
      <c r="AF1521" s="159" t="s">
        <v>8340</v>
      </c>
      <c r="AG1521" s="160" t="s">
        <v>3800</v>
      </c>
      <c r="AH1521" s="194" t="s">
        <v>678</v>
      </c>
      <c r="AI1521" s="6" t="s">
        <v>3572</v>
      </c>
      <c r="AJ1521" s="3" t="s">
        <v>8214</v>
      </c>
      <c r="AK1521" t="s">
        <v>8214</v>
      </c>
      <c r="AV1521"/>
      <c r="AX1521"/>
      <c r="AZ1521" t="str">
        <f t="shared" si="267"/>
        <v/>
      </c>
      <c r="BA1521" t="str">
        <f t="shared" si="268"/>
        <v/>
      </c>
    </row>
    <row r="1522" spans="3:53" ht="13.5">
      <c r="C1522" s="19"/>
      <c r="D1522" s="19"/>
      <c r="AC1522" s="6" t="s">
        <v>4038</v>
      </c>
      <c r="AD1522" s="6" t="s">
        <v>7279</v>
      </c>
      <c r="AE1522" s="155" t="s">
        <v>2335</v>
      </c>
      <c r="AF1522" s="159" t="s">
        <v>8299</v>
      </c>
      <c r="AG1522" s="160" t="s">
        <v>3801</v>
      </c>
      <c r="AH1522" s="194" t="s">
        <v>678</v>
      </c>
      <c r="AI1522" s="6" t="s">
        <v>1962</v>
      </c>
      <c r="AJ1522" s="3" t="s">
        <v>8235</v>
      </c>
      <c r="AK1522" t="s">
        <v>8672</v>
      </c>
      <c r="AV1522"/>
      <c r="AX1522"/>
      <c r="AZ1522" t="str">
        <f t="shared" si="267"/>
        <v/>
      </c>
      <c r="BA1522" t="str">
        <f t="shared" si="268"/>
        <v/>
      </c>
    </row>
    <row r="1523" spans="3:53" ht="13.5">
      <c r="C1523" s="19"/>
      <c r="D1523" s="19"/>
      <c r="AC1523" s="6">
        <v>125619</v>
      </c>
      <c r="AD1523" s="6" t="s">
        <v>7322</v>
      </c>
      <c r="AE1523" s="155" t="s">
        <v>2336</v>
      </c>
      <c r="AF1523" s="159" t="s">
        <v>8299</v>
      </c>
      <c r="AG1523" s="160" t="s">
        <v>3802</v>
      </c>
      <c r="AH1523" s="194" t="s">
        <v>678</v>
      </c>
      <c r="AI1523" s="6" t="s">
        <v>2175</v>
      </c>
      <c r="AJ1523" s="3" t="s">
        <v>8231</v>
      </c>
      <c r="AK1523" t="s">
        <v>8238</v>
      </c>
      <c r="AV1523"/>
      <c r="AX1523"/>
      <c r="AZ1523" t="str">
        <f t="shared" si="267"/>
        <v/>
      </c>
      <c r="BA1523" t="str">
        <f t="shared" si="268"/>
        <v/>
      </c>
    </row>
    <row r="1524" spans="3:53" ht="13.5">
      <c r="C1524" s="19"/>
      <c r="D1524" s="19"/>
      <c r="AC1524" s="6" t="s">
        <v>4315</v>
      </c>
      <c r="AD1524" s="6" t="s">
        <v>7325</v>
      </c>
      <c r="AE1524" s="155" t="s">
        <v>2337</v>
      </c>
      <c r="AF1524" s="159" t="s">
        <v>8299</v>
      </c>
      <c r="AG1524" s="160" t="s">
        <v>3803</v>
      </c>
      <c r="AH1524" s="194" t="s">
        <v>678</v>
      </c>
      <c r="AI1524" s="6" t="s">
        <v>53</v>
      </c>
      <c r="AJ1524" s="3" t="s">
        <v>8223</v>
      </c>
      <c r="AK1524" t="s">
        <v>8223</v>
      </c>
      <c r="AV1524"/>
      <c r="AX1524"/>
      <c r="AZ1524" t="str">
        <f t="shared" si="267"/>
        <v/>
      </c>
      <c r="BA1524" t="str">
        <f t="shared" si="268"/>
        <v/>
      </c>
    </row>
    <row r="1525" spans="3:53" ht="13.5">
      <c r="C1525" s="19"/>
      <c r="D1525" s="19"/>
      <c r="AC1525" s="6" t="s">
        <v>4040</v>
      </c>
      <c r="AD1525" s="6" t="s">
        <v>7279</v>
      </c>
      <c r="AE1525" s="155" t="s">
        <v>2338</v>
      </c>
      <c r="AF1525" s="159" t="s">
        <v>8323</v>
      </c>
      <c r="AG1525" s="160" t="s">
        <v>3804</v>
      </c>
      <c r="AH1525" s="194" t="s">
        <v>678</v>
      </c>
      <c r="AI1525" s="6" t="s">
        <v>54</v>
      </c>
      <c r="AJ1525" s="3" t="s">
        <v>8223</v>
      </c>
      <c r="AK1525" t="s">
        <v>8223</v>
      </c>
      <c r="AV1525"/>
      <c r="AX1525"/>
      <c r="AZ1525" t="str">
        <f t="shared" si="267"/>
        <v/>
      </c>
      <c r="BA1525" t="str">
        <f t="shared" si="268"/>
        <v/>
      </c>
    </row>
    <row r="1526" spans="3:53" ht="13.5">
      <c r="C1526" s="19"/>
      <c r="D1526" s="19"/>
      <c r="AC1526" s="6" t="s">
        <v>4037</v>
      </c>
      <c r="AD1526" s="6" t="s">
        <v>7337</v>
      </c>
      <c r="AE1526" s="155" t="s">
        <v>1241</v>
      </c>
      <c r="AF1526" s="159" t="s">
        <v>8299</v>
      </c>
      <c r="AG1526" s="160" t="s">
        <v>3805</v>
      </c>
      <c r="AH1526" s="194" t="s">
        <v>679</v>
      </c>
      <c r="AI1526" s="6" t="s">
        <v>2319</v>
      </c>
      <c r="AJ1526" s="3" t="s">
        <v>8206</v>
      </c>
      <c r="AK1526" t="s">
        <v>8206</v>
      </c>
      <c r="AV1526"/>
      <c r="AX1526"/>
      <c r="AZ1526" t="str">
        <f t="shared" si="267"/>
        <v/>
      </c>
      <c r="BA1526" t="str">
        <f t="shared" si="268"/>
        <v/>
      </c>
    </row>
    <row r="1527" spans="3:53" ht="13.5">
      <c r="C1527" s="19"/>
      <c r="D1527" s="19"/>
      <c r="AC1527" s="6" t="s">
        <v>5055</v>
      </c>
      <c r="AD1527" s="6" t="s">
        <v>7147</v>
      </c>
      <c r="AE1527" s="155" t="s">
        <v>2339</v>
      </c>
      <c r="AF1527" s="159" t="s">
        <v>8323</v>
      </c>
      <c r="AG1527" s="160" t="s">
        <v>3806</v>
      </c>
      <c r="AH1527" s="194" t="s">
        <v>678</v>
      </c>
      <c r="AI1527" s="6" t="s">
        <v>2323</v>
      </c>
      <c r="AJ1527" s="3" t="s">
        <v>8206</v>
      </c>
      <c r="AK1527" t="s">
        <v>8206</v>
      </c>
      <c r="AV1527"/>
      <c r="AX1527"/>
      <c r="AZ1527" t="str">
        <f t="shared" si="267"/>
        <v/>
      </c>
      <c r="BA1527" t="str">
        <f t="shared" si="268"/>
        <v/>
      </c>
    </row>
    <row r="1528" spans="3:53" ht="13.5">
      <c r="C1528" s="19"/>
      <c r="D1528" s="19"/>
      <c r="AC1528" s="6">
        <v>125618</v>
      </c>
      <c r="AD1528" s="6" t="s">
        <v>7322</v>
      </c>
      <c r="AE1528" s="155" t="s">
        <v>2340</v>
      </c>
      <c r="AF1528" s="159" t="s">
        <v>8299</v>
      </c>
      <c r="AG1528" s="160" t="s">
        <v>3807</v>
      </c>
      <c r="AH1528" s="194" t="s">
        <v>678</v>
      </c>
      <c r="AI1528" s="6" t="s">
        <v>2328</v>
      </c>
      <c r="AJ1528" s="3" t="s">
        <v>8206</v>
      </c>
      <c r="AK1528" t="s">
        <v>8206</v>
      </c>
      <c r="AV1528"/>
      <c r="AX1528"/>
      <c r="AZ1528" t="str">
        <f t="shared" si="267"/>
        <v/>
      </c>
      <c r="BA1528" t="str">
        <f t="shared" si="268"/>
        <v/>
      </c>
    </row>
    <row r="1529" spans="3:53" ht="13.5">
      <c r="C1529" s="19"/>
      <c r="D1529" s="19"/>
      <c r="AC1529" s="6">
        <v>195217</v>
      </c>
      <c r="AD1529" s="6" t="s">
        <v>7324</v>
      </c>
      <c r="AE1529" s="155" t="s">
        <v>2341</v>
      </c>
      <c r="AF1529" s="159" t="s">
        <v>8299</v>
      </c>
      <c r="AG1529" s="160" t="s">
        <v>3808</v>
      </c>
      <c r="AH1529" s="194" t="s">
        <v>678</v>
      </c>
      <c r="AI1529" s="6" t="s">
        <v>2343</v>
      </c>
      <c r="AJ1529" s="3" t="s">
        <v>8206</v>
      </c>
      <c r="AK1529" t="s">
        <v>8206</v>
      </c>
      <c r="AV1529"/>
      <c r="AX1529"/>
      <c r="AZ1529" t="str">
        <f t="shared" si="267"/>
        <v/>
      </c>
      <c r="BA1529" t="str">
        <f t="shared" si="268"/>
        <v/>
      </c>
    </row>
    <row r="1530" spans="3:53" ht="13.5">
      <c r="C1530" s="19"/>
      <c r="D1530" s="19"/>
      <c r="AC1530" s="6" t="s">
        <v>5172</v>
      </c>
      <c r="AD1530" s="6" t="s">
        <v>7151</v>
      </c>
      <c r="AE1530" s="155" t="s">
        <v>2342</v>
      </c>
      <c r="AF1530" s="159" t="s">
        <v>8323</v>
      </c>
      <c r="AG1530" s="160" t="s">
        <v>3809</v>
      </c>
      <c r="AH1530" s="194" t="s">
        <v>678</v>
      </c>
      <c r="AI1530" s="6" t="s">
        <v>5714</v>
      </c>
      <c r="AJ1530" s="3" t="s">
        <v>8255</v>
      </c>
      <c r="AK1530" t="s">
        <v>8255</v>
      </c>
      <c r="AV1530"/>
      <c r="AX1530"/>
      <c r="AZ1530" t="str">
        <f t="shared" ref="AZ1530:AZ1593" si="269">IF(ISBLANK(AW1530),"",CONCATENATE("(",RIGHT(AW1530,5),"-",TEXT(AX1530,"h:mm;@"),")"))</f>
        <v/>
      </c>
      <c r="BA1530" t="str">
        <f t="shared" ref="BA1530:BA1593" si="270">IF(AV1546=AV1530,"",CONCATENATE(IF(AV1545=AV1530,BA1545,""),IF(AV1544=AV1530,BA1544,""),IF(AV1543=AV1530,BA1543,""),IF(AV1542=AV1530,BA1542,""),IF(AV1541=AV1530,BA1541,""),IF(AV1540=AV1530,BA1540,""),IF(AV1539=AV1530,BA1539,""),IF(AV1538=AV1530,BA1538,""),IF(AV1537=AV1530,BA1537,""),IF(AV1536=AV1530,BA1536,""),IF(AV1535=AV1530,BA1535,""),IF(AV1534=AV1530,BA1534,""),IF(AV1533=AV1530,BA1533,""),IF(AV1532=AV1530,BA1532,""),IF(AV1531=AV1530,BA1531,""),IF(AV1529=AV1530,BA1529,""),BA1530))</f>
        <v/>
      </c>
    </row>
    <row r="1531" spans="3:53" ht="13.5">
      <c r="C1531" s="19"/>
      <c r="D1531" s="19"/>
      <c r="AC1531" s="6" t="s">
        <v>5193</v>
      </c>
      <c r="AD1531" s="6" t="s">
        <v>7176</v>
      </c>
      <c r="AE1531" s="155" t="s">
        <v>2344</v>
      </c>
      <c r="AF1531" s="159" t="s">
        <v>8325</v>
      </c>
      <c r="AG1531" s="160" t="s">
        <v>3810</v>
      </c>
      <c r="AH1531" s="194" t="s">
        <v>4700</v>
      </c>
      <c r="AI1531" s="6" t="s">
        <v>2476</v>
      </c>
      <c r="AJ1531" s="3" t="s">
        <v>8206</v>
      </c>
      <c r="AK1531" t="s">
        <v>8206</v>
      </c>
      <c r="AV1531"/>
      <c r="AX1531"/>
      <c r="AZ1531" t="str">
        <f t="shared" si="269"/>
        <v/>
      </c>
      <c r="BA1531" t="str">
        <f t="shared" si="270"/>
        <v/>
      </c>
    </row>
    <row r="1532" spans="3:53" ht="13.5">
      <c r="C1532" s="19"/>
      <c r="D1532" s="19"/>
      <c r="AC1532" s="6" t="s">
        <v>4046</v>
      </c>
      <c r="AD1532" s="6" t="s">
        <v>7279</v>
      </c>
      <c r="AE1532" s="155" t="s">
        <v>2345</v>
      </c>
      <c r="AF1532" s="159" t="s">
        <v>8299</v>
      </c>
      <c r="AG1532" s="160" t="s">
        <v>3811</v>
      </c>
      <c r="AH1532" s="194" t="s">
        <v>678</v>
      </c>
      <c r="AI1532" s="6" t="s">
        <v>79</v>
      </c>
      <c r="AJ1532" s="3" t="s">
        <v>8225</v>
      </c>
      <c r="AK1532" t="s">
        <v>8225</v>
      </c>
      <c r="AV1532"/>
      <c r="AX1532"/>
      <c r="AZ1532" t="str">
        <f t="shared" si="269"/>
        <v/>
      </c>
      <c r="BA1532" t="str">
        <f t="shared" si="270"/>
        <v/>
      </c>
    </row>
    <row r="1533" spans="3:53" ht="13.5">
      <c r="C1533" s="19"/>
      <c r="D1533" s="19"/>
      <c r="AC1533" s="6" t="s">
        <v>4047</v>
      </c>
      <c r="AD1533" s="6" t="s">
        <v>7279</v>
      </c>
      <c r="AE1533" s="155" t="s">
        <v>1242</v>
      </c>
      <c r="AF1533" s="159" t="s">
        <v>8299</v>
      </c>
      <c r="AG1533" s="160" t="s">
        <v>3812</v>
      </c>
      <c r="AH1533" s="194" t="s">
        <v>678</v>
      </c>
      <c r="AI1533" s="6" t="s">
        <v>3575</v>
      </c>
      <c r="AJ1533" s="3" t="s">
        <v>8225</v>
      </c>
      <c r="AK1533" t="s">
        <v>8225</v>
      </c>
      <c r="AV1533"/>
      <c r="AX1533"/>
      <c r="AZ1533" t="str">
        <f t="shared" si="269"/>
        <v/>
      </c>
      <c r="BA1533" t="str">
        <f t="shared" si="270"/>
        <v/>
      </c>
    </row>
    <row r="1534" spans="3:53" ht="13.5">
      <c r="C1534" s="19"/>
      <c r="D1534" s="19"/>
      <c r="AC1534" s="6" t="s">
        <v>4045</v>
      </c>
      <c r="AD1534" s="6" t="s">
        <v>7279</v>
      </c>
      <c r="AE1534" s="155" t="s">
        <v>2346</v>
      </c>
      <c r="AF1534" s="159" t="s">
        <v>8297</v>
      </c>
      <c r="AG1534" s="160" t="s">
        <v>3813</v>
      </c>
      <c r="AH1534" s="194" t="s">
        <v>679</v>
      </c>
      <c r="AI1534" s="6" t="s">
        <v>3576</v>
      </c>
      <c r="AJ1534" s="3" t="s">
        <v>8225</v>
      </c>
      <c r="AK1534" t="s">
        <v>8225</v>
      </c>
      <c r="AV1534"/>
      <c r="AX1534"/>
      <c r="AZ1534" t="str">
        <f t="shared" si="269"/>
        <v/>
      </c>
      <c r="BA1534" t="str">
        <f t="shared" si="270"/>
        <v/>
      </c>
    </row>
    <row r="1535" spans="3:53" ht="13.5">
      <c r="C1535" s="19"/>
      <c r="D1535" s="19"/>
      <c r="AC1535" s="6" t="s">
        <v>4836</v>
      </c>
      <c r="AD1535" s="6" t="s">
        <v>7266</v>
      </c>
      <c r="AE1535" s="155" t="s">
        <v>2347</v>
      </c>
      <c r="AF1535" s="159" t="s">
        <v>8320</v>
      </c>
      <c r="AG1535" s="160" t="s">
        <v>3814</v>
      </c>
      <c r="AH1535" s="194" t="s">
        <v>678</v>
      </c>
      <c r="AI1535" s="6" t="s">
        <v>1004</v>
      </c>
      <c r="AJ1535" s="3" t="s">
        <v>8217</v>
      </c>
      <c r="AK1535" t="s">
        <v>8668</v>
      </c>
      <c r="AV1535"/>
      <c r="AX1535"/>
      <c r="AZ1535" t="str">
        <f t="shared" si="269"/>
        <v/>
      </c>
      <c r="BA1535" t="str">
        <f t="shared" si="270"/>
        <v/>
      </c>
    </row>
    <row r="1536" spans="3:53" ht="13.5">
      <c r="C1536" s="19"/>
      <c r="D1536" s="19"/>
      <c r="AC1536" s="6">
        <v>595397</v>
      </c>
      <c r="AD1536" s="6" t="s">
        <v>7338</v>
      </c>
      <c r="AE1536" s="155">
        <v>243418</v>
      </c>
      <c r="AF1536" s="159" t="s">
        <v>8299</v>
      </c>
      <c r="AG1536" s="160" t="s">
        <v>3815</v>
      </c>
      <c r="AH1536" s="194" t="s">
        <v>678</v>
      </c>
      <c r="AI1536" s="6" t="s">
        <v>2172</v>
      </c>
      <c r="AJ1536" s="3" t="s">
        <v>8221</v>
      </c>
      <c r="AK1536" t="s">
        <v>8669</v>
      </c>
      <c r="AV1536"/>
      <c r="AX1536"/>
      <c r="AZ1536" t="str">
        <f t="shared" si="269"/>
        <v/>
      </c>
      <c r="BA1536" t="str">
        <f t="shared" si="270"/>
        <v/>
      </c>
    </row>
    <row r="1537" spans="3:53" ht="13.5">
      <c r="C1537" s="19"/>
      <c r="D1537" s="19"/>
      <c r="AC1537" s="6" t="s">
        <v>4042</v>
      </c>
      <c r="AD1537" s="6" t="s">
        <v>7279</v>
      </c>
      <c r="AE1537" s="155" t="s">
        <v>1263</v>
      </c>
      <c r="AF1537" s="159" t="s">
        <v>8299</v>
      </c>
      <c r="AG1537" s="160" t="s">
        <v>3816</v>
      </c>
      <c r="AH1537" s="194" t="s">
        <v>678</v>
      </c>
      <c r="AI1537" s="6" t="s">
        <v>2252</v>
      </c>
      <c r="AJ1537" s="3" t="s">
        <v>8221</v>
      </c>
      <c r="AK1537" t="s">
        <v>8669</v>
      </c>
      <c r="AV1537"/>
      <c r="AX1537"/>
      <c r="AZ1537" t="str">
        <f t="shared" si="269"/>
        <v/>
      </c>
      <c r="BA1537" t="str">
        <f t="shared" si="270"/>
        <v/>
      </c>
    </row>
    <row r="1538" spans="3:53" ht="13.5">
      <c r="C1538" s="19"/>
      <c r="D1538" s="19"/>
      <c r="AC1538" s="6" t="s">
        <v>1269</v>
      </c>
      <c r="AD1538" s="6" t="s">
        <v>7339</v>
      </c>
      <c r="AE1538" s="155" t="s">
        <v>2348</v>
      </c>
      <c r="AF1538" s="159" t="s">
        <v>8299</v>
      </c>
      <c r="AG1538" s="160" t="s">
        <v>3817</v>
      </c>
      <c r="AH1538" s="194" t="s">
        <v>678</v>
      </c>
      <c r="AI1538" s="6" t="s">
        <v>74</v>
      </c>
      <c r="AJ1538" s="3" t="s">
        <v>8225</v>
      </c>
      <c r="AK1538" t="s">
        <v>8225</v>
      </c>
      <c r="AV1538"/>
      <c r="AX1538"/>
      <c r="AZ1538" t="str">
        <f t="shared" si="269"/>
        <v/>
      </c>
      <c r="BA1538" t="str">
        <f t="shared" si="270"/>
        <v/>
      </c>
    </row>
    <row r="1539" spans="3:53" ht="13.5">
      <c r="C1539" s="19"/>
      <c r="D1539" s="19"/>
      <c r="AC1539" s="6" t="s">
        <v>3995</v>
      </c>
      <c r="AD1539" s="6" t="s">
        <v>7338</v>
      </c>
      <c r="AE1539" s="155" t="s">
        <v>2349</v>
      </c>
      <c r="AF1539" s="159" t="s">
        <v>8299</v>
      </c>
      <c r="AG1539" s="160" t="s">
        <v>3818</v>
      </c>
      <c r="AH1539" s="194" t="s">
        <v>678</v>
      </c>
      <c r="AI1539" s="6" t="s">
        <v>75</v>
      </c>
      <c r="AJ1539" s="3" t="s">
        <v>8225</v>
      </c>
      <c r="AK1539" t="s">
        <v>8225</v>
      </c>
      <c r="AV1539"/>
      <c r="AX1539"/>
      <c r="AZ1539" t="str">
        <f t="shared" si="269"/>
        <v/>
      </c>
      <c r="BA1539" t="str">
        <f t="shared" si="270"/>
        <v/>
      </c>
    </row>
    <row r="1540" spans="3:53" ht="13.5">
      <c r="C1540" s="19"/>
      <c r="D1540" s="19"/>
      <c r="AC1540" s="6" t="s">
        <v>1245</v>
      </c>
      <c r="AD1540" s="6" t="s">
        <v>7340</v>
      </c>
      <c r="AE1540" s="155" t="s">
        <v>2350</v>
      </c>
      <c r="AF1540" s="159" t="s">
        <v>8323</v>
      </c>
      <c r="AG1540" s="160" t="s">
        <v>3819</v>
      </c>
      <c r="AH1540" s="194" t="s">
        <v>679</v>
      </c>
      <c r="AI1540" s="6" t="s">
        <v>77</v>
      </c>
      <c r="AJ1540" s="3" t="s">
        <v>8225</v>
      </c>
      <c r="AK1540" t="s">
        <v>8225</v>
      </c>
      <c r="AV1540"/>
      <c r="AX1540"/>
      <c r="AZ1540" t="str">
        <f t="shared" si="269"/>
        <v/>
      </c>
      <c r="BA1540" t="str">
        <f t="shared" si="270"/>
        <v/>
      </c>
    </row>
    <row r="1541" spans="3:53" ht="13.5">
      <c r="C1541" s="19"/>
      <c r="D1541" s="19"/>
      <c r="AC1541" s="6" t="s">
        <v>4360</v>
      </c>
      <c r="AD1541" s="6" t="s">
        <v>7339</v>
      </c>
      <c r="AE1541" s="155" t="s">
        <v>1264</v>
      </c>
      <c r="AF1541" s="159" t="s">
        <v>8299</v>
      </c>
      <c r="AG1541" s="160" t="s">
        <v>3820</v>
      </c>
      <c r="AH1541" s="194" t="s">
        <v>679</v>
      </c>
      <c r="AI1541" s="6" t="s">
        <v>71</v>
      </c>
      <c r="AJ1541" s="3" t="s">
        <v>8225</v>
      </c>
      <c r="AK1541" t="s">
        <v>8225</v>
      </c>
      <c r="AV1541"/>
      <c r="AX1541"/>
      <c r="AZ1541" t="str">
        <f t="shared" si="269"/>
        <v/>
      </c>
      <c r="BA1541" t="str">
        <f t="shared" si="270"/>
        <v/>
      </c>
    </row>
    <row r="1542" spans="3:53" ht="13.5">
      <c r="C1542" s="19"/>
      <c r="D1542" s="19"/>
      <c r="AC1542" s="6" t="s">
        <v>5150</v>
      </c>
      <c r="AD1542" s="6" t="s">
        <v>7279</v>
      </c>
      <c r="AE1542" s="155" t="s">
        <v>2351</v>
      </c>
      <c r="AF1542" s="159" t="s">
        <v>8309</v>
      </c>
      <c r="AG1542" s="160" t="s">
        <v>3821</v>
      </c>
      <c r="AH1542" s="194" t="s">
        <v>678</v>
      </c>
      <c r="AI1542" s="6" t="s">
        <v>73</v>
      </c>
      <c r="AJ1542" s="3" t="s">
        <v>8225</v>
      </c>
      <c r="AK1542" t="s">
        <v>8225</v>
      </c>
      <c r="AV1542"/>
      <c r="AX1542"/>
      <c r="AZ1542" t="str">
        <f t="shared" si="269"/>
        <v/>
      </c>
      <c r="BA1542" t="str">
        <f t="shared" si="270"/>
        <v/>
      </c>
    </row>
    <row r="1543" spans="3:53" ht="13.5">
      <c r="C1543" s="19"/>
      <c r="D1543" s="19"/>
      <c r="AC1543" s="6" t="s">
        <v>4364</v>
      </c>
      <c r="AD1543" s="6" t="s">
        <v>7339</v>
      </c>
      <c r="AE1543" s="155" t="s">
        <v>1265</v>
      </c>
      <c r="AF1543" s="159" t="s">
        <v>8320</v>
      </c>
      <c r="AG1543" s="160" t="s">
        <v>3822</v>
      </c>
      <c r="AH1543" s="194" t="s">
        <v>678</v>
      </c>
      <c r="AI1543" s="6" t="s">
        <v>2156</v>
      </c>
      <c r="AJ1543" s="3" t="s">
        <v>8221</v>
      </c>
      <c r="AK1543" t="s">
        <v>8669</v>
      </c>
      <c r="AV1543"/>
      <c r="AX1543"/>
      <c r="AZ1543" t="str">
        <f t="shared" si="269"/>
        <v/>
      </c>
      <c r="BA1543" t="str">
        <f t="shared" si="270"/>
        <v/>
      </c>
    </row>
    <row r="1544" spans="3:53" ht="13.5">
      <c r="C1544" s="19"/>
      <c r="D1544" s="19"/>
      <c r="AC1544" s="6" t="s">
        <v>5075</v>
      </c>
      <c r="AD1544" s="6" t="s">
        <v>7279</v>
      </c>
      <c r="AE1544" s="155" t="s">
        <v>1266</v>
      </c>
      <c r="AF1544" s="159" t="s">
        <v>8299</v>
      </c>
      <c r="AG1544" s="160" t="s">
        <v>3823</v>
      </c>
      <c r="AH1544" s="194" t="s">
        <v>678</v>
      </c>
      <c r="AI1544" s="6" t="s">
        <v>3582</v>
      </c>
      <c r="AJ1544" s="3" t="s">
        <v>8230</v>
      </c>
      <c r="AK1544" t="s">
        <v>8230</v>
      </c>
      <c r="AV1544"/>
      <c r="AX1544"/>
      <c r="AZ1544" t="str">
        <f t="shared" si="269"/>
        <v/>
      </c>
      <c r="BA1544" t="str">
        <f t="shared" si="270"/>
        <v/>
      </c>
    </row>
    <row r="1545" spans="3:53" ht="13.5">
      <c r="C1545" s="19"/>
      <c r="D1545" s="19"/>
      <c r="AC1545" s="6" t="s">
        <v>4363</v>
      </c>
      <c r="AD1545" s="6" t="s">
        <v>7339</v>
      </c>
      <c r="AE1545" s="155" t="s">
        <v>2352</v>
      </c>
      <c r="AF1545" s="159" t="s">
        <v>8340</v>
      </c>
      <c r="AG1545" s="160" t="s">
        <v>3824</v>
      </c>
      <c r="AH1545" s="194" t="s">
        <v>678</v>
      </c>
      <c r="AI1545" s="6" t="s">
        <v>3583</v>
      </c>
      <c r="AJ1545" s="3" t="s">
        <v>8230</v>
      </c>
      <c r="AK1545" t="s">
        <v>8230</v>
      </c>
      <c r="AV1545"/>
      <c r="AX1545"/>
      <c r="AZ1545" t="str">
        <f t="shared" si="269"/>
        <v/>
      </c>
      <c r="BA1545" t="str">
        <f t="shared" si="270"/>
        <v/>
      </c>
    </row>
    <row r="1546" spans="3:53" ht="13.5">
      <c r="C1546" s="19"/>
      <c r="D1546" s="19"/>
      <c r="AC1546" s="6" t="s">
        <v>4044</v>
      </c>
      <c r="AD1546" s="6" t="s">
        <v>7341</v>
      </c>
      <c r="AE1546" s="155" t="s">
        <v>2353</v>
      </c>
      <c r="AF1546" s="159" t="s">
        <v>8299</v>
      </c>
      <c r="AG1546" s="160" t="s">
        <v>3825</v>
      </c>
      <c r="AH1546" s="194" t="s">
        <v>679</v>
      </c>
      <c r="AI1546" s="6" t="s">
        <v>3584</v>
      </c>
      <c r="AJ1546" s="3" t="s">
        <v>8230</v>
      </c>
      <c r="AK1546" t="s">
        <v>8230</v>
      </c>
      <c r="AV1546"/>
      <c r="AX1546"/>
      <c r="AZ1546" t="str">
        <f t="shared" si="269"/>
        <v/>
      </c>
      <c r="BA1546" t="str">
        <f t="shared" si="270"/>
        <v/>
      </c>
    </row>
    <row r="1547" spans="3:53" ht="13.5">
      <c r="C1547" s="19"/>
      <c r="D1547" s="19"/>
      <c r="AC1547" s="6" t="s">
        <v>4837</v>
      </c>
      <c r="AD1547" s="6" t="s">
        <v>7280</v>
      </c>
      <c r="AE1547" s="155" t="s">
        <v>2354</v>
      </c>
      <c r="AF1547" s="159" t="s">
        <v>8299</v>
      </c>
      <c r="AG1547" s="160" t="s">
        <v>3826</v>
      </c>
      <c r="AH1547" s="194" t="s">
        <v>678</v>
      </c>
      <c r="AI1547" s="6" t="s">
        <v>3586</v>
      </c>
      <c r="AJ1547" s="3" t="s">
        <v>8230</v>
      </c>
      <c r="AK1547" t="s">
        <v>8230</v>
      </c>
      <c r="AV1547"/>
      <c r="AX1547"/>
      <c r="AZ1547" t="str">
        <f t="shared" si="269"/>
        <v/>
      </c>
      <c r="BA1547" t="str">
        <f t="shared" si="270"/>
        <v/>
      </c>
    </row>
    <row r="1548" spans="3:53" ht="13.5">
      <c r="C1548" s="19"/>
      <c r="D1548" s="19"/>
      <c r="AC1548" s="6" t="s">
        <v>4362</v>
      </c>
      <c r="AD1548" s="6" t="s">
        <v>7339</v>
      </c>
      <c r="AE1548" s="155" t="s">
        <v>2355</v>
      </c>
      <c r="AF1548" s="159" t="s">
        <v>8320</v>
      </c>
      <c r="AG1548" s="160" t="s">
        <v>1007</v>
      </c>
      <c r="AH1548" s="194" t="s">
        <v>679</v>
      </c>
      <c r="AI1548" s="6" t="s">
        <v>3590</v>
      </c>
      <c r="AJ1548" s="3" t="s">
        <v>8282</v>
      </c>
      <c r="AK1548" t="s">
        <v>8282</v>
      </c>
      <c r="AV1548"/>
      <c r="AX1548"/>
      <c r="AZ1548" t="str">
        <f t="shared" si="269"/>
        <v/>
      </c>
      <c r="BA1548" t="str">
        <f t="shared" si="270"/>
        <v/>
      </c>
    </row>
    <row r="1549" spans="3:53" ht="13.5">
      <c r="C1549" s="19"/>
      <c r="D1549" s="19"/>
      <c r="AC1549" s="6" t="s">
        <v>1268</v>
      </c>
      <c r="AD1549" s="6" t="s">
        <v>7339</v>
      </c>
      <c r="AE1549" s="155" t="s">
        <v>2356</v>
      </c>
      <c r="AF1549" s="159" t="s">
        <v>8299</v>
      </c>
      <c r="AG1549" s="160" t="s">
        <v>55</v>
      </c>
      <c r="AH1549" s="194" t="s">
        <v>679</v>
      </c>
      <c r="AI1549" s="6" t="s">
        <v>3591</v>
      </c>
      <c r="AJ1549" s="3" t="s">
        <v>8282</v>
      </c>
      <c r="AK1549" t="s">
        <v>8282</v>
      </c>
      <c r="AV1549"/>
      <c r="AX1549"/>
      <c r="AZ1549" t="str">
        <f t="shared" si="269"/>
        <v/>
      </c>
      <c r="BA1549" t="str">
        <f t="shared" si="270"/>
        <v/>
      </c>
    </row>
    <row r="1550" spans="3:53" ht="13.5">
      <c r="C1550" s="19"/>
      <c r="D1550" s="19"/>
      <c r="AC1550" s="6" t="s">
        <v>1246</v>
      </c>
      <c r="AD1550" s="6" t="s">
        <v>7342</v>
      </c>
      <c r="AE1550" s="155" t="s">
        <v>2358</v>
      </c>
      <c r="AF1550" s="159" t="s">
        <v>8335</v>
      </c>
      <c r="AG1550" s="160" t="s">
        <v>3827</v>
      </c>
      <c r="AH1550" s="194" t="s">
        <v>679</v>
      </c>
      <c r="AI1550" s="6" t="s">
        <v>2237</v>
      </c>
      <c r="AJ1550" s="3" t="s">
        <v>8232</v>
      </c>
      <c r="AK1550" t="s">
        <v>8232</v>
      </c>
      <c r="AV1550"/>
      <c r="AX1550"/>
      <c r="AZ1550" t="str">
        <f t="shared" si="269"/>
        <v/>
      </c>
      <c r="BA1550" t="str">
        <f t="shared" si="270"/>
        <v/>
      </c>
    </row>
    <row r="1551" spans="3:53" ht="13.5">
      <c r="C1551" s="19"/>
      <c r="D1551" s="19"/>
      <c r="AC1551" s="6" t="s">
        <v>5621</v>
      </c>
      <c r="AD1551" s="6" t="s">
        <v>7343</v>
      </c>
      <c r="AE1551" s="155" t="s">
        <v>2359</v>
      </c>
      <c r="AF1551" s="159" t="s">
        <v>8320</v>
      </c>
      <c r="AG1551" s="160" t="s">
        <v>3828</v>
      </c>
      <c r="AH1551" s="194" t="s">
        <v>679</v>
      </c>
      <c r="AI1551" s="6" t="s">
        <v>2247</v>
      </c>
      <c r="AJ1551" s="3" t="s">
        <v>8232</v>
      </c>
      <c r="AK1551" t="s">
        <v>8232</v>
      </c>
      <c r="AV1551"/>
      <c r="AX1551"/>
      <c r="AZ1551" t="str">
        <f t="shared" si="269"/>
        <v/>
      </c>
      <c r="BA1551" t="str">
        <f t="shared" si="270"/>
        <v/>
      </c>
    </row>
    <row r="1552" spans="3:53" ht="13.5">
      <c r="C1552" s="19"/>
      <c r="D1552" s="19"/>
      <c r="AC1552" s="6" t="s">
        <v>1239</v>
      </c>
      <c r="AD1552" s="6" t="s">
        <v>7344</v>
      </c>
      <c r="AE1552" s="155" t="s">
        <v>2360</v>
      </c>
      <c r="AF1552" s="159" t="s">
        <v>8299</v>
      </c>
      <c r="AG1552" s="160" t="s">
        <v>3829</v>
      </c>
      <c r="AH1552" s="194" t="s">
        <v>679</v>
      </c>
      <c r="AI1552" s="6" t="s">
        <v>5331</v>
      </c>
      <c r="AJ1552" s="3" t="s">
        <v>8232</v>
      </c>
      <c r="AK1552" t="s">
        <v>8232</v>
      </c>
      <c r="AV1552"/>
      <c r="AX1552"/>
      <c r="AZ1552" t="str">
        <f t="shared" si="269"/>
        <v/>
      </c>
      <c r="BA1552" t="str">
        <f t="shared" si="270"/>
        <v/>
      </c>
    </row>
    <row r="1553" spans="3:53" ht="13.5">
      <c r="C1553" s="19"/>
      <c r="D1553" s="19"/>
      <c r="AC1553" s="6" t="s">
        <v>5317</v>
      </c>
      <c r="AD1553" s="6" t="s">
        <v>7345</v>
      </c>
      <c r="AE1553" s="155" t="s">
        <v>2361</v>
      </c>
      <c r="AF1553" s="159" t="s">
        <v>8297</v>
      </c>
      <c r="AG1553" s="160" t="s">
        <v>4486</v>
      </c>
      <c r="AH1553" s="194" t="s">
        <v>679</v>
      </c>
      <c r="AI1553" s="6" t="s">
        <v>5296</v>
      </c>
      <c r="AJ1553" s="3" t="s">
        <v>8232</v>
      </c>
      <c r="AK1553" t="s">
        <v>8232</v>
      </c>
      <c r="AV1553"/>
      <c r="AX1553"/>
      <c r="AZ1553" t="str">
        <f t="shared" si="269"/>
        <v/>
      </c>
      <c r="BA1553" t="str">
        <f t="shared" si="270"/>
        <v/>
      </c>
    </row>
    <row r="1554" spans="3:53" ht="13.5">
      <c r="C1554" s="19"/>
      <c r="D1554" s="19"/>
      <c r="AC1554" s="6" t="s">
        <v>5766</v>
      </c>
      <c r="AD1554" s="6" t="s">
        <v>7346</v>
      </c>
      <c r="AE1554" s="155" t="s">
        <v>1270</v>
      </c>
      <c r="AF1554" s="159" t="s">
        <v>8299</v>
      </c>
      <c r="AG1554" s="160" t="s">
        <v>4488</v>
      </c>
      <c r="AH1554" s="194" t="s">
        <v>679</v>
      </c>
      <c r="AI1554" s="6" t="s">
        <v>1249</v>
      </c>
      <c r="AJ1554" s="3" t="s">
        <v>8235</v>
      </c>
      <c r="AK1554" t="s">
        <v>8672</v>
      </c>
      <c r="AV1554"/>
      <c r="AX1554"/>
      <c r="AZ1554" t="str">
        <f t="shared" si="269"/>
        <v/>
      </c>
      <c r="BA1554" t="str">
        <f t="shared" si="270"/>
        <v/>
      </c>
    </row>
    <row r="1555" spans="3:53" ht="13.5">
      <c r="C1555" s="19"/>
      <c r="D1555" s="19"/>
      <c r="AC1555" s="6" t="s">
        <v>2825</v>
      </c>
      <c r="AD1555" s="6" t="s">
        <v>7345</v>
      </c>
      <c r="AE1555" s="155">
        <v>243766</v>
      </c>
      <c r="AF1555" s="159" t="s">
        <v>8299</v>
      </c>
      <c r="AG1555" s="160" t="s">
        <v>4717</v>
      </c>
      <c r="AH1555" s="194" t="s">
        <v>678</v>
      </c>
      <c r="AI1555" s="6" t="s">
        <v>2253</v>
      </c>
      <c r="AJ1555" s="3" t="s">
        <v>8235</v>
      </c>
      <c r="AK1555" t="s">
        <v>8672</v>
      </c>
      <c r="AV1555"/>
      <c r="AX1555"/>
      <c r="AZ1555" t="str">
        <f t="shared" si="269"/>
        <v/>
      </c>
      <c r="BA1555" t="str">
        <f t="shared" si="270"/>
        <v/>
      </c>
    </row>
    <row r="1556" spans="3:53" ht="13.5">
      <c r="C1556" s="19"/>
      <c r="D1556" s="19"/>
      <c r="AC1556" s="6" t="s">
        <v>5196</v>
      </c>
      <c r="AD1556" s="6" t="s">
        <v>7347</v>
      </c>
      <c r="AE1556" s="155" t="s">
        <v>2362</v>
      </c>
      <c r="AF1556" s="159" t="s">
        <v>8299</v>
      </c>
      <c r="AG1556" s="160" t="s">
        <v>4485</v>
      </c>
      <c r="AH1556" s="194" t="s">
        <v>678</v>
      </c>
      <c r="AI1556" s="6" t="s">
        <v>2254</v>
      </c>
      <c r="AJ1556" s="3" t="s">
        <v>8235</v>
      </c>
      <c r="AK1556" t="s">
        <v>8672</v>
      </c>
      <c r="AV1556"/>
      <c r="AX1556"/>
      <c r="AZ1556" t="str">
        <f t="shared" si="269"/>
        <v/>
      </c>
      <c r="BA1556" t="str">
        <f t="shared" si="270"/>
        <v/>
      </c>
    </row>
    <row r="1557" spans="3:53" ht="13.5">
      <c r="C1557" s="19"/>
      <c r="D1557" s="19"/>
      <c r="AC1557" s="6" t="s">
        <v>5038</v>
      </c>
      <c r="AD1557" s="6" t="s">
        <v>7348</v>
      </c>
      <c r="AE1557" s="155" t="s">
        <v>2363</v>
      </c>
      <c r="AF1557" s="159" t="s">
        <v>8309</v>
      </c>
      <c r="AG1557" s="160" t="s">
        <v>5065</v>
      </c>
      <c r="AH1557" s="194" t="s">
        <v>1314</v>
      </c>
      <c r="AI1557" s="6" t="s">
        <v>132</v>
      </c>
      <c r="AJ1557" s="3" t="s">
        <v>8233</v>
      </c>
      <c r="AK1557" t="s">
        <v>8233</v>
      </c>
      <c r="AV1557"/>
      <c r="AX1557"/>
      <c r="AZ1557" t="str">
        <f t="shared" si="269"/>
        <v/>
      </c>
      <c r="BA1557" t="str">
        <f t="shared" si="270"/>
        <v/>
      </c>
    </row>
    <row r="1558" spans="3:53" ht="13.5">
      <c r="C1558" s="19"/>
      <c r="D1558" s="19"/>
      <c r="AC1558" s="6" t="s">
        <v>1265</v>
      </c>
      <c r="AD1558" s="6" t="s">
        <v>6771</v>
      </c>
      <c r="AE1558" s="155" t="s">
        <v>2364</v>
      </c>
      <c r="AF1558" s="159" t="s">
        <v>8299</v>
      </c>
      <c r="AG1558" s="160" t="s">
        <v>4790</v>
      </c>
      <c r="AH1558" s="194" t="s">
        <v>1314</v>
      </c>
      <c r="AI1558" s="6" t="s">
        <v>134</v>
      </c>
      <c r="AJ1558" s="3" t="s">
        <v>8233</v>
      </c>
      <c r="AK1558" t="s">
        <v>8233</v>
      </c>
      <c r="AV1558"/>
      <c r="AX1558"/>
      <c r="AZ1558" t="str">
        <f t="shared" si="269"/>
        <v/>
      </c>
      <c r="BA1558" t="str">
        <f t="shared" si="270"/>
        <v/>
      </c>
    </row>
    <row r="1559" spans="3:53" ht="13.5">
      <c r="C1559" s="19"/>
      <c r="D1559" s="19"/>
      <c r="AC1559" s="6" t="s">
        <v>2324</v>
      </c>
      <c r="AD1559" s="6" t="s">
        <v>7344</v>
      </c>
      <c r="AE1559" s="155" t="s">
        <v>2365</v>
      </c>
      <c r="AF1559" s="159" t="s">
        <v>8299</v>
      </c>
      <c r="AG1559" s="160" t="s">
        <v>5283</v>
      </c>
      <c r="AH1559" s="194" t="s">
        <v>678</v>
      </c>
      <c r="AI1559" s="6" t="s">
        <v>3595</v>
      </c>
      <c r="AJ1559" s="3" t="s">
        <v>8260</v>
      </c>
      <c r="AK1559" t="s">
        <v>8678</v>
      </c>
      <c r="AV1559"/>
      <c r="AX1559"/>
      <c r="AZ1559" t="str">
        <f t="shared" si="269"/>
        <v/>
      </c>
      <c r="BA1559" t="str">
        <f t="shared" si="270"/>
        <v/>
      </c>
    </row>
    <row r="1560" spans="3:53" ht="13.5">
      <c r="C1560" s="19"/>
      <c r="D1560" s="19"/>
      <c r="AC1560" s="6" t="s">
        <v>5483</v>
      </c>
      <c r="AD1560" s="6" t="s">
        <v>7349</v>
      </c>
      <c r="AE1560" s="155">
        <v>63855</v>
      </c>
      <c r="AF1560" s="159" t="s">
        <v>8299</v>
      </c>
      <c r="AG1560" s="160" t="s">
        <v>5277</v>
      </c>
      <c r="AH1560" s="194" t="s">
        <v>678</v>
      </c>
      <c r="AI1560" s="6" t="s">
        <v>3596</v>
      </c>
      <c r="AJ1560" s="3" t="s">
        <v>8260</v>
      </c>
      <c r="AK1560" t="s">
        <v>8678</v>
      </c>
      <c r="AV1560"/>
      <c r="AX1560"/>
      <c r="AZ1560" t="str">
        <f t="shared" si="269"/>
        <v/>
      </c>
      <c r="BA1560" t="str">
        <f t="shared" si="270"/>
        <v/>
      </c>
    </row>
    <row r="1561" spans="3:53" ht="13.5">
      <c r="C1561" s="19"/>
      <c r="D1561" s="19"/>
      <c r="AC1561" s="6" t="s">
        <v>2809</v>
      </c>
      <c r="AD1561" s="6" t="s">
        <v>7345</v>
      </c>
      <c r="AE1561" s="155" t="s">
        <v>2369</v>
      </c>
      <c r="AF1561" s="159" t="s">
        <v>8299</v>
      </c>
      <c r="AG1561" s="160" t="s">
        <v>5298</v>
      </c>
      <c r="AH1561" s="194" t="s">
        <v>679</v>
      </c>
      <c r="AI1561" s="6" t="s">
        <v>3597</v>
      </c>
      <c r="AJ1561" s="3" t="s">
        <v>8260</v>
      </c>
      <c r="AK1561" t="s">
        <v>8678</v>
      </c>
      <c r="AV1561"/>
      <c r="AX1561"/>
      <c r="AZ1561" t="str">
        <f t="shared" si="269"/>
        <v/>
      </c>
      <c r="BA1561" t="str">
        <f t="shared" si="270"/>
        <v/>
      </c>
    </row>
    <row r="1562" spans="3:53" ht="13.5">
      <c r="C1562" s="19"/>
      <c r="D1562" s="19"/>
      <c r="AC1562" s="6" t="s">
        <v>4707</v>
      </c>
      <c r="AD1562" s="6" t="s">
        <v>7350</v>
      </c>
      <c r="AE1562" s="155" t="s">
        <v>1277</v>
      </c>
      <c r="AF1562" s="159" t="s">
        <v>8299</v>
      </c>
      <c r="AG1562" s="160" t="s">
        <v>5299</v>
      </c>
      <c r="AH1562" s="194" t="s">
        <v>678</v>
      </c>
      <c r="AI1562" s="6" t="s">
        <v>3598</v>
      </c>
      <c r="AJ1562" s="3" t="s">
        <v>8260</v>
      </c>
      <c r="AK1562" t="s">
        <v>8678</v>
      </c>
      <c r="AV1562"/>
      <c r="AX1562"/>
      <c r="AZ1562" t="str">
        <f t="shared" si="269"/>
        <v/>
      </c>
      <c r="BA1562" t="str">
        <f t="shared" si="270"/>
        <v/>
      </c>
    </row>
    <row r="1563" spans="3:53" ht="13.5">
      <c r="C1563" s="19"/>
      <c r="D1563" s="19"/>
      <c r="AC1563" s="6" t="s">
        <v>2338</v>
      </c>
      <c r="AD1563" s="6" t="s">
        <v>7351</v>
      </c>
      <c r="AE1563" s="155" t="s">
        <v>2373</v>
      </c>
      <c r="AF1563" s="159" t="s">
        <v>8311</v>
      </c>
      <c r="AG1563" s="160" t="s">
        <v>5178</v>
      </c>
      <c r="AH1563" s="194" t="s">
        <v>679</v>
      </c>
      <c r="AI1563" s="6" t="s">
        <v>3600</v>
      </c>
      <c r="AJ1563" s="3" t="s">
        <v>8260</v>
      </c>
      <c r="AK1563" t="s">
        <v>8678</v>
      </c>
      <c r="AV1563"/>
      <c r="AX1563"/>
      <c r="AZ1563" t="str">
        <f t="shared" si="269"/>
        <v/>
      </c>
      <c r="BA1563" t="str">
        <f t="shared" si="270"/>
        <v/>
      </c>
    </row>
    <row r="1564" spans="3:53" ht="13.5">
      <c r="C1564" s="19"/>
      <c r="D1564" s="19"/>
      <c r="AC1564" s="6" t="s">
        <v>2327</v>
      </c>
      <c r="AD1564" s="6" t="s">
        <v>7352</v>
      </c>
      <c r="AE1564" s="155" t="s">
        <v>2374</v>
      </c>
      <c r="AF1564" s="159" t="s">
        <v>8321</v>
      </c>
      <c r="AG1564" s="160" t="s">
        <v>5345</v>
      </c>
      <c r="AH1564" s="194" t="s">
        <v>679</v>
      </c>
      <c r="AI1564" s="6" t="s">
        <v>3601</v>
      </c>
      <c r="AJ1564" s="3" t="s">
        <v>8260</v>
      </c>
      <c r="AK1564" t="s">
        <v>8678</v>
      </c>
      <c r="AV1564"/>
      <c r="AX1564"/>
      <c r="AZ1564" t="str">
        <f t="shared" si="269"/>
        <v/>
      </c>
      <c r="BA1564" t="str">
        <f t="shared" si="270"/>
        <v/>
      </c>
    </row>
    <row r="1565" spans="3:53" ht="13.5">
      <c r="C1565" s="19"/>
      <c r="D1565" s="19"/>
      <c r="AC1565" s="6" t="s">
        <v>4733</v>
      </c>
      <c r="AD1565" s="6" t="s">
        <v>7345</v>
      </c>
      <c r="AE1565" s="155" t="s">
        <v>2375</v>
      </c>
      <c r="AF1565" s="159" t="s">
        <v>8299</v>
      </c>
      <c r="AG1565" s="160" t="s">
        <v>5346</v>
      </c>
      <c r="AH1565" s="194" t="s">
        <v>1314</v>
      </c>
      <c r="AI1565" s="6" t="s">
        <v>5733</v>
      </c>
      <c r="AJ1565" s="3" t="s">
        <v>8260</v>
      </c>
      <c r="AK1565" t="s">
        <v>8678</v>
      </c>
      <c r="AV1565"/>
      <c r="AX1565"/>
      <c r="AZ1565" t="str">
        <f t="shared" si="269"/>
        <v/>
      </c>
      <c r="BA1565" t="str">
        <f t="shared" si="270"/>
        <v/>
      </c>
    </row>
    <row r="1566" spans="3:53" ht="13.5">
      <c r="C1566" s="19"/>
      <c r="D1566" s="19"/>
      <c r="AC1566" s="6" t="s">
        <v>2337</v>
      </c>
      <c r="AD1566" s="6" t="s">
        <v>7351</v>
      </c>
      <c r="AE1566" s="155" t="s">
        <v>2376</v>
      </c>
      <c r="AF1566" s="159" t="s">
        <v>8299</v>
      </c>
      <c r="AG1566" s="160" t="s">
        <v>5242</v>
      </c>
      <c r="AH1566" s="194" t="s">
        <v>679</v>
      </c>
      <c r="AI1566" s="6" t="s">
        <v>2054</v>
      </c>
      <c r="AJ1566" s="3" t="s">
        <v>8235</v>
      </c>
      <c r="AK1566" t="s">
        <v>8672</v>
      </c>
      <c r="AV1566"/>
      <c r="AX1566"/>
      <c r="AZ1566" t="str">
        <f t="shared" si="269"/>
        <v/>
      </c>
      <c r="BA1566" t="str">
        <f t="shared" si="270"/>
        <v/>
      </c>
    </row>
    <row r="1567" spans="3:53" ht="13.5">
      <c r="C1567" s="19"/>
      <c r="D1567" s="19"/>
      <c r="AC1567" s="6" t="s">
        <v>2347</v>
      </c>
      <c r="AD1567" s="6" t="s">
        <v>7345</v>
      </c>
      <c r="AE1567" s="155" t="s">
        <v>2377</v>
      </c>
      <c r="AF1567" s="159" t="s">
        <v>8320</v>
      </c>
      <c r="AG1567" s="160" t="s">
        <v>5254</v>
      </c>
      <c r="AH1567" s="194" t="s">
        <v>1314</v>
      </c>
      <c r="AI1567" s="6" t="s">
        <v>2196</v>
      </c>
      <c r="AJ1567" s="3" t="s">
        <v>8235</v>
      </c>
      <c r="AK1567" t="s">
        <v>8672</v>
      </c>
      <c r="AV1567"/>
      <c r="AX1567"/>
      <c r="AZ1567" t="str">
        <f t="shared" si="269"/>
        <v/>
      </c>
      <c r="BA1567" t="str">
        <f t="shared" si="270"/>
        <v/>
      </c>
    </row>
    <row r="1568" spans="3:53" ht="13.5">
      <c r="C1568" s="19"/>
      <c r="D1568" s="19"/>
      <c r="AC1568" s="6" t="s">
        <v>5716</v>
      </c>
      <c r="AD1568" s="6" t="s">
        <v>7353</v>
      </c>
      <c r="AE1568" s="155" t="s">
        <v>2378</v>
      </c>
      <c r="AF1568" s="159" t="s">
        <v>8299</v>
      </c>
      <c r="AG1568" s="160" t="s">
        <v>5056</v>
      </c>
      <c r="AH1568" s="194" t="s">
        <v>1314</v>
      </c>
      <c r="AI1568" s="6" t="s">
        <v>1911</v>
      </c>
      <c r="AJ1568" s="3" t="s">
        <v>8234</v>
      </c>
      <c r="AK1568" t="s">
        <v>8234</v>
      </c>
      <c r="AV1568"/>
      <c r="AX1568"/>
      <c r="AZ1568" t="str">
        <f t="shared" si="269"/>
        <v/>
      </c>
      <c r="BA1568" t="str">
        <f t="shared" si="270"/>
        <v/>
      </c>
    </row>
    <row r="1569" spans="3:53" ht="13.5">
      <c r="C1569" s="19"/>
      <c r="D1569" s="19"/>
      <c r="AC1569" s="6" t="s">
        <v>4431</v>
      </c>
      <c r="AD1569" s="6" t="s">
        <v>7354</v>
      </c>
      <c r="AE1569" s="155" t="s">
        <v>2379</v>
      </c>
      <c r="AF1569" s="159" t="s">
        <v>8299</v>
      </c>
      <c r="AG1569" s="160" t="s">
        <v>5203</v>
      </c>
      <c r="AH1569" s="194" t="s">
        <v>1314</v>
      </c>
      <c r="AI1569" s="6" t="s">
        <v>3604</v>
      </c>
      <c r="AJ1569" s="3" t="s">
        <v>8270</v>
      </c>
      <c r="AK1569" t="s">
        <v>8270</v>
      </c>
      <c r="AV1569"/>
      <c r="AX1569"/>
      <c r="AZ1569" t="str">
        <f t="shared" si="269"/>
        <v/>
      </c>
      <c r="BA1569" t="str">
        <f t="shared" si="270"/>
        <v/>
      </c>
    </row>
    <row r="1570" spans="3:53" ht="13.5">
      <c r="C1570" s="19"/>
      <c r="D1570" s="19"/>
      <c r="AC1570" s="6" t="s">
        <v>2363</v>
      </c>
      <c r="AD1570" s="6" t="s">
        <v>7355</v>
      </c>
      <c r="AE1570" s="155" t="s">
        <v>2380</v>
      </c>
      <c r="AF1570" s="159" t="s">
        <v>8296</v>
      </c>
      <c r="AG1570" s="160" t="s">
        <v>5202</v>
      </c>
      <c r="AH1570" s="194" t="s">
        <v>1314</v>
      </c>
      <c r="AI1570" s="6" t="s">
        <v>3605</v>
      </c>
      <c r="AJ1570" s="3" t="s">
        <v>8270</v>
      </c>
      <c r="AK1570" t="s">
        <v>8270</v>
      </c>
      <c r="AV1570"/>
      <c r="AX1570"/>
      <c r="AZ1570" t="str">
        <f t="shared" si="269"/>
        <v/>
      </c>
      <c r="BA1570" t="str">
        <f t="shared" si="270"/>
        <v/>
      </c>
    </row>
    <row r="1571" spans="3:53" ht="13.5">
      <c r="C1571" s="19"/>
      <c r="D1571" s="19"/>
      <c r="AC1571" s="6">
        <v>65329</v>
      </c>
      <c r="AD1571" s="6" t="s">
        <v>7356</v>
      </c>
      <c r="AE1571" s="155" t="s">
        <v>2381</v>
      </c>
      <c r="AF1571" s="159" t="s">
        <v>8299</v>
      </c>
      <c r="AG1571" s="160" t="s">
        <v>5347</v>
      </c>
      <c r="AH1571" s="194" t="s">
        <v>1314</v>
      </c>
      <c r="AI1571" s="6" t="s">
        <v>3607</v>
      </c>
      <c r="AJ1571" s="3" t="s">
        <v>8270</v>
      </c>
      <c r="AK1571" t="s">
        <v>8270</v>
      </c>
      <c r="AV1571"/>
      <c r="AX1571"/>
      <c r="AZ1571" t="str">
        <f t="shared" si="269"/>
        <v/>
      </c>
      <c r="BA1571" t="str">
        <f t="shared" si="270"/>
        <v/>
      </c>
    </row>
    <row r="1572" spans="3:53" ht="13.5">
      <c r="C1572" s="19"/>
      <c r="D1572" s="19"/>
      <c r="AC1572" s="6" t="s">
        <v>2340</v>
      </c>
      <c r="AD1572" s="6" t="s">
        <v>7357</v>
      </c>
      <c r="AE1572" s="155" t="s">
        <v>2382</v>
      </c>
      <c r="AF1572" s="159" t="s">
        <v>8333</v>
      </c>
      <c r="AG1572" s="160" t="s">
        <v>5348</v>
      </c>
      <c r="AH1572" s="194" t="s">
        <v>679</v>
      </c>
      <c r="AI1572" s="6" t="s">
        <v>3611</v>
      </c>
      <c r="AJ1572" s="3" t="s">
        <v>8270</v>
      </c>
      <c r="AK1572" t="s">
        <v>8270</v>
      </c>
      <c r="AV1572"/>
      <c r="AX1572"/>
      <c r="AZ1572" t="str">
        <f t="shared" si="269"/>
        <v/>
      </c>
      <c r="BA1572" t="str">
        <f t="shared" si="270"/>
        <v/>
      </c>
    </row>
    <row r="1573" spans="3:53" ht="13.5">
      <c r="C1573" s="19"/>
      <c r="D1573" s="19"/>
      <c r="AC1573" s="6" t="s">
        <v>2339</v>
      </c>
      <c r="AD1573" s="6" t="s">
        <v>7357</v>
      </c>
      <c r="AE1573" s="155" t="s">
        <v>2383</v>
      </c>
      <c r="AF1573" s="159" t="s">
        <v>8299</v>
      </c>
      <c r="AG1573" s="160" t="s">
        <v>5349</v>
      </c>
      <c r="AH1573" s="194" t="s">
        <v>1314</v>
      </c>
      <c r="AI1573" s="6" t="s">
        <v>3612</v>
      </c>
      <c r="AJ1573" s="3" t="s">
        <v>8270</v>
      </c>
      <c r="AK1573" t="s">
        <v>8270</v>
      </c>
      <c r="AV1573"/>
      <c r="AX1573"/>
      <c r="AZ1573" t="str">
        <f t="shared" si="269"/>
        <v/>
      </c>
      <c r="BA1573" t="str">
        <f t="shared" si="270"/>
        <v/>
      </c>
    </row>
    <row r="1574" spans="3:53" ht="13.5">
      <c r="C1574" s="19"/>
      <c r="D1574" s="19"/>
      <c r="AC1574" s="6" t="s">
        <v>5165</v>
      </c>
      <c r="AD1574" s="6" t="s">
        <v>7358</v>
      </c>
      <c r="AE1574" s="155" t="s">
        <v>2384</v>
      </c>
      <c r="AF1574" s="159" t="s">
        <v>8296</v>
      </c>
      <c r="AG1574" s="160" t="s">
        <v>1754</v>
      </c>
      <c r="AH1574" s="194" t="s">
        <v>1314</v>
      </c>
      <c r="AI1574" s="6" t="s">
        <v>3616</v>
      </c>
      <c r="AJ1574" s="3" t="s">
        <v>8270</v>
      </c>
      <c r="AK1574" t="s">
        <v>8270</v>
      </c>
      <c r="AV1574"/>
      <c r="AX1574"/>
      <c r="AZ1574" t="str">
        <f t="shared" si="269"/>
        <v/>
      </c>
      <c r="BA1574" t="str">
        <f t="shared" si="270"/>
        <v/>
      </c>
    </row>
    <row r="1575" spans="3:53" ht="13.5">
      <c r="C1575" s="19"/>
      <c r="D1575" s="19"/>
      <c r="AC1575" s="6" t="s">
        <v>5482</v>
      </c>
      <c r="AD1575" s="6" t="s">
        <v>7345</v>
      </c>
      <c r="AE1575" s="155" t="s">
        <v>2385</v>
      </c>
      <c r="AF1575" s="159" t="s">
        <v>8297</v>
      </c>
      <c r="AG1575" s="160" t="s">
        <v>1897</v>
      </c>
      <c r="AH1575" s="194" t="s">
        <v>679</v>
      </c>
      <c r="AI1575" s="6" t="s">
        <v>3617</v>
      </c>
      <c r="AJ1575" s="3" t="s">
        <v>8270</v>
      </c>
      <c r="AK1575" t="s">
        <v>8270</v>
      </c>
      <c r="AV1575"/>
      <c r="AX1575"/>
      <c r="AZ1575" t="str">
        <f t="shared" si="269"/>
        <v/>
      </c>
      <c r="BA1575" t="str">
        <f t="shared" si="270"/>
        <v/>
      </c>
    </row>
    <row r="1576" spans="3:53" ht="13.5">
      <c r="C1576" s="19"/>
      <c r="D1576" s="19"/>
      <c r="AC1576" s="6" t="s">
        <v>2364</v>
      </c>
      <c r="AD1576" s="6" t="s">
        <v>7355</v>
      </c>
      <c r="AE1576" s="155" t="s">
        <v>2386</v>
      </c>
      <c r="AF1576" s="159" t="s">
        <v>8323</v>
      </c>
      <c r="AG1576" s="160" t="s">
        <v>1978</v>
      </c>
      <c r="AH1576" s="194" t="s">
        <v>679</v>
      </c>
      <c r="AI1576" s="6" t="s">
        <v>3619</v>
      </c>
      <c r="AJ1576" s="3" t="s">
        <v>8270</v>
      </c>
      <c r="AK1576" t="s">
        <v>8270</v>
      </c>
      <c r="AV1576"/>
      <c r="AX1576"/>
      <c r="AZ1576" t="str">
        <f t="shared" si="269"/>
        <v/>
      </c>
      <c r="BA1576" t="str">
        <f t="shared" si="270"/>
        <v/>
      </c>
    </row>
    <row r="1577" spans="3:53" ht="13.5">
      <c r="C1577" s="19"/>
      <c r="D1577" s="19"/>
      <c r="AC1577" s="6" t="s">
        <v>2630</v>
      </c>
      <c r="AD1577" s="6" t="s">
        <v>7359</v>
      </c>
      <c r="AE1577" s="155" t="s">
        <v>2387</v>
      </c>
      <c r="AF1577" s="159" t="s">
        <v>8299</v>
      </c>
      <c r="AG1577" s="160" t="s">
        <v>1979</v>
      </c>
      <c r="AH1577" s="194" t="s">
        <v>679</v>
      </c>
      <c r="AI1577" s="6" t="s">
        <v>1821</v>
      </c>
      <c r="AJ1577" s="3" t="s">
        <v>8213</v>
      </c>
      <c r="AK1577" t="s">
        <v>8213</v>
      </c>
      <c r="AV1577"/>
      <c r="AX1577"/>
      <c r="AZ1577" t="str">
        <f t="shared" si="269"/>
        <v/>
      </c>
      <c r="BA1577" t="str">
        <f t="shared" si="270"/>
        <v/>
      </c>
    </row>
    <row r="1578" spans="3:53" ht="13.5">
      <c r="C1578" s="19"/>
      <c r="D1578" s="19"/>
      <c r="AC1578" s="6" t="s">
        <v>3574</v>
      </c>
      <c r="AD1578" s="6" t="s">
        <v>7360</v>
      </c>
      <c r="AE1578" s="155" t="s">
        <v>2388</v>
      </c>
      <c r="AF1578" s="159" t="s">
        <v>8339</v>
      </c>
      <c r="AG1578" s="160" t="s">
        <v>1634</v>
      </c>
      <c r="AH1578" s="194" t="s">
        <v>679</v>
      </c>
      <c r="AI1578" s="6" t="s">
        <v>1822</v>
      </c>
      <c r="AJ1578" s="3" t="s">
        <v>8213</v>
      </c>
      <c r="AK1578" t="s">
        <v>8213</v>
      </c>
      <c r="AV1578"/>
      <c r="AX1578"/>
      <c r="AZ1578" t="str">
        <f t="shared" si="269"/>
        <v/>
      </c>
      <c r="BA1578" t="str">
        <f t="shared" si="270"/>
        <v/>
      </c>
    </row>
    <row r="1579" spans="3:53" ht="13.5">
      <c r="C1579" s="19"/>
      <c r="D1579" s="19"/>
      <c r="AC1579" s="6" t="s">
        <v>1312</v>
      </c>
      <c r="AD1579" s="6" t="s">
        <v>7360</v>
      </c>
      <c r="AE1579" s="155" t="s">
        <v>2389</v>
      </c>
      <c r="AF1579" s="159" t="s">
        <v>8299</v>
      </c>
      <c r="AG1579" s="160" t="s">
        <v>2830</v>
      </c>
      <c r="AH1579" s="194" t="s">
        <v>1314</v>
      </c>
      <c r="AI1579" s="6" t="s">
        <v>2000</v>
      </c>
      <c r="AJ1579" s="3" t="s">
        <v>8222</v>
      </c>
      <c r="AK1579" t="s">
        <v>8670</v>
      </c>
      <c r="AV1579"/>
      <c r="AX1579"/>
      <c r="AZ1579" t="str">
        <f t="shared" si="269"/>
        <v/>
      </c>
      <c r="BA1579" t="str">
        <f t="shared" si="270"/>
        <v/>
      </c>
    </row>
    <row r="1580" spans="3:53" ht="13.5">
      <c r="C1580" s="19"/>
      <c r="D1580" s="19"/>
      <c r="AC1580" s="6" t="s">
        <v>2365</v>
      </c>
      <c r="AD1580" s="6" t="s">
        <v>7355</v>
      </c>
      <c r="AE1580" s="155" t="s">
        <v>2390</v>
      </c>
      <c r="AF1580" s="159" t="s">
        <v>8354</v>
      </c>
      <c r="AG1580" s="160" t="s">
        <v>2749</v>
      </c>
      <c r="AH1580" s="194" t="s">
        <v>1314</v>
      </c>
      <c r="AI1580" s="6" t="s">
        <v>5744</v>
      </c>
      <c r="AJ1580" s="3" t="s">
        <v>8213</v>
      </c>
      <c r="AK1580" t="s">
        <v>8213</v>
      </c>
      <c r="AV1580"/>
      <c r="AX1580"/>
      <c r="AZ1580" t="str">
        <f t="shared" si="269"/>
        <v/>
      </c>
      <c r="BA1580" t="str">
        <f t="shared" si="270"/>
        <v/>
      </c>
    </row>
    <row r="1581" spans="3:53" ht="13.5">
      <c r="C1581" s="19"/>
      <c r="D1581" s="19"/>
      <c r="AC1581" s="6" t="s">
        <v>2367</v>
      </c>
      <c r="AD1581" s="6" t="s">
        <v>7355</v>
      </c>
      <c r="AE1581" s="155" t="s">
        <v>2391</v>
      </c>
      <c r="AF1581" s="159" t="s">
        <v>8309</v>
      </c>
      <c r="AG1581" s="160" t="s">
        <v>2750</v>
      </c>
      <c r="AH1581" s="194" t="s">
        <v>1314</v>
      </c>
      <c r="AI1581" s="6" t="s">
        <v>5337</v>
      </c>
      <c r="AJ1581" s="3" t="s">
        <v>8213</v>
      </c>
      <c r="AK1581" t="s">
        <v>8213</v>
      </c>
      <c r="AV1581"/>
      <c r="AX1581"/>
      <c r="AZ1581" t="str">
        <f t="shared" si="269"/>
        <v/>
      </c>
      <c r="BA1581" t="str">
        <f t="shared" si="270"/>
        <v/>
      </c>
    </row>
    <row r="1582" spans="3:53" ht="13.5">
      <c r="C1582" s="19"/>
      <c r="D1582" s="19"/>
      <c r="AC1582" s="6" t="s">
        <v>2319</v>
      </c>
      <c r="AD1582" s="6" t="s">
        <v>7360</v>
      </c>
      <c r="AE1582" s="155" t="s">
        <v>2392</v>
      </c>
      <c r="AF1582" s="159" t="s">
        <v>8341</v>
      </c>
      <c r="AG1582" s="160" t="s">
        <v>2055</v>
      </c>
      <c r="AH1582" s="194" t="s">
        <v>679</v>
      </c>
      <c r="AI1582" s="6" t="s">
        <v>5322</v>
      </c>
      <c r="AJ1582" s="3" t="s">
        <v>8213</v>
      </c>
      <c r="AK1582" t="s">
        <v>8213</v>
      </c>
      <c r="AV1582"/>
      <c r="AX1582"/>
      <c r="AZ1582" t="str">
        <f t="shared" si="269"/>
        <v/>
      </c>
      <c r="BA1582" t="str">
        <f t="shared" si="270"/>
        <v/>
      </c>
    </row>
    <row r="1583" spans="3:53" ht="13.5">
      <c r="C1583" s="19"/>
      <c r="D1583" s="19"/>
      <c r="AC1583" s="6" t="s">
        <v>2323</v>
      </c>
      <c r="AD1583" s="6" t="s">
        <v>7361</v>
      </c>
      <c r="AE1583" s="155" t="s">
        <v>2393</v>
      </c>
      <c r="AF1583" s="159" t="s">
        <v>8339</v>
      </c>
      <c r="AG1583" s="160" t="s">
        <v>2485</v>
      </c>
      <c r="AH1583" s="194" t="s">
        <v>678</v>
      </c>
      <c r="AI1583" s="6" t="s">
        <v>5739</v>
      </c>
      <c r="AJ1583" s="3" t="s">
        <v>8213</v>
      </c>
      <c r="AK1583" t="s">
        <v>8213</v>
      </c>
      <c r="AV1583"/>
      <c r="AX1583"/>
      <c r="AZ1583" t="str">
        <f t="shared" si="269"/>
        <v/>
      </c>
      <c r="BA1583" t="str">
        <f t="shared" si="270"/>
        <v/>
      </c>
    </row>
    <row r="1584" spans="3:53" ht="13.5">
      <c r="C1584" s="19"/>
      <c r="D1584" s="19"/>
      <c r="AC1584" s="6" t="s">
        <v>2366</v>
      </c>
      <c r="AD1584" s="6" t="s">
        <v>7355</v>
      </c>
      <c r="AE1584" s="155" t="s">
        <v>2394</v>
      </c>
      <c r="AF1584" s="159" t="s">
        <v>8299</v>
      </c>
      <c r="AG1584" s="160" t="s">
        <v>2486</v>
      </c>
      <c r="AH1584" s="194" t="s">
        <v>678</v>
      </c>
      <c r="AI1584" s="6" t="s">
        <v>5729</v>
      </c>
      <c r="AJ1584" s="3" t="s">
        <v>8213</v>
      </c>
      <c r="AK1584" t="s">
        <v>8213</v>
      </c>
      <c r="AV1584"/>
      <c r="AX1584"/>
      <c r="AZ1584" t="str">
        <f t="shared" si="269"/>
        <v/>
      </c>
      <c r="BA1584" t="str">
        <f t="shared" si="270"/>
        <v/>
      </c>
    </row>
    <row r="1585" spans="3:53" ht="13.5">
      <c r="C1585" s="19"/>
      <c r="D1585" s="19"/>
      <c r="AC1585" s="6" t="s">
        <v>2322</v>
      </c>
      <c r="AD1585" s="6" t="s">
        <v>7361</v>
      </c>
      <c r="AE1585" s="155" t="s">
        <v>2395</v>
      </c>
      <c r="AF1585" s="159" t="s">
        <v>8385</v>
      </c>
      <c r="AG1585" s="160" t="s">
        <v>2558</v>
      </c>
      <c r="AH1585" s="194" t="s">
        <v>678</v>
      </c>
      <c r="AI1585" s="6" t="s">
        <v>5339</v>
      </c>
      <c r="AJ1585" s="3" t="s">
        <v>8213</v>
      </c>
      <c r="AK1585" t="s">
        <v>8213</v>
      </c>
      <c r="AV1585"/>
      <c r="AX1585"/>
      <c r="AZ1585" t="str">
        <f t="shared" si="269"/>
        <v/>
      </c>
      <c r="BA1585" t="str">
        <f t="shared" si="270"/>
        <v/>
      </c>
    </row>
    <row r="1586" spans="3:53" ht="13.5">
      <c r="C1586" s="19"/>
      <c r="D1586" s="19"/>
      <c r="AC1586" s="6" t="s">
        <v>2477</v>
      </c>
      <c r="AD1586" s="6" t="s">
        <v>7360</v>
      </c>
      <c r="AE1586" s="155" t="s">
        <v>2396</v>
      </c>
      <c r="AF1586" s="159" t="s">
        <v>8299</v>
      </c>
      <c r="AG1586" s="160" t="s">
        <v>2559</v>
      </c>
      <c r="AH1586" s="194" t="s">
        <v>678</v>
      </c>
      <c r="AI1586" s="6" t="s">
        <v>5574</v>
      </c>
      <c r="AJ1586" s="3" t="s">
        <v>8213</v>
      </c>
      <c r="AK1586" t="s">
        <v>8213</v>
      </c>
      <c r="AV1586"/>
      <c r="AX1586"/>
      <c r="AZ1586" t="str">
        <f t="shared" si="269"/>
        <v/>
      </c>
      <c r="BA1586" t="str">
        <f t="shared" si="270"/>
        <v/>
      </c>
    </row>
    <row r="1587" spans="3:53" ht="13.5">
      <c r="C1587" s="19"/>
      <c r="D1587" s="19"/>
      <c r="AC1587" s="6" t="s">
        <v>5304</v>
      </c>
      <c r="AD1587" s="6" t="s">
        <v>7362</v>
      </c>
      <c r="AE1587" s="155" t="s">
        <v>2397</v>
      </c>
      <c r="AF1587" s="159" t="s">
        <v>8299</v>
      </c>
      <c r="AG1587" s="160" t="s">
        <v>2561</v>
      </c>
      <c r="AH1587" s="194" t="s">
        <v>678</v>
      </c>
      <c r="AI1587" s="6" t="s">
        <v>5571</v>
      </c>
      <c r="AJ1587" s="3" t="s">
        <v>8213</v>
      </c>
      <c r="AK1587" t="s">
        <v>8213</v>
      </c>
      <c r="AV1587"/>
      <c r="AX1587"/>
      <c r="AZ1587" t="str">
        <f t="shared" si="269"/>
        <v/>
      </c>
      <c r="BA1587" t="str">
        <f t="shared" si="270"/>
        <v/>
      </c>
    </row>
    <row r="1588" spans="3:53" ht="13.5">
      <c r="C1588" s="19"/>
      <c r="D1588" s="19"/>
      <c r="AC1588" s="6" t="s">
        <v>2476</v>
      </c>
      <c r="AD1588" s="6" t="s">
        <v>7360</v>
      </c>
      <c r="AE1588" s="155" t="s">
        <v>2398</v>
      </c>
      <c r="AF1588" s="159" t="s">
        <v>8324</v>
      </c>
      <c r="AG1588" s="160" t="s">
        <v>2562</v>
      </c>
      <c r="AH1588" s="194" t="s">
        <v>679</v>
      </c>
      <c r="AI1588" s="6" t="s">
        <v>1843</v>
      </c>
      <c r="AJ1588" s="3" t="s">
        <v>8248</v>
      </c>
      <c r="AK1588" t="s">
        <v>8248</v>
      </c>
      <c r="AV1588"/>
      <c r="AX1588"/>
      <c r="AZ1588" t="str">
        <f t="shared" si="269"/>
        <v/>
      </c>
      <c r="BA1588" t="str">
        <f t="shared" si="270"/>
        <v/>
      </c>
    </row>
    <row r="1589" spans="3:53" ht="13.5">
      <c r="C1589" s="19"/>
      <c r="D1589" s="19"/>
      <c r="AC1589" s="6" t="s">
        <v>2827</v>
      </c>
      <c r="AD1589" s="6" t="s">
        <v>7355</v>
      </c>
      <c r="AE1589" s="155" t="s">
        <v>2399</v>
      </c>
      <c r="AF1589" s="159" t="s">
        <v>8339</v>
      </c>
      <c r="AG1589" s="160" t="s">
        <v>2563</v>
      </c>
      <c r="AH1589" s="194" t="s">
        <v>678</v>
      </c>
      <c r="AI1589" s="6" t="s">
        <v>2160</v>
      </c>
      <c r="AJ1589" s="3" t="s">
        <v>8248</v>
      </c>
      <c r="AK1589" t="s">
        <v>8248</v>
      </c>
      <c r="AV1589"/>
      <c r="AX1589"/>
      <c r="AZ1589" t="str">
        <f t="shared" si="269"/>
        <v/>
      </c>
      <c r="BA1589" t="str">
        <f t="shared" si="270"/>
        <v/>
      </c>
    </row>
    <row r="1590" spans="3:53" ht="13.5">
      <c r="C1590" s="19"/>
      <c r="D1590" s="19"/>
      <c r="AC1590" s="6" t="s">
        <v>4365</v>
      </c>
      <c r="AD1590" s="6" t="s">
        <v>7363</v>
      </c>
      <c r="AE1590" s="155" t="s">
        <v>2400</v>
      </c>
      <c r="AF1590" s="159" t="s">
        <v>8299</v>
      </c>
      <c r="AG1590" s="160" t="s">
        <v>2564</v>
      </c>
      <c r="AH1590" s="194" t="s">
        <v>678</v>
      </c>
      <c r="AI1590" s="6" t="s">
        <v>5340</v>
      </c>
      <c r="AJ1590" s="3" t="s">
        <v>8248</v>
      </c>
      <c r="AK1590" t="s">
        <v>8248</v>
      </c>
      <c r="AV1590"/>
      <c r="AX1590"/>
      <c r="AZ1590" t="str">
        <f t="shared" si="269"/>
        <v/>
      </c>
      <c r="BA1590" t="str">
        <f t="shared" si="270"/>
        <v/>
      </c>
    </row>
    <row r="1591" spans="3:53" ht="13.5">
      <c r="C1591" s="19"/>
      <c r="D1591" s="19"/>
      <c r="AC1591" s="6" t="s">
        <v>2351</v>
      </c>
      <c r="AD1591" s="6" t="s">
        <v>7360</v>
      </c>
      <c r="AE1591" s="155" t="s">
        <v>2401</v>
      </c>
      <c r="AF1591" s="159" t="s">
        <v>8299</v>
      </c>
      <c r="AG1591" s="160" t="s">
        <v>2565</v>
      </c>
      <c r="AH1591" s="194" t="s">
        <v>678</v>
      </c>
      <c r="AI1591" s="6" t="s">
        <v>3623</v>
      </c>
      <c r="AJ1591" s="3" t="s">
        <v>8283</v>
      </c>
      <c r="AK1591" t="s">
        <v>8283</v>
      </c>
      <c r="AV1591"/>
      <c r="AX1591"/>
      <c r="AZ1591" t="str">
        <f t="shared" si="269"/>
        <v/>
      </c>
      <c r="BA1591" t="str">
        <f t="shared" si="270"/>
        <v/>
      </c>
    </row>
    <row r="1592" spans="3:53" ht="13.5">
      <c r="C1592" s="19"/>
      <c r="D1592" s="19"/>
      <c r="AC1592" s="6" t="s">
        <v>2471</v>
      </c>
      <c r="AD1592" s="6" t="s">
        <v>7345</v>
      </c>
      <c r="AE1592" s="155" t="s">
        <v>2402</v>
      </c>
      <c r="AF1592" s="159" t="s">
        <v>8339</v>
      </c>
      <c r="AG1592" s="160" t="s">
        <v>2639</v>
      </c>
      <c r="AH1592" s="194" t="s">
        <v>4700</v>
      </c>
      <c r="AI1592" s="6" t="s">
        <v>3624</v>
      </c>
      <c r="AJ1592" s="3" t="s">
        <v>8283</v>
      </c>
      <c r="AK1592" t="s">
        <v>8283</v>
      </c>
      <c r="AV1592"/>
      <c r="AX1592"/>
      <c r="AZ1592" t="str">
        <f t="shared" si="269"/>
        <v/>
      </c>
      <c r="BA1592" t="str">
        <f t="shared" si="270"/>
        <v/>
      </c>
    </row>
    <row r="1593" spans="3:53" ht="13.5">
      <c r="C1593" s="19"/>
      <c r="D1593" s="19"/>
      <c r="AC1593" s="6" t="s">
        <v>4838</v>
      </c>
      <c r="AD1593" s="6" t="s">
        <v>7364</v>
      </c>
      <c r="AE1593" s="155" t="s">
        <v>2403</v>
      </c>
      <c r="AF1593" s="159" t="s">
        <v>8309</v>
      </c>
      <c r="AG1593" s="160" t="s">
        <v>2693</v>
      </c>
      <c r="AH1593" s="194" t="s">
        <v>678</v>
      </c>
      <c r="AI1593" s="6" t="s">
        <v>3625</v>
      </c>
      <c r="AJ1593" s="3" t="s">
        <v>8283</v>
      </c>
      <c r="AK1593" t="s">
        <v>8283</v>
      </c>
      <c r="AV1593"/>
      <c r="AX1593"/>
      <c r="AZ1593" t="str">
        <f t="shared" si="269"/>
        <v/>
      </c>
      <c r="BA1593" t="str">
        <f t="shared" si="270"/>
        <v/>
      </c>
    </row>
    <row r="1594" spans="3:53" ht="13.5">
      <c r="C1594" s="19"/>
      <c r="D1594" s="19"/>
      <c r="AC1594" s="6" t="s">
        <v>2336</v>
      </c>
      <c r="AD1594" s="6" t="s">
        <v>7365</v>
      </c>
      <c r="AE1594" s="155" t="s">
        <v>2404</v>
      </c>
      <c r="AF1594" s="159" t="s">
        <v>8339</v>
      </c>
      <c r="AG1594" s="160" t="s">
        <v>2694</v>
      </c>
      <c r="AH1594" s="194" t="s">
        <v>678</v>
      </c>
      <c r="AI1594" s="6" t="s">
        <v>3628</v>
      </c>
      <c r="AJ1594" s="3" t="s">
        <v>8260</v>
      </c>
      <c r="AK1594" t="s">
        <v>8678</v>
      </c>
      <c r="AV1594"/>
      <c r="AX1594"/>
      <c r="AZ1594" t="str">
        <f t="shared" ref="AZ1594:AZ1657" si="271">IF(ISBLANK(AW1594),"",CONCATENATE("(",RIGHT(AW1594,5),"-",TEXT(AX1594,"h:mm;@"),")"))</f>
        <v/>
      </c>
      <c r="BA1594" t="str">
        <f t="shared" ref="BA1594:BA1657" si="272">IF(AV1610=AV1594,"",CONCATENATE(IF(AV1609=AV1594,BA1609,""),IF(AV1608=AV1594,BA1608,""),IF(AV1607=AV1594,BA1607,""),IF(AV1606=AV1594,BA1606,""),IF(AV1605=AV1594,BA1605,""),IF(AV1604=AV1594,BA1604,""),IF(AV1603=AV1594,BA1603,""),IF(AV1602=AV1594,BA1602,""),IF(AV1601=AV1594,BA1601,""),IF(AV1600=AV1594,BA1600,""),IF(AV1599=AV1594,BA1599,""),IF(AV1598=AV1594,BA1598,""),IF(AV1597=AV1594,BA1597,""),IF(AV1596=AV1594,BA1596,""),IF(AV1595=AV1594,BA1595,""),IF(AV1593=AV1594,BA1593,""),BA1594))</f>
        <v/>
      </c>
    </row>
    <row r="1595" spans="3:53" ht="13.5">
      <c r="C1595" s="19"/>
      <c r="D1595" s="19"/>
      <c r="AC1595" s="6">
        <v>65110</v>
      </c>
      <c r="AD1595" s="6" t="s">
        <v>7345</v>
      </c>
      <c r="AE1595" s="155" t="s">
        <v>2405</v>
      </c>
      <c r="AF1595" s="159" t="s">
        <v>8311</v>
      </c>
      <c r="AG1595" s="160" t="s">
        <v>3830</v>
      </c>
      <c r="AH1595" s="194" t="s">
        <v>678</v>
      </c>
      <c r="AI1595" s="6" t="s">
        <v>3629</v>
      </c>
      <c r="AJ1595" s="3" t="s">
        <v>8260</v>
      </c>
      <c r="AK1595" t="s">
        <v>8678</v>
      </c>
      <c r="AV1595"/>
      <c r="AX1595"/>
      <c r="AZ1595" t="str">
        <f t="shared" si="271"/>
        <v/>
      </c>
      <c r="BA1595" t="str">
        <f t="shared" si="272"/>
        <v/>
      </c>
    </row>
    <row r="1596" spans="3:53" ht="13.5">
      <c r="C1596" s="19"/>
      <c r="D1596" s="19"/>
      <c r="AC1596" s="6" t="s">
        <v>2361</v>
      </c>
      <c r="AD1596" s="6" t="s">
        <v>7363</v>
      </c>
      <c r="AE1596" s="155" t="s">
        <v>2406</v>
      </c>
      <c r="AF1596" s="159" t="s">
        <v>8339</v>
      </c>
      <c r="AG1596" s="160" t="s">
        <v>2033</v>
      </c>
      <c r="AH1596" s="194" t="s">
        <v>679</v>
      </c>
      <c r="AI1596" s="6" t="s">
        <v>50</v>
      </c>
      <c r="AJ1596" s="3" t="s">
        <v>8261</v>
      </c>
      <c r="AK1596" t="s">
        <v>8261</v>
      </c>
      <c r="AV1596"/>
      <c r="AX1596"/>
      <c r="AZ1596" t="str">
        <f t="shared" si="271"/>
        <v/>
      </c>
      <c r="BA1596" t="str">
        <f t="shared" si="272"/>
        <v/>
      </c>
    </row>
    <row r="1597" spans="3:53" ht="13.5">
      <c r="C1597" s="19"/>
      <c r="D1597" s="19"/>
      <c r="AC1597" s="6" t="s">
        <v>1290</v>
      </c>
      <c r="AD1597" s="6" t="s">
        <v>7353</v>
      </c>
      <c r="AE1597" s="155" t="s">
        <v>2407</v>
      </c>
      <c r="AF1597" s="159" t="s">
        <v>8299</v>
      </c>
      <c r="AG1597" s="160" t="s">
        <v>2034</v>
      </c>
      <c r="AH1597" s="194" t="s">
        <v>1314</v>
      </c>
      <c r="AI1597" s="6" t="s">
        <v>36</v>
      </c>
      <c r="AJ1597" s="3" t="s">
        <v>8261</v>
      </c>
      <c r="AK1597" t="s">
        <v>8261</v>
      </c>
      <c r="AV1597"/>
      <c r="AX1597"/>
      <c r="AZ1597" t="str">
        <f t="shared" si="271"/>
        <v/>
      </c>
      <c r="BA1597" t="str">
        <f t="shared" si="272"/>
        <v/>
      </c>
    </row>
    <row r="1598" spans="3:53" ht="13.5">
      <c r="C1598" s="19"/>
      <c r="D1598" s="19"/>
      <c r="AC1598" s="6">
        <v>65277</v>
      </c>
      <c r="AD1598" s="6" t="s">
        <v>7366</v>
      </c>
      <c r="AE1598" s="155" t="s">
        <v>2408</v>
      </c>
      <c r="AF1598" s="159" t="s">
        <v>8299</v>
      </c>
      <c r="AG1598" s="160" t="s">
        <v>2035</v>
      </c>
      <c r="AH1598" s="194" t="s">
        <v>679</v>
      </c>
      <c r="AI1598" s="6" t="s">
        <v>51</v>
      </c>
      <c r="AJ1598" s="3" t="s">
        <v>8261</v>
      </c>
      <c r="AK1598" t="s">
        <v>8261</v>
      </c>
      <c r="AV1598"/>
      <c r="AX1598"/>
      <c r="AZ1598" t="str">
        <f t="shared" si="271"/>
        <v/>
      </c>
      <c r="BA1598" t="str">
        <f t="shared" si="272"/>
        <v/>
      </c>
    </row>
    <row r="1599" spans="3:53" ht="13.5">
      <c r="C1599" s="19"/>
      <c r="D1599" s="19"/>
      <c r="AC1599" s="6" t="s">
        <v>3899</v>
      </c>
      <c r="AD1599" s="6" t="s">
        <v>7367</v>
      </c>
      <c r="AE1599" s="155" t="s">
        <v>2409</v>
      </c>
      <c r="AF1599" s="159" t="s">
        <v>8299</v>
      </c>
      <c r="AG1599" s="160" t="s">
        <v>2036</v>
      </c>
      <c r="AH1599" s="194" t="s">
        <v>1314</v>
      </c>
      <c r="AI1599" s="6" t="s">
        <v>1777</v>
      </c>
      <c r="AJ1599" s="3" t="s">
        <v>8227</v>
      </c>
      <c r="AK1599" t="s">
        <v>8227</v>
      </c>
      <c r="AV1599"/>
      <c r="AX1599"/>
      <c r="AZ1599" t="str">
        <f t="shared" si="271"/>
        <v/>
      </c>
      <c r="BA1599" t="str">
        <f t="shared" si="272"/>
        <v/>
      </c>
    </row>
    <row r="1600" spans="3:53" ht="13.5">
      <c r="C1600" s="19"/>
      <c r="D1600" s="19"/>
      <c r="AC1600" s="6" t="s">
        <v>2398</v>
      </c>
      <c r="AD1600" s="6" t="s">
        <v>7345</v>
      </c>
      <c r="AE1600" s="155" t="s">
        <v>2410</v>
      </c>
      <c r="AF1600" s="159" t="s">
        <v>8339</v>
      </c>
      <c r="AG1600" s="160" t="s">
        <v>2037</v>
      </c>
      <c r="AH1600" s="194" t="s">
        <v>1314</v>
      </c>
      <c r="AI1600" s="6" t="s">
        <v>1780</v>
      </c>
      <c r="AJ1600" s="3" t="s">
        <v>8227</v>
      </c>
      <c r="AK1600" t="s">
        <v>8227</v>
      </c>
      <c r="AV1600"/>
      <c r="AX1600"/>
      <c r="AZ1600" t="str">
        <f t="shared" si="271"/>
        <v/>
      </c>
      <c r="BA1600" t="str">
        <f t="shared" si="272"/>
        <v/>
      </c>
    </row>
    <row r="1601" spans="3:53" ht="13.5">
      <c r="C1601" s="19"/>
      <c r="D1601" s="19"/>
      <c r="AC1601" s="6">
        <v>65330</v>
      </c>
      <c r="AD1601" s="6" t="s">
        <v>7368</v>
      </c>
      <c r="AE1601" s="155" t="s">
        <v>2411</v>
      </c>
      <c r="AF1601" s="159" t="s">
        <v>8297</v>
      </c>
      <c r="AG1601" s="160" t="s">
        <v>2038</v>
      </c>
      <c r="AH1601" s="194" t="s">
        <v>679</v>
      </c>
      <c r="AI1601" s="6" t="s">
        <v>82</v>
      </c>
      <c r="AJ1601" s="3" t="s">
        <v>8217</v>
      </c>
      <c r="AK1601" t="s">
        <v>8668</v>
      </c>
      <c r="AV1601"/>
      <c r="AX1601"/>
      <c r="AZ1601" t="str">
        <f t="shared" si="271"/>
        <v/>
      </c>
      <c r="BA1601" t="str">
        <f t="shared" si="272"/>
        <v/>
      </c>
    </row>
    <row r="1602" spans="3:53" ht="13.5">
      <c r="C1602" s="19"/>
      <c r="D1602" s="19"/>
      <c r="AC1602" s="6" t="s">
        <v>3900</v>
      </c>
      <c r="AD1602" s="6" t="s">
        <v>7367</v>
      </c>
      <c r="AE1602" s="155" t="s">
        <v>2412</v>
      </c>
      <c r="AF1602" s="159" t="s">
        <v>8299</v>
      </c>
      <c r="AG1602" s="160" t="s">
        <v>2039</v>
      </c>
      <c r="AH1602" s="194" t="s">
        <v>679</v>
      </c>
      <c r="AI1602" s="6" t="s">
        <v>1816</v>
      </c>
      <c r="AJ1602" s="3" t="s">
        <v>8227</v>
      </c>
      <c r="AK1602" t="s">
        <v>8227</v>
      </c>
      <c r="AV1602"/>
      <c r="AX1602"/>
      <c r="AZ1602" t="str">
        <f t="shared" si="271"/>
        <v/>
      </c>
      <c r="BA1602" t="str">
        <f t="shared" si="272"/>
        <v/>
      </c>
    </row>
    <row r="1603" spans="3:53" ht="13.5">
      <c r="C1603" s="19"/>
      <c r="D1603" s="19"/>
      <c r="AC1603" s="6" t="s">
        <v>2472</v>
      </c>
      <c r="AD1603" s="6" t="s">
        <v>7345</v>
      </c>
      <c r="AE1603" s="155" t="s">
        <v>2413</v>
      </c>
      <c r="AF1603" s="159" t="s">
        <v>8339</v>
      </c>
      <c r="AG1603" s="160" t="s">
        <v>2484</v>
      </c>
      <c r="AH1603" s="194" t="s">
        <v>679</v>
      </c>
      <c r="AI1603" s="6" t="s">
        <v>1817</v>
      </c>
      <c r="AJ1603" s="3" t="s">
        <v>8227</v>
      </c>
      <c r="AK1603" t="s">
        <v>8227</v>
      </c>
      <c r="AV1603"/>
      <c r="AX1603"/>
      <c r="AZ1603" t="str">
        <f t="shared" si="271"/>
        <v/>
      </c>
      <c r="BA1603" t="str">
        <f t="shared" si="272"/>
        <v/>
      </c>
    </row>
    <row r="1604" spans="3:53" ht="13.5">
      <c r="C1604" s="19"/>
      <c r="D1604" s="19"/>
      <c r="AC1604" s="6" t="s">
        <v>2425</v>
      </c>
      <c r="AD1604" s="6" t="s">
        <v>7369</v>
      </c>
      <c r="AE1604" s="155" t="s">
        <v>2414</v>
      </c>
      <c r="AF1604" s="159" t="s">
        <v>8299</v>
      </c>
      <c r="AG1604" s="160" t="s">
        <v>2560</v>
      </c>
      <c r="AH1604" s="194" t="s">
        <v>679</v>
      </c>
      <c r="AI1604" s="6" t="s">
        <v>2238</v>
      </c>
      <c r="AJ1604" s="3" t="s">
        <v>8227</v>
      </c>
      <c r="AK1604" t="s">
        <v>8227</v>
      </c>
      <c r="AV1604"/>
      <c r="AX1604"/>
      <c r="AZ1604" t="str">
        <f t="shared" si="271"/>
        <v/>
      </c>
      <c r="BA1604" t="str">
        <f t="shared" si="272"/>
        <v/>
      </c>
    </row>
    <row r="1605" spans="3:53" ht="13.5">
      <c r="C1605" s="19"/>
      <c r="D1605" s="19"/>
      <c r="AC1605" s="6" t="s">
        <v>3456</v>
      </c>
      <c r="AD1605" s="6" t="s">
        <v>7345</v>
      </c>
      <c r="AE1605" s="155" t="s">
        <v>2415</v>
      </c>
      <c r="AF1605" s="159" t="s">
        <v>8339</v>
      </c>
      <c r="AG1605" s="160" t="s">
        <v>2789</v>
      </c>
      <c r="AH1605" s="194" t="s">
        <v>679</v>
      </c>
      <c r="AI1605" s="6" t="s">
        <v>2240</v>
      </c>
      <c r="AJ1605" s="3" t="s">
        <v>8227</v>
      </c>
      <c r="AK1605" t="s">
        <v>8227</v>
      </c>
      <c r="AV1605"/>
      <c r="AX1605"/>
      <c r="AZ1605" t="str">
        <f t="shared" si="271"/>
        <v/>
      </c>
      <c r="BA1605" t="str">
        <f t="shared" si="272"/>
        <v/>
      </c>
    </row>
    <row r="1606" spans="3:53" ht="13.5">
      <c r="C1606" s="19"/>
      <c r="D1606" s="19"/>
      <c r="AC1606" s="6">
        <v>65276</v>
      </c>
      <c r="AD1606" s="6" t="s">
        <v>7345</v>
      </c>
      <c r="AE1606" s="155" t="s">
        <v>2416</v>
      </c>
      <c r="AF1606" s="159" t="s">
        <v>8299</v>
      </c>
      <c r="AG1606" s="160" t="s">
        <v>989</v>
      </c>
      <c r="AH1606" s="194" t="s">
        <v>1314</v>
      </c>
      <c r="AI1606" s="6" t="s">
        <v>2248</v>
      </c>
      <c r="AJ1606" s="3" t="s">
        <v>8227</v>
      </c>
      <c r="AK1606" t="s">
        <v>8227</v>
      </c>
      <c r="AV1606"/>
      <c r="AX1606"/>
      <c r="AZ1606" t="str">
        <f t="shared" si="271"/>
        <v/>
      </c>
      <c r="BA1606" t="str">
        <f t="shared" si="272"/>
        <v/>
      </c>
    </row>
    <row r="1607" spans="3:53" ht="13.5">
      <c r="C1607" s="19"/>
      <c r="D1607" s="19"/>
      <c r="AC1607" s="6" t="s">
        <v>2317</v>
      </c>
      <c r="AD1607" s="6" t="s">
        <v>7370</v>
      </c>
      <c r="AE1607" s="155" t="s">
        <v>2417</v>
      </c>
      <c r="AF1607" s="159" t="s">
        <v>8309</v>
      </c>
      <c r="AG1607" s="160" t="s">
        <v>4772</v>
      </c>
      <c r="AH1607" s="194" t="s">
        <v>679</v>
      </c>
      <c r="AI1607" s="6" t="s">
        <v>2027</v>
      </c>
      <c r="AJ1607" s="3" t="s">
        <v>8239</v>
      </c>
      <c r="AK1607" t="s">
        <v>8674</v>
      </c>
      <c r="AV1607"/>
      <c r="AX1607"/>
      <c r="AZ1607" t="str">
        <f t="shared" si="271"/>
        <v/>
      </c>
      <c r="BA1607" t="str">
        <f t="shared" si="272"/>
        <v/>
      </c>
    </row>
    <row r="1608" spans="3:53" ht="13.5">
      <c r="C1608" s="19"/>
      <c r="D1608" s="19"/>
      <c r="AC1608" s="6" t="s">
        <v>3455</v>
      </c>
      <c r="AD1608" s="6" t="s">
        <v>7345</v>
      </c>
      <c r="AE1608" s="155" t="s">
        <v>2418</v>
      </c>
      <c r="AF1608" s="159" t="s">
        <v>8299</v>
      </c>
      <c r="AG1608" s="160" t="s">
        <v>4785</v>
      </c>
      <c r="AH1608" s="194" t="s">
        <v>1314</v>
      </c>
      <c r="AI1608" s="6" t="s">
        <v>2479</v>
      </c>
      <c r="AJ1608" s="3" t="s">
        <v>8251</v>
      </c>
      <c r="AK1608" t="s">
        <v>8251</v>
      </c>
      <c r="AV1608"/>
      <c r="AX1608"/>
      <c r="AZ1608" t="str">
        <f t="shared" si="271"/>
        <v/>
      </c>
      <c r="BA1608" t="str">
        <f t="shared" si="272"/>
        <v/>
      </c>
    </row>
    <row r="1609" spans="3:53" ht="13.5">
      <c r="C1609" s="19"/>
      <c r="D1609" s="19"/>
      <c r="AC1609" s="6" t="s">
        <v>3454</v>
      </c>
      <c r="AD1609" s="6" t="s">
        <v>7345</v>
      </c>
      <c r="AE1609" s="155" t="s">
        <v>2419</v>
      </c>
      <c r="AF1609" s="159" t="s">
        <v>8299</v>
      </c>
      <c r="AG1609" s="160" t="s">
        <v>4780</v>
      </c>
      <c r="AH1609" s="194" t="s">
        <v>1314</v>
      </c>
      <c r="AI1609" s="6" t="s">
        <v>135</v>
      </c>
      <c r="AJ1609" s="3" t="s">
        <v>8233</v>
      </c>
      <c r="AK1609" t="s">
        <v>8233</v>
      </c>
      <c r="AV1609"/>
      <c r="AX1609"/>
      <c r="AZ1609" t="str">
        <f t="shared" si="271"/>
        <v/>
      </c>
      <c r="BA1609" t="str">
        <f t="shared" si="272"/>
        <v/>
      </c>
    </row>
    <row r="1610" spans="3:53" ht="13.5">
      <c r="C1610" s="19"/>
      <c r="D1610" s="19"/>
      <c r="AC1610" s="6" t="s">
        <v>4171</v>
      </c>
      <c r="AD1610" s="6" t="s">
        <v>7345</v>
      </c>
      <c r="AE1610" s="155" t="s">
        <v>2420</v>
      </c>
      <c r="AF1610" s="159" t="s">
        <v>8297</v>
      </c>
      <c r="AG1610" s="160" t="s">
        <v>147</v>
      </c>
      <c r="AH1610" s="194" t="s">
        <v>678</v>
      </c>
      <c r="AI1610" s="6" t="s">
        <v>1472</v>
      </c>
      <c r="AJ1610" s="3" t="s">
        <v>8223</v>
      </c>
      <c r="AK1610" t="s">
        <v>8223</v>
      </c>
      <c r="AV1610"/>
      <c r="AX1610"/>
      <c r="AZ1610" t="str">
        <f t="shared" si="271"/>
        <v/>
      </c>
      <c r="BA1610" t="str">
        <f t="shared" si="272"/>
        <v/>
      </c>
    </row>
    <row r="1611" spans="3:53" ht="13.5">
      <c r="C1611" s="19"/>
      <c r="D1611" s="19"/>
      <c r="AC1611" s="6" t="s">
        <v>2329</v>
      </c>
      <c r="AD1611" s="6" t="s">
        <v>7371</v>
      </c>
      <c r="AE1611" s="155" t="s">
        <v>2421</v>
      </c>
      <c r="AF1611" s="159" t="s">
        <v>8386</v>
      </c>
      <c r="AG1611" s="160" t="s">
        <v>148</v>
      </c>
      <c r="AH1611" s="194" t="s">
        <v>679</v>
      </c>
      <c r="AI1611" s="6" t="s">
        <v>1644</v>
      </c>
      <c r="AJ1611" s="3" t="s">
        <v>8233</v>
      </c>
      <c r="AK1611" t="s">
        <v>8233</v>
      </c>
      <c r="AV1611"/>
      <c r="AX1611"/>
      <c r="AZ1611" t="str">
        <f t="shared" si="271"/>
        <v/>
      </c>
      <c r="BA1611" t="str">
        <f t="shared" si="272"/>
        <v/>
      </c>
    </row>
    <row r="1612" spans="3:53" ht="13.5">
      <c r="C1612" s="19"/>
      <c r="D1612" s="19"/>
      <c r="AC1612" s="6" t="s">
        <v>2357</v>
      </c>
      <c r="AD1612" s="6" t="s">
        <v>7360</v>
      </c>
      <c r="AE1612" s="155" t="s">
        <v>2422</v>
      </c>
      <c r="AF1612" s="159" t="s">
        <v>8339</v>
      </c>
      <c r="AG1612" s="160" t="s">
        <v>1423</v>
      </c>
      <c r="AH1612" s="194" t="s">
        <v>679</v>
      </c>
      <c r="AI1612" s="6" t="s">
        <v>136</v>
      </c>
      <c r="AJ1612" s="3" t="s">
        <v>8233</v>
      </c>
      <c r="AK1612" t="s">
        <v>8233</v>
      </c>
      <c r="AV1612"/>
      <c r="AX1612"/>
      <c r="AZ1612" t="str">
        <f t="shared" si="271"/>
        <v/>
      </c>
      <c r="BA1612" t="str">
        <f t="shared" si="272"/>
        <v/>
      </c>
    </row>
    <row r="1613" spans="3:53" ht="13.5">
      <c r="C1613" s="19"/>
      <c r="D1613" s="19"/>
      <c r="AC1613" s="6" t="s">
        <v>1264</v>
      </c>
      <c r="AD1613" s="6" t="s">
        <v>7372</v>
      </c>
      <c r="AE1613" s="155" t="s">
        <v>2423</v>
      </c>
      <c r="AF1613" s="159" t="s">
        <v>8299</v>
      </c>
      <c r="AG1613" s="160" t="s">
        <v>1008</v>
      </c>
      <c r="AH1613" s="194" t="s">
        <v>679</v>
      </c>
      <c r="AI1613" s="6" t="s">
        <v>5342</v>
      </c>
      <c r="AJ1613" s="3" t="s">
        <v>8275</v>
      </c>
      <c r="AK1613" t="s">
        <v>8275</v>
      </c>
      <c r="AV1613"/>
      <c r="AX1613"/>
      <c r="AZ1613" t="str">
        <f t="shared" si="271"/>
        <v/>
      </c>
      <c r="BA1613" t="str">
        <f t="shared" si="272"/>
        <v/>
      </c>
    </row>
    <row r="1614" spans="3:53" ht="13.5">
      <c r="C1614" s="19"/>
      <c r="D1614" s="19"/>
      <c r="AC1614" s="6" t="s">
        <v>3889</v>
      </c>
      <c r="AD1614" s="6" t="s">
        <v>7353</v>
      </c>
      <c r="AE1614" s="155" t="s">
        <v>2424</v>
      </c>
      <c r="AF1614" s="159" t="s">
        <v>8339</v>
      </c>
      <c r="AG1614" s="160" t="s">
        <v>1459</v>
      </c>
      <c r="AH1614" s="194" t="s">
        <v>678</v>
      </c>
      <c r="AI1614" s="6" t="s">
        <v>3634</v>
      </c>
      <c r="AJ1614" s="3" t="s">
        <v>8199</v>
      </c>
      <c r="AK1614" t="s">
        <v>8199</v>
      </c>
      <c r="AV1614"/>
      <c r="AX1614"/>
      <c r="AZ1614" t="str">
        <f t="shared" si="271"/>
        <v/>
      </c>
      <c r="BA1614" t="str">
        <f t="shared" si="272"/>
        <v/>
      </c>
    </row>
    <row r="1615" spans="3:53" ht="13.5">
      <c r="C1615" s="19"/>
      <c r="D1615" s="19"/>
      <c r="AC1615" s="6" t="s">
        <v>5289</v>
      </c>
      <c r="AD1615" s="6" t="s">
        <v>7345</v>
      </c>
      <c r="AE1615" s="155" t="s">
        <v>2425</v>
      </c>
      <c r="AF1615" s="159" t="s">
        <v>8312</v>
      </c>
      <c r="AG1615" s="160" t="s">
        <v>1460</v>
      </c>
      <c r="AH1615" s="194" t="s">
        <v>679</v>
      </c>
      <c r="AI1615" s="6" t="s">
        <v>3636</v>
      </c>
      <c r="AJ1615" s="3" t="s">
        <v>8199</v>
      </c>
      <c r="AK1615" t="s">
        <v>8199</v>
      </c>
      <c r="AV1615"/>
      <c r="AX1615"/>
      <c r="AZ1615" t="str">
        <f t="shared" si="271"/>
        <v/>
      </c>
      <c r="BA1615" t="str">
        <f t="shared" si="272"/>
        <v/>
      </c>
    </row>
    <row r="1616" spans="3:53" ht="13.5">
      <c r="C1616" s="19"/>
      <c r="D1616" s="19"/>
      <c r="AC1616" s="6" t="s">
        <v>5603</v>
      </c>
      <c r="AD1616" s="6" t="s">
        <v>7353</v>
      </c>
      <c r="AE1616" s="155" t="s">
        <v>1290</v>
      </c>
      <c r="AF1616" s="159" t="s">
        <v>8299</v>
      </c>
      <c r="AG1616" s="160" t="s">
        <v>963</v>
      </c>
      <c r="AH1616" s="194" t="s">
        <v>679</v>
      </c>
      <c r="AI1616" s="6" t="s">
        <v>3639</v>
      </c>
      <c r="AJ1616" s="3" t="s">
        <v>8199</v>
      </c>
      <c r="AK1616" t="s">
        <v>8199</v>
      </c>
      <c r="AV1616"/>
      <c r="AX1616"/>
      <c r="AZ1616" t="str">
        <f t="shared" si="271"/>
        <v/>
      </c>
      <c r="BA1616" t="str">
        <f t="shared" si="272"/>
        <v/>
      </c>
    </row>
    <row r="1617" spans="3:53" ht="13.5">
      <c r="C1617" s="19"/>
      <c r="D1617" s="19"/>
      <c r="AC1617" s="6" t="s">
        <v>6637</v>
      </c>
      <c r="AD1617" s="6" t="s">
        <v>7353</v>
      </c>
      <c r="AE1617" s="155" t="s">
        <v>2426</v>
      </c>
      <c r="AF1617" s="159" t="s">
        <v>8322</v>
      </c>
      <c r="AG1617" s="160" t="s">
        <v>1461</v>
      </c>
      <c r="AH1617" s="194" t="s">
        <v>678</v>
      </c>
      <c r="AI1617" s="6" t="s">
        <v>3641</v>
      </c>
      <c r="AJ1617" s="3" t="s">
        <v>8199</v>
      </c>
      <c r="AK1617" t="s">
        <v>8199</v>
      </c>
      <c r="AV1617"/>
      <c r="AX1617"/>
      <c r="AZ1617" t="str">
        <f t="shared" si="271"/>
        <v/>
      </c>
      <c r="BA1617" t="str">
        <f t="shared" si="272"/>
        <v/>
      </c>
    </row>
    <row r="1618" spans="3:53" ht="13.5">
      <c r="C1618" s="19"/>
      <c r="D1618" s="19"/>
      <c r="AC1618" s="6" t="s">
        <v>3146</v>
      </c>
      <c r="AD1618" s="6" t="s">
        <v>7353</v>
      </c>
      <c r="AE1618" s="155" t="s">
        <v>2428</v>
      </c>
      <c r="AF1618" s="159" t="s">
        <v>8299</v>
      </c>
      <c r="AG1618" s="160" t="s">
        <v>1462</v>
      </c>
      <c r="AH1618" s="194" t="s">
        <v>678</v>
      </c>
      <c r="AI1618" s="6" t="s">
        <v>3644</v>
      </c>
      <c r="AJ1618" s="3" t="s">
        <v>8261</v>
      </c>
      <c r="AK1618" t="s">
        <v>8261</v>
      </c>
      <c r="AV1618"/>
      <c r="AX1618"/>
      <c r="AZ1618" t="str">
        <f t="shared" si="271"/>
        <v/>
      </c>
      <c r="BA1618" t="str">
        <f t="shared" si="272"/>
        <v/>
      </c>
    </row>
    <row r="1619" spans="3:53" ht="13.5">
      <c r="C1619" s="19"/>
      <c r="D1619" s="19"/>
      <c r="AC1619" s="6" t="s">
        <v>3080</v>
      </c>
      <c r="AD1619" s="6" t="s">
        <v>7353</v>
      </c>
      <c r="AE1619" s="155" t="s">
        <v>2429</v>
      </c>
      <c r="AF1619" s="159" t="s">
        <v>8387</v>
      </c>
      <c r="AG1619" s="160" t="s">
        <v>1463</v>
      </c>
      <c r="AH1619" s="194" t="s">
        <v>678</v>
      </c>
      <c r="AI1619" s="6" t="s">
        <v>3649</v>
      </c>
      <c r="AJ1619" s="3" t="s">
        <v>8260</v>
      </c>
      <c r="AK1619" t="s">
        <v>8678</v>
      </c>
      <c r="AV1619"/>
      <c r="AX1619"/>
      <c r="AZ1619" t="str">
        <f t="shared" si="271"/>
        <v/>
      </c>
      <c r="BA1619" t="str">
        <f t="shared" si="272"/>
        <v/>
      </c>
    </row>
    <row r="1620" spans="3:53" ht="13.5">
      <c r="C1620" s="19"/>
      <c r="D1620" s="19"/>
      <c r="AC1620" s="6" t="s">
        <v>5726</v>
      </c>
      <c r="AD1620" s="6" t="s">
        <v>7353</v>
      </c>
      <c r="AE1620" s="155" t="s">
        <v>2430</v>
      </c>
      <c r="AF1620" s="159" t="s">
        <v>8324</v>
      </c>
      <c r="AG1620" s="160" t="s">
        <v>1464</v>
      </c>
      <c r="AH1620" s="194" t="s">
        <v>679</v>
      </c>
      <c r="AI1620" s="6" t="s">
        <v>3650</v>
      </c>
      <c r="AJ1620" s="3" t="s">
        <v>8260</v>
      </c>
      <c r="AK1620" t="s">
        <v>8678</v>
      </c>
      <c r="AV1620"/>
      <c r="AX1620"/>
      <c r="AZ1620" t="str">
        <f t="shared" si="271"/>
        <v/>
      </c>
      <c r="BA1620" t="str">
        <f t="shared" si="272"/>
        <v/>
      </c>
    </row>
    <row r="1621" spans="3:53" ht="13.5">
      <c r="C1621" s="19"/>
      <c r="D1621" s="19"/>
      <c r="AC1621" s="6" t="s">
        <v>2951</v>
      </c>
      <c r="AD1621" s="6" t="s">
        <v>7353</v>
      </c>
      <c r="AE1621" s="155" t="s">
        <v>2431</v>
      </c>
      <c r="AF1621" s="159" t="s">
        <v>8299</v>
      </c>
      <c r="AG1621" s="160" t="s">
        <v>149</v>
      </c>
      <c r="AH1621" s="194" t="s">
        <v>678</v>
      </c>
      <c r="AI1621" s="6" t="s">
        <v>3651</v>
      </c>
      <c r="AJ1621" s="3" t="s">
        <v>8260</v>
      </c>
      <c r="AK1621" t="s">
        <v>8678</v>
      </c>
      <c r="AV1621"/>
      <c r="AX1621"/>
      <c r="AZ1621" t="str">
        <f t="shared" si="271"/>
        <v/>
      </c>
      <c r="BA1621" t="str">
        <f t="shared" si="272"/>
        <v/>
      </c>
    </row>
    <row r="1622" spans="3:53" ht="13.5">
      <c r="C1622" s="19"/>
      <c r="D1622" s="19"/>
      <c r="AC1622" s="6" t="s">
        <v>5607</v>
      </c>
      <c r="AD1622" s="6" t="s">
        <v>7353</v>
      </c>
      <c r="AE1622" s="155" t="s">
        <v>2432</v>
      </c>
      <c r="AF1622" s="159" t="s">
        <v>8297</v>
      </c>
      <c r="AG1622" s="160" t="s">
        <v>1465</v>
      </c>
      <c r="AH1622" s="194" t="s">
        <v>678</v>
      </c>
      <c r="AI1622" s="6" t="s">
        <v>3652</v>
      </c>
      <c r="AJ1622" s="3" t="s">
        <v>8260</v>
      </c>
      <c r="AK1622" t="s">
        <v>8678</v>
      </c>
      <c r="AV1622"/>
      <c r="AX1622"/>
      <c r="AZ1622" t="str">
        <f t="shared" si="271"/>
        <v/>
      </c>
      <c r="BA1622" t="str">
        <f t="shared" si="272"/>
        <v/>
      </c>
    </row>
    <row r="1623" spans="3:53" ht="13.5">
      <c r="C1623" s="19"/>
      <c r="D1623" s="19"/>
      <c r="AC1623" s="6" t="s">
        <v>3442</v>
      </c>
      <c r="AD1623" s="6" t="s">
        <v>7353</v>
      </c>
      <c r="AE1623" s="155" t="s">
        <v>2433</v>
      </c>
      <c r="AF1623" s="159" t="s">
        <v>8331</v>
      </c>
      <c r="AG1623" s="160" t="s">
        <v>1466</v>
      </c>
      <c r="AH1623" s="194" t="s">
        <v>678</v>
      </c>
      <c r="AI1623" s="6" t="s">
        <v>3653</v>
      </c>
      <c r="AJ1623" s="3" t="s">
        <v>8268</v>
      </c>
      <c r="AK1623" t="s">
        <v>8268</v>
      </c>
      <c r="AV1623"/>
      <c r="AX1623"/>
      <c r="AZ1623" t="str">
        <f t="shared" si="271"/>
        <v/>
      </c>
      <c r="BA1623" t="str">
        <f t="shared" si="272"/>
        <v/>
      </c>
    </row>
    <row r="1624" spans="3:53" ht="13.5">
      <c r="C1624" s="19"/>
      <c r="D1624" s="19"/>
      <c r="AC1624" s="6" t="s">
        <v>2343</v>
      </c>
      <c r="AD1624" s="6" t="s">
        <v>7373</v>
      </c>
      <c r="AE1624" s="155" t="s">
        <v>2434</v>
      </c>
      <c r="AF1624" s="159" t="s">
        <v>8299</v>
      </c>
      <c r="AG1624" s="160" t="s">
        <v>959</v>
      </c>
      <c r="AH1624" s="194" t="s">
        <v>678</v>
      </c>
      <c r="AI1624" s="6" t="s">
        <v>3655</v>
      </c>
      <c r="AJ1624" s="3" t="s">
        <v>8260</v>
      </c>
      <c r="AK1624" t="s">
        <v>8678</v>
      </c>
      <c r="AV1624"/>
      <c r="AX1624"/>
      <c r="AZ1624" t="str">
        <f t="shared" si="271"/>
        <v/>
      </c>
      <c r="BA1624" t="str">
        <f t="shared" si="272"/>
        <v/>
      </c>
    </row>
    <row r="1625" spans="3:53" ht="13.5">
      <c r="C1625" s="19"/>
      <c r="D1625" s="19"/>
      <c r="AC1625" s="6" t="s">
        <v>3267</v>
      </c>
      <c r="AD1625" s="6" t="s">
        <v>7345</v>
      </c>
      <c r="AE1625" s="155" t="s">
        <v>2435</v>
      </c>
      <c r="AF1625" s="159" t="s">
        <v>8339</v>
      </c>
      <c r="AG1625" s="160" t="s">
        <v>1009</v>
      </c>
      <c r="AH1625" s="194" t="s">
        <v>678</v>
      </c>
      <c r="AI1625" s="6" t="s">
        <v>3656</v>
      </c>
      <c r="AJ1625" s="3" t="s">
        <v>8260</v>
      </c>
      <c r="AK1625" t="s">
        <v>8678</v>
      </c>
      <c r="AV1625"/>
      <c r="AX1625"/>
      <c r="AZ1625" t="str">
        <f t="shared" si="271"/>
        <v/>
      </c>
      <c r="BA1625" t="str">
        <f t="shared" si="272"/>
        <v/>
      </c>
    </row>
    <row r="1626" spans="3:53" ht="13.5">
      <c r="C1626" s="19"/>
      <c r="D1626" s="19"/>
      <c r="AC1626" s="6" t="s">
        <v>5383</v>
      </c>
      <c r="AD1626" s="6" t="s">
        <v>7353</v>
      </c>
      <c r="AE1626" s="155" t="s">
        <v>2436</v>
      </c>
      <c r="AF1626" s="159" t="s">
        <v>8299</v>
      </c>
      <c r="AG1626" s="160" t="s">
        <v>1467</v>
      </c>
      <c r="AH1626" s="194" t="s">
        <v>679</v>
      </c>
      <c r="AI1626" s="6" t="s">
        <v>3657</v>
      </c>
      <c r="AJ1626" s="3" t="s">
        <v>8260</v>
      </c>
      <c r="AK1626" t="s">
        <v>8678</v>
      </c>
      <c r="AV1626"/>
      <c r="AX1626"/>
      <c r="AZ1626" t="str">
        <f t="shared" si="271"/>
        <v/>
      </c>
      <c r="BA1626" t="str">
        <f t="shared" si="272"/>
        <v/>
      </c>
    </row>
    <row r="1627" spans="3:53" ht="13.5">
      <c r="C1627" s="19"/>
      <c r="D1627" s="19"/>
      <c r="AC1627" s="6" t="s">
        <v>3269</v>
      </c>
      <c r="AD1627" s="6" t="s">
        <v>7353</v>
      </c>
      <c r="AE1627" s="155" t="s">
        <v>2437</v>
      </c>
      <c r="AF1627" s="159" t="s">
        <v>8299</v>
      </c>
      <c r="AG1627" s="160" t="s">
        <v>993</v>
      </c>
      <c r="AH1627" s="194" t="s">
        <v>678</v>
      </c>
      <c r="AI1627" s="6" t="s">
        <v>3658</v>
      </c>
      <c r="AJ1627" s="3" t="s">
        <v>8260</v>
      </c>
      <c r="AK1627" t="s">
        <v>8678</v>
      </c>
      <c r="AV1627"/>
      <c r="AX1627"/>
      <c r="AZ1627" t="str">
        <f t="shared" si="271"/>
        <v/>
      </c>
      <c r="BA1627" t="str">
        <f t="shared" si="272"/>
        <v/>
      </c>
    </row>
    <row r="1628" spans="3:53" ht="13.5">
      <c r="C1628" s="19"/>
      <c r="D1628" s="19"/>
      <c r="AC1628" s="6" t="s">
        <v>2320</v>
      </c>
      <c r="AD1628" s="6" t="s">
        <v>7374</v>
      </c>
      <c r="AE1628" s="155" t="s">
        <v>2438</v>
      </c>
      <c r="AF1628" s="159" t="s">
        <v>8299</v>
      </c>
      <c r="AG1628" s="160" t="s">
        <v>1478</v>
      </c>
      <c r="AH1628" s="194" t="s">
        <v>679</v>
      </c>
      <c r="AI1628" s="6" t="s">
        <v>3659</v>
      </c>
      <c r="AJ1628" s="3" t="s">
        <v>8214</v>
      </c>
      <c r="AK1628" t="s">
        <v>8214</v>
      </c>
      <c r="AV1628"/>
      <c r="AX1628"/>
      <c r="AZ1628" t="str">
        <f t="shared" si="271"/>
        <v/>
      </c>
      <c r="BA1628" t="str">
        <f t="shared" si="272"/>
        <v/>
      </c>
    </row>
    <row r="1629" spans="3:53" ht="13.5">
      <c r="C1629" s="19"/>
      <c r="D1629" s="19"/>
      <c r="AC1629" s="6" t="s">
        <v>2887</v>
      </c>
      <c r="AD1629" s="6" t="s">
        <v>7353</v>
      </c>
      <c r="AE1629" s="155" t="s">
        <v>2439</v>
      </c>
      <c r="AF1629" s="159" t="s">
        <v>8299</v>
      </c>
      <c r="AG1629" s="160" t="s">
        <v>1486</v>
      </c>
      <c r="AH1629" s="194" t="s">
        <v>679</v>
      </c>
      <c r="AI1629" s="6" t="s">
        <v>2171</v>
      </c>
      <c r="AJ1629" s="3" t="s">
        <v>8217</v>
      </c>
      <c r="AK1629" t="s">
        <v>8668</v>
      </c>
      <c r="AV1629"/>
      <c r="AX1629"/>
      <c r="AZ1629" t="str">
        <f t="shared" si="271"/>
        <v/>
      </c>
      <c r="BA1629" t="str">
        <f t="shared" si="272"/>
        <v/>
      </c>
    </row>
    <row r="1630" spans="3:53" ht="13.5">
      <c r="C1630" s="19"/>
      <c r="D1630" s="19"/>
      <c r="AC1630" s="6" t="s">
        <v>2924</v>
      </c>
      <c r="AD1630" s="6" t="s">
        <v>7353</v>
      </c>
      <c r="AE1630" s="155" t="s">
        <v>2440</v>
      </c>
      <c r="AF1630" s="159" t="s">
        <v>8309</v>
      </c>
      <c r="AG1630" s="160" t="s">
        <v>1516</v>
      </c>
      <c r="AH1630" s="194" t="s">
        <v>679</v>
      </c>
      <c r="AI1630" s="6" t="s">
        <v>3660</v>
      </c>
      <c r="AJ1630" s="3" t="s">
        <v>8253</v>
      </c>
      <c r="AK1630" t="s">
        <v>8253</v>
      </c>
      <c r="AV1630"/>
      <c r="AX1630"/>
      <c r="AZ1630" t="str">
        <f t="shared" si="271"/>
        <v/>
      </c>
      <c r="BA1630" t="str">
        <f t="shared" si="272"/>
        <v/>
      </c>
    </row>
    <row r="1631" spans="3:53" ht="13.5">
      <c r="C1631" s="19"/>
      <c r="D1631" s="19"/>
      <c r="AC1631" s="6" t="s">
        <v>5602</v>
      </c>
      <c r="AD1631" s="6" t="s">
        <v>7353</v>
      </c>
      <c r="AE1631" s="155" t="s">
        <v>2441</v>
      </c>
      <c r="AF1631" s="159" t="s">
        <v>8320</v>
      </c>
      <c r="AG1631" s="160" t="s">
        <v>1010</v>
      </c>
      <c r="AH1631" s="194" t="s">
        <v>678</v>
      </c>
      <c r="AI1631" s="6" t="s">
        <v>3661</v>
      </c>
      <c r="AJ1631" s="3" t="s">
        <v>8253</v>
      </c>
      <c r="AK1631" t="s">
        <v>8253</v>
      </c>
      <c r="AV1631"/>
      <c r="AX1631"/>
      <c r="AZ1631" t="str">
        <f t="shared" si="271"/>
        <v/>
      </c>
      <c r="BA1631" t="str">
        <f t="shared" si="272"/>
        <v/>
      </c>
    </row>
    <row r="1632" spans="3:53" ht="13.5">
      <c r="C1632" s="19"/>
      <c r="D1632" s="19"/>
      <c r="AC1632" s="6" t="s">
        <v>5294</v>
      </c>
      <c r="AD1632" s="6" t="s">
        <v>7345</v>
      </c>
      <c r="AE1632" s="155" t="s">
        <v>2442</v>
      </c>
      <c r="AF1632" s="159" t="s">
        <v>8299</v>
      </c>
      <c r="AG1632" s="160" t="s">
        <v>1664</v>
      </c>
      <c r="AH1632" s="194" t="s">
        <v>678</v>
      </c>
      <c r="AI1632" s="6" t="s">
        <v>3662</v>
      </c>
      <c r="AJ1632" s="3" t="s">
        <v>8253</v>
      </c>
      <c r="AK1632" t="s">
        <v>8253</v>
      </c>
      <c r="AV1632"/>
      <c r="AX1632"/>
      <c r="AZ1632" t="str">
        <f t="shared" si="271"/>
        <v/>
      </c>
      <c r="BA1632" t="str">
        <f t="shared" si="272"/>
        <v/>
      </c>
    </row>
    <row r="1633" spans="3:53" ht="13.5">
      <c r="C1633" s="19"/>
      <c r="D1633" s="19"/>
      <c r="AC1633" s="6" t="s">
        <v>3002</v>
      </c>
      <c r="AD1633" s="6" t="s">
        <v>7353</v>
      </c>
      <c r="AE1633" s="155" t="s">
        <v>2443</v>
      </c>
      <c r="AF1633" s="159" t="s">
        <v>8299</v>
      </c>
      <c r="AG1633" s="160" t="s">
        <v>1519</v>
      </c>
      <c r="AH1633" s="194" t="s">
        <v>678</v>
      </c>
      <c r="AI1633" s="6" t="s">
        <v>3664</v>
      </c>
      <c r="AJ1633" s="3" t="s">
        <v>8253</v>
      </c>
      <c r="AK1633" t="s">
        <v>8253</v>
      </c>
      <c r="AV1633"/>
      <c r="AX1633"/>
      <c r="AZ1633" t="str">
        <f t="shared" si="271"/>
        <v/>
      </c>
      <c r="BA1633" t="str">
        <f t="shared" si="272"/>
        <v/>
      </c>
    </row>
    <row r="1634" spans="3:53" ht="13.5">
      <c r="C1634" s="19"/>
      <c r="D1634" s="19"/>
      <c r="AC1634" s="6" t="s">
        <v>3011</v>
      </c>
      <c r="AD1634" s="6" t="s">
        <v>7353</v>
      </c>
      <c r="AE1634" s="155" t="s">
        <v>2444</v>
      </c>
      <c r="AF1634" s="159" t="s">
        <v>8299</v>
      </c>
      <c r="AG1634" s="160" t="s">
        <v>1011</v>
      </c>
      <c r="AH1634" s="194" t="s">
        <v>678</v>
      </c>
      <c r="AI1634" s="6" t="s">
        <v>3665</v>
      </c>
      <c r="AJ1634" s="3" t="s">
        <v>8253</v>
      </c>
      <c r="AK1634" t="s">
        <v>8253</v>
      </c>
      <c r="AV1634"/>
      <c r="AX1634"/>
      <c r="AZ1634" t="str">
        <f t="shared" si="271"/>
        <v/>
      </c>
      <c r="BA1634" t="str">
        <f t="shared" si="272"/>
        <v/>
      </c>
    </row>
    <row r="1635" spans="3:53" ht="13.5">
      <c r="C1635" s="19"/>
      <c r="D1635" s="19"/>
      <c r="AC1635" s="6" t="s">
        <v>5725</v>
      </c>
      <c r="AD1635" s="6" t="s">
        <v>7353</v>
      </c>
      <c r="AE1635" s="155" t="s">
        <v>2445</v>
      </c>
      <c r="AF1635" s="159" t="s">
        <v>8299</v>
      </c>
      <c r="AG1635" s="160" t="s">
        <v>1669</v>
      </c>
      <c r="AH1635" s="194" t="s">
        <v>678</v>
      </c>
      <c r="AI1635" s="6" t="s">
        <v>3666</v>
      </c>
      <c r="AJ1635" s="3" t="s">
        <v>8253</v>
      </c>
      <c r="AK1635" t="s">
        <v>8253</v>
      </c>
      <c r="AV1635"/>
      <c r="AX1635"/>
      <c r="AZ1635" t="str">
        <f t="shared" si="271"/>
        <v/>
      </c>
      <c r="BA1635" t="str">
        <f t="shared" si="272"/>
        <v/>
      </c>
    </row>
    <row r="1636" spans="3:53" ht="13.5">
      <c r="C1636" s="19"/>
      <c r="D1636" s="19"/>
      <c r="AC1636" s="6" t="s">
        <v>2897</v>
      </c>
      <c r="AD1636" s="6" t="s">
        <v>7353</v>
      </c>
      <c r="AE1636" s="155" t="s">
        <v>2446</v>
      </c>
      <c r="AF1636" s="159" t="s">
        <v>8299</v>
      </c>
      <c r="AG1636" s="160" t="s">
        <v>4739</v>
      </c>
      <c r="AH1636" s="194" t="s">
        <v>679</v>
      </c>
      <c r="AI1636" s="6" t="s">
        <v>3667</v>
      </c>
      <c r="AJ1636" s="3" t="s">
        <v>8253</v>
      </c>
      <c r="AK1636" t="s">
        <v>8253</v>
      </c>
      <c r="AV1636"/>
      <c r="AX1636"/>
      <c r="AZ1636" t="str">
        <f t="shared" si="271"/>
        <v/>
      </c>
      <c r="BA1636" t="str">
        <f t="shared" si="272"/>
        <v/>
      </c>
    </row>
    <row r="1637" spans="3:53" ht="13.5">
      <c r="C1637" s="19"/>
      <c r="D1637" s="19"/>
      <c r="AC1637" s="6" t="s">
        <v>3163</v>
      </c>
      <c r="AD1637" s="6" t="s">
        <v>7353</v>
      </c>
      <c r="AE1637" s="155" t="s">
        <v>2447</v>
      </c>
      <c r="AF1637" s="159" t="s">
        <v>8299</v>
      </c>
      <c r="AG1637" s="160" t="s">
        <v>4444</v>
      </c>
      <c r="AH1637" s="194" t="s">
        <v>679</v>
      </c>
      <c r="AI1637" s="6" t="s">
        <v>3670</v>
      </c>
      <c r="AJ1637" s="3" t="s">
        <v>8253</v>
      </c>
      <c r="AK1637" t="s">
        <v>8253</v>
      </c>
      <c r="AV1637"/>
      <c r="AX1637"/>
      <c r="AZ1637" t="str">
        <f t="shared" si="271"/>
        <v/>
      </c>
      <c r="BA1637" t="str">
        <f t="shared" si="272"/>
        <v/>
      </c>
    </row>
    <row r="1638" spans="3:53" ht="13.5">
      <c r="C1638" s="19"/>
      <c r="D1638" s="19"/>
      <c r="AC1638" s="6" t="s">
        <v>2892</v>
      </c>
      <c r="AD1638" s="6" t="s">
        <v>7353</v>
      </c>
      <c r="AE1638" s="155" t="s">
        <v>2448</v>
      </c>
      <c r="AF1638" s="159" t="s">
        <v>8299</v>
      </c>
      <c r="AG1638" s="160" t="s">
        <v>4409</v>
      </c>
      <c r="AH1638" s="194" t="s">
        <v>679</v>
      </c>
      <c r="AI1638" s="6" t="s">
        <v>3672</v>
      </c>
      <c r="AJ1638" s="3" t="s">
        <v>8253</v>
      </c>
      <c r="AK1638" t="s">
        <v>8253</v>
      </c>
      <c r="AV1638"/>
      <c r="AX1638"/>
      <c r="AZ1638" t="str">
        <f t="shared" si="271"/>
        <v/>
      </c>
      <c r="BA1638" t="str">
        <f t="shared" si="272"/>
        <v/>
      </c>
    </row>
    <row r="1639" spans="3:53" ht="13.5">
      <c r="C1639" s="19"/>
      <c r="D1639" s="19"/>
      <c r="AC1639" s="6" t="s">
        <v>4771</v>
      </c>
      <c r="AD1639" s="6" t="s">
        <v>7353</v>
      </c>
      <c r="AE1639" s="155" t="s">
        <v>2449</v>
      </c>
      <c r="AF1639" s="159" t="s">
        <v>8299</v>
      </c>
      <c r="AG1639" s="160" t="s">
        <v>5143</v>
      </c>
      <c r="AH1639" s="194" t="s">
        <v>679</v>
      </c>
      <c r="AI1639" s="6" t="s">
        <v>3673</v>
      </c>
      <c r="AJ1639" s="3" t="s">
        <v>8253</v>
      </c>
      <c r="AK1639" t="s">
        <v>8253</v>
      </c>
      <c r="AV1639"/>
      <c r="AX1639"/>
      <c r="AZ1639" t="str">
        <f t="shared" si="271"/>
        <v/>
      </c>
      <c r="BA1639" t="str">
        <f t="shared" si="272"/>
        <v/>
      </c>
    </row>
    <row r="1640" spans="3:53" ht="13.5">
      <c r="C1640" s="19"/>
      <c r="D1640" s="19"/>
      <c r="AC1640" s="6" t="s">
        <v>3271</v>
      </c>
      <c r="AD1640" s="6" t="s">
        <v>7353</v>
      </c>
      <c r="AE1640" s="155" t="s">
        <v>2450</v>
      </c>
      <c r="AF1640" s="159" t="s">
        <v>8296</v>
      </c>
      <c r="AG1640" s="160" t="s">
        <v>150</v>
      </c>
      <c r="AH1640" s="194" t="s">
        <v>678</v>
      </c>
      <c r="AI1640" s="6" t="s">
        <v>3674</v>
      </c>
      <c r="AJ1640" s="3" t="s">
        <v>8253</v>
      </c>
      <c r="AK1640" t="s">
        <v>8253</v>
      </c>
      <c r="AV1640"/>
      <c r="AX1640"/>
      <c r="AZ1640" t="str">
        <f t="shared" si="271"/>
        <v/>
      </c>
      <c r="BA1640" t="str">
        <f t="shared" si="272"/>
        <v/>
      </c>
    </row>
    <row r="1641" spans="3:53" ht="13.5">
      <c r="C1641" s="19"/>
      <c r="D1641" s="19"/>
      <c r="AC1641" s="6" t="s">
        <v>5593</v>
      </c>
      <c r="AD1641" s="6" t="s">
        <v>7353</v>
      </c>
      <c r="AE1641" s="155" t="s">
        <v>2451</v>
      </c>
      <c r="AF1641" s="159" t="s">
        <v>8299</v>
      </c>
      <c r="AG1641" s="160" t="s">
        <v>151</v>
      </c>
      <c r="AH1641" s="194" t="s">
        <v>679</v>
      </c>
      <c r="AI1641" s="6" t="s">
        <v>3676</v>
      </c>
      <c r="AJ1641" s="3" t="s">
        <v>8253</v>
      </c>
      <c r="AK1641" t="s">
        <v>8253</v>
      </c>
      <c r="AV1641"/>
      <c r="AX1641"/>
      <c r="AZ1641" t="str">
        <f t="shared" si="271"/>
        <v/>
      </c>
      <c r="BA1641" t="str">
        <f t="shared" si="272"/>
        <v/>
      </c>
    </row>
    <row r="1642" spans="3:53" ht="13.5">
      <c r="C1642" s="19"/>
      <c r="D1642" s="19"/>
      <c r="AC1642" s="6" t="s">
        <v>3012</v>
      </c>
      <c r="AD1642" s="6" t="s">
        <v>7353</v>
      </c>
      <c r="AE1642" s="155" t="s">
        <v>2452</v>
      </c>
      <c r="AF1642" s="159" t="s">
        <v>8339</v>
      </c>
      <c r="AG1642" s="160" t="s">
        <v>1530</v>
      </c>
      <c r="AH1642" s="194" t="s">
        <v>679</v>
      </c>
      <c r="AI1642" s="6" t="s">
        <v>4483</v>
      </c>
      <c r="AJ1642" s="3" t="s">
        <v>8232</v>
      </c>
      <c r="AK1642" t="s">
        <v>8232</v>
      </c>
      <c r="AV1642"/>
      <c r="AX1642"/>
      <c r="AZ1642" t="str">
        <f t="shared" si="271"/>
        <v/>
      </c>
      <c r="BA1642" t="str">
        <f t="shared" si="272"/>
        <v/>
      </c>
    </row>
    <row r="1643" spans="3:53" ht="13.5">
      <c r="C1643" s="19"/>
      <c r="D1643" s="19"/>
      <c r="AC1643" s="6" t="s">
        <v>3425</v>
      </c>
      <c r="AD1643" s="6" t="s">
        <v>7353</v>
      </c>
      <c r="AE1643" s="155" t="s">
        <v>2453</v>
      </c>
      <c r="AF1643" s="159" t="s">
        <v>8342</v>
      </c>
      <c r="AG1643" s="160" t="s">
        <v>1531</v>
      </c>
      <c r="AH1643" s="194" t="s">
        <v>679</v>
      </c>
      <c r="AI1643" s="6" t="s">
        <v>1433</v>
      </c>
      <c r="AJ1643" s="3" t="s">
        <v>8210</v>
      </c>
      <c r="AK1643" t="s">
        <v>8210</v>
      </c>
      <c r="AV1643"/>
      <c r="AX1643"/>
      <c r="AZ1643" t="str">
        <f t="shared" si="271"/>
        <v/>
      </c>
      <c r="BA1643" t="str">
        <f t="shared" si="272"/>
        <v/>
      </c>
    </row>
    <row r="1644" spans="3:53" ht="13.5">
      <c r="C1644" s="19"/>
      <c r="D1644" s="19"/>
      <c r="AC1644" s="6" t="s">
        <v>3150</v>
      </c>
      <c r="AD1644" s="6" t="s">
        <v>7353</v>
      </c>
      <c r="AE1644" s="155" t="s">
        <v>2454</v>
      </c>
      <c r="AF1644" s="159" t="s">
        <v>8309</v>
      </c>
      <c r="AG1644" s="160" t="s">
        <v>1533</v>
      </c>
      <c r="AH1644" s="194" t="s">
        <v>678</v>
      </c>
      <c r="AI1644" s="6" t="s">
        <v>137</v>
      </c>
      <c r="AJ1644" s="3" t="s">
        <v>8210</v>
      </c>
      <c r="AK1644" t="s">
        <v>8210</v>
      </c>
      <c r="AV1644"/>
      <c r="AX1644"/>
      <c r="AZ1644" t="str">
        <f t="shared" si="271"/>
        <v/>
      </c>
      <c r="BA1644" t="str">
        <f t="shared" si="272"/>
        <v/>
      </c>
    </row>
    <row r="1645" spans="3:53" ht="13.5">
      <c r="C1645" s="19"/>
      <c r="D1645" s="19"/>
      <c r="AC1645" s="6" t="s">
        <v>5396</v>
      </c>
      <c r="AD1645" s="6" t="s">
        <v>7353</v>
      </c>
      <c r="AE1645" s="155" t="s">
        <v>2455</v>
      </c>
      <c r="AF1645" s="159" t="s">
        <v>8299</v>
      </c>
      <c r="AG1645" s="160" t="s">
        <v>1534</v>
      </c>
      <c r="AH1645" s="194" t="s">
        <v>678</v>
      </c>
      <c r="AI1645" s="6" t="s">
        <v>1753</v>
      </c>
      <c r="AJ1645" s="3" t="s">
        <v>8217</v>
      </c>
      <c r="AK1645" t="s">
        <v>8668</v>
      </c>
      <c r="AV1645"/>
      <c r="AX1645"/>
      <c r="AZ1645" t="str">
        <f t="shared" si="271"/>
        <v/>
      </c>
      <c r="BA1645" t="str">
        <f t="shared" si="272"/>
        <v/>
      </c>
    </row>
    <row r="1646" spans="3:53" ht="13.5">
      <c r="C1646" s="19"/>
      <c r="D1646" s="19"/>
      <c r="AC1646" s="6" t="s">
        <v>5325</v>
      </c>
      <c r="AD1646" s="6" t="s">
        <v>7353</v>
      </c>
      <c r="AE1646" s="155" t="s">
        <v>2456</v>
      </c>
      <c r="AF1646" s="159" t="s">
        <v>8299</v>
      </c>
      <c r="AG1646" s="160" t="s">
        <v>1535</v>
      </c>
      <c r="AH1646" s="194" t="s">
        <v>678</v>
      </c>
      <c r="AI1646" s="6" t="s">
        <v>1991</v>
      </c>
      <c r="AJ1646" s="3" t="s">
        <v>8217</v>
      </c>
      <c r="AK1646" t="s">
        <v>8668</v>
      </c>
      <c r="AV1646"/>
      <c r="AX1646"/>
      <c r="AZ1646" t="str">
        <f t="shared" si="271"/>
        <v/>
      </c>
      <c r="BA1646" t="str">
        <f t="shared" si="272"/>
        <v/>
      </c>
    </row>
    <row r="1647" spans="3:53" ht="13.5">
      <c r="C1647" s="19"/>
      <c r="D1647" s="19"/>
      <c r="AC1647" s="6" t="s">
        <v>3434</v>
      </c>
      <c r="AD1647" s="6" t="s">
        <v>7353</v>
      </c>
      <c r="AE1647" s="155" t="s">
        <v>2457</v>
      </c>
      <c r="AF1647" s="159" t="s">
        <v>8299</v>
      </c>
      <c r="AG1647" s="160" t="s">
        <v>1536</v>
      </c>
      <c r="AH1647" s="194" t="s">
        <v>678</v>
      </c>
      <c r="AI1647" s="6" t="s">
        <v>3685</v>
      </c>
      <c r="AJ1647" s="3" t="s">
        <v>8250</v>
      </c>
      <c r="AK1647" t="s">
        <v>8250</v>
      </c>
      <c r="AV1647"/>
      <c r="AX1647"/>
      <c r="AZ1647" t="str">
        <f t="shared" si="271"/>
        <v/>
      </c>
      <c r="BA1647" t="str">
        <f t="shared" si="272"/>
        <v/>
      </c>
    </row>
    <row r="1648" spans="3:53" ht="13.5">
      <c r="C1648" s="19"/>
      <c r="D1648" s="19"/>
      <c r="AC1648" s="6" t="s">
        <v>3291</v>
      </c>
      <c r="AD1648" s="6" t="s">
        <v>7353</v>
      </c>
      <c r="AE1648" s="155" t="s">
        <v>2458</v>
      </c>
      <c r="AF1648" s="159" t="s">
        <v>8309</v>
      </c>
      <c r="AG1648" s="160" t="s">
        <v>152</v>
      </c>
      <c r="AH1648" s="194" t="s">
        <v>678</v>
      </c>
      <c r="AI1648" s="6" t="s">
        <v>3688</v>
      </c>
      <c r="AJ1648" s="3" t="s">
        <v>8214</v>
      </c>
      <c r="AK1648" t="s">
        <v>8214</v>
      </c>
      <c r="AV1648"/>
      <c r="AX1648"/>
      <c r="AZ1648" t="str">
        <f t="shared" si="271"/>
        <v/>
      </c>
      <c r="BA1648" t="str">
        <f t="shared" si="272"/>
        <v/>
      </c>
    </row>
    <row r="1649" spans="3:53" ht="13.5">
      <c r="C1649" s="19"/>
      <c r="D1649" s="19"/>
      <c r="AC1649" s="6" t="s">
        <v>2328</v>
      </c>
      <c r="AD1649" s="6" t="s">
        <v>7375</v>
      </c>
      <c r="AE1649" s="155" t="s">
        <v>2459</v>
      </c>
      <c r="AF1649" s="159" t="s">
        <v>8296</v>
      </c>
      <c r="AG1649" s="160" t="s">
        <v>1537</v>
      </c>
      <c r="AH1649" s="194" t="s">
        <v>678</v>
      </c>
      <c r="AI1649" s="6" t="s">
        <v>3691</v>
      </c>
      <c r="AJ1649" s="3" t="s">
        <v>8214</v>
      </c>
      <c r="AK1649" t="s">
        <v>8214</v>
      </c>
      <c r="AV1649"/>
      <c r="AX1649"/>
      <c r="AZ1649" t="str">
        <f t="shared" si="271"/>
        <v/>
      </c>
      <c r="BA1649" t="str">
        <f t="shared" si="272"/>
        <v/>
      </c>
    </row>
    <row r="1650" spans="3:53" ht="13.5">
      <c r="C1650" s="19"/>
      <c r="D1650" s="19"/>
      <c r="AC1650" s="6" t="s">
        <v>2894</v>
      </c>
      <c r="AD1650" s="6" t="s">
        <v>7353</v>
      </c>
      <c r="AE1650" s="155" t="s">
        <v>2460</v>
      </c>
      <c r="AF1650" s="159" t="s">
        <v>8309</v>
      </c>
      <c r="AG1650" s="160" t="s">
        <v>1538</v>
      </c>
      <c r="AH1650" s="194" t="s">
        <v>678</v>
      </c>
      <c r="AI1650" s="6" t="s">
        <v>3693</v>
      </c>
      <c r="AJ1650" s="3" t="s">
        <v>8250</v>
      </c>
      <c r="AK1650" t="s">
        <v>8250</v>
      </c>
      <c r="AV1650"/>
      <c r="AX1650"/>
      <c r="AZ1650" t="str">
        <f t="shared" si="271"/>
        <v/>
      </c>
      <c r="BA1650" t="str">
        <f t="shared" si="272"/>
        <v/>
      </c>
    </row>
    <row r="1651" spans="3:53" ht="13.5">
      <c r="C1651" s="19"/>
      <c r="D1651" s="19"/>
      <c r="AC1651" s="6" t="s">
        <v>3222</v>
      </c>
      <c r="AD1651" s="6" t="s">
        <v>7353</v>
      </c>
      <c r="AE1651" s="155" t="s">
        <v>2461</v>
      </c>
      <c r="AF1651" s="159" t="s">
        <v>8299</v>
      </c>
      <c r="AG1651" s="160" t="s">
        <v>1539</v>
      </c>
      <c r="AH1651" s="194" t="s">
        <v>678</v>
      </c>
      <c r="AI1651" s="6" t="s">
        <v>2179</v>
      </c>
      <c r="AJ1651" s="3" t="s">
        <v>8231</v>
      </c>
      <c r="AK1651" t="s">
        <v>8238</v>
      </c>
      <c r="AV1651"/>
      <c r="AX1651"/>
      <c r="AZ1651" t="str">
        <f t="shared" si="271"/>
        <v/>
      </c>
      <c r="BA1651" t="str">
        <f t="shared" si="272"/>
        <v/>
      </c>
    </row>
    <row r="1652" spans="3:53" ht="13.5">
      <c r="C1652" s="19"/>
      <c r="D1652" s="19"/>
      <c r="AC1652" s="6" t="s">
        <v>2890</v>
      </c>
      <c r="AD1652" s="6" t="s">
        <v>7353</v>
      </c>
      <c r="AE1652" s="155" t="s">
        <v>2462</v>
      </c>
      <c r="AF1652" s="159" t="s">
        <v>8297</v>
      </c>
      <c r="AG1652" s="160" t="s">
        <v>153</v>
      </c>
      <c r="AH1652" s="194" t="s">
        <v>678</v>
      </c>
      <c r="AI1652" s="6" t="s">
        <v>140</v>
      </c>
      <c r="AJ1652" s="3" t="s">
        <v>8207</v>
      </c>
      <c r="AK1652" t="s">
        <v>8207</v>
      </c>
      <c r="AV1652"/>
      <c r="AX1652"/>
      <c r="AZ1652" t="str">
        <f t="shared" si="271"/>
        <v/>
      </c>
      <c r="BA1652" t="str">
        <f t="shared" si="272"/>
        <v/>
      </c>
    </row>
    <row r="1653" spans="3:53" ht="13.5">
      <c r="C1653" s="19"/>
      <c r="D1653" s="19"/>
      <c r="AC1653" s="6" t="s">
        <v>4763</v>
      </c>
      <c r="AD1653" s="6" t="s">
        <v>7353</v>
      </c>
      <c r="AE1653" s="155" t="s">
        <v>2463</v>
      </c>
      <c r="AF1653" s="159" t="s">
        <v>8299</v>
      </c>
      <c r="AG1653" s="160" t="s">
        <v>1540</v>
      </c>
      <c r="AH1653" s="194" t="s">
        <v>678</v>
      </c>
      <c r="AI1653" s="6" t="s">
        <v>141</v>
      </c>
      <c r="AJ1653" s="3" t="s">
        <v>8207</v>
      </c>
      <c r="AK1653" t="s">
        <v>8207</v>
      </c>
      <c r="AV1653"/>
      <c r="AX1653"/>
      <c r="AZ1653" t="str">
        <f t="shared" si="271"/>
        <v/>
      </c>
      <c r="BA1653" t="str">
        <f t="shared" si="272"/>
        <v/>
      </c>
    </row>
    <row r="1654" spans="3:53" ht="13.5">
      <c r="C1654" s="19"/>
      <c r="D1654" s="19"/>
      <c r="AC1654" s="6" t="s">
        <v>3112</v>
      </c>
      <c r="AD1654" s="6" t="s">
        <v>7353</v>
      </c>
      <c r="AE1654" s="155" t="s">
        <v>2464</v>
      </c>
      <c r="AF1654" s="159" t="s">
        <v>8320</v>
      </c>
      <c r="AG1654" s="160" t="s">
        <v>154</v>
      </c>
      <c r="AH1654" s="194" t="s">
        <v>678</v>
      </c>
      <c r="AI1654" s="6" t="s">
        <v>142</v>
      </c>
      <c r="AJ1654" s="3" t="s">
        <v>8207</v>
      </c>
      <c r="AK1654" t="s">
        <v>8207</v>
      </c>
      <c r="AV1654"/>
      <c r="AX1654"/>
      <c r="AZ1654" t="str">
        <f t="shared" si="271"/>
        <v/>
      </c>
      <c r="BA1654" t="str">
        <f t="shared" si="272"/>
        <v/>
      </c>
    </row>
    <row r="1655" spans="3:53" ht="13.5">
      <c r="C1655" s="19"/>
      <c r="D1655" s="19"/>
      <c r="AC1655" s="6" t="s">
        <v>3382</v>
      </c>
      <c r="AD1655" s="6" t="s">
        <v>7353</v>
      </c>
      <c r="AE1655" s="155" t="s">
        <v>2465</v>
      </c>
      <c r="AF1655" s="159" t="s">
        <v>8299</v>
      </c>
      <c r="AG1655" s="160" t="s">
        <v>1541</v>
      </c>
      <c r="AH1655" s="194" t="s">
        <v>678</v>
      </c>
      <c r="AI1655" s="6" t="s">
        <v>1484</v>
      </c>
      <c r="AJ1655" s="3" t="s">
        <v>8207</v>
      </c>
      <c r="AK1655" t="s">
        <v>8207</v>
      </c>
      <c r="AV1655"/>
      <c r="AX1655"/>
      <c r="AZ1655" t="str">
        <f t="shared" si="271"/>
        <v/>
      </c>
      <c r="BA1655" t="str">
        <f t="shared" si="272"/>
        <v/>
      </c>
    </row>
    <row r="1656" spans="3:53" ht="13.5">
      <c r="C1656" s="19"/>
      <c r="D1656" s="19"/>
      <c r="AC1656" s="6">
        <v>65237</v>
      </c>
      <c r="AD1656" s="6" t="s">
        <v>7366</v>
      </c>
      <c r="AE1656" s="155" t="s">
        <v>2466</v>
      </c>
      <c r="AF1656" s="159" t="s">
        <v>8299</v>
      </c>
      <c r="AG1656" s="160" t="s">
        <v>1542</v>
      </c>
      <c r="AH1656" s="194" t="s">
        <v>4700</v>
      </c>
      <c r="AI1656" s="6" t="s">
        <v>1485</v>
      </c>
      <c r="AJ1656" s="3" t="s">
        <v>8207</v>
      </c>
      <c r="AK1656" t="s">
        <v>8207</v>
      </c>
      <c r="AV1656"/>
      <c r="AX1656"/>
      <c r="AZ1656" t="str">
        <f t="shared" si="271"/>
        <v/>
      </c>
      <c r="BA1656" t="str">
        <f t="shared" si="272"/>
        <v/>
      </c>
    </row>
    <row r="1657" spans="3:53" ht="13.5">
      <c r="C1657" s="19"/>
      <c r="D1657" s="19"/>
      <c r="AC1657" s="6" t="s">
        <v>3297</v>
      </c>
      <c r="AD1657" s="6" t="s">
        <v>7353</v>
      </c>
      <c r="AE1657" s="155" t="s">
        <v>2467</v>
      </c>
      <c r="AF1657" s="159" t="s">
        <v>8299</v>
      </c>
      <c r="AG1657" s="160" t="s">
        <v>1543</v>
      </c>
      <c r="AH1657" s="194" t="s">
        <v>679</v>
      </c>
      <c r="AI1657" s="6" t="s">
        <v>143</v>
      </c>
      <c r="AJ1657" s="3" t="s">
        <v>8207</v>
      </c>
      <c r="AK1657" t="s">
        <v>8207</v>
      </c>
      <c r="AV1657"/>
      <c r="AX1657"/>
      <c r="AZ1657" t="str">
        <f t="shared" si="271"/>
        <v/>
      </c>
      <c r="BA1657" t="str">
        <f t="shared" si="272"/>
        <v/>
      </c>
    </row>
    <row r="1658" spans="3:53" ht="13.5">
      <c r="C1658" s="19"/>
      <c r="D1658" s="19"/>
      <c r="AC1658" s="6" t="s">
        <v>2885</v>
      </c>
      <c r="AD1658" s="6" t="s">
        <v>7353</v>
      </c>
      <c r="AE1658" s="155" t="s">
        <v>2468</v>
      </c>
      <c r="AF1658" s="159" t="s">
        <v>8299</v>
      </c>
      <c r="AG1658" s="160" t="s">
        <v>1544</v>
      </c>
      <c r="AH1658" s="194" t="s">
        <v>678</v>
      </c>
      <c r="AI1658" s="6" t="s">
        <v>3705</v>
      </c>
      <c r="AJ1658" s="3" t="s">
        <v>8218</v>
      </c>
      <c r="AK1658" t="s">
        <v>8218</v>
      </c>
      <c r="AV1658"/>
      <c r="AX1658"/>
      <c r="AZ1658" t="str">
        <f t="shared" ref="AZ1658:AZ1721" si="273">IF(ISBLANK(AW1658),"",CONCATENATE("(",RIGHT(AW1658,5),"-",TEXT(AX1658,"h:mm;@"),")"))</f>
        <v/>
      </c>
      <c r="BA1658" t="str">
        <f t="shared" ref="BA1658:BA1721" si="274">IF(AV1674=AV1658,"",CONCATENATE(IF(AV1673=AV1658,BA1673,""),IF(AV1672=AV1658,BA1672,""),IF(AV1671=AV1658,BA1671,""),IF(AV1670=AV1658,BA1670,""),IF(AV1669=AV1658,BA1669,""),IF(AV1668=AV1658,BA1668,""),IF(AV1667=AV1658,BA1667,""),IF(AV1666=AV1658,BA1666,""),IF(AV1665=AV1658,BA1665,""),IF(AV1664=AV1658,BA1664,""),IF(AV1663=AV1658,BA1663,""),IF(AV1662=AV1658,BA1662,""),IF(AV1661=AV1658,BA1661,""),IF(AV1660=AV1658,BA1660,""),IF(AV1659=AV1658,BA1659,""),IF(AV1657=AV1658,BA1657,""),BA1658))</f>
        <v/>
      </c>
    </row>
    <row r="1659" spans="3:53" ht="13.5">
      <c r="C1659" s="19"/>
      <c r="D1659" s="19"/>
      <c r="AC1659" s="6" t="s">
        <v>3036</v>
      </c>
      <c r="AD1659" s="6" t="s">
        <v>7353</v>
      </c>
      <c r="AE1659" s="155" t="s">
        <v>2469</v>
      </c>
      <c r="AF1659" s="159" t="s">
        <v>8309</v>
      </c>
      <c r="AG1659" s="160" t="s">
        <v>155</v>
      </c>
      <c r="AH1659" s="194" t="s">
        <v>678</v>
      </c>
      <c r="AI1659" s="6" t="s">
        <v>3707</v>
      </c>
      <c r="AJ1659" s="3" t="s">
        <v>8218</v>
      </c>
      <c r="AK1659" t="s">
        <v>8218</v>
      </c>
      <c r="AV1659"/>
      <c r="AX1659"/>
      <c r="AZ1659" t="str">
        <f t="shared" si="273"/>
        <v/>
      </c>
      <c r="BA1659" t="str">
        <f t="shared" si="274"/>
        <v/>
      </c>
    </row>
    <row r="1660" spans="3:53" ht="13.5">
      <c r="C1660" s="19"/>
      <c r="D1660" s="19"/>
      <c r="AC1660" s="6" t="s">
        <v>2926</v>
      </c>
      <c r="AD1660" s="6" t="s">
        <v>7353</v>
      </c>
      <c r="AE1660" s="155" t="s">
        <v>2470</v>
      </c>
      <c r="AF1660" s="159" t="s">
        <v>8299</v>
      </c>
      <c r="AG1660" s="160" t="s">
        <v>1565</v>
      </c>
      <c r="AH1660" s="194" t="s">
        <v>678</v>
      </c>
      <c r="AI1660" s="6" t="s">
        <v>3714</v>
      </c>
      <c r="AJ1660" s="3" t="s">
        <v>8244</v>
      </c>
      <c r="AK1660" t="s">
        <v>8244</v>
      </c>
      <c r="AV1660"/>
      <c r="AX1660"/>
      <c r="AZ1660" t="str">
        <f t="shared" si="273"/>
        <v/>
      </c>
      <c r="BA1660" t="str">
        <f t="shared" si="274"/>
        <v/>
      </c>
    </row>
    <row r="1661" spans="3:53" ht="13.5">
      <c r="C1661" s="19"/>
      <c r="D1661" s="19"/>
      <c r="AC1661" s="6" t="s">
        <v>3461</v>
      </c>
      <c r="AD1661" s="6" t="s">
        <v>7376</v>
      </c>
      <c r="AE1661" s="155" t="s">
        <v>3899</v>
      </c>
      <c r="AF1661" s="159" t="s">
        <v>8299</v>
      </c>
      <c r="AG1661" s="160" t="s">
        <v>156</v>
      </c>
      <c r="AH1661" s="194" t="s">
        <v>678</v>
      </c>
      <c r="AI1661" s="6" t="s">
        <v>3719</v>
      </c>
      <c r="AJ1661" s="3" t="s">
        <v>8218</v>
      </c>
      <c r="AK1661" t="s">
        <v>8218</v>
      </c>
      <c r="AV1661"/>
      <c r="AX1661"/>
      <c r="AZ1661" t="str">
        <f t="shared" si="273"/>
        <v/>
      </c>
      <c r="BA1661" t="str">
        <f t="shared" si="274"/>
        <v/>
      </c>
    </row>
    <row r="1662" spans="3:53" ht="13.5">
      <c r="C1662" s="19"/>
      <c r="D1662" s="19"/>
      <c r="AC1662" s="6" t="s">
        <v>2891</v>
      </c>
      <c r="AD1662" s="6" t="s">
        <v>7353</v>
      </c>
      <c r="AE1662" s="155" t="s">
        <v>3900</v>
      </c>
      <c r="AF1662" s="159" t="s">
        <v>8299</v>
      </c>
      <c r="AG1662" s="160" t="s">
        <v>157</v>
      </c>
      <c r="AH1662" s="194" t="s">
        <v>678</v>
      </c>
      <c r="AI1662" s="6" t="s">
        <v>3723</v>
      </c>
      <c r="AJ1662" s="3" t="s">
        <v>8266</v>
      </c>
      <c r="AK1662" t="s">
        <v>8266</v>
      </c>
      <c r="AV1662"/>
      <c r="AX1662"/>
      <c r="AZ1662" t="str">
        <f t="shared" si="273"/>
        <v/>
      </c>
      <c r="BA1662" t="str">
        <f t="shared" si="274"/>
        <v/>
      </c>
    </row>
    <row r="1663" spans="3:53" ht="13.5">
      <c r="C1663" s="19"/>
      <c r="D1663" s="19"/>
      <c r="AC1663" s="6" t="s">
        <v>3289</v>
      </c>
      <c r="AD1663" s="6" t="s">
        <v>7353</v>
      </c>
      <c r="AE1663" s="155" t="s">
        <v>2471</v>
      </c>
      <c r="AF1663" s="159" t="s">
        <v>8299</v>
      </c>
      <c r="AG1663" s="160" t="s">
        <v>1566</v>
      </c>
      <c r="AH1663" s="194" t="s">
        <v>678</v>
      </c>
      <c r="AI1663" s="6" t="s">
        <v>3727</v>
      </c>
      <c r="AJ1663" s="3" t="s">
        <v>8245</v>
      </c>
      <c r="AK1663" t="s">
        <v>8676</v>
      </c>
      <c r="AV1663"/>
      <c r="AX1663"/>
      <c r="AZ1663" t="str">
        <f t="shared" si="273"/>
        <v/>
      </c>
      <c r="BA1663" t="str">
        <f t="shared" si="274"/>
        <v/>
      </c>
    </row>
    <row r="1664" spans="3:53" ht="13.5">
      <c r="C1664" s="19"/>
      <c r="D1664" s="19"/>
      <c r="AC1664" s="6" t="s">
        <v>3035</v>
      </c>
      <c r="AD1664" s="6" t="s">
        <v>7353</v>
      </c>
      <c r="AE1664" s="155" t="s">
        <v>2472</v>
      </c>
      <c r="AF1664" s="159" t="s">
        <v>8388</v>
      </c>
      <c r="AG1664" s="160" t="s">
        <v>1567</v>
      </c>
      <c r="AH1664" s="194" t="s">
        <v>678</v>
      </c>
      <c r="AI1664" s="6" t="s">
        <v>3777</v>
      </c>
      <c r="AJ1664" s="3" t="s">
        <v>8245</v>
      </c>
      <c r="AK1664" t="s">
        <v>8676</v>
      </c>
      <c r="AV1664"/>
      <c r="AX1664"/>
      <c r="AZ1664" t="str">
        <f t="shared" si="273"/>
        <v/>
      </c>
      <c r="BA1664" t="str">
        <f t="shared" si="274"/>
        <v/>
      </c>
    </row>
    <row r="1665" spans="3:53" ht="13.5">
      <c r="C1665" s="19"/>
      <c r="D1665" s="19"/>
      <c r="AC1665" s="6" t="s">
        <v>3281</v>
      </c>
      <c r="AD1665" s="6" t="s">
        <v>7353</v>
      </c>
      <c r="AE1665" s="155" t="s">
        <v>2473</v>
      </c>
      <c r="AF1665" s="159" t="s">
        <v>8299</v>
      </c>
      <c r="AG1665" s="160" t="s">
        <v>158</v>
      </c>
      <c r="AH1665" s="194" t="s">
        <v>678</v>
      </c>
      <c r="AI1665" s="6" t="s">
        <v>3779</v>
      </c>
      <c r="AJ1665" s="3" t="s">
        <v>8245</v>
      </c>
      <c r="AK1665" t="s">
        <v>8676</v>
      </c>
      <c r="AV1665"/>
      <c r="AX1665"/>
      <c r="AZ1665" t="str">
        <f t="shared" si="273"/>
        <v/>
      </c>
      <c r="BA1665" t="str">
        <f t="shared" si="274"/>
        <v/>
      </c>
    </row>
    <row r="1666" spans="3:53" ht="13.5">
      <c r="C1666" s="19"/>
      <c r="D1666" s="19"/>
      <c r="AC1666" s="6" t="s">
        <v>5754</v>
      </c>
      <c r="AD1666" s="6" t="s">
        <v>7353</v>
      </c>
      <c r="AE1666" s="155">
        <v>55273</v>
      </c>
      <c r="AF1666" s="159" t="s">
        <v>8299</v>
      </c>
      <c r="AG1666" s="160" t="s">
        <v>1572</v>
      </c>
      <c r="AH1666" s="194" t="s">
        <v>679</v>
      </c>
      <c r="AI1666" s="6" t="s">
        <v>3782</v>
      </c>
      <c r="AJ1666" s="3" t="s">
        <v>8245</v>
      </c>
      <c r="AK1666" t="s">
        <v>8676</v>
      </c>
      <c r="AV1666"/>
      <c r="AX1666"/>
      <c r="AZ1666" t="str">
        <f t="shared" si="273"/>
        <v/>
      </c>
      <c r="BA1666" t="str">
        <f t="shared" si="274"/>
        <v/>
      </c>
    </row>
    <row r="1667" spans="3:53" ht="13.5">
      <c r="C1667" s="19"/>
      <c r="D1667" s="19"/>
      <c r="AC1667" s="6" t="s">
        <v>3098</v>
      </c>
      <c r="AD1667" s="6" t="s">
        <v>7353</v>
      </c>
      <c r="AE1667" s="155">
        <v>65274</v>
      </c>
      <c r="AF1667" s="159" t="s">
        <v>8299</v>
      </c>
      <c r="AG1667" s="161" t="s">
        <v>159</v>
      </c>
      <c r="AH1667" s="194" t="s">
        <v>678</v>
      </c>
      <c r="AI1667" s="6" t="s">
        <v>5539</v>
      </c>
      <c r="AJ1667" s="3" t="s">
        <v>8245</v>
      </c>
      <c r="AK1667" t="s">
        <v>8676</v>
      </c>
      <c r="AV1667"/>
      <c r="AX1667"/>
      <c r="AZ1667" t="str">
        <f t="shared" si="273"/>
        <v/>
      </c>
      <c r="BA1667" t="str">
        <f t="shared" si="274"/>
        <v/>
      </c>
    </row>
    <row r="1668" spans="3:53" ht="13.5">
      <c r="C1668" s="19"/>
      <c r="D1668" s="19"/>
      <c r="AC1668" s="6" t="s">
        <v>3097</v>
      </c>
      <c r="AD1668" s="6" t="s">
        <v>7353</v>
      </c>
      <c r="AE1668" s="155">
        <v>65275</v>
      </c>
      <c r="AF1668" s="159" t="s">
        <v>8320</v>
      </c>
      <c r="AG1668" s="160" t="s">
        <v>1574</v>
      </c>
      <c r="AH1668" s="194" t="s">
        <v>678</v>
      </c>
      <c r="AI1668" s="6" t="s">
        <v>3786</v>
      </c>
      <c r="AJ1668" s="3" t="s">
        <v>8245</v>
      </c>
      <c r="AK1668" t="s">
        <v>8676</v>
      </c>
      <c r="AV1668"/>
      <c r="AX1668"/>
      <c r="AZ1668" t="str">
        <f t="shared" si="273"/>
        <v/>
      </c>
      <c r="BA1668" t="str">
        <f t="shared" si="274"/>
        <v/>
      </c>
    </row>
    <row r="1669" spans="3:53" ht="13.5">
      <c r="C1669" s="19"/>
      <c r="D1669" s="19"/>
      <c r="AC1669" s="6" t="s">
        <v>2901</v>
      </c>
      <c r="AD1669" s="6" t="s">
        <v>7353</v>
      </c>
      <c r="AE1669" s="155">
        <v>65276</v>
      </c>
      <c r="AF1669" s="159" t="s">
        <v>8320</v>
      </c>
      <c r="AG1669" s="160" t="s">
        <v>1575</v>
      </c>
      <c r="AH1669" s="194" t="s">
        <v>678</v>
      </c>
      <c r="AI1669" s="6" t="s">
        <v>3794</v>
      </c>
      <c r="AJ1669" s="3" t="s">
        <v>8244</v>
      </c>
      <c r="AK1669" t="s">
        <v>8244</v>
      </c>
      <c r="AV1669"/>
      <c r="AX1669"/>
      <c r="AZ1669" t="str">
        <f t="shared" si="273"/>
        <v/>
      </c>
      <c r="BA1669" t="str">
        <f t="shared" si="274"/>
        <v/>
      </c>
    </row>
    <row r="1670" spans="3:53" ht="13.5">
      <c r="C1670" s="19"/>
      <c r="D1670" s="19"/>
      <c r="AC1670" s="6" t="s">
        <v>4421</v>
      </c>
      <c r="AD1670" s="6" t="s">
        <v>7353</v>
      </c>
      <c r="AE1670" s="155">
        <v>65277</v>
      </c>
      <c r="AF1670" s="159" t="s">
        <v>8331</v>
      </c>
      <c r="AG1670" s="160" t="s">
        <v>160</v>
      </c>
      <c r="AH1670" s="194" t="s">
        <v>679</v>
      </c>
      <c r="AI1670" s="6" t="s">
        <v>3805</v>
      </c>
      <c r="AJ1670" s="3" t="s">
        <v>8218</v>
      </c>
      <c r="AK1670" t="s">
        <v>8218</v>
      </c>
      <c r="AV1670"/>
      <c r="AX1670"/>
      <c r="AZ1670" t="str">
        <f t="shared" si="273"/>
        <v/>
      </c>
      <c r="BA1670" t="str">
        <f t="shared" si="274"/>
        <v/>
      </c>
    </row>
    <row r="1671" spans="3:53" ht="13.5">
      <c r="C1671" s="19"/>
      <c r="D1671" s="19"/>
      <c r="AC1671" s="6" t="s">
        <v>3082</v>
      </c>
      <c r="AD1671" s="6" t="s">
        <v>7353</v>
      </c>
      <c r="AE1671" s="155">
        <v>245328</v>
      </c>
      <c r="AF1671" s="159" t="s">
        <v>8320</v>
      </c>
      <c r="AG1671" s="160" t="s">
        <v>1576</v>
      </c>
      <c r="AH1671" s="194" t="s">
        <v>678</v>
      </c>
      <c r="AI1671" s="6" t="s">
        <v>3813</v>
      </c>
      <c r="AJ1671" s="3" t="s">
        <v>8218</v>
      </c>
      <c r="AK1671" t="s">
        <v>8218</v>
      </c>
      <c r="AV1671"/>
      <c r="AX1671"/>
      <c r="AZ1671" t="str">
        <f t="shared" si="273"/>
        <v/>
      </c>
      <c r="BA1671" t="str">
        <f t="shared" si="274"/>
        <v/>
      </c>
    </row>
    <row r="1672" spans="3:53" ht="13.5">
      <c r="C1672" s="19"/>
      <c r="D1672" s="19"/>
      <c r="AC1672" s="6" t="s">
        <v>3211</v>
      </c>
      <c r="AD1672" s="6" t="s">
        <v>7353</v>
      </c>
      <c r="AE1672" s="155">
        <v>65329</v>
      </c>
      <c r="AF1672" s="159" t="s">
        <v>8324</v>
      </c>
      <c r="AG1672" s="160" t="s">
        <v>1577</v>
      </c>
      <c r="AH1672" s="194" t="s">
        <v>678</v>
      </c>
      <c r="AI1672" s="6" t="s">
        <v>3819</v>
      </c>
      <c r="AJ1672" s="3" t="s">
        <v>8218</v>
      </c>
      <c r="AK1672" t="s">
        <v>8218</v>
      </c>
      <c r="AV1672"/>
      <c r="AX1672"/>
      <c r="AZ1672" t="str">
        <f t="shared" si="273"/>
        <v/>
      </c>
      <c r="BA1672" t="str">
        <f t="shared" si="274"/>
        <v/>
      </c>
    </row>
    <row r="1673" spans="3:53" ht="13.5">
      <c r="C1673" s="19"/>
      <c r="D1673" s="19"/>
      <c r="AC1673" s="6" t="s">
        <v>2958</v>
      </c>
      <c r="AD1673" s="6" t="s">
        <v>7353</v>
      </c>
      <c r="AE1673" s="155">
        <v>65330</v>
      </c>
      <c r="AF1673" s="159" t="s">
        <v>8299</v>
      </c>
      <c r="AG1673" s="160" t="s">
        <v>161</v>
      </c>
      <c r="AH1673" s="194" t="s">
        <v>678</v>
      </c>
      <c r="AI1673" s="6" t="s">
        <v>55</v>
      </c>
      <c r="AJ1673" s="3" t="s">
        <v>8261</v>
      </c>
      <c r="AK1673" t="s">
        <v>8261</v>
      </c>
      <c r="AV1673"/>
      <c r="AX1673"/>
      <c r="AZ1673" t="str">
        <f t="shared" si="273"/>
        <v/>
      </c>
      <c r="BA1673" t="str">
        <f t="shared" si="274"/>
        <v/>
      </c>
    </row>
    <row r="1674" spans="3:53" ht="13.5">
      <c r="C1674" s="19"/>
      <c r="D1674" s="19"/>
      <c r="AC1674" s="6" t="s">
        <v>2884</v>
      </c>
      <c r="AD1674" s="6" t="s">
        <v>7353</v>
      </c>
      <c r="AE1674" s="155" t="s">
        <v>2475</v>
      </c>
      <c r="AF1674" s="159" t="s">
        <v>8299</v>
      </c>
      <c r="AG1674" s="160" t="s">
        <v>1578</v>
      </c>
      <c r="AH1674" s="194" t="s">
        <v>678</v>
      </c>
      <c r="AI1674" s="6" t="s">
        <v>3827</v>
      </c>
      <c r="AJ1674" s="3" t="s">
        <v>8218</v>
      </c>
      <c r="AK1674" t="s">
        <v>8218</v>
      </c>
      <c r="AV1674"/>
      <c r="AX1674"/>
      <c r="AZ1674" t="str">
        <f t="shared" si="273"/>
        <v/>
      </c>
      <c r="BA1674" t="str">
        <f t="shared" si="274"/>
        <v/>
      </c>
    </row>
    <row r="1675" spans="3:53" ht="13.5">
      <c r="C1675" s="19"/>
      <c r="D1675" s="19"/>
      <c r="AC1675" s="6" t="s">
        <v>4748</v>
      </c>
      <c r="AD1675" s="6" t="s">
        <v>7353</v>
      </c>
      <c r="AE1675" s="155">
        <v>55465</v>
      </c>
      <c r="AF1675" s="159" t="s">
        <v>8299</v>
      </c>
      <c r="AG1675" s="161" t="s">
        <v>1579</v>
      </c>
      <c r="AH1675" s="194" t="s">
        <v>678</v>
      </c>
      <c r="AI1675" s="6" t="s">
        <v>3828</v>
      </c>
      <c r="AJ1675" s="3" t="s">
        <v>8261</v>
      </c>
      <c r="AK1675" t="s">
        <v>8261</v>
      </c>
      <c r="AV1675"/>
      <c r="AX1675"/>
      <c r="AZ1675" t="str">
        <f t="shared" si="273"/>
        <v/>
      </c>
      <c r="BA1675" t="str">
        <f t="shared" si="274"/>
        <v/>
      </c>
    </row>
    <row r="1676" spans="3:53" ht="13.5">
      <c r="C1676" s="19"/>
      <c r="D1676" s="19"/>
      <c r="AC1676" s="6" t="s">
        <v>3255</v>
      </c>
      <c r="AD1676" s="6" t="s">
        <v>7353</v>
      </c>
      <c r="AE1676" s="155" t="s">
        <v>2478</v>
      </c>
      <c r="AF1676" s="159" t="s">
        <v>8299</v>
      </c>
      <c r="AG1676" s="160" t="s">
        <v>992</v>
      </c>
      <c r="AH1676" s="194" t="s">
        <v>678</v>
      </c>
      <c r="AI1676" s="6" t="s">
        <v>3829</v>
      </c>
      <c r="AJ1676" s="3" t="s">
        <v>8261</v>
      </c>
      <c r="AK1676" t="s">
        <v>8261</v>
      </c>
      <c r="AV1676"/>
      <c r="AX1676"/>
      <c r="AZ1676" t="str">
        <f t="shared" si="273"/>
        <v/>
      </c>
      <c r="BA1676" t="str">
        <f t="shared" si="274"/>
        <v/>
      </c>
    </row>
    <row r="1677" spans="3:53" ht="13.5">
      <c r="C1677" s="19"/>
      <c r="D1677" s="19"/>
      <c r="AC1677" s="6" t="s">
        <v>5598</v>
      </c>
      <c r="AD1677" s="6" t="s">
        <v>7353</v>
      </c>
      <c r="AE1677" s="155" t="s">
        <v>2479</v>
      </c>
      <c r="AF1677" s="159" t="s">
        <v>8297</v>
      </c>
      <c r="AG1677" s="160" t="s">
        <v>1580</v>
      </c>
      <c r="AH1677" s="194" t="s">
        <v>678</v>
      </c>
      <c r="AI1677" s="6" t="s">
        <v>5345</v>
      </c>
      <c r="AJ1677" s="3" t="s">
        <v>8199</v>
      </c>
      <c r="AK1677" t="s">
        <v>8199</v>
      </c>
      <c r="AV1677"/>
      <c r="AX1677"/>
      <c r="AZ1677" t="str">
        <f t="shared" si="273"/>
        <v/>
      </c>
      <c r="BA1677" t="str">
        <f t="shared" si="274"/>
        <v/>
      </c>
    </row>
    <row r="1678" spans="3:53" ht="13.5">
      <c r="C1678" s="19"/>
      <c r="D1678" s="19"/>
      <c r="AC1678" s="6" t="s">
        <v>3256</v>
      </c>
      <c r="AD1678" s="6" t="s">
        <v>7353</v>
      </c>
      <c r="AE1678" s="155" t="s">
        <v>2480</v>
      </c>
      <c r="AF1678" s="159" t="s">
        <v>8328</v>
      </c>
      <c r="AG1678" s="160" t="s">
        <v>1581</v>
      </c>
      <c r="AH1678" s="194" t="s">
        <v>678</v>
      </c>
      <c r="AI1678" s="6" t="s">
        <v>5534</v>
      </c>
      <c r="AJ1678" s="3" t="s">
        <v>8244</v>
      </c>
      <c r="AK1678" t="s">
        <v>8244</v>
      </c>
      <c r="AV1678"/>
      <c r="AX1678"/>
      <c r="AZ1678" t="str">
        <f t="shared" si="273"/>
        <v/>
      </c>
      <c r="BA1678" t="str">
        <f t="shared" si="274"/>
        <v/>
      </c>
    </row>
    <row r="1679" spans="3:53" ht="13.5">
      <c r="C1679" s="19"/>
      <c r="D1679" s="19"/>
      <c r="AC1679" s="6" t="s">
        <v>3298</v>
      </c>
      <c r="AD1679" s="6" t="s">
        <v>7353</v>
      </c>
      <c r="AE1679" s="155" t="s">
        <v>2481</v>
      </c>
      <c r="AF1679" s="159" t="s">
        <v>8311</v>
      </c>
      <c r="AG1679" s="160" t="s">
        <v>1582</v>
      </c>
      <c r="AH1679" s="194" t="s">
        <v>678</v>
      </c>
      <c r="AI1679" s="6" t="s">
        <v>1897</v>
      </c>
      <c r="AJ1679" s="3" t="s">
        <v>8252</v>
      </c>
      <c r="AK1679" t="s">
        <v>8252</v>
      </c>
      <c r="AV1679"/>
      <c r="AX1679"/>
      <c r="AZ1679" t="str">
        <f t="shared" si="273"/>
        <v/>
      </c>
      <c r="BA1679" t="str">
        <f t="shared" si="274"/>
        <v/>
      </c>
    </row>
    <row r="1680" spans="3:53" ht="13.5">
      <c r="C1680" s="19"/>
      <c r="D1680" s="19"/>
      <c r="AC1680" s="6" t="s">
        <v>2955</v>
      </c>
      <c r="AD1680" s="6" t="s">
        <v>7353</v>
      </c>
      <c r="AE1680" s="155">
        <v>385655</v>
      </c>
      <c r="AF1680" s="159" t="s">
        <v>8311</v>
      </c>
      <c r="AG1680" s="160" t="s">
        <v>1583</v>
      </c>
      <c r="AH1680" s="194" t="s">
        <v>678</v>
      </c>
      <c r="AI1680" s="6" t="s">
        <v>1978</v>
      </c>
      <c r="AJ1680" s="3" t="s">
        <v>8252</v>
      </c>
      <c r="AK1680" t="s">
        <v>8252</v>
      </c>
      <c r="AV1680"/>
      <c r="AX1680"/>
      <c r="AZ1680" t="str">
        <f t="shared" si="273"/>
        <v/>
      </c>
      <c r="BA1680" t="str">
        <f t="shared" si="274"/>
        <v/>
      </c>
    </row>
    <row r="1681" spans="3:53" ht="13.5">
      <c r="C1681" s="19"/>
      <c r="D1681" s="19"/>
      <c r="AC1681" s="6" t="s">
        <v>3185</v>
      </c>
      <c r="AD1681" s="6" t="s">
        <v>7353</v>
      </c>
      <c r="AE1681" s="155">
        <v>385656</v>
      </c>
      <c r="AF1681" s="159" t="s">
        <v>8324</v>
      </c>
      <c r="AG1681" s="160" t="s">
        <v>1584</v>
      </c>
      <c r="AH1681" s="194" t="s">
        <v>678</v>
      </c>
      <c r="AI1681" s="6" t="s">
        <v>1979</v>
      </c>
      <c r="AJ1681" s="3" t="s">
        <v>8252</v>
      </c>
      <c r="AK1681" t="s">
        <v>8252</v>
      </c>
      <c r="AV1681"/>
      <c r="AX1681"/>
      <c r="AZ1681" t="str">
        <f t="shared" si="273"/>
        <v/>
      </c>
      <c r="BA1681" t="str">
        <f t="shared" si="274"/>
        <v/>
      </c>
    </row>
    <row r="1682" spans="3:53" ht="13.5">
      <c r="C1682" s="19"/>
      <c r="D1682" s="19"/>
      <c r="AC1682" s="6" t="s">
        <v>3081</v>
      </c>
      <c r="AD1682" s="6" t="s">
        <v>7353</v>
      </c>
      <c r="AE1682" s="155">
        <v>385657</v>
      </c>
      <c r="AF1682" s="159" t="s">
        <v>8324</v>
      </c>
      <c r="AG1682" s="160" t="s">
        <v>1585</v>
      </c>
      <c r="AH1682" s="194" t="s">
        <v>678</v>
      </c>
      <c r="AI1682" s="6" t="s">
        <v>1634</v>
      </c>
      <c r="AJ1682" s="3" t="s">
        <v>8224</v>
      </c>
      <c r="AK1682" t="s">
        <v>8224</v>
      </c>
      <c r="AV1682"/>
      <c r="AX1682"/>
      <c r="AZ1682" t="str">
        <f t="shared" si="273"/>
        <v/>
      </c>
      <c r="BA1682" t="str">
        <f t="shared" si="274"/>
        <v/>
      </c>
    </row>
    <row r="1683" spans="3:53" ht="13.5">
      <c r="C1683" s="19"/>
      <c r="D1683" s="19"/>
      <c r="AC1683" s="6" t="s">
        <v>3042</v>
      </c>
      <c r="AD1683" s="6" t="s">
        <v>7353</v>
      </c>
      <c r="AE1683" s="155">
        <v>385658</v>
      </c>
      <c r="AF1683" s="159" t="s">
        <v>8335</v>
      </c>
      <c r="AG1683" s="160" t="s">
        <v>1586</v>
      </c>
      <c r="AH1683" s="194" t="s">
        <v>679</v>
      </c>
      <c r="AI1683" s="6" t="s">
        <v>2055</v>
      </c>
      <c r="AJ1683" s="3" t="s">
        <v>8235</v>
      </c>
      <c r="AK1683" t="s">
        <v>8672</v>
      </c>
      <c r="AV1683"/>
      <c r="AX1683"/>
      <c r="AZ1683" t="str">
        <f t="shared" si="273"/>
        <v/>
      </c>
      <c r="BA1683" t="str">
        <f t="shared" si="274"/>
        <v/>
      </c>
    </row>
    <row r="1684" spans="3:53" ht="13.5">
      <c r="C1684" s="19"/>
      <c r="D1684" s="19"/>
      <c r="AC1684" s="6" t="s">
        <v>1231</v>
      </c>
      <c r="AD1684" s="6" t="s">
        <v>7353</v>
      </c>
      <c r="AE1684" s="155">
        <v>385659</v>
      </c>
      <c r="AF1684" s="159" t="s">
        <v>8299</v>
      </c>
      <c r="AG1684" s="160" t="s">
        <v>1587</v>
      </c>
      <c r="AH1684" s="194" t="s">
        <v>678</v>
      </c>
      <c r="AI1684" s="6" t="s">
        <v>2033</v>
      </c>
      <c r="AJ1684" s="3" t="s">
        <v>8239</v>
      </c>
      <c r="AK1684" t="s">
        <v>8674</v>
      </c>
      <c r="AV1684"/>
      <c r="AX1684"/>
      <c r="AZ1684" t="str">
        <f t="shared" si="273"/>
        <v/>
      </c>
      <c r="BA1684" t="str">
        <f t="shared" si="274"/>
        <v/>
      </c>
    </row>
    <row r="1685" spans="3:53" ht="13.5">
      <c r="C1685" s="19"/>
      <c r="D1685" s="19"/>
      <c r="AC1685" s="6" t="s">
        <v>3355</v>
      </c>
      <c r="AD1685" s="6" t="s">
        <v>7353</v>
      </c>
      <c r="AE1685" s="155">
        <v>385660</v>
      </c>
      <c r="AF1685" s="159" t="s">
        <v>8321</v>
      </c>
      <c r="AG1685" s="160" t="s">
        <v>3831</v>
      </c>
      <c r="AH1685" s="194" t="s">
        <v>678</v>
      </c>
      <c r="AI1685" s="6" t="s">
        <v>2035</v>
      </c>
      <c r="AJ1685" s="3" t="s">
        <v>8239</v>
      </c>
      <c r="AK1685" t="s">
        <v>8674</v>
      </c>
      <c r="AV1685"/>
      <c r="AX1685"/>
      <c r="AZ1685" t="str">
        <f t="shared" si="273"/>
        <v/>
      </c>
      <c r="BA1685" t="str">
        <f t="shared" si="274"/>
        <v/>
      </c>
    </row>
    <row r="1686" spans="3:53" ht="13.5">
      <c r="C1686" s="19"/>
      <c r="D1686" s="19"/>
      <c r="AC1686" s="6" t="s">
        <v>3105</v>
      </c>
      <c r="AD1686" s="6" t="s">
        <v>7353</v>
      </c>
      <c r="AE1686" s="155">
        <v>385661</v>
      </c>
      <c r="AF1686" s="159" t="s">
        <v>8389</v>
      </c>
      <c r="AG1686" s="160" t="s">
        <v>1588</v>
      </c>
      <c r="AH1686" s="194" t="s">
        <v>679</v>
      </c>
      <c r="AI1686" s="6" t="s">
        <v>2039</v>
      </c>
      <c r="AJ1686" s="3" t="s">
        <v>8239</v>
      </c>
      <c r="AK1686" t="s">
        <v>8674</v>
      </c>
      <c r="AV1686"/>
      <c r="AX1686"/>
      <c r="AZ1686" t="str">
        <f t="shared" si="273"/>
        <v/>
      </c>
      <c r="BA1686" t="str">
        <f t="shared" si="274"/>
        <v/>
      </c>
    </row>
    <row r="1687" spans="3:53" ht="13.5">
      <c r="C1687" s="19"/>
      <c r="D1687" s="19"/>
      <c r="AC1687" s="6" t="s">
        <v>3060</v>
      </c>
      <c r="AD1687" s="6" t="s">
        <v>7353</v>
      </c>
      <c r="AE1687" s="155">
        <v>385662</v>
      </c>
      <c r="AF1687" s="159" t="s">
        <v>8299</v>
      </c>
      <c r="AG1687" s="160" t="s">
        <v>1589</v>
      </c>
      <c r="AH1687" s="194" t="s">
        <v>678</v>
      </c>
      <c r="AI1687" s="6" t="s">
        <v>2484</v>
      </c>
      <c r="AJ1687" s="3" t="s">
        <v>8255</v>
      </c>
      <c r="AK1687" t="s">
        <v>8255</v>
      </c>
      <c r="AV1687"/>
      <c r="AX1687"/>
      <c r="AZ1687" t="str">
        <f t="shared" si="273"/>
        <v/>
      </c>
      <c r="BA1687" t="str">
        <f t="shared" si="274"/>
        <v/>
      </c>
    </row>
    <row r="1688" spans="3:53" ht="13.5">
      <c r="C1688" s="19"/>
      <c r="D1688" s="19"/>
      <c r="AC1688" s="6" t="s">
        <v>5721</v>
      </c>
      <c r="AD1688" s="6" t="s">
        <v>7353</v>
      </c>
      <c r="AE1688" s="155">
        <v>385663</v>
      </c>
      <c r="AF1688" s="159" t="s">
        <v>8299</v>
      </c>
      <c r="AG1688" s="160" t="s">
        <v>1590</v>
      </c>
      <c r="AH1688" s="194" t="s">
        <v>679</v>
      </c>
      <c r="AI1688" s="6" t="s">
        <v>2789</v>
      </c>
      <c r="AJ1688" s="3" t="s">
        <v>8255</v>
      </c>
      <c r="AK1688" t="s">
        <v>8255</v>
      </c>
      <c r="AV1688"/>
      <c r="AX1688"/>
      <c r="AZ1688" t="str">
        <f t="shared" si="273"/>
        <v/>
      </c>
      <c r="BA1688" t="str">
        <f t="shared" si="274"/>
        <v/>
      </c>
    </row>
    <row r="1689" spans="3:53" ht="13.5">
      <c r="C1689" s="19"/>
      <c r="D1689" s="19"/>
      <c r="AC1689" s="6" t="s">
        <v>3121</v>
      </c>
      <c r="AD1689" s="6" t="s">
        <v>7353</v>
      </c>
      <c r="AE1689" s="155">
        <v>385664</v>
      </c>
      <c r="AF1689" s="159" t="s">
        <v>8340</v>
      </c>
      <c r="AG1689" s="160" t="s">
        <v>1591</v>
      </c>
      <c r="AH1689" s="194" t="s">
        <v>679</v>
      </c>
      <c r="AI1689" s="6" t="s">
        <v>148</v>
      </c>
      <c r="AJ1689" s="3" t="s">
        <v>8197</v>
      </c>
      <c r="AK1689" t="s">
        <v>8197</v>
      </c>
      <c r="AV1689"/>
      <c r="AX1689"/>
      <c r="AZ1689" t="str">
        <f t="shared" si="273"/>
        <v/>
      </c>
      <c r="BA1689" t="str">
        <f t="shared" si="274"/>
        <v/>
      </c>
    </row>
    <row r="1690" spans="3:53" ht="13.5">
      <c r="C1690" s="19"/>
      <c r="D1690" s="19"/>
      <c r="AC1690" s="6" t="s">
        <v>3282</v>
      </c>
      <c r="AD1690" s="6" t="s">
        <v>7353</v>
      </c>
      <c r="AE1690" s="155">
        <v>385665</v>
      </c>
      <c r="AF1690" s="159" t="s">
        <v>8323</v>
      </c>
      <c r="AG1690" s="160" t="s">
        <v>162</v>
      </c>
      <c r="AH1690" s="194" t="s">
        <v>678</v>
      </c>
      <c r="AI1690" s="6" t="s">
        <v>1423</v>
      </c>
      <c r="AJ1690" s="3" t="s">
        <v>8197</v>
      </c>
      <c r="AK1690" t="s">
        <v>8197</v>
      </c>
      <c r="AV1690"/>
      <c r="AX1690"/>
      <c r="AZ1690" t="str">
        <f t="shared" si="273"/>
        <v/>
      </c>
      <c r="BA1690" t="str">
        <f t="shared" si="274"/>
        <v/>
      </c>
    </row>
    <row r="1691" spans="3:53" ht="13.5">
      <c r="C1691" s="19"/>
      <c r="D1691" s="19"/>
      <c r="AC1691" s="6" t="s">
        <v>3379</v>
      </c>
      <c r="AD1691" s="6" t="s">
        <v>7353</v>
      </c>
      <c r="AE1691" s="155" t="s">
        <v>2482</v>
      </c>
      <c r="AF1691" s="159" t="s">
        <v>8299</v>
      </c>
      <c r="AG1691" s="160" t="s">
        <v>163</v>
      </c>
      <c r="AH1691" s="194" t="s">
        <v>678</v>
      </c>
      <c r="AI1691" s="6" t="s">
        <v>8174</v>
      </c>
      <c r="AJ1691" s="3" t="s">
        <v>8197</v>
      </c>
      <c r="AK1691" t="s">
        <v>8197</v>
      </c>
      <c r="AV1691"/>
      <c r="AX1691"/>
      <c r="AZ1691" t="str">
        <f t="shared" si="273"/>
        <v/>
      </c>
      <c r="BA1691" t="str">
        <f t="shared" si="274"/>
        <v/>
      </c>
    </row>
    <row r="1692" spans="3:53" ht="13.5">
      <c r="C1692" s="19"/>
      <c r="D1692" s="19"/>
      <c r="AC1692" s="6" t="s">
        <v>3079</v>
      </c>
      <c r="AD1692" s="6" t="s">
        <v>7353</v>
      </c>
      <c r="AE1692" s="155" t="s">
        <v>2483</v>
      </c>
      <c r="AF1692" s="159" t="s">
        <v>8299</v>
      </c>
      <c r="AG1692" s="160" t="s">
        <v>990</v>
      </c>
      <c r="AH1692" s="194" t="s">
        <v>679</v>
      </c>
      <c r="AI1692" s="6" t="s">
        <v>1008</v>
      </c>
      <c r="AJ1692" s="3" t="s">
        <v>8197</v>
      </c>
      <c r="AK1692" t="s">
        <v>8197</v>
      </c>
      <c r="AV1692"/>
      <c r="AX1692"/>
      <c r="AZ1692" t="str">
        <f t="shared" si="273"/>
        <v/>
      </c>
      <c r="BA1692" t="str">
        <f t="shared" si="274"/>
        <v/>
      </c>
    </row>
    <row r="1693" spans="3:53" ht="13.5">
      <c r="C1693" s="19"/>
      <c r="D1693" s="19"/>
      <c r="AC1693" s="6" t="s">
        <v>2893</v>
      </c>
      <c r="AD1693" s="6" t="s">
        <v>7353</v>
      </c>
      <c r="AE1693" s="155" t="s">
        <v>2484</v>
      </c>
      <c r="AF1693" s="159" t="s">
        <v>8335</v>
      </c>
      <c r="AG1693" s="160" t="s">
        <v>164</v>
      </c>
      <c r="AH1693" s="194" t="s">
        <v>679</v>
      </c>
      <c r="AI1693" s="6" t="s">
        <v>1530</v>
      </c>
      <c r="AJ1693" s="3" t="s">
        <v>8197</v>
      </c>
      <c r="AK1693" t="s">
        <v>8197</v>
      </c>
      <c r="AV1693"/>
      <c r="AX1693"/>
      <c r="AZ1693" t="str">
        <f t="shared" si="273"/>
        <v/>
      </c>
      <c r="BA1693" t="str">
        <f t="shared" si="274"/>
        <v/>
      </c>
    </row>
    <row r="1694" spans="3:53" ht="13.5">
      <c r="C1694" s="19"/>
      <c r="D1694" s="19"/>
      <c r="AC1694" s="6" t="s">
        <v>3296</v>
      </c>
      <c r="AD1694" s="6" t="s">
        <v>7353</v>
      </c>
      <c r="AE1694" s="155">
        <v>395670</v>
      </c>
      <c r="AF1694" s="159" t="s">
        <v>8299</v>
      </c>
      <c r="AG1694" s="160" t="s">
        <v>1592</v>
      </c>
      <c r="AH1694" s="194" t="s">
        <v>678</v>
      </c>
      <c r="AI1694" s="6" t="s">
        <v>5768</v>
      </c>
      <c r="AJ1694" s="3" t="s">
        <v>8197</v>
      </c>
      <c r="AK1694" t="s">
        <v>8197</v>
      </c>
      <c r="AV1694"/>
      <c r="AX1694"/>
      <c r="AZ1694" t="str">
        <f t="shared" si="273"/>
        <v/>
      </c>
      <c r="BA1694" t="str">
        <f t="shared" si="274"/>
        <v/>
      </c>
    </row>
    <row r="1695" spans="3:53" ht="13.5">
      <c r="C1695" s="19"/>
      <c r="D1695" s="19"/>
      <c r="AC1695" s="6" t="s">
        <v>3068</v>
      </c>
      <c r="AD1695" s="6" t="s">
        <v>7353</v>
      </c>
      <c r="AE1695" s="155">
        <v>395671</v>
      </c>
      <c r="AF1695" s="159" t="s">
        <v>8299</v>
      </c>
      <c r="AG1695" s="160" t="s">
        <v>1593</v>
      </c>
      <c r="AH1695" s="194" t="s">
        <v>678</v>
      </c>
      <c r="AI1695" s="6" t="s">
        <v>5302</v>
      </c>
      <c r="AJ1695" s="3" t="s">
        <v>8197</v>
      </c>
      <c r="AK1695" t="s">
        <v>8197</v>
      </c>
      <c r="AV1695"/>
      <c r="AX1695"/>
      <c r="AZ1695" t="str">
        <f t="shared" si="273"/>
        <v/>
      </c>
      <c r="BA1695" t="str">
        <f t="shared" si="274"/>
        <v/>
      </c>
    </row>
    <row r="1696" spans="3:53" ht="13.5">
      <c r="C1696" s="19"/>
      <c r="D1696" s="19"/>
      <c r="AC1696" s="6" t="s">
        <v>3356</v>
      </c>
      <c r="AD1696" s="6" t="s">
        <v>7353</v>
      </c>
      <c r="AE1696" s="155">
        <v>395672</v>
      </c>
      <c r="AF1696" s="159" t="s">
        <v>8299</v>
      </c>
      <c r="AG1696" s="160" t="s">
        <v>1594</v>
      </c>
      <c r="AH1696" s="194" t="s">
        <v>678</v>
      </c>
      <c r="AI1696" s="6" t="s">
        <v>5295</v>
      </c>
      <c r="AJ1696" s="3" t="s">
        <v>8197</v>
      </c>
      <c r="AK1696" t="s">
        <v>8197</v>
      </c>
      <c r="AV1696"/>
      <c r="AX1696"/>
      <c r="AZ1696" t="str">
        <f t="shared" si="273"/>
        <v/>
      </c>
      <c r="BA1696" t="str">
        <f t="shared" si="274"/>
        <v/>
      </c>
    </row>
    <row r="1697" spans="3:53" ht="13.5">
      <c r="C1697" s="19"/>
      <c r="D1697" s="19"/>
      <c r="AC1697" s="6" t="s">
        <v>3041</v>
      </c>
      <c r="AD1697" s="6" t="s">
        <v>7353</v>
      </c>
      <c r="AE1697" s="155">
        <v>395673</v>
      </c>
      <c r="AF1697" s="159" t="s">
        <v>8299</v>
      </c>
      <c r="AG1697" s="161" t="s">
        <v>4442</v>
      </c>
      <c r="AH1697" s="194" t="s">
        <v>1314</v>
      </c>
      <c r="AI1697" s="6" t="s">
        <v>5500</v>
      </c>
      <c r="AJ1697" s="3" t="s">
        <v>8197</v>
      </c>
      <c r="AK1697" t="s">
        <v>8197</v>
      </c>
      <c r="AV1697"/>
      <c r="AX1697"/>
      <c r="AZ1697" t="str">
        <f t="shared" si="273"/>
        <v/>
      </c>
      <c r="BA1697" t="str">
        <f t="shared" si="274"/>
        <v/>
      </c>
    </row>
    <row r="1698" spans="3:53" ht="13.5">
      <c r="C1698" s="19"/>
      <c r="D1698" s="19"/>
      <c r="AC1698" s="6" t="s">
        <v>2873</v>
      </c>
      <c r="AD1698" s="6" t="s">
        <v>7353</v>
      </c>
      <c r="AE1698" s="155">
        <v>395674</v>
      </c>
      <c r="AF1698" s="159" t="s">
        <v>8299</v>
      </c>
      <c r="AG1698" s="160" t="s">
        <v>4439</v>
      </c>
      <c r="AH1698" s="194" t="s">
        <v>679</v>
      </c>
      <c r="AI1698" s="6" t="s">
        <v>1755</v>
      </c>
      <c r="AJ1698" s="3" t="s">
        <v>8227</v>
      </c>
      <c r="AK1698" t="s">
        <v>8227</v>
      </c>
      <c r="AV1698"/>
      <c r="AX1698"/>
      <c r="AZ1698" t="str">
        <f t="shared" si="273"/>
        <v/>
      </c>
      <c r="BA1698" t="str">
        <f t="shared" si="274"/>
        <v/>
      </c>
    </row>
    <row r="1699" spans="3:53" ht="13.5">
      <c r="C1699" s="19"/>
      <c r="D1699" s="19"/>
      <c r="AC1699" s="6" t="s">
        <v>4754</v>
      </c>
      <c r="AD1699" s="6" t="s">
        <v>7353</v>
      </c>
      <c r="AE1699" s="155" t="s">
        <v>2485</v>
      </c>
      <c r="AF1699" s="159" t="s">
        <v>8299</v>
      </c>
      <c r="AG1699" s="160" t="s">
        <v>4440</v>
      </c>
      <c r="AH1699" s="194" t="s">
        <v>679</v>
      </c>
      <c r="AI1699" s="6" t="s">
        <v>1756</v>
      </c>
      <c r="AJ1699" s="3" t="s">
        <v>8227</v>
      </c>
      <c r="AK1699" t="s">
        <v>8227</v>
      </c>
      <c r="AV1699"/>
      <c r="AX1699"/>
      <c r="AZ1699" t="str">
        <f t="shared" si="273"/>
        <v/>
      </c>
      <c r="BA1699" t="str">
        <f t="shared" si="274"/>
        <v/>
      </c>
    </row>
    <row r="1700" spans="3:53" ht="13.5">
      <c r="C1700" s="19"/>
      <c r="D1700" s="19"/>
      <c r="AC1700" s="6" t="s">
        <v>3378</v>
      </c>
      <c r="AD1700" s="6" t="s">
        <v>7353</v>
      </c>
      <c r="AE1700" s="155" t="s">
        <v>2486</v>
      </c>
      <c r="AF1700" s="159" t="s">
        <v>8311</v>
      </c>
      <c r="AG1700" s="160" t="s">
        <v>4448</v>
      </c>
      <c r="AH1700" s="194" t="s">
        <v>679</v>
      </c>
      <c r="AI1700" s="6" t="s">
        <v>1808</v>
      </c>
      <c r="AJ1700" s="3" t="s">
        <v>8227</v>
      </c>
      <c r="AK1700" t="s">
        <v>8227</v>
      </c>
      <c r="AV1700"/>
      <c r="AX1700"/>
      <c r="AZ1700" t="str">
        <f t="shared" si="273"/>
        <v/>
      </c>
      <c r="BA1700" t="str">
        <f t="shared" si="274"/>
        <v/>
      </c>
    </row>
    <row r="1701" spans="3:53" ht="13.5">
      <c r="C1701" s="19"/>
      <c r="D1701" s="19"/>
      <c r="AC1701" s="6" t="s">
        <v>5599</v>
      </c>
      <c r="AD1701" s="6" t="s">
        <v>7353</v>
      </c>
      <c r="AE1701" s="155">
        <v>405677</v>
      </c>
      <c r="AF1701" s="159" t="s">
        <v>8311</v>
      </c>
      <c r="AG1701" s="160" t="s">
        <v>4744</v>
      </c>
      <c r="AH1701" s="194" t="s">
        <v>678</v>
      </c>
      <c r="AI1701" s="6" t="s">
        <v>1809</v>
      </c>
      <c r="AJ1701" s="3" t="s">
        <v>8227</v>
      </c>
      <c r="AK1701" t="s">
        <v>8227</v>
      </c>
      <c r="AV1701"/>
      <c r="AX1701"/>
      <c r="AZ1701" t="str">
        <f t="shared" si="273"/>
        <v/>
      </c>
      <c r="BA1701" t="str">
        <f t="shared" si="274"/>
        <v/>
      </c>
    </row>
    <row r="1702" spans="3:53" ht="13.5">
      <c r="C1702" s="19"/>
      <c r="D1702" s="19"/>
      <c r="AC1702" s="6" t="s">
        <v>2950</v>
      </c>
      <c r="AD1702" s="6" t="s">
        <v>7353</v>
      </c>
      <c r="AE1702" s="155">
        <v>405678</v>
      </c>
      <c r="AF1702" s="159" t="s">
        <v>8299</v>
      </c>
      <c r="AG1702" s="160" t="s">
        <v>4726</v>
      </c>
      <c r="AH1702" s="194" t="s">
        <v>679</v>
      </c>
      <c r="AI1702" s="6" t="s">
        <v>1814</v>
      </c>
      <c r="AJ1702" s="3" t="s">
        <v>8227</v>
      </c>
      <c r="AK1702" t="s">
        <v>8227</v>
      </c>
      <c r="AV1702"/>
      <c r="AX1702"/>
      <c r="AZ1702" t="str">
        <f t="shared" si="273"/>
        <v/>
      </c>
      <c r="BA1702" t="str">
        <f t="shared" si="274"/>
        <v/>
      </c>
    </row>
    <row r="1703" spans="3:53" ht="13.5">
      <c r="C1703" s="19"/>
      <c r="D1703" s="19"/>
      <c r="AC1703" s="6" t="s">
        <v>3279</v>
      </c>
      <c r="AD1703" s="6" t="s">
        <v>7353</v>
      </c>
      <c r="AE1703" s="155">
        <v>405679</v>
      </c>
      <c r="AF1703" s="159" t="s">
        <v>8297</v>
      </c>
      <c r="AG1703" s="160" t="s">
        <v>4740</v>
      </c>
      <c r="AH1703" s="194" t="s">
        <v>678</v>
      </c>
      <c r="AI1703" s="6" t="s">
        <v>1820</v>
      </c>
      <c r="AJ1703" s="3" t="s">
        <v>8227</v>
      </c>
      <c r="AK1703" t="s">
        <v>8227</v>
      </c>
      <c r="AV1703"/>
      <c r="AX1703"/>
      <c r="AZ1703" t="str">
        <f t="shared" si="273"/>
        <v/>
      </c>
      <c r="BA1703" t="str">
        <f t="shared" si="274"/>
        <v/>
      </c>
    </row>
    <row r="1704" spans="3:53" ht="13.5">
      <c r="C1704" s="19"/>
      <c r="D1704" s="19"/>
      <c r="AC1704" s="6" t="s">
        <v>5720</v>
      </c>
      <c r="AD1704" s="6" t="s">
        <v>7353</v>
      </c>
      <c r="AE1704" s="155">
        <v>405680</v>
      </c>
      <c r="AF1704" s="159" t="s">
        <v>8344</v>
      </c>
      <c r="AG1704" s="160" t="s">
        <v>4750</v>
      </c>
      <c r="AH1704" s="194" t="s">
        <v>679</v>
      </c>
      <c r="AI1704" s="6" t="s">
        <v>1832</v>
      </c>
      <c r="AJ1704" s="3" t="s">
        <v>8227</v>
      </c>
      <c r="AK1704" t="s">
        <v>8227</v>
      </c>
      <c r="AV1704"/>
      <c r="AX1704"/>
      <c r="AZ1704" t="str">
        <f t="shared" si="273"/>
        <v/>
      </c>
      <c r="BA1704" t="str">
        <f t="shared" si="274"/>
        <v/>
      </c>
    </row>
    <row r="1705" spans="3:53" ht="13.5">
      <c r="C1705" s="19"/>
      <c r="D1705" s="19"/>
      <c r="AC1705" s="6" t="s">
        <v>2936</v>
      </c>
      <c r="AD1705" s="6" t="s">
        <v>7353</v>
      </c>
      <c r="AE1705" s="155">
        <v>415681</v>
      </c>
      <c r="AF1705" s="159" t="s">
        <v>8299</v>
      </c>
      <c r="AG1705" s="160" t="s">
        <v>4764</v>
      </c>
      <c r="AH1705" s="194" t="s">
        <v>679</v>
      </c>
      <c r="AI1705" s="6" t="s">
        <v>1894</v>
      </c>
      <c r="AJ1705" s="3" t="s">
        <v>8227</v>
      </c>
      <c r="AK1705" t="s">
        <v>8227</v>
      </c>
      <c r="AV1705"/>
      <c r="AX1705"/>
      <c r="AZ1705" t="str">
        <f t="shared" si="273"/>
        <v/>
      </c>
      <c r="BA1705" t="str">
        <f t="shared" si="274"/>
        <v/>
      </c>
    </row>
    <row r="1706" spans="3:53" ht="13.5">
      <c r="C1706" s="19"/>
      <c r="D1706" s="19"/>
      <c r="AC1706" s="6" t="s">
        <v>3460</v>
      </c>
      <c r="AD1706" s="6" t="s">
        <v>7377</v>
      </c>
      <c r="AE1706" s="155">
        <v>415682</v>
      </c>
      <c r="AF1706" s="159" t="s">
        <v>8296</v>
      </c>
      <c r="AG1706" s="160" t="s">
        <v>5303</v>
      </c>
      <c r="AH1706" s="194" t="s">
        <v>679</v>
      </c>
      <c r="AI1706" s="6" t="s">
        <v>1993</v>
      </c>
      <c r="AJ1706" s="3" t="s">
        <v>8227</v>
      </c>
      <c r="AK1706" t="s">
        <v>8227</v>
      </c>
      <c r="AV1706"/>
      <c r="AX1706"/>
      <c r="AZ1706" t="str">
        <f t="shared" si="273"/>
        <v/>
      </c>
      <c r="BA1706" t="str">
        <f t="shared" si="274"/>
        <v/>
      </c>
    </row>
    <row r="1707" spans="3:53" ht="13.5">
      <c r="C1707" s="19"/>
      <c r="D1707" s="19"/>
      <c r="AC1707" s="6" t="s">
        <v>3010</v>
      </c>
      <c r="AD1707" s="6" t="s">
        <v>7353</v>
      </c>
      <c r="AE1707" s="155">
        <v>415683</v>
      </c>
      <c r="AF1707" s="159" t="s">
        <v>8299</v>
      </c>
      <c r="AG1707" s="161" t="s">
        <v>5302</v>
      </c>
      <c r="AH1707" s="194" t="s">
        <v>679</v>
      </c>
      <c r="AI1707" s="6" t="s">
        <v>1994</v>
      </c>
      <c r="AJ1707" s="3" t="s">
        <v>8227</v>
      </c>
      <c r="AK1707" t="s">
        <v>8227</v>
      </c>
      <c r="AV1707"/>
      <c r="AX1707"/>
      <c r="AZ1707" t="str">
        <f t="shared" si="273"/>
        <v/>
      </c>
      <c r="BA1707" t="str">
        <f t="shared" si="274"/>
        <v/>
      </c>
    </row>
    <row r="1708" spans="3:53" ht="13.5">
      <c r="C1708" s="19"/>
      <c r="D1708" s="19"/>
      <c r="AC1708" s="6" t="s">
        <v>3130</v>
      </c>
      <c r="AD1708" s="6" t="s">
        <v>7353</v>
      </c>
      <c r="AE1708" s="155" t="s">
        <v>2487</v>
      </c>
      <c r="AF1708" s="159" t="s">
        <v>8325</v>
      </c>
      <c r="AG1708" s="160" t="s">
        <v>5295</v>
      </c>
      <c r="AH1708" s="194" t="s">
        <v>679</v>
      </c>
      <c r="AI1708" s="6" t="s">
        <v>1812</v>
      </c>
      <c r="AJ1708" s="3" t="s">
        <v>8258</v>
      </c>
      <c r="AK1708" t="s">
        <v>8258</v>
      </c>
      <c r="AV1708"/>
      <c r="AX1708"/>
      <c r="AZ1708" t="str">
        <f t="shared" si="273"/>
        <v/>
      </c>
      <c r="BA1708" t="str">
        <f t="shared" si="274"/>
        <v/>
      </c>
    </row>
    <row r="1709" spans="3:53" ht="13.5">
      <c r="C1709" s="19"/>
      <c r="D1709" s="19"/>
      <c r="AC1709" s="6" t="s">
        <v>2362</v>
      </c>
      <c r="AD1709" s="6" t="s">
        <v>7363</v>
      </c>
      <c r="AE1709" s="155" t="s">
        <v>2488</v>
      </c>
      <c r="AF1709" s="159" t="s">
        <v>8309</v>
      </c>
      <c r="AG1709" s="161" t="s">
        <v>4833</v>
      </c>
      <c r="AH1709" s="194" t="s">
        <v>679</v>
      </c>
      <c r="AI1709" s="6" t="s">
        <v>1819</v>
      </c>
      <c r="AJ1709" s="3" t="s">
        <v>8248</v>
      </c>
      <c r="AK1709" t="s">
        <v>8248</v>
      </c>
      <c r="AV1709"/>
      <c r="AX1709"/>
      <c r="AZ1709" t="str">
        <f t="shared" si="273"/>
        <v/>
      </c>
      <c r="BA1709" t="str">
        <f t="shared" si="274"/>
        <v/>
      </c>
    </row>
    <row r="1710" spans="3:53" ht="13.5">
      <c r="C1710" s="19"/>
      <c r="D1710" s="19"/>
      <c r="AC1710" s="6" t="s">
        <v>3077</v>
      </c>
      <c r="AD1710" s="6" t="s">
        <v>7353</v>
      </c>
      <c r="AE1710" s="155" t="s">
        <v>2489</v>
      </c>
      <c r="AF1710" s="159" t="s">
        <v>8299</v>
      </c>
      <c r="AG1710" s="160" t="s">
        <v>4729</v>
      </c>
      <c r="AH1710" s="194" t="s">
        <v>678</v>
      </c>
      <c r="AI1710" s="6" t="s">
        <v>1828</v>
      </c>
      <c r="AJ1710" s="3" t="s">
        <v>8258</v>
      </c>
      <c r="AK1710" t="s">
        <v>8258</v>
      </c>
      <c r="AV1710"/>
      <c r="AX1710"/>
      <c r="AZ1710" t="str">
        <f t="shared" si="273"/>
        <v/>
      </c>
      <c r="BA1710" t="str">
        <f t="shared" si="274"/>
        <v/>
      </c>
    </row>
    <row r="1711" spans="3:53" ht="13.5">
      <c r="C1711" s="19"/>
      <c r="D1711" s="19"/>
      <c r="AC1711" s="6" t="s">
        <v>5724</v>
      </c>
      <c r="AD1711" s="6" t="s">
        <v>7353</v>
      </c>
      <c r="AE1711" s="155" t="s">
        <v>2490</v>
      </c>
      <c r="AF1711" s="159" t="s">
        <v>8334</v>
      </c>
      <c r="AG1711" s="160" t="s">
        <v>4731</v>
      </c>
      <c r="AH1711" s="194" t="s">
        <v>678</v>
      </c>
      <c r="AI1711" s="6" t="s">
        <v>1248</v>
      </c>
      <c r="AJ1711" s="3" t="s">
        <v>8258</v>
      </c>
      <c r="AK1711" t="s">
        <v>8258</v>
      </c>
      <c r="AV1711"/>
      <c r="AX1711"/>
      <c r="AZ1711" t="str">
        <f t="shared" si="273"/>
        <v/>
      </c>
      <c r="BA1711" t="str">
        <f t="shared" si="274"/>
        <v/>
      </c>
    </row>
    <row r="1712" spans="3:53" ht="13.5">
      <c r="C1712" s="19"/>
      <c r="D1712" s="19"/>
      <c r="AC1712" s="6" t="s">
        <v>3239</v>
      </c>
      <c r="AD1712" s="6" t="s">
        <v>7353</v>
      </c>
      <c r="AE1712" s="155" t="s">
        <v>2493</v>
      </c>
      <c r="AF1712" s="159" t="s">
        <v>8299</v>
      </c>
      <c r="AG1712" s="160" t="s">
        <v>4741</v>
      </c>
      <c r="AH1712" s="194" t="s">
        <v>678</v>
      </c>
      <c r="AI1712" s="6" t="s">
        <v>1830</v>
      </c>
      <c r="AJ1712" s="3" t="s">
        <v>8258</v>
      </c>
      <c r="AK1712" t="s">
        <v>8258</v>
      </c>
      <c r="AV1712"/>
      <c r="AX1712"/>
      <c r="AZ1712" t="str">
        <f t="shared" si="273"/>
        <v/>
      </c>
      <c r="BA1712" t="str">
        <f t="shared" si="274"/>
        <v/>
      </c>
    </row>
    <row r="1713" spans="3:53" ht="13.5">
      <c r="C1713" s="19"/>
      <c r="D1713" s="19"/>
      <c r="AC1713" s="6" t="s">
        <v>5576</v>
      </c>
      <c r="AD1713" s="6" t="s">
        <v>7353</v>
      </c>
      <c r="AE1713" s="155" t="s">
        <v>2494</v>
      </c>
      <c r="AF1713" s="159" t="s">
        <v>8299</v>
      </c>
      <c r="AG1713" s="160" t="s">
        <v>4736</v>
      </c>
      <c r="AH1713" s="194" t="s">
        <v>678</v>
      </c>
      <c r="AI1713" s="6" t="s">
        <v>1835</v>
      </c>
      <c r="AJ1713" s="3" t="s">
        <v>8258</v>
      </c>
      <c r="AK1713" t="s">
        <v>8258</v>
      </c>
      <c r="AV1713"/>
      <c r="AX1713"/>
      <c r="AZ1713" t="str">
        <f t="shared" si="273"/>
        <v/>
      </c>
      <c r="BA1713" t="str">
        <f t="shared" si="274"/>
        <v/>
      </c>
    </row>
    <row r="1714" spans="3:53" ht="13.5">
      <c r="C1714" s="19"/>
      <c r="D1714" s="19"/>
      <c r="AC1714" s="6" t="s">
        <v>3128</v>
      </c>
      <c r="AD1714" s="6" t="s">
        <v>7353</v>
      </c>
      <c r="AE1714" s="155" t="s">
        <v>2495</v>
      </c>
      <c r="AF1714" s="159" t="s">
        <v>8299</v>
      </c>
      <c r="AG1714" s="160" t="s">
        <v>5284</v>
      </c>
      <c r="AH1714" s="194" t="s">
        <v>678</v>
      </c>
      <c r="AI1714" s="6" t="s">
        <v>5565</v>
      </c>
      <c r="AJ1714" s="3" t="s">
        <v>8258</v>
      </c>
      <c r="AK1714" t="s">
        <v>8258</v>
      </c>
      <c r="AV1714"/>
      <c r="AX1714"/>
      <c r="AZ1714" t="str">
        <f t="shared" si="273"/>
        <v/>
      </c>
      <c r="BA1714" t="str">
        <f t="shared" si="274"/>
        <v/>
      </c>
    </row>
    <row r="1715" spans="3:53" ht="13.5">
      <c r="C1715" s="19"/>
      <c r="D1715" s="19"/>
      <c r="AC1715" s="6" t="s">
        <v>3415</v>
      </c>
      <c r="AD1715" s="6" t="s">
        <v>7353</v>
      </c>
      <c r="AE1715" s="155" t="s">
        <v>2496</v>
      </c>
      <c r="AF1715" s="159" t="s">
        <v>8371</v>
      </c>
      <c r="AG1715" s="160" t="s">
        <v>5281</v>
      </c>
      <c r="AH1715" s="194" t="s">
        <v>678</v>
      </c>
      <c r="AI1715" s="6" t="s">
        <v>5569</v>
      </c>
      <c r="AJ1715" s="3" t="s">
        <v>8258</v>
      </c>
      <c r="AK1715" t="s">
        <v>8258</v>
      </c>
      <c r="AV1715"/>
      <c r="AX1715"/>
      <c r="AZ1715" t="str">
        <f t="shared" si="273"/>
        <v/>
      </c>
      <c r="BA1715" t="str">
        <f t="shared" si="274"/>
        <v/>
      </c>
    </row>
    <row r="1716" spans="3:53" ht="13.5">
      <c r="C1716" s="19"/>
      <c r="D1716" s="19"/>
      <c r="AC1716" s="6" t="s">
        <v>3286</v>
      </c>
      <c r="AD1716" s="6" t="s">
        <v>7353</v>
      </c>
      <c r="AE1716" s="155" t="s">
        <v>2497</v>
      </c>
      <c r="AF1716" s="159" t="s">
        <v>8299</v>
      </c>
      <c r="AG1716" s="160" t="s">
        <v>5244</v>
      </c>
      <c r="AH1716" s="194" t="s">
        <v>4700</v>
      </c>
      <c r="AI1716" s="6" t="s">
        <v>5573</v>
      </c>
      <c r="AJ1716" s="3" t="s">
        <v>8258</v>
      </c>
      <c r="AK1716" t="s">
        <v>8258</v>
      </c>
      <c r="AV1716"/>
      <c r="AX1716"/>
      <c r="AZ1716" t="str">
        <f t="shared" si="273"/>
        <v/>
      </c>
      <c r="BA1716" t="str">
        <f t="shared" si="274"/>
        <v/>
      </c>
    </row>
    <row r="1717" spans="3:53" ht="13.5">
      <c r="C1717" s="19"/>
      <c r="D1717" s="19"/>
      <c r="AC1717" s="6" t="s">
        <v>2874</v>
      </c>
      <c r="AD1717" s="6" t="s">
        <v>7353</v>
      </c>
      <c r="AE1717" s="155" t="s">
        <v>2498</v>
      </c>
      <c r="AF1717" s="159" t="s">
        <v>8292</v>
      </c>
      <c r="AG1717" s="160" t="s">
        <v>5083</v>
      </c>
      <c r="AH1717" s="194" t="s">
        <v>679</v>
      </c>
      <c r="AI1717" s="6" t="s">
        <v>5567</v>
      </c>
      <c r="AJ1717" s="3" t="s">
        <v>8239</v>
      </c>
      <c r="AK1717" t="s">
        <v>8674</v>
      </c>
      <c r="AV1717"/>
      <c r="AX1717"/>
      <c r="AZ1717" t="str">
        <f t="shared" si="273"/>
        <v/>
      </c>
      <c r="BA1717" t="str">
        <f t="shared" si="274"/>
        <v/>
      </c>
    </row>
    <row r="1718" spans="3:53" ht="13.5">
      <c r="C1718" s="19"/>
      <c r="D1718" s="19"/>
      <c r="AC1718" s="6" t="s">
        <v>3009</v>
      </c>
      <c r="AD1718" s="6" t="s">
        <v>7353</v>
      </c>
      <c r="AE1718" s="155" t="s">
        <v>2499</v>
      </c>
      <c r="AF1718" s="159" t="s">
        <v>8320</v>
      </c>
      <c r="AG1718" s="160" t="s">
        <v>5144</v>
      </c>
      <c r="AH1718" s="194" t="s">
        <v>679</v>
      </c>
      <c r="AI1718" s="6" t="s">
        <v>5745</v>
      </c>
      <c r="AJ1718" s="3" t="s">
        <v>8239</v>
      </c>
      <c r="AK1718" t="s">
        <v>8674</v>
      </c>
      <c r="AV1718"/>
      <c r="AX1718"/>
      <c r="AZ1718" t="str">
        <f t="shared" si="273"/>
        <v/>
      </c>
      <c r="BA1718" t="str">
        <f t="shared" si="274"/>
        <v/>
      </c>
    </row>
    <row r="1719" spans="3:53" ht="13.5">
      <c r="C1719" s="19"/>
      <c r="D1719" s="19"/>
      <c r="AC1719" s="6" t="s">
        <v>2956</v>
      </c>
      <c r="AD1719" s="6" t="s">
        <v>7353</v>
      </c>
      <c r="AE1719" s="155" t="s">
        <v>2500</v>
      </c>
      <c r="AF1719" s="159" t="s">
        <v>8323</v>
      </c>
      <c r="AG1719" s="160" t="s">
        <v>5226</v>
      </c>
      <c r="AH1719" s="194" t="s">
        <v>679</v>
      </c>
      <c r="AI1719" s="6" t="s">
        <v>5359</v>
      </c>
      <c r="AJ1719" s="3" t="s">
        <v>8213</v>
      </c>
      <c r="AK1719" t="s">
        <v>8213</v>
      </c>
      <c r="AV1719"/>
      <c r="AX1719"/>
      <c r="AZ1719" t="str">
        <f t="shared" si="273"/>
        <v/>
      </c>
      <c r="BA1719" t="str">
        <f t="shared" si="274"/>
        <v/>
      </c>
    </row>
    <row r="1720" spans="3:53" ht="13.5">
      <c r="C1720" s="19"/>
      <c r="D1720" s="19"/>
      <c r="AC1720" s="6" t="s">
        <v>1223</v>
      </c>
      <c r="AD1720" s="6" t="s">
        <v>7353</v>
      </c>
      <c r="AE1720" s="155" t="s">
        <v>2501</v>
      </c>
      <c r="AF1720" s="159" t="s">
        <v>8311</v>
      </c>
      <c r="AG1720" s="160" t="s">
        <v>5238</v>
      </c>
      <c r="AH1720" s="194" t="s">
        <v>679</v>
      </c>
      <c r="AI1720" s="6" t="s">
        <v>5566</v>
      </c>
      <c r="AJ1720" s="3" t="s">
        <v>8258</v>
      </c>
      <c r="AK1720" t="s">
        <v>8258</v>
      </c>
      <c r="AV1720"/>
      <c r="AX1720"/>
      <c r="AZ1720" t="str">
        <f t="shared" si="273"/>
        <v/>
      </c>
      <c r="BA1720" t="str">
        <f t="shared" si="274"/>
        <v/>
      </c>
    </row>
    <row r="1721" spans="3:53" ht="13.5">
      <c r="C1721" s="19"/>
      <c r="D1721" s="19"/>
      <c r="AC1721" s="6" t="s">
        <v>3113</v>
      </c>
      <c r="AD1721" s="6" t="s">
        <v>7353</v>
      </c>
      <c r="AE1721" s="155" t="s">
        <v>2502</v>
      </c>
      <c r="AF1721" s="159" t="s">
        <v>8371</v>
      </c>
      <c r="AG1721" s="161" t="s">
        <v>5231</v>
      </c>
      <c r="AH1721" s="194" t="s">
        <v>679</v>
      </c>
      <c r="AI1721" s="6" t="s">
        <v>5572</v>
      </c>
      <c r="AJ1721" s="3" t="s">
        <v>8239</v>
      </c>
      <c r="AK1721" t="s">
        <v>8674</v>
      </c>
      <c r="AV1721"/>
      <c r="AX1721"/>
      <c r="AZ1721" t="str">
        <f t="shared" si="273"/>
        <v/>
      </c>
      <c r="BA1721" t="str">
        <f t="shared" si="274"/>
        <v/>
      </c>
    </row>
    <row r="1722" spans="3:53" ht="13.5">
      <c r="C1722" s="19"/>
      <c r="D1722" s="19"/>
      <c r="AC1722" s="6" t="s">
        <v>3294</v>
      </c>
      <c r="AD1722" s="6" t="s">
        <v>7353</v>
      </c>
      <c r="AE1722" s="155" t="s">
        <v>2503</v>
      </c>
      <c r="AF1722" s="159" t="s">
        <v>8299</v>
      </c>
      <c r="AG1722" s="160" t="s">
        <v>5350</v>
      </c>
      <c r="AH1722" s="194" t="s">
        <v>679</v>
      </c>
      <c r="AI1722" s="6" t="s">
        <v>3832</v>
      </c>
      <c r="AJ1722" s="3" t="s">
        <v>8266</v>
      </c>
      <c r="AK1722" t="s">
        <v>8266</v>
      </c>
      <c r="AV1722"/>
      <c r="AX1722"/>
      <c r="AZ1722" t="str">
        <f t="shared" ref="AZ1722:AZ1785" si="275">IF(ISBLANK(AW1722),"",CONCATENATE("(",RIGHT(AW1722,5),"-",TEXT(AX1722,"h:mm;@"),")"))</f>
        <v/>
      </c>
      <c r="BA1722" t="str">
        <f t="shared" ref="BA1722:BA1785" si="276">IF(AV1738=AV1722,"",CONCATENATE(IF(AV1737=AV1722,BA1737,""),IF(AV1736=AV1722,BA1736,""),IF(AV1735=AV1722,BA1735,""),IF(AV1734=AV1722,BA1734,""),IF(AV1733=AV1722,BA1733,""),IF(AV1732=AV1722,BA1732,""),IF(AV1731=AV1722,BA1731,""),IF(AV1730=AV1722,BA1730,""),IF(AV1729=AV1722,BA1729,""),IF(AV1728=AV1722,BA1728,""),IF(AV1727=AV1722,BA1727,""),IF(AV1726=AV1722,BA1726,""),IF(AV1725=AV1722,BA1725,""),IF(AV1724=AV1722,BA1724,""),IF(AV1723=AV1722,BA1723,""),IF(AV1721=AV1722,BA1721,""),BA1722))</f>
        <v/>
      </c>
    </row>
    <row r="1723" spans="3:53" ht="13.5">
      <c r="C1723" s="19"/>
      <c r="D1723" s="19"/>
      <c r="AC1723" s="6" t="s">
        <v>3302</v>
      </c>
      <c r="AD1723" s="6" t="s">
        <v>7353</v>
      </c>
      <c r="AE1723" s="155" t="s">
        <v>2504</v>
      </c>
      <c r="AF1723" s="159" t="s">
        <v>8365</v>
      </c>
      <c r="AG1723" s="160" t="s">
        <v>5351</v>
      </c>
      <c r="AH1723" s="194" t="s">
        <v>679</v>
      </c>
      <c r="AI1723" s="6" t="s">
        <v>3833</v>
      </c>
      <c r="AJ1723" s="3" t="s">
        <v>8266</v>
      </c>
      <c r="AK1723" t="s">
        <v>8266</v>
      </c>
      <c r="AV1723"/>
      <c r="AX1723"/>
      <c r="AZ1723" t="str">
        <f t="shared" si="275"/>
        <v/>
      </c>
      <c r="BA1723" t="str">
        <f t="shared" si="276"/>
        <v/>
      </c>
    </row>
    <row r="1724" spans="3:53" ht="13.5">
      <c r="C1724" s="19"/>
      <c r="D1724" s="19"/>
      <c r="AC1724" s="6" t="s">
        <v>3155</v>
      </c>
      <c r="AD1724" s="6" t="s">
        <v>7353</v>
      </c>
      <c r="AE1724" s="155" t="s">
        <v>2505</v>
      </c>
      <c r="AF1724" s="159" t="s">
        <v>8299</v>
      </c>
      <c r="AG1724" s="160" t="s">
        <v>5352</v>
      </c>
      <c r="AH1724" s="194" t="s">
        <v>679</v>
      </c>
      <c r="AI1724" s="6" t="s">
        <v>3834</v>
      </c>
      <c r="AJ1724" s="3" t="s">
        <v>8266</v>
      </c>
      <c r="AK1724" t="s">
        <v>8266</v>
      </c>
      <c r="AV1724"/>
      <c r="AX1724"/>
      <c r="AZ1724" t="str">
        <f t="shared" si="275"/>
        <v/>
      </c>
      <c r="BA1724" t="str">
        <f t="shared" si="276"/>
        <v/>
      </c>
    </row>
    <row r="1725" spans="3:53" ht="13.5">
      <c r="C1725" s="19"/>
      <c r="D1725" s="19"/>
      <c r="AC1725" s="6" t="s">
        <v>5757</v>
      </c>
      <c r="AD1725" s="6" t="s">
        <v>7353</v>
      </c>
      <c r="AE1725" s="155" t="s">
        <v>2506</v>
      </c>
      <c r="AF1725" s="159" t="s">
        <v>8309</v>
      </c>
      <c r="AG1725" s="160" t="s">
        <v>5353</v>
      </c>
      <c r="AH1725" s="194" t="s">
        <v>679</v>
      </c>
      <c r="AI1725" s="6" t="s">
        <v>3835</v>
      </c>
      <c r="AJ1725" s="3" t="s">
        <v>8266</v>
      </c>
      <c r="AK1725" t="s">
        <v>8266</v>
      </c>
      <c r="AV1725"/>
      <c r="AX1725"/>
      <c r="AZ1725" t="str">
        <f t="shared" si="275"/>
        <v/>
      </c>
      <c r="BA1725" t="str">
        <f t="shared" si="276"/>
        <v/>
      </c>
    </row>
    <row r="1726" spans="3:53" ht="13.5">
      <c r="C1726" s="19"/>
      <c r="D1726" s="19"/>
      <c r="AC1726" s="6" t="s">
        <v>3285</v>
      </c>
      <c r="AD1726" s="6" t="s">
        <v>7353</v>
      </c>
      <c r="AE1726" s="155">
        <v>425705</v>
      </c>
      <c r="AF1726" s="159" t="s">
        <v>8323</v>
      </c>
      <c r="AG1726" s="160" t="s">
        <v>5354</v>
      </c>
      <c r="AH1726" s="194" t="s">
        <v>679</v>
      </c>
      <c r="AI1726" s="6" t="s">
        <v>3836</v>
      </c>
      <c r="AJ1726" s="3" t="s">
        <v>8266</v>
      </c>
      <c r="AK1726" t="s">
        <v>8266</v>
      </c>
      <c r="AV1726"/>
      <c r="AX1726"/>
      <c r="AZ1726" t="str">
        <f t="shared" si="275"/>
        <v/>
      </c>
      <c r="BA1726" t="str">
        <f t="shared" si="276"/>
        <v/>
      </c>
    </row>
    <row r="1727" spans="3:53" ht="13.5">
      <c r="C1727" s="19"/>
      <c r="D1727" s="19"/>
      <c r="AC1727" s="6" t="s">
        <v>3280</v>
      </c>
      <c r="AD1727" s="6" t="s">
        <v>7353</v>
      </c>
      <c r="AE1727" s="155">
        <v>425706</v>
      </c>
      <c r="AF1727" s="159" t="s">
        <v>8321</v>
      </c>
      <c r="AG1727" s="160" t="s">
        <v>5355</v>
      </c>
      <c r="AH1727" s="194" t="s">
        <v>1314</v>
      </c>
      <c r="AI1727" s="6" t="s">
        <v>6677</v>
      </c>
      <c r="AJ1727" s="3" t="s">
        <v>8219</v>
      </c>
      <c r="AK1727" t="s">
        <v>8219</v>
      </c>
      <c r="AV1727"/>
      <c r="AX1727"/>
      <c r="AZ1727" t="str">
        <f t="shared" si="275"/>
        <v/>
      </c>
      <c r="BA1727" t="str">
        <f t="shared" si="276"/>
        <v/>
      </c>
    </row>
    <row r="1728" spans="3:53" ht="13.5">
      <c r="C1728" s="19"/>
      <c r="D1728" s="19"/>
      <c r="AC1728" s="6" t="s">
        <v>3114</v>
      </c>
      <c r="AD1728" s="6" t="s">
        <v>7353</v>
      </c>
      <c r="AE1728" s="155">
        <v>425707</v>
      </c>
      <c r="AF1728" s="159" t="s">
        <v>8297</v>
      </c>
      <c r="AG1728" s="160" t="s">
        <v>5356</v>
      </c>
      <c r="AH1728" s="194" t="s">
        <v>1314</v>
      </c>
      <c r="AI1728" s="6" t="s">
        <v>6674</v>
      </c>
      <c r="AJ1728" s="3" t="s">
        <v>8197</v>
      </c>
      <c r="AK1728" t="s">
        <v>8197</v>
      </c>
      <c r="AV1728"/>
      <c r="AX1728"/>
      <c r="AZ1728" t="str">
        <f t="shared" si="275"/>
        <v/>
      </c>
      <c r="BA1728" t="str">
        <f t="shared" si="276"/>
        <v/>
      </c>
    </row>
    <row r="1729" spans="3:53" ht="13.5">
      <c r="C1729" s="19"/>
      <c r="D1729" s="19"/>
      <c r="AC1729" s="6" t="s">
        <v>5765</v>
      </c>
      <c r="AD1729" s="6" t="s">
        <v>7353</v>
      </c>
      <c r="AE1729" s="155">
        <v>425708</v>
      </c>
      <c r="AF1729" s="159" t="s">
        <v>8299</v>
      </c>
      <c r="AG1729" s="160" t="s">
        <v>1755</v>
      </c>
      <c r="AH1729" s="194" t="s">
        <v>679</v>
      </c>
      <c r="AI1729" s="6" t="s">
        <v>6696</v>
      </c>
      <c r="AJ1729" s="3" t="s">
        <v>8219</v>
      </c>
      <c r="AK1729" t="s">
        <v>8219</v>
      </c>
      <c r="AV1729"/>
      <c r="AX1729"/>
      <c r="AZ1729" t="str">
        <f t="shared" si="275"/>
        <v/>
      </c>
      <c r="BA1729" t="str">
        <f t="shared" si="276"/>
        <v/>
      </c>
    </row>
    <row r="1730" spans="3:53" ht="13.5">
      <c r="C1730" s="19"/>
      <c r="D1730" s="19"/>
      <c r="AC1730" s="6" t="s">
        <v>3244</v>
      </c>
      <c r="AD1730" s="6" t="s">
        <v>7353</v>
      </c>
      <c r="AE1730" s="155">
        <v>425709</v>
      </c>
      <c r="AF1730" s="159" t="s">
        <v>8299</v>
      </c>
      <c r="AG1730" s="160" t="s">
        <v>1756</v>
      </c>
      <c r="AH1730" s="194" t="s">
        <v>679</v>
      </c>
      <c r="AI1730" s="6" t="s">
        <v>6671</v>
      </c>
      <c r="AJ1730" s="3" t="s">
        <v>8197</v>
      </c>
      <c r="AK1730" t="s">
        <v>8197</v>
      </c>
      <c r="AV1730"/>
      <c r="AX1730"/>
      <c r="AZ1730" t="str">
        <f t="shared" si="275"/>
        <v/>
      </c>
      <c r="BA1730" t="str">
        <f t="shared" si="276"/>
        <v/>
      </c>
    </row>
    <row r="1731" spans="3:53" ht="13.5">
      <c r="C1731" s="19"/>
      <c r="D1731" s="19"/>
      <c r="AC1731" s="6" t="s">
        <v>1262</v>
      </c>
      <c r="AD1731" s="6" t="s">
        <v>6742</v>
      </c>
      <c r="AE1731" s="155" t="s">
        <v>2508</v>
      </c>
      <c r="AF1731" s="159" t="s">
        <v>8309</v>
      </c>
      <c r="AG1731" s="160" t="s">
        <v>1808</v>
      </c>
      <c r="AH1731" s="194" t="s">
        <v>679</v>
      </c>
      <c r="AI1731" s="6" t="s">
        <v>6690</v>
      </c>
      <c r="AJ1731" s="3" t="s">
        <v>8197</v>
      </c>
      <c r="AK1731" t="s">
        <v>8197</v>
      </c>
      <c r="AV1731"/>
      <c r="AX1731"/>
      <c r="AZ1731" t="str">
        <f t="shared" si="275"/>
        <v/>
      </c>
      <c r="BA1731" t="str">
        <f t="shared" si="276"/>
        <v/>
      </c>
    </row>
    <row r="1732" spans="3:53" ht="13.5">
      <c r="C1732" s="19"/>
      <c r="D1732" s="19"/>
      <c r="AC1732" s="6" t="s">
        <v>2948</v>
      </c>
      <c r="AD1732" s="6" t="s">
        <v>7353</v>
      </c>
      <c r="AE1732" s="155" t="s">
        <v>2509</v>
      </c>
      <c r="AF1732" s="159" t="s">
        <v>8297</v>
      </c>
      <c r="AG1732" s="160" t="s">
        <v>1809</v>
      </c>
      <c r="AH1732" s="194" t="s">
        <v>679</v>
      </c>
      <c r="AI1732" s="6" t="s">
        <v>6698</v>
      </c>
      <c r="AJ1732" s="3" t="s">
        <v>8202</v>
      </c>
      <c r="AK1732" t="s">
        <v>8202</v>
      </c>
      <c r="AV1732"/>
      <c r="AX1732"/>
      <c r="AZ1732" t="str">
        <f t="shared" si="275"/>
        <v/>
      </c>
      <c r="BA1732" t="str">
        <f t="shared" si="276"/>
        <v/>
      </c>
    </row>
    <row r="1733" spans="3:53" ht="13.5">
      <c r="C1733" s="19"/>
      <c r="D1733" s="19"/>
      <c r="AC1733" s="6" t="s">
        <v>3470</v>
      </c>
      <c r="AD1733" s="6" t="s">
        <v>7378</v>
      </c>
      <c r="AE1733" s="155" t="s">
        <v>2513</v>
      </c>
      <c r="AF1733" s="159" t="s">
        <v>8332</v>
      </c>
      <c r="AG1733" s="160" t="s">
        <v>1811</v>
      </c>
      <c r="AH1733" s="194" t="s">
        <v>4700</v>
      </c>
      <c r="AI1733" s="6" t="s">
        <v>6705</v>
      </c>
      <c r="AJ1733" s="3" t="s">
        <v>8197</v>
      </c>
      <c r="AK1733" t="s">
        <v>8197</v>
      </c>
      <c r="AV1733"/>
      <c r="AX1733"/>
      <c r="AZ1733" t="str">
        <f t="shared" si="275"/>
        <v/>
      </c>
      <c r="BA1733" t="str">
        <f t="shared" si="276"/>
        <v/>
      </c>
    </row>
    <row r="1734" spans="3:53" ht="13.5">
      <c r="C1734" s="19"/>
      <c r="D1734" s="19"/>
      <c r="AC1734" s="6" t="s">
        <v>3205</v>
      </c>
      <c r="AD1734" s="6" t="s">
        <v>7353</v>
      </c>
      <c r="AE1734" s="155" t="s">
        <v>2514</v>
      </c>
      <c r="AF1734" s="159" t="s">
        <v>8320</v>
      </c>
      <c r="AG1734" s="160" t="s">
        <v>1814</v>
      </c>
      <c r="AH1734" s="194" t="s">
        <v>679</v>
      </c>
      <c r="AI1734" s="6" t="s">
        <v>6672</v>
      </c>
      <c r="AJ1734" s="3" t="s">
        <v>8219</v>
      </c>
      <c r="AK1734" t="s">
        <v>8219</v>
      </c>
      <c r="AV1734"/>
      <c r="AX1734"/>
      <c r="AZ1734" t="str">
        <f t="shared" si="275"/>
        <v/>
      </c>
      <c r="BA1734" t="str">
        <f t="shared" si="276"/>
        <v/>
      </c>
    </row>
    <row r="1735" spans="3:53" ht="13.5">
      <c r="C1735" s="19"/>
      <c r="D1735" s="19"/>
      <c r="AC1735" s="6" t="s">
        <v>2902</v>
      </c>
      <c r="AD1735" s="6" t="s">
        <v>7353</v>
      </c>
      <c r="AE1735" s="155" t="s">
        <v>2515</v>
      </c>
      <c r="AF1735" s="159" t="s">
        <v>8297</v>
      </c>
      <c r="AG1735" s="160" t="s">
        <v>1820</v>
      </c>
      <c r="AH1735" s="194" t="s">
        <v>679</v>
      </c>
      <c r="AI1735" s="6" t="s">
        <v>6687</v>
      </c>
      <c r="AJ1735" s="3" t="s">
        <v>8197</v>
      </c>
      <c r="AK1735" t="s">
        <v>8197</v>
      </c>
      <c r="AV1735"/>
      <c r="AX1735"/>
      <c r="AZ1735" t="str">
        <f t="shared" si="275"/>
        <v/>
      </c>
      <c r="BA1735" t="str">
        <f t="shared" si="276"/>
        <v/>
      </c>
    </row>
    <row r="1736" spans="3:53" ht="13.5">
      <c r="C1736" s="19"/>
      <c r="D1736" s="19"/>
      <c r="AC1736" s="6" t="s">
        <v>2875</v>
      </c>
      <c r="AD1736" s="6" t="s">
        <v>7353</v>
      </c>
      <c r="AE1736" s="155" t="s">
        <v>2516</v>
      </c>
      <c r="AF1736" s="159" t="s">
        <v>8327</v>
      </c>
      <c r="AG1736" s="160" t="s">
        <v>1832</v>
      </c>
      <c r="AH1736" s="194" t="s">
        <v>679</v>
      </c>
      <c r="AI1736" s="6" t="s">
        <v>169</v>
      </c>
      <c r="AJ1736" s="3" t="s">
        <v>8224</v>
      </c>
      <c r="AK1736" t="s">
        <v>8224</v>
      </c>
      <c r="AV1736"/>
      <c r="AX1736"/>
      <c r="AZ1736" t="str">
        <f t="shared" si="275"/>
        <v/>
      </c>
      <c r="BA1736" t="str">
        <f t="shared" si="276"/>
        <v/>
      </c>
    </row>
    <row r="1737" spans="3:53" ht="13.5">
      <c r="C1737" s="19"/>
      <c r="D1737" s="19"/>
      <c r="AC1737" s="6" t="s">
        <v>2881</v>
      </c>
      <c r="AD1737" s="6" t="s">
        <v>7353</v>
      </c>
      <c r="AE1737" s="155" t="s">
        <v>2517</v>
      </c>
      <c r="AF1737" s="159" t="s">
        <v>8309</v>
      </c>
      <c r="AG1737" s="160" t="s">
        <v>1894</v>
      </c>
      <c r="AH1737" s="194" t="s">
        <v>679</v>
      </c>
      <c r="AI1737" s="6" t="s">
        <v>1603</v>
      </c>
      <c r="AJ1737" s="3" t="s">
        <v>8224</v>
      </c>
      <c r="AK1737" t="s">
        <v>8224</v>
      </c>
      <c r="AV1737"/>
      <c r="AX1737"/>
      <c r="AZ1737" t="str">
        <f t="shared" si="275"/>
        <v/>
      </c>
      <c r="BA1737" t="str">
        <f t="shared" si="276"/>
        <v/>
      </c>
    </row>
    <row r="1738" spans="3:53" ht="13.5">
      <c r="C1738" s="19"/>
      <c r="D1738" s="19"/>
      <c r="AC1738" s="6" t="s">
        <v>2889</v>
      </c>
      <c r="AD1738" s="6" t="s">
        <v>7353</v>
      </c>
      <c r="AE1738" s="155" t="s">
        <v>2518</v>
      </c>
      <c r="AF1738" s="159" t="s">
        <v>8332</v>
      </c>
      <c r="AG1738" s="160" t="s">
        <v>1895</v>
      </c>
      <c r="AH1738" s="194" t="s">
        <v>678</v>
      </c>
      <c r="AI1738" s="6" t="s">
        <v>1607</v>
      </c>
      <c r="AJ1738" s="3" t="s">
        <v>8224</v>
      </c>
      <c r="AK1738" t="s">
        <v>8224</v>
      </c>
      <c r="AV1738"/>
      <c r="AX1738"/>
      <c r="AZ1738" t="str">
        <f t="shared" si="275"/>
        <v/>
      </c>
      <c r="BA1738" t="str">
        <f t="shared" si="276"/>
        <v/>
      </c>
    </row>
    <row r="1739" spans="3:53" ht="13.5">
      <c r="C1739" s="19"/>
      <c r="D1739" s="19"/>
      <c r="AC1739" s="6" t="s">
        <v>2953</v>
      </c>
      <c r="AD1739" s="6" t="s">
        <v>7353</v>
      </c>
      <c r="AE1739" s="155" t="s">
        <v>2519</v>
      </c>
      <c r="AF1739" s="159" t="s">
        <v>8299</v>
      </c>
      <c r="AG1739" s="160" t="s">
        <v>1896</v>
      </c>
      <c r="AH1739" s="194" t="s">
        <v>678</v>
      </c>
      <c r="AI1739" s="6" t="s">
        <v>1609</v>
      </c>
      <c r="AJ1739" s="3" t="s">
        <v>8224</v>
      </c>
      <c r="AK1739" t="s">
        <v>8224</v>
      </c>
      <c r="AV1739"/>
      <c r="AX1739"/>
      <c r="AZ1739" t="str">
        <f t="shared" si="275"/>
        <v/>
      </c>
      <c r="BA1739" t="str">
        <f t="shared" si="276"/>
        <v/>
      </c>
    </row>
    <row r="1740" spans="3:53" ht="13.5">
      <c r="C1740" s="19"/>
      <c r="D1740" s="19"/>
      <c r="AC1740" s="6" t="s">
        <v>2949</v>
      </c>
      <c r="AD1740" s="6" t="s">
        <v>7353</v>
      </c>
      <c r="AE1740" s="155" t="s">
        <v>2520</v>
      </c>
      <c r="AF1740" s="159" t="s">
        <v>8390</v>
      </c>
      <c r="AG1740" s="160" t="s">
        <v>1926</v>
      </c>
      <c r="AH1740" s="194" t="s">
        <v>679</v>
      </c>
      <c r="AI1740" s="6" t="s">
        <v>1610</v>
      </c>
      <c r="AJ1740" s="3" t="s">
        <v>8224</v>
      </c>
      <c r="AK1740" t="s">
        <v>8224</v>
      </c>
      <c r="AV1740"/>
      <c r="AX1740"/>
      <c r="AZ1740" t="str">
        <f t="shared" si="275"/>
        <v/>
      </c>
      <c r="BA1740" t="str">
        <f t="shared" si="276"/>
        <v/>
      </c>
    </row>
    <row r="1741" spans="3:53" ht="13.5">
      <c r="C1741" s="19"/>
      <c r="D1741" s="19"/>
      <c r="AC1741" s="6" t="s">
        <v>3217</v>
      </c>
      <c r="AD1741" s="6" t="s">
        <v>7353</v>
      </c>
      <c r="AE1741" s="155" t="s">
        <v>2521</v>
      </c>
      <c r="AF1741" s="159" t="s">
        <v>8342</v>
      </c>
      <c r="AG1741" s="160" t="s">
        <v>1992</v>
      </c>
      <c r="AH1741" s="194" t="s">
        <v>678</v>
      </c>
      <c r="AI1741" s="6" t="s">
        <v>1611</v>
      </c>
      <c r="AJ1741" s="3" t="s">
        <v>8224</v>
      </c>
      <c r="AK1741" t="s">
        <v>8224</v>
      </c>
      <c r="AV1741"/>
      <c r="AX1741"/>
      <c r="AZ1741" t="str">
        <f t="shared" si="275"/>
        <v/>
      </c>
      <c r="BA1741" t="str">
        <f t="shared" si="276"/>
        <v/>
      </c>
    </row>
    <row r="1742" spans="3:53" ht="13.5">
      <c r="C1742" s="19"/>
      <c r="D1742" s="19"/>
      <c r="AC1742" s="6" t="s">
        <v>3065</v>
      </c>
      <c r="AD1742" s="6" t="s">
        <v>7353</v>
      </c>
      <c r="AE1742" s="155" t="s">
        <v>2522</v>
      </c>
      <c r="AF1742" s="159" t="s">
        <v>8309</v>
      </c>
      <c r="AG1742" s="160" t="s">
        <v>1993</v>
      </c>
      <c r="AH1742" s="194" t="s">
        <v>679</v>
      </c>
      <c r="AI1742" s="6" t="s">
        <v>1012</v>
      </c>
      <c r="AJ1742" s="3" t="s">
        <v>8224</v>
      </c>
      <c r="AK1742" t="s">
        <v>8224</v>
      </c>
      <c r="AV1742"/>
      <c r="AX1742"/>
      <c r="AZ1742" t="str">
        <f t="shared" si="275"/>
        <v/>
      </c>
      <c r="BA1742" t="str">
        <f t="shared" si="276"/>
        <v/>
      </c>
    </row>
    <row r="1743" spans="3:53" ht="13.5">
      <c r="C1743" s="19"/>
      <c r="D1743" s="19"/>
      <c r="AC1743" s="6" t="s">
        <v>3293</v>
      </c>
      <c r="AD1743" s="6" t="s">
        <v>7353</v>
      </c>
      <c r="AE1743" s="155" t="s">
        <v>2523</v>
      </c>
      <c r="AF1743" s="159" t="s">
        <v>8309</v>
      </c>
      <c r="AG1743" s="160" t="s">
        <v>1994</v>
      </c>
      <c r="AH1743" s="194" t="s">
        <v>679</v>
      </c>
      <c r="AI1743" s="6" t="s">
        <v>1612</v>
      </c>
      <c r="AJ1743" s="3" t="s">
        <v>8224</v>
      </c>
      <c r="AK1743" t="s">
        <v>8224</v>
      </c>
      <c r="AV1743"/>
      <c r="AX1743"/>
      <c r="AZ1743" t="str">
        <f t="shared" si="275"/>
        <v/>
      </c>
      <c r="BA1743" t="str">
        <f t="shared" si="276"/>
        <v/>
      </c>
    </row>
    <row r="1744" spans="3:53" ht="13.5">
      <c r="C1744" s="19"/>
      <c r="D1744" s="19"/>
      <c r="AC1744" s="6" t="s">
        <v>3258</v>
      </c>
      <c r="AD1744" s="6" t="s">
        <v>7353</v>
      </c>
      <c r="AE1744" s="155" t="s">
        <v>2524</v>
      </c>
      <c r="AF1744" s="159" t="s">
        <v>8334</v>
      </c>
      <c r="AG1744" s="160" t="s">
        <v>5220</v>
      </c>
      <c r="AH1744" s="194" t="s">
        <v>679</v>
      </c>
      <c r="AI1744" s="6" t="s">
        <v>1613</v>
      </c>
      <c r="AJ1744" s="3" t="s">
        <v>8224</v>
      </c>
      <c r="AK1744" t="s">
        <v>8224</v>
      </c>
      <c r="AV1744"/>
      <c r="AX1744"/>
      <c r="AZ1744" t="str">
        <f t="shared" si="275"/>
        <v/>
      </c>
      <c r="BA1744" t="str">
        <f t="shared" si="276"/>
        <v/>
      </c>
    </row>
    <row r="1745" spans="3:53" ht="13.5">
      <c r="C1745" s="19"/>
      <c r="D1745" s="19"/>
      <c r="AC1745" s="6" t="s">
        <v>2967</v>
      </c>
      <c r="AD1745" s="6" t="s">
        <v>7353</v>
      </c>
      <c r="AE1745" s="155" t="s">
        <v>2525</v>
      </c>
      <c r="AF1745" s="159" t="s">
        <v>8299</v>
      </c>
      <c r="AG1745" s="160" t="s">
        <v>5101</v>
      </c>
      <c r="AH1745" s="194" t="s">
        <v>679</v>
      </c>
      <c r="AI1745" s="6" t="s">
        <v>6702</v>
      </c>
      <c r="AJ1745" s="3" t="s">
        <v>8197</v>
      </c>
      <c r="AK1745" t="s">
        <v>8197</v>
      </c>
      <c r="AV1745"/>
      <c r="AX1745"/>
      <c r="AZ1745" t="str">
        <f t="shared" si="275"/>
        <v/>
      </c>
      <c r="BA1745" t="str">
        <f t="shared" si="276"/>
        <v/>
      </c>
    </row>
    <row r="1746" spans="3:53" ht="13.5">
      <c r="C1746" s="19"/>
      <c r="D1746" s="19"/>
      <c r="AC1746" s="6" t="s">
        <v>5397</v>
      </c>
      <c r="AD1746" s="6" t="s">
        <v>7353</v>
      </c>
      <c r="AE1746" s="155" t="s">
        <v>2526</v>
      </c>
      <c r="AF1746" s="159" t="s">
        <v>8311</v>
      </c>
      <c r="AG1746" s="160" t="s">
        <v>5357</v>
      </c>
      <c r="AH1746" s="194" t="s">
        <v>1314</v>
      </c>
      <c r="AI1746" s="6" t="s">
        <v>2582</v>
      </c>
      <c r="AJ1746" s="3" t="s">
        <v>8271</v>
      </c>
      <c r="AK1746" t="s">
        <v>8271</v>
      </c>
      <c r="AV1746"/>
      <c r="AX1746"/>
      <c r="AZ1746" t="str">
        <f t="shared" si="275"/>
        <v/>
      </c>
      <c r="BA1746" t="str">
        <f t="shared" si="276"/>
        <v/>
      </c>
    </row>
    <row r="1747" spans="3:53" ht="13.5">
      <c r="C1747" s="19"/>
      <c r="D1747" s="19"/>
      <c r="AC1747" s="6" t="s">
        <v>3111</v>
      </c>
      <c r="AD1747" s="6" t="s">
        <v>7353</v>
      </c>
      <c r="AE1747" s="155" t="s">
        <v>2527</v>
      </c>
      <c r="AF1747" s="159" t="s">
        <v>8340</v>
      </c>
      <c r="AG1747" s="160" t="s">
        <v>1812</v>
      </c>
      <c r="AH1747" s="194" t="s">
        <v>679</v>
      </c>
      <c r="AI1747" s="6" t="s">
        <v>6664</v>
      </c>
      <c r="AJ1747" s="3" t="s">
        <v>8219</v>
      </c>
      <c r="AK1747" t="s">
        <v>8219</v>
      </c>
      <c r="AV1747"/>
      <c r="AX1747"/>
      <c r="AZ1747" t="str">
        <f t="shared" si="275"/>
        <v/>
      </c>
      <c r="BA1747" t="str">
        <f t="shared" si="276"/>
        <v/>
      </c>
    </row>
    <row r="1748" spans="3:53" ht="13.5">
      <c r="C1748" s="19"/>
      <c r="D1748" s="19"/>
      <c r="AC1748" s="6" t="s">
        <v>3106</v>
      </c>
      <c r="AD1748" s="6" t="s">
        <v>7353</v>
      </c>
      <c r="AE1748" s="155">
        <v>465731</v>
      </c>
      <c r="AF1748" s="159" t="s">
        <v>8333</v>
      </c>
      <c r="AG1748" s="160" t="s">
        <v>1819</v>
      </c>
      <c r="AH1748" s="194" t="s">
        <v>679</v>
      </c>
      <c r="AI1748" s="6" t="s">
        <v>1475</v>
      </c>
      <c r="AJ1748" s="3" t="s">
        <v>8219</v>
      </c>
      <c r="AK1748" t="s">
        <v>8219</v>
      </c>
      <c r="AV1748"/>
      <c r="AX1748"/>
      <c r="AZ1748" t="str">
        <f t="shared" si="275"/>
        <v/>
      </c>
      <c r="BA1748" t="str">
        <f t="shared" si="276"/>
        <v/>
      </c>
    </row>
    <row r="1749" spans="3:53" ht="13.5">
      <c r="C1749" s="19"/>
      <c r="D1749" s="19"/>
      <c r="AC1749" s="6" t="s">
        <v>3188</v>
      </c>
      <c r="AD1749" s="6" t="s">
        <v>7353</v>
      </c>
      <c r="AE1749" s="155" t="s">
        <v>2528</v>
      </c>
      <c r="AF1749" s="159" t="s">
        <v>8321</v>
      </c>
      <c r="AG1749" s="160" t="s">
        <v>1828</v>
      </c>
      <c r="AH1749" s="194" t="s">
        <v>679</v>
      </c>
      <c r="AI1749" s="6" t="s">
        <v>1476</v>
      </c>
      <c r="AJ1749" s="3" t="s">
        <v>8219</v>
      </c>
      <c r="AK1749" t="s">
        <v>8219</v>
      </c>
      <c r="AV1749"/>
      <c r="AX1749"/>
      <c r="AZ1749" t="str">
        <f t="shared" si="275"/>
        <v/>
      </c>
      <c r="BA1749" t="str">
        <f t="shared" si="276"/>
        <v/>
      </c>
    </row>
    <row r="1750" spans="3:53" ht="13.5">
      <c r="C1750" s="19"/>
      <c r="D1750" s="19"/>
      <c r="AC1750" s="6" t="s">
        <v>4422</v>
      </c>
      <c r="AD1750" s="6" t="s">
        <v>7353</v>
      </c>
      <c r="AE1750" s="155" t="s">
        <v>2529</v>
      </c>
      <c r="AF1750" s="159" t="s">
        <v>8299</v>
      </c>
      <c r="AG1750" s="160" t="s">
        <v>1248</v>
      </c>
      <c r="AH1750" s="194" t="s">
        <v>679</v>
      </c>
      <c r="AI1750" s="6" t="s">
        <v>1013</v>
      </c>
      <c r="AJ1750" s="3" t="s">
        <v>8224</v>
      </c>
      <c r="AK1750" t="s">
        <v>8224</v>
      </c>
      <c r="AV1750"/>
      <c r="AX1750"/>
      <c r="AZ1750" t="str">
        <f t="shared" si="275"/>
        <v/>
      </c>
      <c r="BA1750" t="str">
        <f t="shared" si="276"/>
        <v/>
      </c>
    </row>
    <row r="1751" spans="3:53" ht="13.5">
      <c r="C1751" s="19"/>
      <c r="D1751" s="19"/>
      <c r="AC1751" s="6" t="s">
        <v>5758</v>
      </c>
      <c r="AD1751" s="6" t="s">
        <v>7353</v>
      </c>
      <c r="AE1751" s="155" t="s">
        <v>2530</v>
      </c>
      <c r="AF1751" s="159" t="s">
        <v>8335</v>
      </c>
      <c r="AG1751" s="160" t="s">
        <v>1829</v>
      </c>
      <c r="AH1751" s="194" t="s">
        <v>679</v>
      </c>
      <c r="AI1751" s="6" t="s">
        <v>1482</v>
      </c>
      <c r="AJ1751" s="3" t="s">
        <v>8219</v>
      </c>
      <c r="AK1751" t="s">
        <v>8219</v>
      </c>
      <c r="AV1751"/>
      <c r="AX1751"/>
      <c r="AZ1751" t="str">
        <f t="shared" si="275"/>
        <v/>
      </c>
      <c r="BA1751" t="str">
        <f t="shared" si="276"/>
        <v/>
      </c>
    </row>
    <row r="1752" spans="3:53" ht="13.5">
      <c r="C1752" s="19"/>
      <c r="D1752" s="19"/>
      <c r="AC1752" s="6" t="s">
        <v>3153</v>
      </c>
      <c r="AD1752" s="6" t="s">
        <v>7353</v>
      </c>
      <c r="AE1752" s="155" t="s">
        <v>2531</v>
      </c>
      <c r="AF1752" s="159" t="s">
        <v>8309</v>
      </c>
      <c r="AG1752" s="160" t="s">
        <v>1830</v>
      </c>
      <c r="AH1752" s="194" t="s">
        <v>679</v>
      </c>
      <c r="AI1752" s="6" t="s">
        <v>1529</v>
      </c>
      <c r="AJ1752" s="3" t="s">
        <v>8219</v>
      </c>
      <c r="AK1752" t="s">
        <v>8219</v>
      </c>
      <c r="AV1752"/>
      <c r="AX1752"/>
      <c r="AZ1752" t="str">
        <f t="shared" si="275"/>
        <v/>
      </c>
      <c r="BA1752" t="str">
        <f t="shared" si="276"/>
        <v/>
      </c>
    </row>
    <row r="1753" spans="3:53" ht="13.5">
      <c r="C1753" s="19"/>
      <c r="D1753" s="19"/>
      <c r="AC1753" s="6" t="s">
        <v>3120</v>
      </c>
      <c r="AD1753" s="6" t="s">
        <v>7353</v>
      </c>
      <c r="AE1753" s="155" t="s">
        <v>2532</v>
      </c>
      <c r="AF1753" s="159" t="s">
        <v>8299</v>
      </c>
      <c r="AG1753" s="160" t="s">
        <v>2277</v>
      </c>
      <c r="AH1753" s="194" t="s">
        <v>679</v>
      </c>
      <c r="AI1753" s="6" t="s">
        <v>5368</v>
      </c>
      <c r="AJ1753" s="3" t="s">
        <v>8219</v>
      </c>
      <c r="AK1753" t="s">
        <v>8219</v>
      </c>
      <c r="AV1753"/>
      <c r="AX1753"/>
      <c r="AZ1753" t="str">
        <f t="shared" si="275"/>
        <v/>
      </c>
      <c r="BA1753" t="str">
        <f t="shared" si="276"/>
        <v/>
      </c>
    </row>
    <row r="1754" spans="3:53" ht="13.5">
      <c r="C1754" s="19"/>
      <c r="D1754" s="19"/>
      <c r="AC1754" s="6" t="s">
        <v>3237</v>
      </c>
      <c r="AD1754" s="6" t="s">
        <v>7353</v>
      </c>
      <c r="AE1754" s="155" t="s">
        <v>2533</v>
      </c>
      <c r="AF1754" s="159" t="s">
        <v>8333</v>
      </c>
      <c r="AG1754" s="160" t="s">
        <v>5158</v>
      </c>
      <c r="AH1754" s="194" t="s">
        <v>1314</v>
      </c>
      <c r="AI1754" s="6" t="s">
        <v>5496</v>
      </c>
      <c r="AJ1754" s="3" t="s">
        <v>8219</v>
      </c>
      <c r="AK1754" t="s">
        <v>8219</v>
      </c>
      <c r="AV1754"/>
      <c r="AX1754"/>
      <c r="AZ1754" t="str">
        <f t="shared" si="275"/>
        <v/>
      </c>
      <c r="BA1754" t="str">
        <f t="shared" si="276"/>
        <v/>
      </c>
    </row>
    <row r="1755" spans="3:53" ht="13.5">
      <c r="C1755" s="19"/>
      <c r="D1755" s="19"/>
      <c r="AC1755" s="6" t="s">
        <v>3182</v>
      </c>
      <c r="AD1755" s="6" t="s">
        <v>7353</v>
      </c>
      <c r="AE1755" s="155">
        <v>435739</v>
      </c>
      <c r="AF1755" s="159" t="s">
        <v>8364</v>
      </c>
      <c r="AG1755" s="160" t="s">
        <v>1835</v>
      </c>
      <c r="AH1755" s="194" t="s">
        <v>679</v>
      </c>
      <c r="AI1755" s="6" t="s">
        <v>5369</v>
      </c>
      <c r="AJ1755" s="3" t="s">
        <v>8219</v>
      </c>
      <c r="AK1755" t="s">
        <v>8219</v>
      </c>
      <c r="AV1755"/>
      <c r="AX1755"/>
      <c r="AZ1755" t="str">
        <f t="shared" si="275"/>
        <v/>
      </c>
      <c r="BA1755" t="str">
        <f t="shared" si="276"/>
        <v/>
      </c>
    </row>
    <row r="1756" spans="3:53" ht="13.5">
      <c r="C1756" s="19"/>
      <c r="D1756" s="19"/>
      <c r="AC1756" s="6" t="s">
        <v>5400</v>
      </c>
      <c r="AD1756" s="6" t="s">
        <v>7353</v>
      </c>
      <c r="AE1756" s="155">
        <v>435740</v>
      </c>
      <c r="AF1756" s="159" t="s">
        <v>8344</v>
      </c>
      <c r="AG1756" s="160" t="s">
        <v>1845</v>
      </c>
      <c r="AH1756" s="194" t="s">
        <v>679</v>
      </c>
      <c r="AI1756" s="6" t="s">
        <v>2180</v>
      </c>
      <c r="AJ1756" s="3" t="s">
        <v>8221</v>
      </c>
      <c r="AK1756" t="s">
        <v>8669</v>
      </c>
      <c r="AV1756"/>
      <c r="AX1756"/>
      <c r="AZ1756" t="str">
        <f t="shared" si="275"/>
        <v/>
      </c>
      <c r="BA1756" t="str">
        <f t="shared" si="276"/>
        <v/>
      </c>
    </row>
    <row r="1757" spans="3:53" ht="13.5">
      <c r="C1757" s="19"/>
      <c r="D1757" s="19"/>
      <c r="AC1757" s="6" t="s">
        <v>3896</v>
      </c>
      <c r="AD1757" s="6" t="s">
        <v>7353</v>
      </c>
      <c r="AE1757" s="155">
        <v>435741</v>
      </c>
      <c r="AF1757" s="159" t="s">
        <v>8324</v>
      </c>
      <c r="AG1757" s="160" t="s">
        <v>1284</v>
      </c>
      <c r="AH1757" s="194" t="s">
        <v>1314</v>
      </c>
      <c r="AI1757" s="6" t="s">
        <v>3842</v>
      </c>
      <c r="AJ1757" s="3" t="s">
        <v>8283</v>
      </c>
      <c r="AK1757" t="s">
        <v>8283</v>
      </c>
      <c r="AV1757"/>
      <c r="AX1757"/>
      <c r="AZ1757" t="str">
        <f t="shared" si="275"/>
        <v/>
      </c>
      <c r="BA1757" t="str">
        <f t="shared" si="276"/>
        <v/>
      </c>
    </row>
    <row r="1758" spans="3:53" ht="13.5">
      <c r="C1758" s="19"/>
      <c r="D1758" s="19"/>
      <c r="AC1758" s="6" t="s">
        <v>3893</v>
      </c>
      <c r="AD1758" s="6" t="s">
        <v>7353</v>
      </c>
      <c r="AE1758" s="155">
        <v>445744</v>
      </c>
      <c r="AF1758" s="159" t="s">
        <v>8299</v>
      </c>
      <c r="AG1758" s="160" t="s">
        <v>2161</v>
      </c>
      <c r="AH1758" s="194" t="s">
        <v>1314</v>
      </c>
      <c r="AI1758" s="6" t="s">
        <v>3845</v>
      </c>
      <c r="AJ1758" s="3" t="s">
        <v>8259</v>
      </c>
      <c r="AK1758" t="s">
        <v>8677</v>
      </c>
      <c r="AV1758"/>
      <c r="AX1758"/>
      <c r="AZ1758" t="str">
        <f t="shared" si="275"/>
        <v/>
      </c>
      <c r="BA1758" t="str">
        <f t="shared" si="276"/>
        <v/>
      </c>
    </row>
    <row r="1759" spans="3:53" ht="13.5">
      <c r="C1759" s="19"/>
      <c r="D1759" s="19"/>
      <c r="AC1759" s="6" t="s">
        <v>3133</v>
      </c>
      <c r="AD1759" s="6" t="s">
        <v>7353</v>
      </c>
      <c r="AE1759" s="155">
        <v>445745</v>
      </c>
      <c r="AF1759" s="159" t="s">
        <v>8333</v>
      </c>
      <c r="AG1759" s="160" t="s">
        <v>2162</v>
      </c>
      <c r="AH1759" s="194" t="s">
        <v>679</v>
      </c>
      <c r="AI1759" s="6" t="s">
        <v>3847</v>
      </c>
      <c r="AJ1759" s="3" t="s">
        <v>8282</v>
      </c>
      <c r="AK1759" t="s">
        <v>8282</v>
      </c>
      <c r="AV1759"/>
      <c r="AX1759"/>
      <c r="AZ1759" t="str">
        <f t="shared" si="275"/>
        <v/>
      </c>
      <c r="BA1759" t="str">
        <f t="shared" si="276"/>
        <v/>
      </c>
    </row>
    <row r="1760" spans="3:53" ht="13.5">
      <c r="C1760" s="19"/>
      <c r="D1760" s="19"/>
      <c r="AC1760" s="6" t="s">
        <v>3062</v>
      </c>
      <c r="AD1760" s="6" t="s">
        <v>7353</v>
      </c>
      <c r="AE1760" s="155">
        <v>445746</v>
      </c>
      <c r="AF1760" s="159" t="s">
        <v>8333</v>
      </c>
      <c r="AG1760" s="160" t="s">
        <v>5358</v>
      </c>
      <c r="AH1760" s="194" t="s">
        <v>1314</v>
      </c>
      <c r="AI1760" s="6" t="s">
        <v>3848</v>
      </c>
      <c r="AJ1760" s="3" t="s">
        <v>8282</v>
      </c>
      <c r="AK1760" t="s">
        <v>8282</v>
      </c>
      <c r="AV1760"/>
      <c r="AX1760"/>
      <c r="AZ1760" t="str">
        <f t="shared" si="275"/>
        <v/>
      </c>
      <c r="BA1760" t="str">
        <f t="shared" si="276"/>
        <v/>
      </c>
    </row>
    <row r="1761" spans="3:53" ht="13.5">
      <c r="C1761" s="19"/>
      <c r="D1761" s="19"/>
      <c r="AC1761" s="6" t="s">
        <v>5388</v>
      </c>
      <c r="AD1761" s="6" t="s">
        <v>7353</v>
      </c>
      <c r="AE1761" s="155">
        <v>826345</v>
      </c>
      <c r="AF1761" s="159" t="s">
        <v>8299</v>
      </c>
      <c r="AG1761" s="160" t="s">
        <v>5145</v>
      </c>
      <c r="AH1761" s="194" t="s">
        <v>679</v>
      </c>
      <c r="AI1761" s="6" t="s">
        <v>3850</v>
      </c>
      <c r="AJ1761" s="3" t="s">
        <v>8282</v>
      </c>
      <c r="AK1761" t="s">
        <v>8282</v>
      </c>
      <c r="AV1761"/>
      <c r="AX1761"/>
      <c r="AZ1761" t="str">
        <f t="shared" si="275"/>
        <v/>
      </c>
      <c r="BA1761" t="str">
        <f t="shared" si="276"/>
        <v/>
      </c>
    </row>
    <row r="1762" spans="3:53" ht="13.5">
      <c r="C1762" s="19"/>
      <c r="D1762" s="19"/>
      <c r="AC1762" s="6" t="s">
        <v>2869</v>
      </c>
      <c r="AD1762" s="6" t="s">
        <v>7353</v>
      </c>
      <c r="AE1762" s="155">
        <v>455747</v>
      </c>
      <c r="AF1762" s="159" t="s">
        <v>8297</v>
      </c>
      <c r="AG1762" s="160" t="s">
        <v>5229</v>
      </c>
      <c r="AH1762" s="194" t="s">
        <v>679</v>
      </c>
      <c r="AI1762" s="6" t="s">
        <v>2059</v>
      </c>
      <c r="AJ1762" s="3" t="s">
        <v>8238</v>
      </c>
      <c r="AK1762" t="s">
        <v>8673</v>
      </c>
      <c r="AV1762"/>
      <c r="AX1762"/>
      <c r="AZ1762" t="str">
        <f t="shared" si="275"/>
        <v/>
      </c>
      <c r="BA1762" t="str">
        <f t="shared" si="276"/>
        <v/>
      </c>
    </row>
    <row r="1763" spans="3:53" ht="13.5">
      <c r="C1763" s="19"/>
      <c r="D1763" s="19"/>
      <c r="AC1763" s="6" t="s">
        <v>2857</v>
      </c>
      <c r="AD1763" s="6" t="s">
        <v>7353</v>
      </c>
      <c r="AE1763" s="155" t="s">
        <v>2534</v>
      </c>
      <c r="AF1763" s="159" t="s">
        <v>8309</v>
      </c>
      <c r="AG1763" s="160" t="s">
        <v>5359</v>
      </c>
      <c r="AH1763" s="194" t="s">
        <v>679</v>
      </c>
      <c r="AI1763" s="6" t="s">
        <v>2074</v>
      </c>
      <c r="AJ1763" s="3" t="s">
        <v>8238</v>
      </c>
      <c r="AK1763" t="s">
        <v>8673</v>
      </c>
      <c r="AV1763"/>
      <c r="AX1763"/>
      <c r="AZ1763" t="str">
        <f t="shared" si="275"/>
        <v/>
      </c>
      <c r="BA1763" t="str">
        <f t="shared" si="276"/>
        <v/>
      </c>
    </row>
    <row r="1764" spans="3:53" ht="13.5">
      <c r="C1764" s="19"/>
      <c r="D1764" s="19"/>
      <c r="AC1764" s="6" t="s">
        <v>3067</v>
      </c>
      <c r="AD1764" s="6" t="s">
        <v>7353</v>
      </c>
      <c r="AE1764" s="155" t="s">
        <v>2536</v>
      </c>
      <c r="AF1764" s="159" t="s">
        <v>8299</v>
      </c>
      <c r="AG1764" s="160" t="s">
        <v>5232</v>
      </c>
      <c r="AH1764" s="194" t="s">
        <v>679</v>
      </c>
      <c r="AI1764" s="6" t="s">
        <v>2218</v>
      </c>
      <c r="AJ1764" s="3" t="s">
        <v>8238</v>
      </c>
      <c r="AK1764" t="s">
        <v>8673</v>
      </c>
      <c r="AV1764"/>
      <c r="AX1764"/>
      <c r="AZ1764" t="str">
        <f t="shared" si="275"/>
        <v/>
      </c>
      <c r="BA1764" t="str">
        <f t="shared" si="276"/>
        <v/>
      </c>
    </row>
    <row r="1765" spans="3:53" ht="13.5">
      <c r="C1765" s="19"/>
      <c r="D1765" s="19"/>
      <c r="AC1765" s="6" t="s">
        <v>2963</v>
      </c>
      <c r="AD1765" s="6" t="s">
        <v>7353</v>
      </c>
      <c r="AE1765" s="155" t="s">
        <v>2537</v>
      </c>
      <c r="AF1765" s="159" t="s">
        <v>8299</v>
      </c>
      <c r="AG1765" s="160" t="s">
        <v>5252</v>
      </c>
      <c r="AH1765" s="194" t="s">
        <v>679</v>
      </c>
      <c r="AI1765" s="6" t="s">
        <v>2219</v>
      </c>
      <c r="AJ1765" s="3" t="s">
        <v>8238</v>
      </c>
      <c r="AK1765" t="s">
        <v>8673</v>
      </c>
      <c r="AV1765"/>
      <c r="AX1765"/>
      <c r="AZ1765" t="str">
        <f t="shared" si="275"/>
        <v/>
      </c>
      <c r="BA1765" t="str">
        <f t="shared" si="276"/>
        <v/>
      </c>
    </row>
    <row r="1766" spans="3:53" ht="13.5">
      <c r="C1766" s="19"/>
      <c r="D1766" s="19"/>
      <c r="AC1766" s="6" t="s">
        <v>3142</v>
      </c>
      <c r="AD1766" s="6" t="s">
        <v>7353</v>
      </c>
      <c r="AE1766" s="155" t="s">
        <v>2538</v>
      </c>
      <c r="AF1766" s="159" t="s">
        <v>8320</v>
      </c>
      <c r="AG1766" s="160" t="s">
        <v>5360</v>
      </c>
      <c r="AH1766" s="194" t="s">
        <v>1314</v>
      </c>
      <c r="AI1766" s="6" t="s">
        <v>2220</v>
      </c>
      <c r="AJ1766" s="3" t="s">
        <v>8238</v>
      </c>
      <c r="AK1766" t="s">
        <v>8673</v>
      </c>
      <c r="AV1766"/>
      <c r="AX1766"/>
      <c r="AZ1766" t="str">
        <f t="shared" si="275"/>
        <v/>
      </c>
      <c r="BA1766" t="str">
        <f t="shared" si="276"/>
        <v/>
      </c>
    </row>
    <row r="1767" spans="3:53" ht="13.5">
      <c r="C1767" s="19"/>
      <c r="D1767" s="19"/>
      <c r="AC1767" s="6" t="s">
        <v>2359</v>
      </c>
      <c r="AD1767" s="6" t="s">
        <v>7360</v>
      </c>
      <c r="AE1767" s="155" t="s">
        <v>2539</v>
      </c>
      <c r="AF1767" s="159" t="s">
        <v>8299</v>
      </c>
      <c r="AG1767" s="160" t="s">
        <v>5361</v>
      </c>
      <c r="AH1767" s="194" t="s">
        <v>1314</v>
      </c>
      <c r="AI1767" s="6" t="s">
        <v>1757</v>
      </c>
      <c r="AJ1767" s="3" t="s">
        <v>8238</v>
      </c>
      <c r="AK1767" t="s">
        <v>8673</v>
      </c>
      <c r="AV1767"/>
      <c r="AX1767"/>
      <c r="AZ1767" t="str">
        <f t="shared" si="275"/>
        <v/>
      </c>
      <c r="BA1767" t="str">
        <f t="shared" si="276"/>
        <v/>
      </c>
    </row>
    <row r="1768" spans="3:53" ht="13.5">
      <c r="C1768" s="19"/>
      <c r="D1768" s="19"/>
      <c r="AC1768" s="6" t="s">
        <v>5763</v>
      </c>
      <c r="AD1768" s="6" t="s">
        <v>7353</v>
      </c>
      <c r="AE1768" s="155" t="s">
        <v>2541</v>
      </c>
      <c r="AF1768" s="159" t="s">
        <v>8299</v>
      </c>
      <c r="AG1768" s="160" t="s">
        <v>5362</v>
      </c>
      <c r="AH1768" s="194" t="s">
        <v>1314</v>
      </c>
      <c r="AI1768" s="6" t="s">
        <v>1916</v>
      </c>
      <c r="AJ1768" s="3" t="s">
        <v>8238</v>
      </c>
      <c r="AK1768" t="s">
        <v>8673</v>
      </c>
      <c r="AV1768"/>
      <c r="AX1768"/>
      <c r="AZ1768" t="str">
        <f t="shared" si="275"/>
        <v/>
      </c>
      <c r="BA1768" t="str">
        <f t="shared" si="276"/>
        <v/>
      </c>
    </row>
    <row r="1769" spans="3:53" ht="13.5">
      <c r="C1769" s="19"/>
      <c r="D1769" s="19"/>
      <c r="AC1769" s="6" t="s">
        <v>2812</v>
      </c>
      <c r="AD1769" s="6" t="s">
        <v>7379</v>
      </c>
      <c r="AE1769" s="155" t="s">
        <v>2542</v>
      </c>
      <c r="AF1769" s="159" t="s">
        <v>8299</v>
      </c>
      <c r="AG1769" s="160" t="s">
        <v>3832</v>
      </c>
      <c r="AH1769" s="194" t="s">
        <v>679</v>
      </c>
      <c r="AI1769" s="6" t="s">
        <v>2061</v>
      </c>
      <c r="AJ1769" s="3" t="s">
        <v>8238</v>
      </c>
      <c r="AK1769" t="s">
        <v>8673</v>
      </c>
      <c r="AV1769"/>
      <c r="AX1769"/>
      <c r="AZ1769" t="str">
        <f t="shared" si="275"/>
        <v/>
      </c>
      <c r="BA1769" t="str">
        <f t="shared" si="276"/>
        <v/>
      </c>
    </row>
    <row r="1770" spans="3:53" ht="13.5">
      <c r="C1770" s="19"/>
      <c r="D1770" s="19"/>
      <c r="AC1770" s="6" t="s">
        <v>4746</v>
      </c>
      <c r="AD1770" s="6" t="s">
        <v>7353</v>
      </c>
      <c r="AE1770" s="155" t="s">
        <v>2543</v>
      </c>
      <c r="AF1770" s="159" t="s">
        <v>8299</v>
      </c>
      <c r="AG1770" s="160" t="s">
        <v>3833</v>
      </c>
      <c r="AH1770" s="194" t="s">
        <v>679</v>
      </c>
      <c r="AI1770" s="6" t="s">
        <v>2063</v>
      </c>
      <c r="AJ1770" s="3" t="s">
        <v>8238</v>
      </c>
      <c r="AK1770" t="s">
        <v>8673</v>
      </c>
      <c r="AV1770"/>
      <c r="AX1770"/>
      <c r="AZ1770" t="str">
        <f t="shared" si="275"/>
        <v/>
      </c>
      <c r="BA1770" t="str">
        <f t="shared" si="276"/>
        <v/>
      </c>
    </row>
    <row r="1771" spans="3:53" ht="13.5">
      <c r="C1771" s="19"/>
      <c r="D1771" s="19"/>
      <c r="AC1771" s="6" t="s">
        <v>3290</v>
      </c>
      <c r="AD1771" s="6" t="s">
        <v>7353</v>
      </c>
      <c r="AE1771" s="155" t="s">
        <v>2544</v>
      </c>
      <c r="AF1771" s="159" t="s">
        <v>8299</v>
      </c>
      <c r="AG1771" s="160" t="s">
        <v>3834</v>
      </c>
      <c r="AH1771" s="194" t="s">
        <v>679</v>
      </c>
      <c r="AI1771" s="6" t="s">
        <v>2064</v>
      </c>
      <c r="AJ1771" s="3" t="s">
        <v>8238</v>
      </c>
      <c r="AK1771" t="s">
        <v>8673</v>
      </c>
      <c r="AV1771"/>
      <c r="AX1771"/>
      <c r="AZ1771" t="str">
        <f t="shared" si="275"/>
        <v/>
      </c>
      <c r="BA1771" t="str">
        <f t="shared" si="276"/>
        <v/>
      </c>
    </row>
    <row r="1772" spans="3:53" ht="13.5">
      <c r="C1772" s="19"/>
      <c r="D1772" s="19"/>
      <c r="AC1772" s="6" t="s">
        <v>3087</v>
      </c>
      <c r="AD1772" s="6" t="s">
        <v>7353</v>
      </c>
      <c r="AE1772" s="155" t="s">
        <v>2545</v>
      </c>
      <c r="AF1772" s="159" t="s">
        <v>8299</v>
      </c>
      <c r="AG1772" s="160" t="s">
        <v>3835</v>
      </c>
      <c r="AH1772" s="194" t="s">
        <v>679</v>
      </c>
      <c r="AI1772" s="6" t="s">
        <v>2065</v>
      </c>
      <c r="AJ1772" s="3" t="s">
        <v>8238</v>
      </c>
      <c r="AK1772" t="s">
        <v>8673</v>
      </c>
      <c r="AV1772"/>
      <c r="AX1772"/>
      <c r="AZ1772" t="str">
        <f t="shared" si="275"/>
        <v/>
      </c>
      <c r="BA1772" t="str">
        <f t="shared" si="276"/>
        <v/>
      </c>
    </row>
    <row r="1773" spans="3:53" ht="13.5">
      <c r="C1773" s="19"/>
      <c r="D1773" s="19"/>
      <c r="AC1773" s="6" t="s">
        <v>3190</v>
      </c>
      <c r="AD1773" s="6" t="s">
        <v>7353</v>
      </c>
      <c r="AE1773" s="155" t="s">
        <v>2546</v>
      </c>
      <c r="AF1773" s="159" t="s">
        <v>8299</v>
      </c>
      <c r="AG1773" s="160" t="s">
        <v>3836</v>
      </c>
      <c r="AH1773" s="194" t="s">
        <v>679</v>
      </c>
      <c r="AI1773" s="6" t="s">
        <v>2312</v>
      </c>
      <c r="AJ1773" s="3" t="s">
        <v>8237</v>
      </c>
      <c r="AK1773" t="s">
        <v>8237</v>
      </c>
      <c r="AV1773"/>
      <c r="AX1773"/>
      <c r="AZ1773" t="str">
        <f t="shared" si="275"/>
        <v/>
      </c>
      <c r="BA1773" t="str">
        <f t="shared" si="276"/>
        <v/>
      </c>
    </row>
    <row r="1774" spans="3:53" ht="13.5">
      <c r="C1774" s="19"/>
      <c r="D1774" s="19"/>
      <c r="AC1774" s="6" t="s">
        <v>3429</v>
      </c>
      <c r="AD1774" s="6" t="s">
        <v>7353</v>
      </c>
      <c r="AE1774" s="155" t="s">
        <v>2547</v>
      </c>
      <c r="AF1774" s="159" t="s">
        <v>8299</v>
      </c>
      <c r="AG1774" s="160" t="s">
        <v>2026</v>
      </c>
      <c r="AH1774" s="194" t="s">
        <v>1314</v>
      </c>
      <c r="AI1774" s="6" t="s">
        <v>2313</v>
      </c>
      <c r="AJ1774" s="3" t="s">
        <v>8237</v>
      </c>
      <c r="AK1774" t="s">
        <v>8237</v>
      </c>
      <c r="AV1774"/>
      <c r="AX1774"/>
      <c r="AZ1774" t="str">
        <f t="shared" si="275"/>
        <v/>
      </c>
      <c r="BA1774" t="str">
        <f t="shared" si="276"/>
        <v/>
      </c>
    </row>
    <row r="1775" spans="3:53" ht="13.5">
      <c r="C1775" s="19"/>
      <c r="D1775" s="19"/>
      <c r="AC1775" s="6" t="s">
        <v>2877</v>
      </c>
      <c r="AD1775" s="6" t="s">
        <v>7353</v>
      </c>
      <c r="AE1775" s="155" t="s">
        <v>3560</v>
      </c>
      <c r="AF1775" s="159" t="s">
        <v>8297</v>
      </c>
      <c r="AG1775" s="160" t="s">
        <v>2198</v>
      </c>
      <c r="AH1775" s="194" t="s">
        <v>1314</v>
      </c>
      <c r="AI1775" s="6" t="s">
        <v>2346</v>
      </c>
      <c r="AJ1775" s="3" t="s">
        <v>8237</v>
      </c>
      <c r="AK1775" t="s">
        <v>8237</v>
      </c>
      <c r="AV1775"/>
      <c r="AX1775"/>
      <c r="AZ1775" t="str">
        <f t="shared" si="275"/>
        <v/>
      </c>
      <c r="BA1775" t="str">
        <f t="shared" si="276"/>
        <v/>
      </c>
    </row>
    <row r="1776" spans="3:53" ht="13.5">
      <c r="C1776" s="19"/>
      <c r="D1776" s="19"/>
      <c r="AC1776" s="6" t="s">
        <v>3152</v>
      </c>
      <c r="AD1776" s="6" t="s">
        <v>7353</v>
      </c>
      <c r="AE1776" s="155" t="s">
        <v>4081</v>
      </c>
      <c r="AF1776" s="159" t="s">
        <v>8320</v>
      </c>
      <c r="AG1776" s="160" t="s">
        <v>1429</v>
      </c>
      <c r="AH1776" s="194" t="s">
        <v>679</v>
      </c>
      <c r="AI1776" s="6" t="s">
        <v>3855</v>
      </c>
      <c r="AJ1776" s="3" t="s">
        <v>8237</v>
      </c>
      <c r="AK1776" t="s">
        <v>8237</v>
      </c>
      <c r="AV1776"/>
      <c r="AX1776"/>
      <c r="AZ1776" t="str">
        <f t="shared" si="275"/>
        <v/>
      </c>
      <c r="BA1776" t="str">
        <f t="shared" si="276"/>
        <v/>
      </c>
    </row>
    <row r="1777" spans="3:53" ht="13.5">
      <c r="C1777" s="19"/>
      <c r="D1777" s="19"/>
      <c r="AC1777" s="6" t="s">
        <v>3107</v>
      </c>
      <c r="AD1777" s="6" t="s">
        <v>7353</v>
      </c>
      <c r="AE1777" s="155" t="s">
        <v>2552</v>
      </c>
      <c r="AF1777" s="159" t="s">
        <v>8309</v>
      </c>
      <c r="AG1777" s="160" t="s">
        <v>1200</v>
      </c>
      <c r="AH1777" s="194" t="s">
        <v>679</v>
      </c>
      <c r="AI1777" s="6" t="s">
        <v>2369</v>
      </c>
      <c r="AJ1777" s="3" t="s">
        <v>8237</v>
      </c>
      <c r="AK1777" t="s">
        <v>8237</v>
      </c>
      <c r="AV1777"/>
      <c r="AX1777"/>
      <c r="AZ1777" t="str">
        <f t="shared" si="275"/>
        <v/>
      </c>
      <c r="BA1777" t="str">
        <f t="shared" si="276"/>
        <v/>
      </c>
    </row>
    <row r="1778" spans="3:53" ht="13.5">
      <c r="C1778" s="19"/>
      <c r="D1778" s="19"/>
      <c r="AC1778" s="6" t="s">
        <v>3444</v>
      </c>
      <c r="AD1778" s="6" t="s">
        <v>7353</v>
      </c>
      <c r="AE1778" s="155" t="s">
        <v>2553</v>
      </c>
      <c r="AF1778" s="159" t="s">
        <v>8299</v>
      </c>
      <c r="AG1778" s="160" t="s">
        <v>1545</v>
      </c>
      <c r="AH1778" s="194" t="s">
        <v>679</v>
      </c>
      <c r="AI1778" s="6" t="s">
        <v>4762</v>
      </c>
      <c r="AJ1778" s="3" t="s">
        <v>8237</v>
      </c>
      <c r="AK1778" t="s">
        <v>8237</v>
      </c>
      <c r="AV1778"/>
      <c r="AX1778"/>
      <c r="AZ1778" t="str">
        <f t="shared" si="275"/>
        <v/>
      </c>
      <c r="BA1778" t="str">
        <f t="shared" si="276"/>
        <v/>
      </c>
    </row>
    <row r="1779" spans="3:53" ht="13.5">
      <c r="C1779" s="19"/>
      <c r="D1779" s="19"/>
      <c r="AC1779" s="6" t="s">
        <v>3469</v>
      </c>
      <c r="AD1779" s="6" t="s">
        <v>7380</v>
      </c>
      <c r="AE1779" s="155">
        <v>185846</v>
      </c>
      <c r="AF1779" s="159" t="s">
        <v>8292</v>
      </c>
      <c r="AG1779" s="160" t="s">
        <v>165</v>
      </c>
      <c r="AH1779" s="194" t="s">
        <v>678</v>
      </c>
      <c r="AI1779" s="6" t="s">
        <v>2400</v>
      </c>
      <c r="AJ1779" s="3" t="s">
        <v>8237</v>
      </c>
      <c r="AK1779" t="s">
        <v>8237</v>
      </c>
      <c r="AV1779"/>
      <c r="AX1779"/>
      <c r="AZ1779" t="str">
        <f t="shared" si="275"/>
        <v/>
      </c>
      <c r="BA1779" t="str">
        <f t="shared" si="276"/>
        <v/>
      </c>
    </row>
    <row r="1780" spans="3:53" ht="13.5">
      <c r="C1780" s="19"/>
      <c r="D1780" s="19"/>
      <c r="AC1780" s="6" t="s">
        <v>2923</v>
      </c>
      <c r="AD1780" s="6" t="s">
        <v>7353</v>
      </c>
      <c r="AE1780" s="155">
        <v>185847</v>
      </c>
      <c r="AF1780" s="159" t="s">
        <v>8290</v>
      </c>
      <c r="AG1780" s="160" t="s">
        <v>166</v>
      </c>
      <c r="AH1780" s="194" t="s">
        <v>678</v>
      </c>
      <c r="AI1780" s="6" t="s">
        <v>2401</v>
      </c>
      <c r="AJ1780" s="3" t="s">
        <v>8237</v>
      </c>
      <c r="AK1780" t="s">
        <v>8237</v>
      </c>
      <c r="AV1780"/>
      <c r="AX1780"/>
      <c r="AZ1780" t="str">
        <f t="shared" si="275"/>
        <v/>
      </c>
      <c r="BA1780" t="str">
        <f t="shared" si="276"/>
        <v/>
      </c>
    </row>
    <row r="1781" spans="3:53" ht="13.5">
      <c r="C1781" s="19"/>
      <c r="D1781" s="19"/>
      <c r="AC1781" s="6" t="s">
        <v>2871</v>
      </c>
      <c r="AD1781" s="6" t="s">
        <v>7353</v>
      </c>
      <c r="AE1781" s="155" t="s">
        <v>2554</v>
      </c>
      <c r="AF1781" s="159" t="s">
        <v>8299</v>
      </c>
      <c r="AG1781" s="160" t="s">
        <v>167</v>
      </c>
      <c r="AH1781" s="194" t="s">
        <v>679</v>
      </c>
      <c r="AI1781" s="6" t="s">
        <v>2405</v>
      </c>
      <c r="AJ1781" s="3" t="s">
        <v>8237</v>
      </c>
      <c r="AK1781" t="s">
        <v>8237</v>
      </c>
      <c r="AV1781"/>
      <c r="AX1781"/>
      <c r="AZ1781" t="str">
        <f t="shared" si="275"/>
        <v/>
      </c>
      <c r="BA1781" t="str">
        <f t="shared" si="276"/>
        <v/>
      </c>
    </row>
    <row r="1782" spans="3:53" ht="13.5">
      <c r="C1782" s="19"/>
      <c r="D1782" s="19"/>
      <c r="AC1782" s="6" t="s">
        <v>3086</v>
      </c>
      <c r="AD1782" s="6" t="s">
        <v>7353</v>
      </c>
      <c r="AE1782" s="155" t="s">
        <v>2555</v>
      </c>
      <c r="AF1782" s="159" t="s">
        <v>8311</v>
      </c>
      <c r="AG1782" s="160" t="s">
        <v>1546</v>
      </c>
      <c r="AH1782" s="194" t="s">
        <v>679</v>
      </c>
      <c r="AI1782" s="6" t="s">
        <v>2407</v>
      </c>
      <c r="AJ1782" s="3" t="s">
        <v>8237</v>
      </c>
      <c r="AK1782" t="s">
        <v>8237</v>
      </c>
      <c r="AV1782"/>
      <c r="AX1782"/>
      <c r="AZ1782" t="str">
        <f t="shared" si="275"/>
        <v/>
      </c>
      <c r="BA1782" t="str">
        <f t="shared" si="276"/>
        <v/>
      </c>
    </row>
    <row r="1783" spans="3:53" ht="13.5">
      <c r="C1783" s="19"/>
      <c r="D1783" s="19"/>
      <c r="AC1783" s="6" t="s">
        <v>5594</v>
      </c>
      <c r="AD1783" s="6" t="s">
        <v>7353</v>
      </c>
      <c r="AE1783" s="155" t="s">
        <v>2556</v>
      </c>
      <c r="AF1783" s="159" t="s">
        <v>8299</v>
      </c>
      <c r="AG1783" s="160" t="s">
        <v>1568</v>
      </c>
      <c r="AH1783" s="194" t="s">
        <v>679</v>
      </c>
      <c r="AI1783" s="6" t="s">
        <v>2408</v>
      </c>
      <c r="AJ1783" s="3" t="s">
        <v>8237</v>
      </c>
      <c r="AK1783" t="s">
        <v>8237</v>
      </c>
      <c r="AV1783"/>
      <c r="AX1783"/>
      <c r="AZ1783" t="str">
        <f t="shared" si="275"/>
        <v/>
      </c>
      <c r="BA1783" t="str">
        <f t="shared" si="276"/>
        <v/>
      </c>
    </row>
    <row r="1784" spans="3:53" ht="13.5">
      <c r="C1784" s="19"/>
      <c r="D1784" s="19"/>
      <c r="AC1784" s="6" t="s">
        <v>5595</v>
      </c>
      <c r="AD1784" s="6" t="s">
        <v>7353</v>
      </c>
      <c r="AE1784" s="155" t="s">
        <v>2557</v>
      </c>
      <c r="AF1784" s="159" t="s">
        <v>8320</v>
      </c>
      <c r="AG1784" s="160" t="s">
        <v>1573</v>
      </c>
      <c r="AH1784" s="194" t="s">
        <v>679</v>
      </c>
      <c r="AI1784" s="6" t="s">
        <v>2409</v>
      </c>
      <c r="AJ1784" s="3" t="s">
        <v>8237</v>
      </c>
      <c r="AK1784" t="s">
        <v>8237</v>
      </c>
      <c r="AV1784"/>
      <c r="AX1784"/>
      <c r="AZ1784" t="str">
        <f t="shared" si="275"/>
        <v/>
      </c>
      <c r="BA1784" t="str">
        <f t="shared" si="276"/>
        <v/>
      </c>
    </row>
    <row r="1785" spans="3:53" ht="13.5">
      <c r="C1785" s="19"/>
      <c r="D1785" s="19"/>
      <c r="AC1785" s="6" t="s">
        <v>3299</v>
      </c>
      <c r="AD1785" s="6" t="s">
        <v>7353</v>
      </c>
      <c r="AE1785" s="155" t="s">
        <v>2558</v>
      </c>
      <c r="AF1785" s="159" t="s">
        <v>8342</v>
      </c>
      <c r="AG1785" s="160" t="s">
        <v>1595</v>
      </c>
      <c r="AH1785" s="194" t="s">
        <v>679</v>
      </c>
      <c r="AI1785" s="6" t="s">
        <v>2411</v>
      </c>
      <c r="AJ1785" s="3" t="s">
        <v>8237</v>
      </c>
      <c r="AK1785" t="s">
        <v>8237</v>
      </c>
      <c r="AV1785"/>
      <c r="AX1785"/>
      <c r="AZ1785" t="str">
        <f t="shared" si="275"/>
        <v/>
      </c>
      <c r="BA1785" t="str">
        <f t="shared" si="276"/>
        <v/>
      </c>
    </row>
    <row r="1786" spans="3:53" ht="13.5">
      <c r="C1786" s="19"/>
      <c r="D1786" s="19"/>
      <c r="AC1786" s="6" t="s">
        <v>2961</v>
      </c>
      <c r="AD1786" s="6" t="s">
        <v>7353</v>
      </c>
      <c r="AE1786" s="155" t="s">
        <v>2559</v>
      </c>
      <c r="AF1786" s="159" t="s">
        <v>8342</v>
      </c>
      <c r="AG1786" s="160" t="s">
        <v>168</v>
      </c>
      <c r="AH1786" s="194" t="s">
        <v>679</v>
      </c>
      <c r="AI1786" s="6" t="s">
        <v>2414</v>
      </c>
      <c r="AJ1786" s="3" t="s">
        <v>8237</v>
      </c>
      <c r="AK1786" t="s">
        <v>8237</v>
      </c>
      <c r="AV1786"/>
      <c r="AX1786"/>
      <c r="AZ1786" t="str">
        <f t="shared" ref="AZ1786:AZ1849" si="277">IF(ISBLANK(AW1786),"",CONCATENATE("(",RIGHT(AW1786,5),"-",TEXT(AX1786,"h:mm;@"),")"))</f>
        <v/>
      </c>
      <c r="BA1786" t="str">
        <f t="shared" ref="BA1786:BA1849" si="278">IF(AV1802=AV1786,"",CONCATENATE(IF(AV1801=AV1786,BA1801,""),IF(AV1800=AV1786,BA1800,""),IF(AV1799=AV1786,BA1799,""),IF(AV1798=AV1786,BA1798,""),IF(AV1797=AV1786,BA1797,""),IF(AV1796=AV1786,BA1796,""),IF(AV1795=AV1786,BA1795,""),IF(AV1794=AV1786,BA1794,""),IF(AV1793=AV1786,BA1793,""),IF(AV1792=AV1786,BA1792,""),IF(AV1791=AV1786,BA1791,""),IF(AV1790=AV1786,BA1790,""),IF(AV1789=AV1786,BA1789,""),IF(AV1788=AV1786,BA1788,""),IF(AV1787=AV1786,BA1787,""),IF(AV1785=AV1786,BA1785,""),BA1786))</f>
        <v/>
      </c>
    </row>
    <row r="1787" spans="3:53" ht="13.5">
      <c r="C1787" s="19"/>
      <c r="D1787" s="19"/>
      <c r="AC1787" s="6" t="s">
        <v>2930</v>
      </c>
      <c r="AD1787" s="6" t="s">
        <v>7353</v>
      </c>
      <c r="AE1787" s="155" t="s">
        <v>2560</v>
      </c>
      <c r="AF1787" s="159" t="s">
        <v>8299</v>
      </c>
      <c r="AG1787" s="161" t="s">
        <v>1596</v>
      </c>
      <c r="AH1787" s="194" t="s">
        <v>679</v>
      </c>
      <c r="AI1787" s="6" t="s">
        <v>5710</v>
      </c>
      <c r="AJ1787" s="3" t="s">
        <v>8237</v>
      </c>
      <c r="AK1787" t="s">
        <v>8237</v>
      </c>
      <c r="AV1787"/>
      <c r="AX1787"/>
      <c r="AZ1787" t="str">
        <f t="shared" si="277"/>
        <v/>
      </c>
      <c r="BA1787" t="str">
        <f t="shared" si="278"/>
        <v/>
      </c>
    </row>
    <row r="1788" spans="3:53" ht="13.5">
      <c r="C1788" s="19"/>
      <c r="D1788" s="19"/>
      <c r="AC1788" s="6" t="s">
        <v>3464</v>
      </c>
      <c r="AD1788" s="6" t="s">
        <v>7381</v>
      </c>
      <c r="AE1788" s="155" t="s">
        <v>2561</v>
      </c>
      <c r="AF1788" s="159" t="s">
        <v>8299</v>
      </c>
      <c r="AG1788" s="160" t="s">
        <v>1597</v>
      </c>
      <c r="AH1788" s="194" t="s">
        <v>679</v>
      </c>
      <c r="AI1788" s="6" t="s">
        <v>2419</v>
      </c>
      <c r="AJ1788" s="3" t="s">
        <v>8237</v>
      </c>
      <c r="AK1788" t="s">
        <v>8237</v>
      </c>
      <c r="AV1788"/>
      <c r="AX1788"/>
      <c r="AZ1788" t="str">
        <f t="shared" si="277"/>
        <v/>
      </c>
      <c r="BA1788" t="str">
        <f t="shared" si="278"/>
        <v/>
      </c>
    </row>
    <row r="1789" spans="3:53" ht="13.5">
      <c r="C1789" s="19"/>
      <c r="D1789" s="19"/>
      <c r="AC1789" s="6" t="s">
        <v>5405</v>
      </c>
      <c r="AD1789" s="6" t="s">
        <v>7353</v>
      </c>
      <c r="AE1789" s="155" t="s">
        <v>2562</v>
      </c>
      <c r="AF1789" s="159" t="s">
        <v>8299</v>
      </c>
      <c r="AG1789" s="160" t="s">
        <v>1598</v>
      </c>
      <c r="AH1789" s="194" t="s">
        <v>679</v>
      </c>
      <c r="AI1789" s="6" t="s">
        <v>2420</v>
      </c>
      <c r="AJ1789" s="3" t="s">
        <v>8237</v>
      </c>
      <c r="AK1789" t="s">
        <v>8237</v>
      </c>
      <c r="AV1789"/>
      <c r="AX1789"/>
      <c r="AZ1789" t="str">
        <f t="shared" si="277"/>
        <v/>
      </c>
      <c r="BA1789" t="str">
        <f t="shared" si="278"/>
        <v/>
      </c>
    </row>
    <row r="1790" spans="3:53" ht="13.5">
      <c r="C1790" s="19"/>
      <c r="D1790" s="19"/>
      <c r="AC1790" s="6" t="s">
        <v>4819</v>
      </c>
      <c r="AD1790" s="6" t="s">
        <v>7353</v>
      </c>
      <c r="AE1790" s="155" t="s">
        <v>2563</v>
      </c>
      <c r="AF1790" s="159" t="s">
        <v>8342</v>
      </c>
      <c r="AG1790" s="160" t="s">
        <v>1599</v>
      </c>
      <c r="AH1790" s="194" t="s">
        <v>679</v>
      </c>
      <c r="AI1790" s="6" t="s">
        <v>2423</v>
      </c>
      <c r="AJ1790" s="3" t="s">
        <v>8237</v>
      </c>
      <c r="AK1790" t="s">
        <v>8237</v>
      </c>
      <c r="AV1790"/>
      <c r="AX1790"/>
      <c r="AZ1790" t="str">
        <f t="shared" si="277"/>
        <v/>
      </c>
      <c r="BA1790" t="str">
        <f t="shared" si="278"/>
        <v/>
      </c>
    </row>
    <row r="1791" spans="3:53" ht="13.5">
      <c r="C1791" s="19"/>
      <c r="D1791" s="19"/>
      <c r="AC1791" s="6" t="s">
        <v>3458</v>
      </c>
      <c r="AD1791" s="6" t="s">
        <v>7382</v>
      </c>
      <c r="AE1791" s="155" t="s">
        <v>2564</v>
      </c>
      <c r="AF1791" s="159" t="s">
        <v>8299</v>
      </c>
      <c r="AG1791" s="160" t="s">
        <v>169</v>
      </c>
      <c r="AH1791" s="194" t="s">
        <v>679</v>
      </c>
      <c r="AI1791" s="6" t="s">
        <v>5627</v>
      </c>
      <c r="AJ1791" s="3" t="s">
        <v>8237</v>
      </c>
      <c r="AK1791" t="s">
        <v>8237</v>
      </c>
      <c r="AV1791"/>
      <c r="AX1791"/>
      <c r="AZ1791" t="str">
        <f t="shared" si="277"/>
        <v/>
      </c>
      <c r="BA1791" t="str">
        <f t="shared" si="278"/>
        <v/>
      </c>
    </row>
    <row r="1792" spans="3:53" ht="13.5">
      <c r="C1792" s="19"/>
      <c r="D1792" s="19"/>
      <c r="AC1792" s="6" t="s">
        <v>5290</v>
      </c>
      <c r="AD1792" s="6" t="s">
        <v>7353</v>
      </c>
      <c r="AE1792" s="155" t="s">
        <v>2565</v>
      </c>
      <c r="AF1792" s="159" t="s">
        <v>8347</v>
      </c>
      <c r="AG1792" s="160" t="s">
        <v>170</v>
      </c>
      <c r="AH1792" s="194" t="s">
        <v>679</v>
      </c>
      <c r="AI1792" s="6" t="s">
        <v>6678</v>
      </c>
      <c r="AJ1792" s="3" t="s">
        <v>8219</v>
      </c>
      <c r="AK1792" t="s">
        <v>8219</v>
      </c>
      <c r="AV1792"/>
      <c r="AX1792"/>
      <c r="AZ1792" t="str">
        <f t="shared" si="277"/>
        <v/>
      </c>
      <c r="BA1792" t="str">
        <f t="shared" si="278"/>
        <v/>
      </c>
    </row>
    <row r="1793" spans="3:53" ht="13.5">
      <c r="C1793" s="19"/>
      <c r="D1793" s="19"/>
      <c r="AC1793" s="6" t="s">
        <v>2898</v>
      </c>
      <c r="AD1793" s="6" t="s">
        <v>7353</v>
      </c>
      <c r="AE1793" s="155" t="s">
        <v>2566</v>
      </c>
      <c r="AF1793" s="159" t="s">
        <v>8346</v>
      </c>
      <c r="AG1793" s="160" t="s">
        <v>1600</v>
      </c>
      <c r="AH1793" s="194" t="s">
        <v>679</v>
      </c>
      <c r="AI1793" s="6" t="s">
        <v>708</v>
      </c>
      <c r="AJ1793" s="3" t="s">
        <v>8263</v>
      </c>
      <c r="AK1793" t="s">
        <v>8263</v>
      </c>
      <c r="AV1793"/>
      <c r="AX1793"/>
      <c r="AZ1793" t="str">
        <f t="shared" si="277"/>
        <v/>
      </c>
      <c r="BA1793" t="str">
        <f t="shared" si="278"/>
        <v/>
      </c>
    </row>
    <row r="1794" spans="3:53" ht="13.5">
      <c r="C1794" s="19"/>
      <c r="D1794" s="19"/>
      <c r="AC1794" s="6" t="s">
        <v>3108</v>
      </c>
      <c r="AD1794" s="6" t="s">
        <v>7353</v>
      </c>
      <c r="AE1794" s="155" t="s">
        <v>2567</v>
      </c>
      <c r="AF1794" s="159" t="s">
        <v>8309</v>
      </c>
      <c r="AG1794" s="160" t="s">
        <v>1601</v>
      </c>
      <c r="AH1794" s="194" t="s">
        <v>679</v>
      </c>
      <c r="AI1794" s="6" t="s">
        <v>1014</v>
      </c>
      <c r="AJ1794" s="3" t="s">
        <v>8263</v>
      </c>
      <c r="AK1794" t="s">
        <v>8263</v>
      </c>
      <c r="AV1794"/>
      <c r="AX1794"/>
      <c r="AZ1794" t="str">
        <f t="shared" si="277"/>
        <v/>
      </c>
      <c r="BA1794" t="str">
        <f t="shared" si="278"/>
        <v/>
      </c>
    </row>
    <row r="1795" spans="3:53" ht="13.5">
      <c r="C1795" s="19"/>
      <c r="D1795" s="19"/>
      <c r="AC1795" s="6" t="s">
        <v>3480</v>
      </c>
      <c r="AD1795" s="6" t="s">
        <v>7383</v>
      </c>
      <c r="AE1795" s="155" t="s">
        <v>2568</v>
      </c>
      <c r="AF1795" s="159" t="s">
        <v>8312</v>
      </c>
      <c r="AG1795" s="160" t="s">
        <v>1602</v>
      </c>
      <c r="AH1795" s="194" t="s">
        <v>679</v>
      </c>
      <c r="AI1795" s="6" t="s">
        <v>718</v>
      </c>
      <c r="AJ1795" s="3" t="s">
        <v>8273</v>
      </c>
      <c r="AK1795" t="s">
        <v>8273</v>
      </c>
      <c r="AV1795"/>
      <c r="AX1795"/>
      <c r="AZ1795" t="str">
        <f t="shared" si="277"/>
        <v/>
      </c>
      <c r="BA1795" t="str">
        <f t="shared" si="278"/>
        <v/>
      </c>
    </row>
    <row r="1796" spans="3:53" ht="13.5">
      <c r="C1796" s="19"/>
      <c r="D1796" s="19"/>
      <c r="AC1796" s="6" t="s">
        <v>2882</v>
      </c>
      <c r="AD1796" s="6" t="s">
        <v>7353</v>
      </c>
      <c r="AE1796" s="155" t="s">
        <v>2569</v>
      </c>
      <c r="AF1796" s="159" t="s">
        <v>8299</v>
      </c>
      <c r="AG1796" s="160" t="s">
        <v>1603</v>
      </c>
      <c r="AH1796" s="194" t="s">
        <v>679</v>
      </c>
      <c r="AI1796" s="6" t="s">
        <v>5736</v>
      </c>
      <c r="AJ1796" s="3" t="s">
        <v>8273</v>
      </c>
      <c r="AK1796" t="s">
        <v>8273</v>
      </c>
      <c r="AV1796"/>
      <c r="AX1796"/>
      <c r="AZ1796" t="str">
        <f t="shared" si="277"/>
        <v/>
      </c>
      <c r="BA1796" t="str">
        <f t="shared" si="278"/>
        <v/>
      </c>
    </row>
    <row r="1797" spans="3:53" ht="13.5">
      <c r="C1797" s="19"/>
      <c r="D1797" s="19"/>
      <c r="AC1797" s="6" t="s">
        <v>1221</v>
      </c>
      <c r="AD1797" s="6" t="s">
        <v>7353</v>
      </c>
      <c r="AE1797" s="155" t="s">
        <v>2570</v>
      </c>
      <c r="AF1797" s="159" t="s">
        <v>8299</v>
      </c>
      <c r="AG1797" s="160" t="s">
        <v>1604</v>
      </c>
      <c r="AH1797" s="194" t="s">
        <v>679</v>
      </c>
      <c r="AI1797" s="6" t="s">
        <v>720</v>
      </c>
      <c r="AJ1797" s="3" t="s">
        <v>8273</v>
      </c>
      <c r="AK1797" t="s">
        <v>8273</v>
      </c>
      <c r="AV1797"/>
      <c r="AX1797"/>
      <c r="AZ1797" t="str">
        <f t="shared" si="277"/>
        <v/>
      </c>
      <c r="BA1797" t="str">
        <f t="shared" si="278"/>
        <v/>
      </c>
    </row>
    <row r="1798" spans="3:53" ht="13.5">
      <c r="C1798" s="19"/>
      <c r="D1798" s="19"/>
      <c r="AC1798" s="6" t="s">
        <v>3380</v>
      </c>
      <c r="AD1798" s="6" t="s">
        <v>7353</v>
      </c>
      <c r="AE1798" s="155" t="s">
        <v>2576</v>
      </c>
      <c r="AF1798" s="159" t="s">
        <v>8299</v>
      </c>
      <c r="AG1798" s="160" t="s">
        <v>1605</v>
      </c>
      <c r="AH1798" s="194" t="s">
        <v>679</v>
      </c>
      <c r="AI1798" s="6" t="s">
        <v>722</v>
      </c>
      <c r="AJ1798" s="3" t="s">
        <v>8234</v>
      </c>
      <c r="AK1798" t="s">
        <v>8234</v>
      </c>
      <c r="AV1798"/>
      <c r="AX1798"/>
      <c r="AZ1798" t="str">
        <f t="shared" si="277"/>
        <v/>
      </c>
      <c r="BA1798" t="str">
        <f t="shared" si="278"/>
        <v/>
      </c>
    </row>
    <row r="1799" spans="3:53" ht="13.5">
      <c r="C1799" s="19"/>
      <c r="D1799" s="19"/>
      <c r="AC1799" s="6" t="s">
        <v>3443</v>
      </c>
      <c r="AD1799" s="6" t="s">
        <v>7353</v>
      </c>
      <c r="AE1799" s="155" t="s">
        <v>2577</v>
      </c>
      <c r="AF1799" s="159" t="s">
        <v>8320</v>
      </c>
      <c r="AG1799" s="160" t="s">
        <v>1606</v>
      </c>
      <c r="AH1799" s="194" t="s">
        <v>679</v>
      </c>
      <c r="AI1799" s="6" t="s">
        <v>1852</v>
      </c>
      <c r="AJ1799" s="3" t="s">
        <v>8252</v>
      </c>
      <c r="AK1799" t="s">
        <v>8252</v>
      </c>
      <c r="AV1799"/>
      <c r="AX1799"/>
      <c r="AZ1799" t="str">
        <f t="shared" si="277"/>
        <v/>
      </c>
      <c r="BA1799" t="str">
        <f t="shared" si="278"/>
        <v/>
      </c>
    </row>
    <row r="1800" spans="3:53" ht="13.5">
      <c r="C1800" s="19"/>
      <c r="D1800" s="19"/>
      <c r="AC1800" s="6" t="s">
        <v>3481</v>
      </c>
      <c r="AD1800" s="6" t="s">
        <v>7384</v>
      </c>
      <c r="AE1800" s="155" t="s">
        <v>2578</v>
      </c>
      <c r="AF1800" s="159" t="s">
        <v>8299</v>
      </c>
      <c r="AG1800" s="160" t="s">
        <v>1607</v>
      </c>
      <c r="AH1800" s="194" t="s">
        <v>679</v>
      </c>
      <c r="AI1800" s="6" t="s">
        <v>1853</v>
      </c>
      <c r="AJ1800" s="3" t="s">
        <v>8222</v>
      </c>
      <c r="AK1800" t="s">
        <v>8670</v>
      </c>
      <c r="AV1800"/>
      <c r="AX1800"/>
      <c r="AZ1800" t="str">
        <f t="shared" si="277"/>
        <v/>
      </c>
      <c r="BA1800" t="str">
        <f t="shared" si="278"/>
        <v/>
      </c>
    </row>
    <row r="1801" spans="3:53" ht="13.5">
      <c r="C1801" s="19"/>
      <c r="D1801" s="19"/>
      <c r="AC1801" s="6" t="s">
        <v>3891</v>
      </c>
      <c r="AD1801" s="6" t="s">
        <v>7353</v>
      </c>
      <c r="AE1801" s="155" t="s">
        <v>2579</v>
      </c>
      <c r="AF1801" s="159" t="s">
        <v>8299</v>
      </c>
      <c r="AG1801" s="160" t="s">
        <v>1608</v>
      </c>
      <c r="AH1801" s="194" t="s">
        <v>679</v>
      </c>
      <c r="AI1801" s="6" t="s">
        <v>727</v>
      </c>
      <c r="AJ1801" s="3" t="s">
        <v>8263</v>
      </c>
      <c r="AK1801" t="s">
        <v>8263</v>
      </c>
      <c r="AV1801"/>
      <c r="AX1801"/>
      <c r="AZ1801" t="str">
        <f t="shared" si="277"/>
        <v/>
      </c>
      <c r="BA1801" t="str">
        <f t="shared" si="278"/>
        <v/>
      </c>
    </row>
    <row r="1802" spans="3:53" ht="13.5">
      <c r="C1802" s="19"/>
      <c r="D1802" s="19"/>
      <c r="AC1802" s="6" t="s">
        <v>5582</v>
      </c>
      <c r="AD1802" s="6" t="s">
        <v>7353</v>
      </c>
      <c r="AE1802" s="155" t="s">
        <v>2580</v>
      </c>
      <c r="AF1802" s="159" t="s">
        <v>8299</v>
      </c>
      <c r="AG1802" s="160" t="s">
        <v>1609</v>
      </c>
      <c r="AH1802" s="194" t="s">
        <v>679</v>
      </c>
      <c r="AI1802" s="6" t="s">
        <v>1854</v>
      </c>
      <c r="AJ1802" s="3" t="s">
        <v>8234</v>
      </c>
      <c r="AK1802" t="s">
        <v>8234</v>
      </c>
      <c r="AV1802"/>
      <c r="AX1802"/>
      <c r="AZ1802" t="str">
        <f t="shared" si="277"/>
        <v/>
      </c>
      <c r="BA1802" t="str">
        <f t="shared" si="278"/>
        <v/>
      </c>
    </row>
    <row r="1803" spans="3:53" ht="13.5">
      <c r="C1803" s="19"/>
      <c r="D1803" s="19"/>
      <c r="AC1803" s="6" t="s">
        <v>3166</v>
      </c>
      <c r="AD1803" s="6" t="s">
        <v>7353</v>
      </c>
      <c r="AE1803" s="155" t="s">
        <v>2582</v>
      </c>
      <c r="AF1803" s="159" t="s">
        <v>8299</v>
      </c>
      <c r="AG1803" s="160" t="s">
        <v>1610</v>
      </c>
      <c r="AH1803" s="194" t="s">
        <v>679</v>
      </c>
      <c r="AI1803" s="6" t="s">
        <v>1856</v>
      </c>
      <c r="AJ1803" s="3" t="s">
        <v>8222</v>
      </c>
      <c r="AK1803" t="s">
        <v>8670</v>
      </c>
      <c r="AV1803"/>
      <c r="AX1803"/>
      <c r="AZ1803" t="str">
        <f t="shared" si="277"/>
        <v/>
      </c>
      <c r="BA1803" t="str">
        <f t="shared" si="278"/>
        <v/>
      </c>
    </row>
    <row r="1804" spans="3:53" ht="13.5">
      <c r="C1804" s="19"/>
      <c r="D1804" s="19"/>
      <c r="AC1804" s="6" t="s">
        <v>3483</v>
      </c>
      <c r="AD1804" s="6" t="s">
        <v>7385</v>
      </c>
      <c r="AE1804" s="155" t="s">
        <v>2583</v>
      </c>
      <c r="AF1804" s="159" t="s">
        <v>8391</v>
      </c>
      <c r="AG1804" s="160" t="s">
        <v>1611</v>
      </c>
      <c r="AH1804" s="194" t="s">
        <v>679</v>
      </c>
      <c r="AI1804" s="6" t="s">
        <v>735</v>
      </c>
      <c r="AJ1804" s="3" t="s">
        <v>8273</v>
      </c>
      <c r="AK1804" t="s">
        <v>8273</v>
      </c>
      <c r="AV1804"/>
      <c r="AX1804"/>
      <c r="AZ1804" t="str">
        <f t="shared" si="277"/>
        <v/>
      </c>
      <c r="BA1804" t="str">
        <f t="shared" si="278"/>
        <v/>
      </c>
    </row>
    <row r="1805" spans="3:53" ht="13.5">
      <c r="C1805" s="19"/>
      <c r="D1805" s="19"/>
      <c r="AC1805" s="6" t="s">
        <v>2976</v>
      </c>
      <c r="AD1805" s="6" t="s">
        <v>7353</v>
      </c>
      <c r="AE1805" s="155" t="s">
        <v>2584</v>
      </c>
      <c r="AF1805" s="159" t="s">
        <v>8299</v>
      </c>
      <c r="AG1805" s="160" t="s">
        <v>1012</v>
      </c>
      <c r="AH1805" s="194" t="s">
        <v>679</v>
      </c>
      <c r="AI1805" s="6" t="s">
        <v>1874</v>
      </c>
      <c r="AJ1805" s="3" t="s">
        <v>8234</v>
      </c>
      <c r="AK1805" t="s">
        <v>8234</v>
      </c>
      <c r="AV1805"/>
      <c r="AX1805"/>
      <c r="AZ1805" t="str">
        <f t="shared" si="277"/>
        <v/>
      </c>
      <c r="BA1805" t="str">
        <f t="shared" si="278"/>
        <v/>
      </c>
    </row>
    <row r="1806" spans="3:53" ht="13.5">
      <c r="C1806" s="19"/>
      <c r="D1806" s="19"/>
      <c r="AC1806" s="6" t="s">
        <v>3102</v>
      </c>
      <c r="AD1806" s="6" t="s">
        <v>7353</v>
      </c>
      <c r="AE1806" s="155" t="s">
        <v>2585</v>
      </c>
      <c r="AF1806" s="159" t="s">
        <v>8299</v>
      </c>
      <c r="AG1806" s="160" t="s">
        <v>1612</v>
      </c>
      <c r="AH1806" s="194" t="s">
        <v>679</v>
      </c>
      <c r="AI1806" s="6" t="s">
        <v>759</v>
      </c>
      <c r="AJ1806" s="3" t="s">
        <v>8263</v>
      </c>
      <c r="AK1806" t="s">
        <v>8263</v>
      </c>
      <c r="AV1806"/>
      <c r="AX1806"/>
      <c r="AZ1806" t="str">
        <f t="shared" si="277"/>
        <v/>
      </c>
      <c r="BA1806" t="str">
        <f t="shared" si="278"/>
        <v/>
      </c>
    </row>
    <row r="1807" spans="3:53" ht="13.5">
      <c r="C1807" s="19"/>
      <c r="D1807" s="19"/>
      <c r="AC1807" s="6" t="s">
        <v>3207</v>
      </c>
      <c r="AD1807" s="6" t="s">
        <v>7353</v>
      </c>
      <c r="AE1807" s="155" t="s">
        <v>2586</v>
      </c>
      <c r="AF1807" s="159" t="s">
        <v>8297</v>
      </c>
      <c r="AG1807" s="160" t="s">
        <v>1613</v>
      </c>
      <c r="AH1807" s="194" t="s">
        <v>679</v>
      </c>
      <c r="AI1807" s="6" t="s">
        <v>771</v>
      </c>
      <c r="AJ1807" s="3" t="s">
        <v>8263</v>
      </c>
      <c r="AK1807" t="s">
        <v>8263</v>
      </c>
      <c r="AV1807"/>
      <c r="AX1807"/>
      <c r="AZ1807" t="str">
        <f t="shared" si="277"/>
        <v/>
      </c>
      <c r="BA1807" t="str">
        <f t="shared" si="278"/>
        <v/>
      </c>
    </row>
    <row r="1808" spans="3:53" ht="13.5">
      <c r="C1808" s="19"/>
      <c r="D1808" s="19"/>
      <c r="AC1808" s="6" t="s">
        <v>3245</v>
      </c>
      <c r="AD1808" s="6" t="s">
        <v>7353</v>
      </c>
      <c r="AE1808" s="155" t="s">
        <v>2587</v>
      </c>
      <c r="AF1808" s="159" t="s">
        <v>8309</v>
      </c>
      <c r="AG1808" s="160" t="s">
        <v>4441</v>
      </c>
      <c r="AH1808" s="194" t="s">
        <v>679</v>
      </c>
      <c r="AI1808" s="6" t="s">
        <v>779</v>
      </c>
      <c r="AJ1808" s="3" t="s">
        <v>8263</v>
      </c>
      <c r="AK1808" t="s">
        <v>8263</v>
      </c>
      <c r="AV1808"/>
      <c r="AX1808"/>
      <c r="AZ1808" t="str">
        <f t="shared" si="277"/>
        <v/>
      </c>
      <c r="BA1808" t="str">
        <f t="shared" si="278"/>
        <v/>
      </c>
    </row>
    <row r="1809" spans="3:53" ht="13.5">
      <c r="C1809" s="19"/>
      <c r="D1809" s="19"/>
      <c r="AC1809" s="6" t="s">
        <v>3131</v>
      </c>
      <c r="AD1809" s="6" t="s">
        <v>7353</v>
      </c>
      <c r="AE1809" s="155" t="s">
        <v>2589</v>
      </c>
      <c r="AF1809" s="159" t="s">
        <v>8299</v>
      </c>
      <c r="AG1809" s="160" t="s">
        <v>5363</v>
      </c>
      <c r="AH1809" s="194" t="s">
        <v>679</v>
      </c>
      <c r="AI1809" s="6" t="s">
        <v>788</v>
      </c>
      <c r="AJ1809" s="3" t="s">
        <v>8273</v>
      </c>
      <c r="AK1809" t="s">
        <v>8273</v>
      </c>
      <c r="AV1809"/>
      <c r="AX1809"/>
      <c r="AZ1809" t="str">
        <f t="shared" si="277"/>
        <v/>
      </c>
      <c r="BA1809" t="str">
        <f t="shared" si="278"/>
        <v/>
      </c>
    </row>
    <row r="1810" spans="3:53" ht="13.5">
      <c r="C1810" s="19"/>
      <c r="D1810" s="19"/>
      <c r="AC1810" s="6" t="s">
        <v>3265</v>
      </c>
      <c r="AD1810" s="6" t="s">
        <v>7386</v>
      </c>
      <c r="AE1810" s="155" t="s">
        <v>2590</v>
      </c>
      <c r="AF1810" s="159" t="s">
        <v>8299</v>
      </c>
      <c r="AG1810" s="160" t="s">
        <v>5364</v>
      </c>
      <c r="AH1810" s="194" t="s">
        <v>679</v>
      </c>
      <c r="AI1810" s="6" t="s">
        <v>790</v>
      </c>
      <c r="AJ1810" s="3" t="s">
        <v>8273</v>
      </c>
      <c r="AK1810" t="s">
        <v>8273</v>
      </c>
      <c r="AV1810"/>
      <c r="AX1810"/>
      <c r="AZ1810" t="str">
        <f t="shared" si="277"/>
        <v/>
      </c>
      <c r="BA1810" t="str">
        <f t="shared" si="278"/>
        <v/>
      </c>
    </row>
    <row r="1811" spans="3:53" ht="13.5">
      <c r="C1811" s="19"/>
      <c r="D1811" s="19"/>
      <c r="AC1811" s="6" t="s">
        <v>3495</v>
      </c>
      <c r="AD1811" s="6" t="s">
        <v>7387</v>
      </c>
      <c r="AE1811" s="155" t="s">
        <v>2591</v>
      </c>
      <c r="AF1811" s="159" t="s">
        <v>8299</v>
      </c>
      <c r="AG1811" s="160" t="s">
        <v>5365</v>
      </c>
      <c r="AH1811" s="194" t="s">
        <v>679</v>
      </c>
      <c r="AI1811" s="6" t="s">
        <v>794</v>
      </c>
      <c r="AJ1811" s="3" t="s">
        <v>8234</v>
      </c>
      <c r="AK1811" t="s">
        <v>8234</v>
      </c>
      <c r="AV1811"/>
      <c r="AX1811"/>
      <c r="AZ1811" t="str">
        <f t="shared" si="277"/>
        <v/>
      </c>
      <c r="BA1811" t="str">
        <f t="shared" si="278"/>
        <v/>
      </c>
    </row>
    <row r="1812" spans="3:53" ht="13.5">
      <c r="C1812" s="19"/>
      <c r="D1812" s="19"/>
      <c r="AC1812" s="6" t="s">
        <v>3149</v>
      </c>
      <c r="AD1812" s="6" t="s">
        <v>7353</v>
      </c>
      <c r="AE1812" s="155" t="s">
        <v>2594</v>
      </c>
      <c r="AF1812" s="159" t="s">
        <v>8320</v>
      </c>
      <c r="AG1812" s="160" t="s">
        <v>5366</v>
      </c>
      <c r="AH1812" s="194" t="s">
        <v>679</v>
      </c>
      <c r="AI1812" s="6" t="s">
        <v>803</v>
      </c>
      <c r="AJ1812" s="3" t="s">
        <v>8273</v>
      </c>
      <c r="AK1812" t="s">
        <v>8273</v>
      </c>
      <c r="AV1812"/>
      <c r="AX1812"/>
      <c r="AZ1812" t="str">
        <f t="shared" si="277"/>
        <v/>
      </c>
      <c r="BA1812" t="str">
        <f t="shared" si="278"/>
        <v/>
      </c>
    </row>
    <row r="1813" spans="3:53" ht="13.5">
      <c r="C1813" s="19"/>
      <c r="D1813" s="19"/>
      <c r="AC1813" s="6" t="s">
        <v>5585</v>
      </c>
      <c r="AD1813" s="6" t="s">
        <v>7353</v>
      </c>
      <c r="AE1813" s="155" t="s">
        <v>2595</v>
      </c>
      <c r="AF1813" s="159" t="s">
        <v>8299</v>
      </c>
      <c r="AG1813" s="160" t="s">
        <v>5367</v>
      </c>
      <c r="AH1813" s="194" t="s">
        <v>679</v>
      </c>
      <c r="AI1813" s="6" t="s">
        <v>805</v>
      </c>
      <c r="AJ1813" s="3" t="s">
        <v>8263</v>
      </c>
      <c r="AK1813" t="s">
        <v>8263</v>
      </c>
      <c r="AV1813"/>
      <c r="AX1813"/>
      <c r="AZ1813" t="str">
        <f t="shared" si="277"/>
        <v/>
      </c>
      <c r="BA1813" t="str">
        <f t="shared" si="278"/>
        <v/>
      </c>
    </row>
    <row r="1814" spans="3:53" ht="13.5">
      <c r="C1814" s="19"/>
      <c r="D1814" s="19"/>
      <c r="AC1814" s="6" t="s">
        <v>5586</v>
      </c>
      <c r="AD1814" s="6" t="s">
        <v>7353</v>
      </c>
      <c r="AE1814" s="155" t="s">
        <v>2596</v>
      </c>
      <c r="AF1814" s="159" t="s">
        <v>8309</v>
      </c>
      <c r="AG1814" s="160" t="s">
        <v>2483</v>
      </c>
      <c r="AH1814" s="194" t="s">
        <v>1314</v>
      </c>
      <c r="AI1814" s="6" t="s">
        <v>807</v>
      </c>
      <c r="AJ1814" s="3" t="s">
        <v>8273</v>
      </c>
      <c r="AK1814" t="s">
        <v>8273</v>
      </c>
      <c r="AV1814"/>
      <c r="AX1814"/>
      <c r="AZ1814" t="str">
        <f t="shared" si="277"/>
        <v/>
      </c>
      <c r="BA1814" t="str">
        <f t="shared" si="278"/>
        <v/>
      </c>
    </row>
    <row r="1815" spans="3:53" ht="13.5">
      <c r="C1815" s="19"/>
      <c r="D1815" s="19"/>
      <c r="AC1815" s="6" t="s">
        <v>5587</v>
      </c>
      <c r="AD1815" s="6" t="s">
        <v>7353</v>
      </c>
      <c r="AE1815" s="155" t="s">
        <v>2597</v>
      </c>
      <c r="AF1815" s="159" t="s">
        <v>8311</v>
      </c>
      <c r="AG1815" s="160" t="s">
        <v>3837</v>
      </c>
      <c r="AH1815" s="194" t="s">
        <v>679</v>
      </c>
      <c r="AI1815" s="6" t="s">
        <v>1935</v>
      </c>
      <c r="AJ1815" s="3" t="s">
        <v>8234</v>
      </c>
      <c r="AK1815" t="s">
        <v>8234</v>
      </c>
      <c r="AV1815"/>
      <c r="AX1815"/>
      <c r="AZ1815" t="str">
        <f t="shared" si="277"/>
        <v/>
      </c>
      <c r="BA1815" t="str">
        <f t="shared" si="278"/>
        <v/>
      </c>
    </row>
    <row r="1816" spans="3:53" ht="13.5">
      <c r="C1816" s="19"/>
      <c r="D1816" s="19"/>
      <c r="AC1816" s="6" t="s">
        <v>5588</v>
      </c>
      <c r="AD1816" s="6" t="s">
        <v>7353</v>
      </c>
      <c r="AE1816" s="155" t="s">
        <v>2598</v>
      </c>
      <c r="AF1816" s="159" t="s">
        <v>8299</v>
      </c>
      <c r="AG1816" s="160" t="s">
        <v>2532</v>
      </c>
      <c r="AH1816" s="194" t="s">
        <v>679</v>
      </c>
      <c r="AI1816" s="6" t="s">
        <v>1938</v>
      </c>
      <c r="AJ1816" s="3" t="s">
        <v>8234</v>
      </c>
      <c r="AK1816" t="s">
        <v>8234</v>
      </c>
      <c r="AV1816"/>
      <c r="AX1816"/>
      <c r="AZ1816" t="str">
        <f t="shared" si="277"/>
        <v/>
      </c>
      <c r="BA1816" t="str">
        <f t="shared" si="278"/>
        <v/>
      </c>
    </row>
    <row r="1817" spans="3:53" ht="13.5">
      <c r="C1817" s="19"/>
      <c r="D1817" s="19"/>
      <c r="AC1817" s="6" t="s">
        <v>5589</v>
      </c>
      <c r="AD1817" s="6" t="s">
        <v>7353</v>
      </c>
      <c r="AE1817" s="155" t="s">
        <v>2599</v>
      </c>
      <c r="AF1817" s="159" t="s">
        <v>8299</v>
      </c>
      <c r="AG1817" s="160" t="s">
        <v>2545</v>
      </c>
      <c r="AH1817" s="194" t="s">
        <v>1314</v>
      </c>
      <c r="AI1817" s="6" t="s">
        <v>815</v>
      </c>
      <c r="AJ1817" s="3" t="s">
        <v>8234</v>
      </c>
      <c r="AK1817" t="s">
        <v>8234</v>
      </c>
      <c r="AV1817"/>
      <c r="AX1817"/>
      <c r="AZ1817" t="str">
        <f t="shared" si="277"/>
        <v/>
      </c>
      <c r="BA1817" t="str">
        <f t="shared" si="278"/>
        <v/>
      </c>
    </row>
    <row r="1818" spans="3:53" ht="13.5">
      <c r="C1818" s="19"/>
      <c r="D1818" s="19"/>
      <c r="AC1818" s="6" t="s">
        <v>3003</v>
      </c>
      <c r="AD1818" s="6" t="s">
        <v>7353</v>
      </c>
      <c r="AE1818" s="155" t="s">
        <v>2600</v>
      </c>
      <c r="AF1818" s="159" t="s">
        <v>8299</v>
      </c>
      <c r="AG1818" s="160" t="s">
        <v>2582</v>
      </c>
      <c r="AH1818" s="194" t="s">
        <v>679</v>
      </c>
      <c r="AI1818" s="6" t="s">
        <v>817</v>
      </c>
      <c r="AJ1818" s="3" t="s">
        <v>8234</v>
      </c>
      <c r="AK1818" t="s">
        <v>8234</v>
      </c>
      <c r="AV1818"/>
      <c r="AX1818"/>
      <c r="AZ1818" t="str">
        <f t="shared" si="277"/>
        <v/>
      </c>
      <c r="BA1818" t="str">
        <f t="shared" si="278"/>
        <v/>
      </c>
    </row>
    <row r="1819" spans="3:53" ht="13.5">
      <c r="C1819" s="19"/>
      <c r="D1819" s="19"/>
      <c r="AC1819" s="6" t="s">
        <v>3489</v>
      </c>
      <c r="AD1819" s="6" t="s">
        <v>7388</v>
      </c>
      <c r="AE1819" s="155" t="s">
        <v>2601</v>
      </c>
      <c r="AF1819" s="159" t="s">
        <v>8297</v>
      </c>
      <c r="AG1819" s="160" t="s">
        <v>2604</v>
      </c>
      <c r="AH1819" s="194" t="s">
        <v>1314</v>
      </c>
      <c r="AI1819" s="6" t="s">
        <v>1943</v>
      </c>
      <c r="AJ1819" s="3" t="s">
        <v>8234</v>
      </c>
      <c r="AK1819" t="s">
        <v>8234</v>
      </c>
      <c r="AV1819"/>
      <c r="AX1819"/>
      <c r="AZ1819" t="str">
        <f t="shared" si="277"/>
        <v/>
      </c>
      <c r="BA1819" t="str">
        <f t="shared" si="278"/>
        <v/>
      </c>
    </row>
    <row r="1820" spans="3:53" ht="13.5">
      <c r="C1820" s="19"/>
      <c r="D1820" s="19"/>
      <c r="AC1820" s="6" t="s">
        <v>3488</v>
      </c>
      <c r="AD1820" s="6" t="s">
        <v>7389</v>
      </c>
      <c r="AE1820" s="155" t="s">
        <v>2602</v>
      </c>
      <c r="AF1820" s="159" t="s">
        <v>8299</v>
      </c>
      <c r="AG1820" s="160" t="s">
        <v>2605</v>
      </c>
      <c r="AH1820" s="194" t="s">
        <v>1314</v>
      </c>
      <c r="AI1820" s="6" t="s">
        <v>819</v>
      </c>
      <c r="AJ1820" s="3" t="s">
        <v>8273</v>
      </c>
      <c r="AK1820" t="s">
        <v>8273</v>
      </c>
      <c r="AV1820"/>
      <c r="AX1820"/>
      <c r="AZ1820" t="str">
        <f t="shared" si="277"/>
        <v/>
      </c>
      <c r="BA1820" t="str">
        <f t="shared" si="278"/>
        <v/>
      </c>
    </row>
    <row r="1821" spans="3:53" ht="13.5">
      <c r="C1821" s="19"/>
      <c r="D1821" s="19"/>
      <c r="AC1821" s="6" t="s">
        <v>3508</v>
      </c>
      <c r="AD1821" s="6" t="s">
        <v>7390</v>
      </c>
      <c r="AE1821" s="155" t="s">
        <v>2603</v>
      </c>
      <c r="AF1821" s="159" t="s">
        <v>8299</v>
      </c>
      <c r="AG1821" s="160" t="s">
        <v>2631</v>
      </c>
      <c r="AH1821" s="194" t="s">
        <v>1314</v>
      </c>
      <c r="AI1821" s="6" t="s">
        <v>822</v>
      </c>
      <c r="AJ1821" s="3" t="s">
        <v>8263</v>
      </c>
      <c r="AK1821" t="s">
        <v>8263</v>
      </c>
      <c r="AV1821"/>
      <c r="AX1821"/>
      <c r="AZ1821" t="str">
        <f t="shared" si="277"/>
        <v/>
      </c>
      <c r="BA1821" t="str">
        <f t="shared" si="278"/>
        <v/>
      </c>
    </row>
    <row r="1822" spans="3:53" ht="13.5">
      <c r="C1822" s="19"/>
      <c r="D1822" s="19"/>
      <c r="AC1822" s="6" t="s">
        <v>3284</v>
      </c>
      <c r="AD1822" s="6" t="s">
        <v>7353</v>
      </c>
      <c r="AE1822" s="155" t="s">
        <v>2605</v>
      </c>
      <c r="AF1822" s="159" t="s">
        <v>8299</v>
      </c>
      <c r="AG1822" s="160" t="s">
        <v>5087</v>
      </c>
      <c r="AH1822" s="194" t="s">
        <v>679</v>
      </c>
      <c r="AI1822" s="6" t="s">
        <v>823</v>
      </c>
      <c r="AJ1822" s="3" t="s">
        <v>8263</v>
      </c>
      <c r="AK1822" t="s">
        <v>8263</v>
      </c>
      <c r="AV1822"/>
      <c r="AX1822"/>
      <c r="AZ1822" t="str">
        <f t="shared" si="277"/>
        <v/>
      </c>
      <c r="BA1822" t="str">
        <f t="shared" si="278"/>
        <v/>
      </c>
    </row>
    <row r="1823" spans="3:53" ht="13.5">
      <c r="C1823" s="19"/>
      <c r="D1823" s="19"/>
      <c r="AC1823" s="6" t="s">
        <v>3197</v>
      </c>
      <c r="AD1823" s="6" t="s">
        <v>7353</v>
      </c>
      <c r="AE1823" s="155" t="s">
        <v>2606</v>
      </c>
      <c r="AF1823" s="159" t="s">
        <v>8311</v>
      </c>
      <c r="AG1823" s="160" t="s">
        <v>5043</v>
      </c>
      <c r="AH1823" s="194" t="s">
        <v>679</v>
      </c>
      <c r="AI1823" s="6" t="s">
        <v>824</v>
      </c>
      <c r="AJ1823" s="3" t="s">
        <v>8263</v>
      </c>
      <c r="AK1823" t="s">
        <v>8263</v>
      </c>
      <c r="AV1823"/>
      <c r="AX1823"/>
      <c r="AZ1823" t="str">
        <f t="shared" si="277"/>
        <v/>
      </c>
      <c r="BA1823" t="str">
        <f t="shared" si="278"/>
        <v/>
      </c>
    </row>
    <row r="1824" spans="3:53" ht="13.5">
      <c r="C1824" s="19"/>
      <c r="D1824" s="19"/>
      <c r="AC1824" s="6" t="s">
        <v>3118</v>
      </c>
      <c r="AD1824" s="6" t="s">
        <v>7353</v>
      </c>
      <c r="AE1824" s="155" t="s">
        <v>2607</v>
      </c>
      <c r="AF1824" s="159" t="s">
        <v>8299</v>
      </c>
      <c r="AG1824" s="160" t="s">
        <v>3404</v>
      </c>
      <c r="AH1824" s="194" t="s">
        <v>678</v>
      </c>
      <c r="AI1824" s="6" t="s">
        <v>825</v>
      </c>
      <c r="AJ1824" s="3" t="s">
        <v>8263</v>
      </c>
      <c r="AK1824" t="s">
        <v>8263</v>
      </c>
      <c r="AV1824"/>
      <c r="AX1824"/>
      <c r="AZ1824" t="str">
        <f t="shared" si="277"/>
        <v/>
      </c>
      <c r="BA1824" t="str">
        <f t="shared" si="278"/>
        <v/>
      </c>
    </row>
    <row r="1825" spans="3:53" ht="13.5">
      <c r="C1825" s="19"/>
      <c r="D1825" s="19"/>
      <c r="AC1825" s="6" t="s">
        <v>3513</v>
      </c>
      <c r="AD1825" s="6" t="s">
        <v>7391</v>
      </c>
      <c r="AE1825" s="155" t="s">
        <v>2610</v>
      </c>
      <c r="AF1825" s="159" t="s">
        <v>8299</v>
      </c>
      <c r="AG1825" s="160" t="s">
        <v>3405</v>
      </c>
      <c r="AH1825" s="194" t="s">
        <v>678</v>
      </c>
      <c r="AI1825" s="6" t="s">
        <v>826</v>
      </c>
      <c r="AJ1825" s="3" t="s">
        <v>8263</v>
      </c>
      <c r="AK1825" t="s">
        <v>8263</v>
      </c>
      <c r="AV1825"/>
      <c r="AX1825"/>
      <c r="AZ1825" t="str">
        <f t="shared" si="277"/>
        <v/>
      </c>
      <c r="BA1825" t="str">
        <f t="shared" si="278"/>
        <v/>
      </c>
    </row>
    <row r="1826" spans="3:53" ht="13.5">
      <c r="C1826" s="19"/>
      <c r="D1826" s="19"/>
      <c r="AC1826" s="6" t="s">
        <v>2998</v>
      </c>
      <c r="AD1826" s="6" t="s">
        <v>7353</v>
      </c>
      <c r="AE1826" s="155" t="s">
        <v>2611</v>
      </c>
      <c r="AF1826" s="159" t="s">
        <v>8299</v>
      </c>
      <c r="AG1826" s="160" t="s">
        <v>3406</v>
      </c>
      <c r="AH1826" s="194" t="s">
        <v>679</v>
      </c>
      <c r="AI1826" s="6" t="s">
        <v>827</v>
      </c>
      <c r="AJ1826" s="3" t="s">
        <v>8263</v>
      </c>
      <c r="AK1826" t="s">
        <v>8263</v>
      </c>
      <c r="AV1826"/>
      <c r="AX1826"/>
      <c r="AZ1826" t="str">
        <f t="shared" si="277"/>
        <v/>
      </c>
      <c r="BA1826" t="str">
        <f t="shared" si="278"/>
        <v/>
      </c>
    </row>
    <row r="1827" spans="3:53" ht="13.5">
      <c r="C1827" s="19"/>
      <c r="D1827" s="19"/>
      <c r="AC1827" s="6" t="s">
        <v>2922</v>
      </c>
      <c r="AD1827" s="6" t="s">
        <v>7353</v>
      </c>
      <c r="AE1827" s="155" t="s">
        <v>2612</v>
      </c>
      <c r="AF1827" s="159" t="s">
        <v>8299</v>
      </c>
      <c r="AG1827" s="160" t="s">
        <v>3407</v>
      </c>
      <c r="AH1827" s="194" t="s">
        <v>679</v>
      </c>
      <c r="AI1827" s="6" t="s">
        <v>828</v>
      </c>
      <c r="AJ1827" s="3" t="s">
        <v>8273</v>
      </c>
      <c r="AK1827" t="s">
        <v>8273</v>
      </c>
      <c r="AV1827"/>
      <c r="AX1827"/>
      <c r="AZ1827" t="str">
        <f t="shared" si="277"/>
        <v/>
      </c>
      <c r="BA1827" t="str">
        <f t="shared" si="278"/>
        <v/>
      </c>
    </row>
    <row r="1828" spans="3:53" ht="13.5">
      <c r="C1828" s="19"/>
      <c r="D1828" s="19"/>
      <c r="AC1828" s="6" t="s">
        <v>2879</v>
      </c>
      <c r="AD1828" s="6" t="s">
        <v>7353</v>
      </c>
      <c r="AE1828" s="155" t="s">
        <v>2613</v>
      </c>
      <c r="AF1828" s="159" t="s">
        <v>8299</v>
      </c>
      <c r="AG1828" s="160" t="s">
        <v>2199</v>
      </c>
      <c r="AH1828" s="194" t="s">
        <v>1314</v>
      </c>
      <c r="AI1828" s="6" t="s">
        <v>835</v>
      </c>
      <c r="AJ1828" s="3" t="s">
        <v>8273</v>
      </c>
      <c r="AK1828" t="s">
        <v>8273</v>
      </c>
      <c r="AV1828"/>
      <c r="AX1828"/>
      <c r="AZ1828" t="str">
        <f t="shared" si="277"/>
        <v/>
      </c>
      <c r="BA1828" t="str">
        <f t="shared" si="278"/>
        <v/>
      </c>
    </row>
    <row r="1829" spans="3:53" ht="13.5">
      <c r="C1829" s="19"/>
      <c r="D1829" s="19"/>
      <c r="AC1829" s="6" t="s">
        <v>2966</v>
      </c>
      <c r="AD1829" s="6" t="s">
        <v>7353</v>
      </c>
      <c r="AE1829" s="155" t="s">
        <v>2614</v>
      </c>
      <c r="AF1829" s="159" t="s">
        <v>8299</v>
      </c>
      <c r="AG1829" s="160" t="s">
        <v>1416</v>
      </c>
      <c r="AH1829" s="194" t="s">
        <v>678</v>
      </c>
      <c r="AI1829" s="6" t="s">
        <v>837</v>
      </c>
      <c r="AJ1829" s="3" t="s">
        <v>8273</v>
      </c>
      <c r="AK1829" t="s">
        <v>8273</v>
      </c>
      <c r="AV1829"/>
      <c r="AX1829"/>
      <c r="AZ1829" t="str">
        <f t="shared" si="277"/>
        <v/>
      </c>
      <c r="BA1829" t="str">
        <f t="shared" si="278"/>
        <v/>
      </c>
    </row>
    <row r="1830" spans="3:53" ht="13.5">
      <c r="C1830" s="19"/>
      <c r="D1830" s="19"/>
      <c r="AC1830" s="6" t="s">
        <v>2986</v>
      </c>
      <c r="AD1830" s="6" t="s">
        <v>7353</v>
      </c>
      <c r="AE1830" s="155" t="s">
        <v>2617</v>
      </c>
      <c r="AF1830" s="159" t="s">
        <v>8299</v>
      </c>
      <c r="AG1830" s="161" t="s">
        <v>1417</v>
      </c>
      <c r="AH1830" s="194" t="s">
        <v>678</v>
      </c>
      <c r="AI1830" s="6" t="s">
        <v>838</v>
      </c>
      <c r="AJ1830" s="3" t="s">
        <v>8263</v>
      </c>
      <c r="AK1830" t="s">
        <v>8263</v>
      </c>
      <c r="AV1830"/>
      <c r="AX1830"/>
      <c r="AZ1830" t="str">
        <f t="shared" si="277"/>
        <v/>
      </c>
      <c r="BA1830" t="str">
        <f t="shared" si="278"/>
        <v/>
      </c>
    </row>
    <row r="1831" spans="3:53" ht="13.5">
      <c r="C1831" s="19"/>
      <c r="D1831" s="19"/>
      <c r="AC1831" s="6" t="s">
        <v>5313</v>
      </c>
      <c r="AD1831" s="6" t="s">
        <v>7353</v>
      </c>
      <c r="AE1831" s="155" t="s">
        <v>2618</v>
      </c>
      <c r="AF1831" s="159" t="s">
        <v>8297</v>
      </c>
      <c r="AG1831" s="160" t="s">
        <v>171</v>
      </c>
      <c r="AH1831" s="194" t="s">
        <v>678</v>
      </c>
      <c r="AI1831" s="6" t="s">
        <v>5374</v>
      </c>
      <c r="AJ1831" s="3" t="s">
        <v>8263</v>
      </c>
      <c r="AK1831" t="s">
        <v>8263</v>
      </c>
      <c r="AV1831"/>
      <c r="AX1831"/>
      <c r="AZ1831" t="str">
        <f t="shared" si="277"/>
        <v/>
      </c>
      <c r="BA1831" t="str">
        <f t="shared" si="278"/>
        <v/>
      </c>
    </row>
    <row r="1832" spans="3:53" ht="13.5">
      <c r="C1832" s="19"/>
      <c r="D1832" s="19"/>
      <c r="AC1832" s="6" t="s">
        <v>3504</v>
      </c>
      <c r="AD1832" s="6" t="s">
        <v>7392</v>
      </c>
      <c r="AE1832" s="155" t="s">
        <v>2619</v>
      </c>
      <c r="AF1832" s="159" t="s">
        <v>8299</v>
      </c>
      <c r="AG1832" s="160" t="s">
        <v>1418</v>
      </c>
      <c r="AH1832" s="194" t="s">
        <v>678</v>
      </c>
      <c r="AI1832" s="6" t="s">
        <v>842</v>
      </c>
      <c r="AJ1832" s="3" t="s">
        <v>8234</v>
      </c>
      <c r="AK1832" t="s">
        <v>8234</v>
      </c>
      <c r="AV1832"/>
      <c r="AX1832"/>
      <c r="AZ1832" t="str">
        <f t="shared" si="277"/>
        <v/>
      </c>
      <c r="BA1832" t="str">
        <f t="shared" si="278"/>
        <v/>
      </c>
    </row>
    <row r="1833" spans="3:53" ht="13.5">
      <c r="C1833" s="19"/>
      <c r="D1833" s="19"/>
      <c r="AC1833" s="6" t="s">
        <v>3519</v>
      </c>
      <c r="AD1833" s="6" t="s">
        <v>7393</v>
      </c>
      <c r="AE1833" s="155" t="s">
        <v>2620</v>
      </c>
      <c r="AF1833" s="159" t="s">
        <v>8299</v>
      </c>
      <c r="AG1833" s="160" t="s">
        <v>1468</v>
      </c>
      <c r="AH1833" s="194" t="s">
        <v>678</v>
      </c>
      <c r="AI1833" s="6" t="s">
        <v>845</v>
      </c>
      <c r="AJ1833" s="3" t="s">
        <v>8263</v>
      </c>
      <c r="AK1833" t="s">
        <v>8263</v>
      </c>
      <c r="AV1833"/>
      <c r="AX1833"/>
      <c r="AZ1833" t="str">
        <f t="shared" si="277"/>
        <v/>
      </c>
      <c r="BA1833" t="str">
        <f t="shared" si="278"/>
        <v/>
      </c>
    </row>
    <row r="1834" spans="3:53" ht="13.5">
      <c r="C1834" s="19"/>
      <c r="D1834" s="19"/>
      <c r="AC1834" s="6" t="s">
        <v>3304</v>
      </c>
      <c r="AD1834" s="6" t="s">
        <v>7353</v>
      </c>
      <c r="AE1834" s="155">
        <v>246045</v>
      </c>
      <c r="AF1834" s="159" t="s">
        <v>8309</v>
      </c>
      <c r="AG1834" s="160" t="s">
        <v>1469</v>
      </c>
      <c r="AH1834" s="194" t="s">
        <v>678</v>
      </c>
      <c r="AI1834" s="6" t="s">
        <v>846</v>
      </c>
      <c r="AJ1834" s="3" t="s">
        <v>8273</v>
      </c>
      <c r="AK1834" t="s">
        <v>8273</v>
      </c>
      <c r="AV1834"/>
      <c r="AX1834"/>
      <c r="AZ1834" t="str">
        <f t="shared" si="277"/>
        <v/>
      </c>
      <c r="BA1834" t="str">
        <f t="shared" si="278"/>
        <v/>
      </c>
    </row>
    <row r="1835" spans="3:53" ht="13.5">
      <c r="C1835" s="19"/>
      <c r="D1835" s="19"/>
      <c r="AC1835" s="6" t="s">
        <v>3514</v>
      </c>
      <c r="AD1835" s="6" t="s">
        <v>7394</v>
      </c>
      <c r="AE1835" s="155" t="s">
        <v>2621</v>
      </c>
      <c r="AF1835" s="159" t="s">
        <v>8299</v>
      </c>
      <c r="AG1835" s="160" t="s">
        <v>1475</v>
      </c>
      <c r="AH1835" s="194" t="s">
        <v>679</v>
      </c>
      <c r="AI1835" s="6" t="s">
        <v>847</v>
      </c>
      <c r="AJ1835" s="3" t="s">
        <v>8234</v>
      </c>
      <c r="AK1835" t="s">
        <v>8234</v>
      </c>
      <c r="AV1835"/>
      <c r="AX1835"/>
      <c r="AZ1835" t="str">
        <f t="shared" si="277"/>
        <v/>
      </c>
      <c r="BA1835" t="str">
        <f t="shared" si="278"/>
        <v/>
      </c>
    </row>
    <row r="1836" spans="3:53" ht="13.5">
      <c r="C1836" s="19"/>
      <c r="D1836" s="19"/>
      <c r="AC1836" s="6" t="s">
        <v>1277</v>
      </c>
      <c r="AD1836" s="6" t="s">
        <v>7345</v>
      </c>
      <c r="AE1836" s="155" t="s">
        <v>2622</v>
      </c>
      <c r="AF1836" s="159" t="s">
        <v>8299</v>
      </c>
      <c r="AG1836" s="160" t="s">
        <v>1476</v>
      </c>
      <c r="AH1836" s="194" t="s">
        <v>679</v>
      </c>
      <c r="AI1836" s="6" t="s">
        <v>848</v>
      </c>
      <c r="AJ1836" s="3" t="s">
        <v>8263</v>
      </c>
      <c r="AK1836" t="s">
        <v>8263</v>
      </c>
      <c r="AV1836"/>
      <c r="AX1836"/>
      <c r="AZ1836" t="str">
        <f t="shared" si="277"/>
        <v/>
      </c>
      <c r="BA1836" t="str">
        <f t="shared" si="278"/>
        <v/>
      </c>
    </row>
    <row r="1837" spans="3:53" ht="13.5">
      <c r="C1837" s="19"/>
      <c r="D1837" s="19"/>
      <c r="AC1837" s="6" t="s">
        <v>2867</v>
      </c>
      <c r="AD1837" s="6" t="s">
        <v>7353</v>
      </c>
      <c r="AE1837" s="155" t="s">
        <v>2623</v>
      </c>
      <c r="AF1837" s="159" t="s">
        <v>8299</v>
      </c>
      <c r="AG1837" s="160" t="s">
        <v>1013</v>
      </c>
      <c r="AH1837" s="194" t="s">
        <v>679</v>
      </c>
      <c r="AI1837" s="6" t="s">
        <v>849</v>
      </c>
      <c r="AJ1837" s="3" t="s">
        <v>8273</v>
      </c>
      <c r="AK1837" t="s">
        <v>8273</v>
      </c>
      <c r="AV1837"/>
      <c r="AX1837"/>
      <c r="AZ1837" t="str">
        <f t="shared" si="277"/>
        <v/>
      </c>
      <c r="BA1837" t="str">
        <f t="shared" si="278"/>
        <v/>
      </c>
    </row>
    <row r="1838" spans="3:53" ht="13.5">
      <c r="C1838" s="19"/>
      <c r="D1838" s="19"/>
      <c r="AC1838" s="6" t="s">
        <v>5382</v>
      </c>
      <c r="AD1838" s="6" t="s">
        <v>7353</v>
      </c>
      <c r="AE1838" s="155" t="s">
        <v>2624</v>
      </c>
      <c r="AF1838" s="159" t="s">
        <v>8299</v>
      </c>
      <c r="AG1838" s="160" t="s">
        <v>1482</v>
      </c>
      <c r="AH1838" s="194" t="s">
        <v>679</v>
      </c>
      <c r="AI1838" s="6" t="s">
        <v>850</v>
      </c>
      <c r="AJ1838" s="3" t="s">
        <v>8263</v>
      </c>
      <c r="AK1838" t="s">
        <v>8263</v>
      </c>
      <c r="AV1838"/>
      <c r="AX1838"/>
      <c r="AZ1838" t="str">
        <f t="shared" si="277"/>
        <v/>
      </c>
      <c r="BA1838" t="str">
        <f t="shared" si="278"/>
        <v/>
      </c>
    </row>
    <row r="1839" spans="3:53" ht="13.5">
      <c r="C1839" s="19"/>
      <c r="D1839" s="19"/>
      <c r="AC1839" s="6" t="s">
        <v>3486</v>
      </c>
      <c r="AD1839" s="6" t="s">
        <v>7395</v>
      </c>
      <c r="AE1839" s="155" t="s">
        <v>2625</v>
      </c>
      <c r="AF1839" s="159" t="s">
        <v>8299</v>
      </c>
      <c r="AG1839" s="160" t="s">
        <v>5079</v>
      </c>
      <c r="AH1839" s="194" t="s">
        <v>679</v>
      </c>
      <c r="AI1839" s="6" t="s">
        <v>852</v>
      </c>
      <c r="AJ1839" s="3" t="s">
        <v>8263</v>
      </c>
      <c r="AK1839" t="s">
        <v>8263</v>
      </c>
      <c r="AV1839"/>
      <c r="AX1839"/>
      <c r="AZ1839" t="str">
        <f t="shared" si="277"/>
        <v/>
      </c>
      <c r="BA1839" t="str">
        <f t="shared" si="278"/>
        <v/>
      </c>
    </row>
    <row r="1840" spans="3:53" ht="13.5">
      <c r="C1840" s="19"/>
      <c r="D1840" s="19"/>
      <c r="AC1840" s="6" t="s">
        <v>3435</v>
      </c>
      <c r="AD1840" s="6" t="s">
        <v>7353</v>
      </c>
      <c r="AE1840" s="155" t="s">
        <v>2626</v>
      </c>
      <c r="AF1840" s="159" t="s">
        <v>8299</v>
      </c>
      <c r="AG1840" s="160" t="s">
        <v>1529</v>
      </c>
      <c r="AH1840" s="194" t="s">
        <v>679</v>
      </c>
      <c r="AI1840" s="6" t="s">
        <v>1971</v>
      </c>
      <c r="AJ1840" s="3" t="s">
        <v>8234</v>
      </c>
      <c r="AK1840" t="s">
        <v>8234</v>
      </c>
      <c r="AV1840"/>
      <c r="AX1840"/>
      <c r="AZ1840" t="str">
        <f t="shared" si="277"/>
        <v/>
      </c>
      <c r="BA1840" t="str">
        <f t="shared" si="278"/>
        <v/>
      </c>
    </row>
    <row r="1841" spans="3:53" ht="13.5">
      <c r="C1841" s="19"/>
      <c r="D1841" s="19"/>
      <c r="AC1841" s="6" t="s">
        <v>3357</v>
      </c>
      <c r="AD1841" s="6" t="s">
        <v>7353</v>
      </c>
      <c r="AE1841" s="155" t="s">
        <v>2627</v>
      </c>
      <c r="AF1841" s="159" t="s">
        <v>8299</v>
      </c>
      <c r="AG1841" s="160" t="s">
        <v>1547</v>
      </c>
      <c r="AH1841" s="194" t="s">
        <v>678</v>
      </c>
      <c r="AI1841" s="6" t="s">
        <v>1974</v>
      </c>
      <c r="AJ1841" s="3" t="s">
        <v>8222</v>
      </c>
      <c r="AK1841" t="s">
        <v>8670</v>
      </c>
      <c r="AV1841"/>
      <c r="AX1841"/>
      <c r="AZ1841" t="str">
        <f t="shared" si="277"/>
        <v/>
      </c>
      <c r="BA1841" t="str">
        <f t="shared" si="278"/>
        <v/>
      </c>
    </row>
    <row r="1842" spans="3:53" ht="13.5">
      <c r="C1842" s="19"/>
      <c r="D1842" s="19"/>
      <c r="AC1842" s="6" t="s">
        <v>3487</v>
      </c>
      <c r="AD1842" s="6" t="s">
        <v>7391</v>
      </c>
      <c r="AE1842" s="155" t="s">
        <v>2628</v>
      </c>
      <c r="AF1842" s="159" t="s">
        <v>8299</v>
      </c>
      <c r="AG1842" s="160" t="s">
        <v>1635</v>
      </c>
      <c r="AH1842" s="194" t="s">
        <v>678</v>
      </c>
      <c r="AI1842" s="6" t="s">
        <v>2002</v>
      </c>
      <c r="AJ1842" s="3" t="s">
        <v>8222</v>
      </c>
      <c r="AK1842" t="s">
        <v>8670</v>
      </c>
      <c r="AV1842"/>
      <c r="AX1842"/>
      <c r="AZ1842" t="str">
        <f t="shared" si="277"/>
        <v/>
      </c>
      <c r="BA1842" t="str">
        <f t="shared" si="278"/>
        <v/>
      </c>
    </row>
    <row r="1843" spans="3:53" ht="13.5">
      <c r="C1843" s="19"/>
      <c r="D1843" s="19"/>
      <c r="AC1843" s="6" t="s">
        <v>3890</v>
      </c>
      <c r="AD1843" s="6" t="s">
        <v>7353</v>
      </c>
      <c r="AE1843" s="155" t="s">
        <v>2629</v>
      </c>
      <c r="AF1843" s="159" t="s">
        <v>8299</v>
      </c>
      <c r="AG1843" s="160" t="s">
        <v>1636</v>
      </c>
      <c r="AH1843" s="194" t="s">
        <v>678</v>
      </c>
      <c r="AI1843" s="6" t="s">
        <v>5318</v>
      </c>
      <c r="AJ1843" s="3" t="s">
        <v>8234</v>
      </c>
      <c r="AK1843" t="s">
        <v>8234</v>
      </c>
      <c r="AV1843"/>
      <c r="AX1843"/>
      <c r="AZ1843" t="str">
        <f t="shared" si="277"/>
        <v/>
      </c>
      <c r="BA1843" t="str">
        <f t="shared" si="278"/>
        <v/>
      </c>
    </row>
    <row r="1844" spans="3:53" ht="13.5">
      <c r="C1844" s="19"/>
      <c r="D1844" s="19"/>
      <c r="AC1844" s="6" t="s">
        <v>2965</v>
      </c>
      <c r="AD1844" s="6" t="s">
        <v>7353</v>
      </c>
      <c r="AE1844" s="155" t="s">
        <v>2630</v>
      </c>
      <c r="AF1844" s="159" t="s">
        <v>8299</v>
      </c>
      <c r="AG1844" s="160" t="s">
        <v>5177</v>
      </c>
      <c r="AH1844" s="194" t="s">
        <v>679</v>
      </c>
      <c r="AI1844" s="6" t="s">
        <v>5741</v>
      </c>
      <c r="AJ1844" s="3" t="s">
        <v>8234</v>
      </c>
      <c r="AK1844" t="s">
        <v>8234</v>
      </c>
      <c r="AV1844"/>
      <c r="AX1844"/>
      <c r="AZ1844" t="str">
        <f t="shared" si="277"/>
        <v/>
      </c>
      <c r="BA1844" t="str">
        <f t="shared" si="278"/>
        <v/>
      </c>
    </row>
    <row r="1845" spans="3:53" ht="13.5">
      <c r="C1845" s="19"/>
      <c r="D1845" s="19"/>
      <c r="AC1845" s="6" t="s">
        <v>3044</v>
      </c>
      <c r="AD1845" s="6" t="s">
        <v>7353</v>
      </c>
      <c r="AE1845" s="155" t="s">
        <v>2631</v>
      </c>
      <c r="AF1845" s="159" t="s">
        <v>8299</v>
      </c>
      <c r="AG1845" s="160" t="s">
        <v>5103</v>
      </c>
      <c r="AH1845" s="194" t="s">
        <v>1314</v>
      </c>
      <c r="AI1845" s="6" t="s">
        <v>5550</v>
      </c>
      <c r="AJ1845" s="3" t="s">
        <v>8222</v>
      </c>
      <c r="AK1845" t="s">
        <v>8670</v>
      </c>
      <c r="AV1845"/>
      <c r="AX1845"/>
      <c r="AZ1845" t="str">
        <f t="shared" si="277"/>
        <v/>
      </c>
      <c r="BA1845" t="str">
        <f t="shared" si="278"/>
        <v/>
      </c>
    </row>
    <row r="1846" spans="3:53" ht="13.5">
      <c r="C1846" s="19"/>
      <c r="D1846" s="19"/>
      <c r="AC1846" s="6" t="s">
        <v>3482</v>
      </c>
      <c r="AD1846" s="6" t="s">
        <v>7396</v>
      </c>
      <c r="AE1846" s="155" t="s">
        <v>2632</v>
      </c>
      <c r="AF1846" s="159" t="s">
        <v>8309</v>
      </c>
      <c r="AG1846" s="160" t="s">
        <v>5368</v>
      </c>
      <c r="AH1846" s="194" t="s">
        <v>679</v>
      </c>
      <c r="AI1846" s="6" t="s">
        <v>174</v>
      </c>
      <c r="AJ1846" s="3" t="s">
        <v>8197</v>
      </c>
      <c r="AK1846" t="s">
        <v>8197</v>
      </c>
      <c r="AV1846"/>
      <c r="AX1846"/>
      <c r="AZ1846" t="str">
        <f t="shared" si="277"/>
        <v/>
      </c>
      <c r="BA1846" t="str">
        <f t="shared" si="278"/>
        <v/>
      </c>
    </row>
    <row r="1847" spans="3:53" ht="13.5">
      <c r="C1847" s="19"/>
      <c r="D1847" s="19"/>
      <c r="AC1847" s="6" t="s">
        <v>5581</v>
      </c>
      <c r="AD1847" s="6" t="s">
        <v>7353</v>
      </c>
      <c r="AE1847" s="155">
        <v>246093</v>
      </c>
      <c r="AF1847" s="159" t="s">
        <v>8299</v>
      </c>
      <c r="AG1847" s="160" t="s">
        <v>5082</v>
      </c>
      <c r="AH1847" s="194" t="s">
        <v>679</v>
      </c>
      <c r="AI1847" s="6" t="s">
        <v>1428</v>
      </c>
      <c r="AJ1847" s="3" t="s">
        <v>8197</v>
      </c>
      <c r="AK1847" t="s">
        <v>8197</v>
      </c>
      <c r="AV1847"/>
      <c r="AX1847"/>
      <c r="AZ1847" t="str">
        <f t="shared" si="277"/>
        <v/>
      </c>
      <c r="BA1847" t="str">
        <f t="shared" si="278"/>
        <v/>
      </c>
    </row>
    <row r="1848" spans="3:53" ht="13.5">
      <c r="C1848" s="19"/>
      <c r="D1848" s="19"/>
      <c r="AC1848" s="6" t="s">
        <v>3436</v>
      </c>
      <c r="AD1848" s="6" t="s">
        <v>7353</v>
      </c>
      <c r="AE1848" s="155" t="s">
        <v>2633</v>
      </c>
      <c r="AF1848" s="159" t="s">
        <v>8299</v>
      </c>
      <c r="AG1848" s="160" t="s">
        <v>5189</v>
      </c>
      <c r="AH1848" s="194" t="s">
        <v>679</v>
      </c>
      <c r="AI1848" s="6" t="s">
        <v>2824</v>
      </c>
      <c r="AJ1848" s="3" t="s">
        <v>8256</v>
      </c>
      <c r="AK1848" t="s">
        <v>8256</v>
      </c>
      <c r="AV1848"/>
      <c r="AX1848"/>
      <c r="AZ1848" t="str">
        <f t="shared" si="277"/>
        <v/>
      </c>
      <c r="BA1848" t="str">
        <f t="shared" si="278"/>
        <v/>
      </c>
    </row>
    <row r="1849" spans="3:53" ht="13.5">
      <c r="C1849" s="19"/>
      <c r="D1849" s="19"/>
      <c r="AC1849" s="6" t="s">
        <v>3381</v>
      </c>
      <c r="AD1849" s="6" t="s">
        <v>7353</v>
      </c>
      <c r="AE1849" s="155" t="s">
        <v>2634</v>
      </c>
      <c r="AF1849" s="159" t="s">
        <v>8311</v>
      </c>
      <c r="AG1849" s="160" t="s">
        <v>5091</v>
      </c>
      <c r="AH1849" s="194" t="s">
        <v>679</v>
      </c>
      <c r="AI1849" s="6" t="s">
        <v>1238</v>
      </c>
      <c r="AJ1849" s="3" t="s">
        <v>8256</v>
      </c>
      <c r="AK1849" t="s">
        <v>8256</v>
      </c>
      <c r="AV1849"/>
      <c r="AX1849"/>
      <c r="AZ1849" t="str">
        <f t="shared" si="277"/>
        <v/>
      </c>
      <c r="BA1849" t="str">
        <f t="shared" si="278"/>
        <v/>
      </c>
    </row>
    <row r="1850" spans="3:53" ht="13.5">
      <c r="C1850" s="19"/>
      <c r="D1850" s="19"/>
      <c r="AC1850" s="6" t="s">
        <v>2811</v>
      </c>
      <c r="AD1850" s="6" t="s">
        <v>7379</v>
      </c>
      <c r="AE1850" s="155" t="s">
        <v>2635</v>
      </c>
      <c r="AF1850" s="159" t="s">
        <v>8299</v>
      </c>
      <c r="AG1850" s="160" t="s">
        <v>5216</v>
      </c>
      <c r="AH1850" s="194" t="s">
        <v>1314</v>
      </c>
      <c r="AI1850" s="6" t="s">
        <v>5708</v>
      </c>
      <c r="AJ1850" s="3" t="s">
        <v>8276</v>
      </c>
      <c r="AK1850" t="s">
        <v>8276</v>
      </c>
      <c r="AV1850"/>
      <c r="AX1850"/>
      <c r="AZ1850" t="str">
        <f t="shared" ref="AZ1850:AZ1913" si="279">IF(ISBLANK(AW1850),"",CONCATENATE("(",RIGHT(AW1850,5),"-",TEXT(AX1850,"h:mm;@"),")"))</f>
        <v/>
      </c>
      <c r="BA1850" t="str">
        <f t="shared" ref="BA1850:BA1913" si="280">IF(AV1866=AV1850,"",CONCATENATE(IF(AV1865=AV1850,BA1865,""),IF(AV1864=AV1850,BA1864,""),IF(AV1863=AV1850,BA1863,""),IF(AV1862=AV1850,BA1862,""),IF(AV1861=AV1850,BA1861,""),IF(AV1860=AV1850,BA1860,""),IF(AV1859=AV1850,BA1859,""),IF(AV1858=AV1850,BA1858,""),IF(AV1857=AV1850,BA1857,""),IF(AV1856=AV1850,BA1856,""),IF(AV1855=AV1850,BA1855,""),IF(AV1854=AV1850,BA1854,""),IF(AV1853=AV1850,BA1853,""),IF(AV1852=AV1850,BA1852,""),IF(AV1851=AV1850,BA1851,""),IF(AV1849=AV1850,BA1849,""),BA1850))</f>
        <v/>
      </c>
    </row>
    <row r="1851" spans="3:53" ht="13.5">
      <c r="C1851" s="19"/>
      <c r="D1851" s="19"/>
      <c r="AC1851" s="6" t="s">
        <v>1217</v>
      </c>
      <c r="AD1851" s="6" t="s">
        <v>7353</v>
      </c>
      <c r="AE1851" s="155" t="s">
        <v>2636</v>
      </c>
      <c r="AF1851" s="159" t="s">
        <v>8299</v>
      </c>
      <c r="AG1851" s="160" t="s">
        <v>5235</v>
      </c>
      <c r="AH1851" s="194" t="s">
        <v>1314</v>
      </c>
      <c r="AI1851" s="6" t="s">
        <v>2635</v>
      </c>
      <c r="AJ1851" s="3" t="s">
        <v>8255</v>
      </c>
      <c r="AK1851" t="s">
        <v>8255</v>
      </c>
      <c r="AV1851"/>
      <c r="AX1851"/>
      <c r="AZ1851" t="str">
        <f t="shared" si="279"/>
        <v/>
      </c>
      <c r="BA1851" t="str">
        <f t="shared" si="280"/>
        <v/>
      </c>
    </row>
    <row r="1852" spans="3:53" ht="13.5">
      <c r="C1852" s="19"/>
      <c r="D1852" s="19"/>
      <c r="AC1852" s="6" t="s">
        <v>3278</v>
      </c>
      <c r="AD1852" s="6" t="s">
        <v>7353</v>
      </c>
      <c r="AE1852" s="155" t="s">
        <v>2638</v>
      </c>
      <c r="AF1852" s="159" t="s">
        <v>8299</v>
      </c>
      <c r="AG1852" s="160" t="s">
        <v>5369</v>
      </c>
      <c r="AH1852" s="194" t="s">
        <v>679</v>
      </c>
      <c r="AI1852" s="6" t="s">
        <v>3865</v>
      </c>
      <c r="AJ1852" s="3" t="s">
        <v>8266</v>
      </c>
      <c r="AK1852" t="s">
        <v>8266</v>
      </c>
      <c r="AV1852"/>
      <c r="AX1852"/>
      <c r="AZ1852" t="str">
        <f t="shared" si="279"/>
        <v/>
      </c>
      <c r="BA1852" t="str">
        <f t="shared" si="280"/>
        <v/>
      </c>
    </row>
    <row r="1853" spans="3:53" ht="13.5">
      <c r="C1853" s="19"/>
      <c r="D1853" s="19"/>
      <c r="AC1853" s="6" t="s">
        <v>3516</v>
      </c>
      <c r="AD1853" s="6" t="s">
        <v>7397</v>
      </c>
      <c r="AE1853" s="155" t="s">
        <v>2639</v>
      </c>
      <c r="AF1853" s="159" t="s">
        <v>8299</v>
      </c>
      <c r="AG1853" s="160" t="s">
        <v>5370</v>
      </c>
      <c r="AH1853" s="194" t="s">
        <v>1314</v>
      </c>
      <c r="AI1853" s="6" t="s">
        <v>3868</v>
      </c>
      <c r="AJ1853" s="3" t="s">
        <v>8266</v>
      </c>
      <c r="AK1853" t="s">
        <v>8266</v>
      </c>
      <c r="AV1853"/>
      <c r="AX1853"/>
      <c r="AZ1853" t="str">
        <f t="shared" si="279"/>
        <v/>
      </c>
      <c r="BA1853" t="str">
        <f t="shared" si="280"/>
        <v/>
      </c>
    </row>
    <row r="1854" spans="3:53" ht="13.5">
      <c r="C1854" s="19"/>
      <c r="D1854" s="19"/>
      <c r="AC1854" s="6" t="s">
        <v>3266</v>
      </c>
      <c r="AD1854" s="6" t="s">
        <v>7353</v>
      </c>
      <c r="AE1854" s="155" t="s">
        <v>2640</v>
      </c>
      <c r="AF1854" s="159" t="s">
        <v>8299</v>
      </c>
      <c r="AG1854" s="160" t="s">
        <v>5371</v>
      </c>
      <c r="AH1854" s="194" t="s">
        <v>1314</v>
      </c>
      <c r="AI1854" s="6" t="s">
        <v>3870</v>
      </c>
      <c r="AJ1854" s="3" t="s">
        <v>8266</v>
      </c>
      <c r="AK1854" t="s">
        <v>8266</v>
      </c>
      <c r="AV1854"/>
      <c r="AX1854"/>
      <c r="AZ1854" t="str">
        <f t="shared" si="279"/>
        <v/>
      </c>
      <c r="BA1854" t="str">
        <f t="shared" si="280"/>
        <v/>
      </c>
    </row>
    <row r="1855" spans="3:53" ht="13.5">
      <c r="C1855" s="19"/>
      <c r="D1855" s="19"/>
      <c r="AC1855" s="6" t="s">
        <v>3491</v>
      </c>
      <c r="AD1855" s="6" t="s">
        <v>7398</v>
      </c>
      <c r="AE1855" s="155" t="s">
        <v>2641</v>
      </c>
      <c r="AF1855" s="159" t="s">
        <v>8299</v>
      </c>
      <c r="AG1855" s="160" t="s">
        <v>2526</v>
      </c>
      <c r="AH1855" s="194" t="s">
        <v>1314</v>
      </c>
      <c r="AI1855" s="6" t="s">
        <v>3871</v>
      </c>
      <c r="AJ1855" s="3" t="s">
        <v>8266</v>
      </c>
      <c r="AK1855" t="s">
        <v>8266</v>
      </c>
      <c r="AV1855"/>
      <c r="AX1855"/>
      <c r="AZ1855" t="str">
        <f t="shared" si="279"/>
        <v/>
      </c>
      <c r="BA1855" t="str">
        <f t="shared" si="280"/>
        <v/>
      </c>
    </row>
    <row r="1856" spans="3:53" ht="13.5">
      <c r="C1856" s="19"/>
      <c r="D1856" s="19"/>
      <c r="AC1856" s="6" t="s">
        <v>2862</v>
      </c>
      <c r="AD1856" s="6" t="s">
        <v>7353</v>
      </c>
      <c r="AE1856" s="155" t="s">
        <v>2642</v>
      </c>
      <c r="AF1856" s="159" t="s">
        <v>8299</v>
      </c>
      <c r="AG1856" s="160" t="s">
        <v>2745</v>
      </c>
      <c r="AH1856" s="194" t="s">
        <v>678</v>
      </c>
      <c r="AI1856" s="6" t="s">
        <v>3873</v>
      </c>
      <c r="AJ1856" s="3" t="s">
        <v>8266</v>
      </c>
      <c r="AK1856" t="s">
        <v>8266</v>
      </c>
      <c r="AV1856"/>
      <c r="AX1856"/>
      <c r="AZ1856" t="str">
        <f t="shared" si="279"/>
        <v/>
      </c>
      <c r="BA1856" t="str">
        <f t="shared" si="280"/>
        <v/>
      </c>
    </row>
    <row r="1857" spans="3:53" ht="13.5">
      <c r="C1857" s="19"/>
      <c r="D1857" s="19"/>
      <c r="AC1857" s="6" t="s">
        <v>3148</v>
      </c>
      <c r="AD1857" s="6" t="s">
        <v>7353</v>
      </c>
      <c r="AE1857" s="155" t="s">
        <v>2643</v>
      </c>
      <c r="AF1857" s="159" t="s">
        <v>8299</v>
      </c>
      <c r="AG1857" s="160" t="s">
        <v>5088</v>
      </c>
      <c r="AH1857" s="194" t="s">
        <v>679</v>
      </c>
      <c r="AI1857" s="6" t="s">
        <v>1891</v>
      </c>
      <c r="AJ1857" s="3" t="s">
        <v>8217</v>
      </c>
      <c r="AK1857" t="s">
        <v>8668</v>
      </c>
      <c r="AV1857"/>
      <c r="AX1857"/>
      <c r="AZ1857" t="str">
        <f t="shared" si="279"/>
        <v/>
      </c>
      <c r="BA1857" t="str">
        <f t="shared" si="280"/>
        <v/>
      </c>
    </row>
    <row r="1858" spans="3:53" ht="13.5">
      <c r="C1858" s="19"/>
      <c r="D1858" s="19"/>
      <c r="AC1858" s="6" t="s">
        <v>3184</v>
      </c>
      <c r="AD1858" s="6" t="s">
        <v>7353</v>
      </c>
      <c r="AE1858" s="155" t="s">
        <v>2644</v>
      </c>
      <c r="AF1858" s="159" t="s">
        <v>8332</v>
      </c>
      <c r="AG1858" s="160" t="s">
        <v>2157</v>
      </c>
      <c r="AH1858" s="194" t="s">
        <v>679</v>
      </c>
      <c r="AI1858" s="6" t="s">
        <v>1923</v>
      </c>
      <c r="AJ1858" s="3" t="s">
        <v>8217</v>
      </c>
      <c r="AK1858" t="s">
        <v>8668</v>
      </c>
      <c r="AV1858"/>
      <c r="AX1858"/>
      <c r="AZ1858" t="str">
        <f t="shared" si="279"/>
        <v/>
      </c>
      <c r="BA1858" t="str">
        <f t="shared" si="280"/>
        <v/>
      </c>
    </row>
    <row r="1859" spans="3:53" ht="13.5">
      <c r="C1859" s="19"/>
      <c r="D1859" s="19"/>
      <c r="AC1859" s="6" t="s">
        <v>3511</v>
      </c>
      <c r="AD1859" s="6" t="s">
        <v>7399</v>
      </c>
      <c r="AE1859" s="155" t="s">
        <v>2645</v>
      </c>
      <c r="AF1859" s="159" t="s">
        <v>8299</v>
      </c>
      <c r="AG1859" s="160" t="s">
        <v>2180</v>
      </c>
      <c r="AH1859" s="194" t="s">
        <v>679</v>
      </c>
      <c r="AI1859" s="6" t="s">
        <v>1975</v>
      </c>
      <c r="AJ1859" s="3" t="s">
        <v>8217</v>
      </c>
      <c r="AK1859" t="s">
        <v>8668</v>
      </c>
      <c r="AV1859"/>
      <c r="AX1859"/>
      <c r="AZ1859" t="str">
        <f t="shared" si="279"/>
        <v/>
      </c>
      <c r="BA1859" t="str">
        <f t="shared" si="280"/>
        <v/>
      </c>
    </row>
    <row r="1860" spans="3:53" ht="13.5">
      <c r="C1860" s="19"/>
      <c r="D1860" s="19"/>
      <c r="AC1860" s="6" t="s">
        <v>3507</v>
      </c>
      <c r="AD1860" s="6" t="s">
        <v>7400</v>
      </c>
      <c r="AE1860" s="155" t="s">
        <v>2646</v>
      </c>
      <c r="AF1860" s="159" t="s">
        <v>8321</v>
      </c>
      <c r="AG1860" s="160" t="s">
        <v>3838</v>
      </c>
      <c r="AH1860" s="194" t="s">
        <v>679</v>
      </c>
      <c r="AI1860" s="6" t="s">
        <v>1976</v>
      </c>
      <c r="AJ1860" s="3" t="s">
        <v>8217</v>
      </c>
      <c r="AK1860" t="s">
        <v>8668</v>
      </c>
      <c r="AV1860"/>
      <c r="AX1860"/>
      <c r="AZ1860" t="str">
        <f t="shared" si="279"/>
        <v/>
      </c>
      <c r="BA1860" t="str">
        <f t="shared" si="280"/>
        <v/>
      </c>
    </row>
    <row r="1861" spans="3:53" ht="13.5">
      <c r="C1861" s="19"/>
      <c r="D1861" s="19"/>
      <c r="AC1861" s="6" t="s">
        <v>5723</v>
      </c>
      <c r="AD1861" s="6" t="s">
        <v>7353</v>
      </c>
      <c r="AE1861" s="155" t="s">
        <v>2647</v>
      </c>
      <c r="AF1861" s="159" t="s">
        <v>8299</v>
      </c>
      <c r="AG1861" s="160" t="s">
        <v>3839</v>
      </c>
      <c r="AH1861" s="194" t="s">
        <v>679</v>
      </c>
      <c r="AI1861" s="6" t="s">
        <v>1984</v>
      </c>
      <c r="AJ1861" s="3" t="s">
        <v>8217</v>
      </c>
      <c r="AK1861" t="s">
        <v>8668</v>
      </c>
      <c r="AV1861"/>
      <c r="AX1861"/>
      <c r="AZ1861" t="str">
        <f t="shared" si="279"/>
        <v/>
      </c>
      <c r="BA1861" t="str">
        <f t="shared" si="280"/>
        <v/>
      </c>
    </row>
    <row r="1862" spans="3:53" ht="13.5">
      <c r="C1862" s="19"/>
      <c r="D1862" s="19"/>
      <c r="AC1862" s="6" t="s">
        <v>2870</v>
      </c>
      <c r="AD1862" s="6" t="s">
        <v>7353</v>
      </c>
      <c r="AE1862" s="155" t="s">
        <v>2648</v>
      </c>
      <c r="AF1862" s="159" t="s">
        <v>8299</v>
      </c>
      <c r="AG1862" s="160" t="s">
        <v>3840</v>
      </c>
      <c r="AH1862" s="194" t="s">
        <v>679</v>
      </c>
      <c r="AI1862" s="6" t="s">
        <v>1985</v>
      </c>
      <c r="AJ1862" s="3" t="s">
        <v>8217</v>
      </c>
      <c r="AK1862" t="s">
        <v>8668</v>
      </c>
      <c r="AV1862"/>
      <c r="AX1862"/>
      <c r="AZ1862" t="str">
        <f t="shared" si="279"/>
        <v/>
      </c>
      <c r="BA1862" t="str">
        <f t="shared" si="280"/>
        <v/>
      </c>
    </row>
    <row r="1863" spans="3:53" ht="13.5">
      <c r="C1863" s="19"/>
      <c r="D1863" s="19"/>
      <c r="AC1863" s="6" t="s">
        <v>3295</v>
      </c>
      <c r="AD1863" s="6" t="s">
        <v>7353</v>
      </c>
      <c r="AE1863" s="155" t="s">
        <v>2649</v>
      </c>
      <c r="AF1863" s="159" t="s">
        <v>8391</v>
      </c>
      <c r="AG1863" s="160" t="s">
        <v>3841</v>
      </c>
      <c r="AH1863" s="194" t="s">
        <v>679</v>
      </c>
      <c r="AI1863" s="6" t="s">
        <v>1988</v>
      </c>
      <c r="AJ1863" s="3" t="s">
        <v>8217</v>
      </c>
      <c r="AK1863" t="s">
        <v>8668</v>
      </c>
      <c r="AV1863"/>
      <c r="AX1863"/>
      <c r="AZ1863" t="str">
        <f t="shared" si="279"/>
        <v/>
      </c>
      <c r="BA1863" t="str">
        <f t="shared" si="280"/>
        <v/>
      </c>
    </row>
    <row r="1864" spans="3:53" ht="13.5">
      <c r="C1864" s="19"/>
      <c r="D1864" s="19"/>
      <c r="AC1864" s="6" t="s">
        <v>3510</v>
      </c>
      <c r="AD1864" s="6" t="s">
        <v>7401</v>
      </c>
      <c r="AE1864" s="155" t="s">
        <v>2651</v>
      </c>
      <c r="AF1864" s="159" t="s">
        <v>8299</v>
      </c>
      <c r="AG1864" s="160" t="s">
        <v>3842</v>
      </c>
      <c r="AH1864" s="194" t="s">
        <v>679</v>
      </c>
      <c r="AI1864" s="6" t="s">
        <v>176</v>
      </c>
      <c r="AJ1864" s="3" t="s">
        <v>8224</v>
      </c>
      <c r="AK1864" t="s">
        <v>8224</v>
      </c>
      <c r="AV1864"/>
      <c r="AX1864"/>
      <c r="AZ1864" t="str">
        <f t="shared" si="279"/>
        <v/>
      </c>
      <c r="BA1864" t="str">
        <f t="shared" si="280"/>
        <v/>
      </c>
    </row>
    <row r="1865" spans="3:53" ht="13.5">
      <c r="C1865" s="19"/>
      <c r="D1865" s="19"/>
      <c r="AC1865" s="6" t="s">
        <v>3218</v>
      </c>
      <c r="AD1865" s="6" t="s">
        <v>7353</v>
      </c>
      <c r="AE1865" s="155" t="s">
        <v>2652</v>
      </c>
      <c r="AF1865" s="159" t="s">
        <v>8299</v>
      </c>
      <c r="AG1865" s="160" t="s">
        <v>3843</v>
      </c>
      <c r="AH1865" s="194" t="s">
        <v>1314</v>
      </c>
      <c r="AI1865" s="6" t="s">
        <v>177</v>
      </c>
      <c r="AJ1865" s="3" t="s">
        <v>8224</v>
      </c>
      <c r="AK1865" t="s">
        <v>8224</v>
      </c>
      <c r="AV1865"/>
      <c r="AX1865"/>
      <c r="AZ1865" t="str">
        <f t="shared" si="279"/>
        <v/>
      </c>
      <c r="BA1865" t="str">
        <f t="shared" si="280"/>
        <v/>
      </c>
    </row>
    <row r="1866" spans="3:53" ht="13.5">
      <c r="C1866" s="19"/>
      <c r="D1866" s="19"/>
      <c r="AC1866" s="6" t="s">
        <v>3888</v>
      </c>
      <c r="AD1866" s="6" t="s">
        <v>7353</v>
      </c>
      <c r="AE1866" s="155" t="s">
        <v>2653</v>
      </c>
      <c r="AF1866" s="159" t="s">
        <v>8299</v>
      </c>
      <c r="AG1866" s="160" t="s">
        <v>3844</v>
      </c>
      <c r="AH1866" s="194" t="s">
        <v>1314</v>
      </c>
      <c r="AI1866" s="6" t="s">
        <v>1029</v>
      </c>
      <c r="AJ1866" s="3" t="s">
        <v>8224</v>
      </c>
      <c r="AK1866" t="s">
        <v>8224</v>
      </c>
      <c r="AV1866"/>
      <c r="AX1866"/>
      <c r="AZ1866" t="str">
        <f t="shared" si="279"/>
        <v/>
      </c>
      <c r="BA1866" t="str">
        <f t="shared" si="280"/>
        <v/>
      </c>
    </row>
    <row r="1867" spans="3:53" ht="13.5">
      <c r="C1867" s="19"/>
      <c r="D1867" s="19"/>
      <c r="AC1867" s="6" t="s">
        <v>3471</v>
      </c>
      <c r="AD1867" s="6" t="s">
        <v>7398</v>
      </c>
      <c r="AE1867" s="155" t="s">
        <v>2654</v>
      </c>
      <c r="AF1867" s="159" t="s">
        <v>8299</v>
      </c>
      <c r="AG1867" s="160" t="s">
        <v>3845</v>
      </c>
      <c r="AH1867" s="194" t="s">
        <v>679</v>
      </c>
      <c r="AI1867" s="6" t="s">
        <v>178</v>
      </c>
      <c r="AJ1867" s="3" t="s">
        <v>8219</v>
      </c>
      <c r="AK1867" t="s">
        <v>8219</v>
      </c>
      <c r="AV1867"/>
      <c r="AX1867"/>
      <c r="AZ1867" t="str">
        <f t="shared" si="279"/>
        <v/>
      </c>
      <c r="BA1867" t="str">
        <f t="shared" si="280"/>
        <v/>
      </c>
    </row>
    <row r="1868" spans="3:53" ht="13.5">
      <c r="C1868" s="19"/>
      <c r="D1868" s="19"/>
      <c r="AC1868" s="6" t="s">
        <v>3497</v>
      </c>
      <c r="AD1868" s="6" t="s">
        <v>7402</v>
      </c>
      <c r="AE1868" s="155" t="s">
        <v>2655</v>
      </c>
      <c r="AF1868" s="159" t="s">
        <v>8296</v>
      </c>
      <c r="AG1868" s="160" t="s">
        <v>1206</v>
      </c>
      <c r="AH1868" s="194" t="s">
        <v>679</v>
      </c>
      <c r="AI1868" s="6" t="s">
        <v>3874</v>
      </c>
      <c r="AJ1868" s="3" t="s">
        <v>8253</v>
      </c>
      <c r="AK1868" t="s">
        <v>8253</v>
      </c>
      <c r="AV1868"/>
      <c r="AX1868"/>
      <c r="AZ1868" t="str">
        <f t="shared" si="279"/>
        <v/>
      </c>
      <c r="BA1868" t="str">
        <f t="shared" si="280"/>
        <v/>
      </c>
    </row>
    <row r="1869" spans="3:53" ht="13.5">
      <c r="C1869" s="19"/>
      <c r="D1869" s="19"/>
      <c r="AC1869" s="6" t="s">
        <v>5609</v>
      </c>
      <c r="AD1869" s="6" t="s">
        <v>7353</v>
      </c>
      <c r="AE1869" s="155" t="s">
        <v>2656</v>
      </c>
      <c r="AF1869" s="159" t="s">
        <v>8299</v>
      </c>
      <c r="AG1869" s="160" t="s">
        <v>3846</v>
      </c>
      <c r="AH1869" s="194" t="s">
        <v>679</v>
      </c>
      <c r="AI1869" s="6" t="s">
        <v>3876</v>
      </c>
      <c r="AJ1869" s="3" t="s">
        <v>8253</v>
      </c>
      <c r="AK1869" t="s">
        <v>8253</v>
      </c>
      <c r="AV1869"/>
      <c r="AX1869"/>
      <c r="AZ1869" t="str">
        <f t="shared" si="279"/>
        <v/>
      </c>
      <c r="BA1869" t="str">
        <f t="shared" si="280"/>
        <v/>
      </c>
    </row>
    <row r="1870" spans="3:53" ht="13.5">
      <c r="C1870" s="19"/>
      <c r="D1870" s="19"/>
      <c r="AC1870" s="6" t="s">
        <v>3007</v>
      </c>
      <c r="AD1870" s="6" t="s">
        <v>7353</v>
      </c>
      <c r="AE1870" s="155" t="s">
        <v>2657</v>
      </c>
      <c r="AF1870" s="159" t="s">
        <v>8299</v>
      </c>
      <c r="AG1870" s="160" t="s">
        <v>3847</v>
      </c>
      <c r="AH1870" s="194" t="s">
        <v>679</v>
      </c>
      <c r="AI1870" s="6" t="s">
        <v>3878</v>
      </c>
      <c r="AJ1870" s="3" t="s">
        <v>8253</v>
      </c>
      <c r="AK1870" t="s">
        <v>8253</v>
      </c>
      <c r="AV1870"/>
      <c r="AX1870"/>
      <c r="AZ1870" t="str">
        <f t="shared" si="279"/>
        <v/>
      </c>
      <c r="BA1870" t="str">
        <f t="shared" si="280"/>
        <v/>
      </c>
    </row>
    <row r="1871" spans="3:53" ht="13.5">
      <c r="C1871" s="19"/>
      <c r="D1871" s="19"/>
      <c r="AC1871" s="6" t="s">
        <v>2993</v>
      </c>
      <c r="AD1871" s="6" t="s">
        <v>7353</v>
      </c>
      <c r="AE1871" s="155" t="s">
        <v>2658</v>
      </c>
      <c r="AF1871" s="159" t="s">
        <v>8320</v>
      </c>
      <c r="AG1871" s="160" t="s">
        <v>3848</v>
      </c>
      <c r="AH1871" s="194" t="s">
        <v>679</v>
      </c>
      <c r="AI1871" s="6" t="s">
        <v>3880</v>
      </c>
      <c r="AJ1871" s="3" t="s">
        <v>8280</v>
      </c>
      <c r="AK1871" t="s">
        <v>8280</v>
      </c>
      <c r="AV1871"/>
      <c r="AX1871"/>
      <c r="AZ1871" t="str">
        <f t="shared" si="279"/>
        <v/>
      </c>
      <c r="BA1871" t="str">
        <f t="shared" si="280"/>
        <v/>
      </c>
    </row>
    <row r="1872" spans="3:53" ht="13.5">
      <c r="C1872" s="19"/>
      <c r="D1872" s="19"/>
      <c r="AC1872" s="6" t="s">
        <v>5608</v>
      </c>
      <c r="AD1872" s="6" t="s">
        <v>7353</v>
      </c>
      <c r="AE1872" s="155" t="s">
        <v>2659</v>
      </c>
      <c r="AF1872" s="159" t="s">
        <v>8299</v>
      </c>
      <c r="AG1872" s="160" t="s">
        <v>3849</v>
      </c>
      <c r="AH1872" s="194" t="s">
        <v>679</v>
      </c>
      <c r="AI1872" s="6" t="s">
        <v>3881</v>
      </c>
      <c r="AJ1872" s="3" t="s">
        <v>8280</v>
      </c>
      <c r="AK1872" t="s">
        <v>8280</v>
      </c>
      <c r="AV1872"/>
      <c r="AX1872"/>
      <c r="AZ1872" t="str">
        <f t="shared" si="279"/>
        <v/>
      </c>
      <c r="BA1872" t="str">
        <f t="shared" si="280"/>
        <v/>
      </c>
    </row>
    <row r="1873" spans="3:53" ht="13.5">
      <c r="C1873" s="19"/>
      <c r="D1873" s="19"/>
      <c r="AC1873" s="6" t="s">
        <v>3140</v>
      </c>
      <c r="AD1873" s="6" t="s">
        <v>7353</v>
      </c>
      <c r="AE1873" s="155" t="s">
        <v>2660</v>
      </c>
      <c r="AF1873" s="159" t="s">
        <v>8299</v>
      </c>
      <c r="AG1873" s="160" t="s">
        <v>3850</v>
      </c>
      <c r="AH1873" s="194" t="s">
        <v>679</v>
      </c>
      <c r="AI1873" s="6" t="s">
        <v>63</v>
      </c>
      <c r="AJ1873" s="3" t="s">
        <v>8218</v>
      </c>
      <c r="AK1873" t="s">
        <v>8218</v>
      </c>
      <c r="AV1873"/>
      <c r="AX1873"/>
      <c r="AZ1873" t="str">
        <f t="shared" si="279"/>
        <v/>
      </c>
      <c r="BA1873" t="str">
        <f t="shared" si="280"/>
        <v/>
      </c>
    </row>
    <row r="1874" spans="3:53" ht="13.5">
      <c r="C1874" s="19"/>
      <c r="D1874" s="19"/>
      <c r="AC1874" s="6" t="s">
        <v>2880</v>
      </c>
      <c r="AD1874" s="6" t="s">
        <v>7353</v>
      </c>
      <c r="AE1874" s="155" t="s">
        <v>2661</v>
      </c>
      <c r="AF1874" s="159" t="s">
        <v>8299</v>
      </c>
      <c r="AG1874" s="160" t="s">
        <v>3851</v>
      </c>
      <c r="AH1874" s="194" t="s">
        <v>679</v>
      </c>
      <c r="AI1874" s="6" t="s">
        <v>64</v>
      </c>
      <c r="AJ1874" s="3" t="s">
        <v>8218</v>
      </c>
      <c r="AK1874" t="s">
        <v>8218</v>
      </c>
      <c r="AV1874"/>
      <c r="AX1874"/>
      <c r="AZ1874" t="str">
        <f t="shared" si="279"/>
        <v/>
      </c>
      <c r="BA1874" t="str">
        <f t="shared" si="280"/>
        <v/>
      </c>
    </row>
    <row r="1875" spans="3:53" ht="13.5">
      <c r="C1875" s="19"/>
      <c r="D1875" s="19"/>
      <c r="AC1875" s="6" t="s">
        <v>3124</v>
      </c>
      <c r="AD1875" s="6" t="s">
        <v>7353</v>
      </c>
      <c r="AE1875" s="155" t="s">
        <v>2662</v>
      </c>
      <c r="AF1875" s="159" t="s">
        <v>8299</v>
      </c>
      <c r="AG1875" s="160" t="s">
        <v>3852</v>
      </c>
      <c r="AH1875" s="194" t="s">
        <v>679</v>
      </c>
      <c r="AI1875" s="6" t="s">
        <v>65</v>
      </c>
      <c r="AJ1875" s="3" t="s">
        <v>8218</v>
      </c>
      <c r="AK1875" t="s">
        <v>8218</v>
      </c>
      <c r="AV1875"/>
      <c r="AX1875"/>
      <c r="AZ1875" t="str">
        <f t="shared" si="279"/>
        <v/>
      </c>
      <c r="BA1875" t="str">
        <f t="shared" si="280"/>
        <v/>
      </c>
    </row>
    <row r="1876" spans="3:53" ht="13.5">
      <c r="C1876" s="19"/>
      <c r="D1876" s="19"/>
      <c r="AC1876" s="6" t="s">
        <v>2856</v>
      </c>
      <c r="AD1876" s="6" t="s">
        <v>7353</v>
      </c>
      <c r="AE1876" s="155" t="s">
        <v>2663</v>
      </c>
      <c r="AF1876" s="159" t="s">
        <v>8299</v>
      </c>
      <c r="AG1876" s="160" t="s">
        <v>3853</v>
      </c>
      <c r="AH1876" s="194" t="s">
        <v>679</v>
      </c>
      <c r="AI1876" s="6" t="s">
        <v>4814</v>
      </c>
      <c r="AJ1876" s="3" t="s">
        <v>8193</v>
      </c>
      <c r="AK1876" t="s">
        <v>8205</v>
      </c>
      <c r="AV1876"/>
      <c r="AX1876"/>
      <c r="AZ1876" t="str">
        <f t="shared" si="279"/>
        <v/>
      </c>
      <c r="BA1876" t="str">
        <f t="shared" si="280"/>
        <v/>
      </c>
    </row>
    <row r="1877" spans="3:53" ht="13.5">
      <c r="C1877" s="19"/>
      <c r="D1877" s="19"/>
      <c r="AC1877" s="6" t="s">
        <v>3512</v>
      </c>
      <c r="AD1877" s="6" t="s">
        <v>7403</v>
      </c>
      <c r="AE1877" s="155" t="s">
        <v>2664</v>
      </c>
      <c r="AF1877" s="159" t="s">
        <v>8311</v>
      </c>
      <c r="AG1877" s="160" t="s">
        <v>3854</v>
      </c>
      <c r="AH1877" s="194" t="s">
        <v>679</v>
      </c>
      <c r="AI1877" s="6" t="s">
        <v>5728</v>
      </c>
      <c r="AJ1877" s="3" t="s">
        <v>8208</v>
      </c>
      <c r="AK1877" t="s">
        <v>8667</v>
      </c>
      <c r="AV1877"/>
      <c r="AX1877"/>
      <c r="AZ1877" t="str">
        <f t="shared" si="279"/>
        <v/>
      </c>
      <c r="BA1877" t="str">
        <f t="shared" si="280"/>
        <v/>
      </c>
    </row>
    <row r="1878" spans="3:53" ht="13.5">
      <c r="C1878" s="19"/>
      <c r="D1878" s="19"/>
      <c r="AC1878" s="6" t="s">
        <v>3496</v>
      </c>
      <c r="AD1878" s="6" t="s">
        <v>7404</v>
      </c>
      <c r="AE1878" s="155" t="s">
        <v>2665</v>
      </c>
      <c r="AF1878" s="159" t="s">
        <v>8299</v>
      </c>
      <c r="AG1878" s="160" t="s">
        <v>1804</v>
      </c>
      <c r="AH1878" s="194" t="s">
        <v>679</v>
      </c>
      <c r="AI1878" s="6" t="s">
        <v>5575</v>
      </c>
      <c r="AJ1878" s="3" t="s">
        <v>8246</v>
      </c>
      <c r="AK1878" t="s">
        <v>8246</v>
      </c>
      <c r="AV1878"/>
      <c r="AX1878"/>
      <c r="AZ1878" t="str">
        <f t="shared" si="279"/>
        <v/>
      </c>
      <c r="BA1878" t="str">
        <f t="shared" si="280"/>
        <v/>
      </c>
    </row>
    <row r="1879" spans="3:53" ht="13.5">
      <c r="C1879" s="19"/>
      <c r="D1879" s="19"/>
      <c r="AC1879" s="6" t="s">
        <v>3502</v>
      </c>
      <c r="AD1879" s="6" t="s">
        <v>7400</v>
      </c>
      <c r="AE1879" s="155" t="s">
        <v>2666</v>
      </c>
      <c r="AF1879" s="159" t="s">
        <v>8299</v>
      </c>
      <c r="AG1879" s="160" t="s">
        <v>2057</v>
      </c>
      <c r="AH1879" s="194" t="s">
        <v>679</v>
      </c>
      <c r="AI1879" s="6" t="s">
        <v>2866</v>
      </c>
      <c r="AJ1879" s="3" t="s">
        <v>8247</v>
      </c>
      <c r="AK1879" t="s">
        <v>8247</v>
      </c>
      <c r="AV1879"/>
      <c r="AX1879"/>
      <c r="AZ1879" t="str">
        <f t="shared" si="279"/>
        <v/>
      </c>
      <c r="BA1879" t="str">
        <f t="shared" si="280"/>
        <v/>
      </c>
    </row>
    <row r="1880" spans="3:53" ht="13.5">
      <c r="C1880" s="19"/>
      <c r="D1880" s="19"/>
      <c r="AC1880" s="6" t="s">
        <v>1233</v>
      </c>
      <c r="AD1880" s="6" t="s">
        <v>7353</v>
      </c>
      <c r="AE1880" s="155" t="s">
        <v>2667</v>
      </c>
      <c r="AF1880" s="159" t="s">
        <v>8299</v>
      </c>
      <c r="AG1880" s="160" t="s">
        <v>2058</v>
      </c>
      <c r="AH1880" s="194" t="s">
        <v>679</v>
      </c>
      <c r="AI1880" s="6" t="s">
        <v>2870</v>
      </c>
      <c r="AJ1880" s="3" t="s">
        <v>8204</v>
      </c>
      <c r="AK1880" t="s">
        <v>8204</v>
      </c>
      <c r="AV1880"/>
      <c r="AX1880"/>
      <c r="AZ1880" t="str">
        <f t="shared" si="279"/>
        <v/>
      </c>
      <c r="BA1880" t="str">
        <f t="shared" si="280"/>
        <v/>
      </c>
    </row>
    <row r="1881" spans="3:53" ht="13.5">
      <c r="C1881" s="19"/>
      <c r="D1881" s="19"/>
      <c r="AC1881" s="6" t="s">
        <v>3518</v>
      </c>
      <c r="AD1881" s="6" t="s">
        <v>7397</v>
      </c>
      <c r="AE1881" s="155" t="s">
        <v>2668</v>
      </c>
      <c r="AF1881" s="159" t="s">
        <v>8299</v>
      </c>
      <c r="AG1881" s="160" t="s">
        <v>2059</v>
      </c>
      <c r="AH1881" s="194" t="s">
        <v>679</v>
      </c>
      <c r="AI1881" s="6" t="s">
        <v>2903</v>
      </c>
      <c r="AJ1881" s="3" t="s">
        <v>8240</v>
      </c>
      <c r="AK1881" t="s">
        <v>8240</v>
      </c>
      <c r="AV1881"/>
      <c r="AX1881"/>
      <c r="AZ1881" t="str">
        <f t="shared" si="279"/>
        <v/>
      </c>
      <c r="BA1881" t="str">
        <f t="shared" si="280"/>
        <v/>
      </c>
    </row>
    <row r="1882" spans="3:53" ht="13.5">
      <c r="C1882" s="19"/>
      <c r="D1882" s="19"/>
      <c r="AC1882" s="6" t="s">
        <v>2794</v>
      </c>
      <c r="AD1882" s="6" t="s">
        <v>7379</v>
      </c>
      <c r="AE1882" s="155" t="s">
        <v>2669</v>
      </c>
      <c r="AF1882" s="159" t="s">
        <v>8299</v>
      </c>
      <c r="AG1882" s="160" t="s">
        <v>2060</v>
      </c>
      <c r="AH1882" s="194" t="s">
        <v>679</v>
      </c>
      <c r="AI1882" s="6" t="s">
        <v>2912</v>
      </c>
      <c r="AJ1882" s="3" t="s">
        <v>8247</v>
      </c>
      <c r="AK1882" t="s">
        <v>8247</v>
      </c>
      <c r="AV1882"/>
      <c r="AX1882"/>
      <c r="AZ1882" t="str">
        <f t="shared" si="279"/>
        <v/>
      </c>
      <c r="BA1882" t="str">
        <f t="shared" si="280"/>
        <v/>
      </c>
    </row>
    <row r="1883" spans="3:53" ht="13.5">
      <c r="C1883" s="19"/>
      <c r="D1883" s="19"/>
      <c r="AC1883" s="6" t="s">
        <v>2863</v>
      </c>
      <c r="AD1883" s="6" t="s">
        <v>7353</v>
      </c>
      <c r="AE1883" s="155" t="s">
        <v>2670</v>
      </c>
      <c r="AF1883" s="159" t="s">
        <v>8309</v>
      </c>
      <c r="AG1883" s="160" t="s">
        <v>2074</v>
      </c>
      <c r="AH1883" s="194" t="s">
        <v>679</v>
      </c>
      <c r="AI1883" s="6" t="s">
        <v>2925</v>
      </c>
      <c r="AJ1883" s="3" t="s">
        <v>8211</v>
      </c>
      <c r="AK1883" t="s">
        <v>8242</v>
      </c>
      <c r="AV1883"/>
      <c r="AX1883"/>
      <c r="AZ1883" t="str">
        <f t="shared" si="279"/>
        <v/>
      </c>
      <c r="BA1883" t="str">
        <f t="shared" si="280"/>
        <v/>
      </c>
    </row>
    <row r="1884" spans="3:53" ht="13.5">
      <c r="C1884" s="19"/>
      <c r="D1884" s="19"/>
      <c r="AC1884" s="6" t="s">
        <v>3494</v>
      </c>
      <c r="AD1884" s="6" t="s">
        <v>7396</v>
      </c>
      <c r="AE1884" s="155" t="s">
        <v>2671</v>
      </c>
      <c r="AF1884" s="159" t="s">
        <v>8299</v>
      </c>
      <c r="AG1884" s="160" t="s">
        <v>2218</v>
      </c>
      <c r="AH1884" s="194" t="s">
        <v>679</v>
      </c>
      <c r="AI1884" s="6" t="s">
        <v>2928</v>
      </c>
      <c r="AJ1884" s="3" t="s">
        <v>8211</v>
      </c>
      <c r="AK1884" t="s">
        <v>8242</v>
      </c>
      <c r="AV1884"/>
      <c r="AX1884"/>
      <c r="AZ1884" t="str">
        <f t="shared" si="279"/>
        <v/>
      </c>
      <c r="BA1884" t="str">
        <f t="shared" si="280"/>
        <v/>
      </c>
    </row>
    <row r="1885" spans="3:53" ht="13.5">
      <c r="C1885" s="19"/>
      <c r="D1885" s="19"/>
      <c r="AC1885" s="6" t="s">
        <v>3472</v>
      </c>
      <c r="AD1885" s="6" t="s">
        <v>7398</v>
      </c>
      <c r="AE1885" s="155" t="s">
        <v>2672</v>
      </c>
      <c r="AF1885" s="159" t="s">
        <v>8299</v>
      </c>
      <c r="AG1885" s="160" t="s">
        <v>2219</v>
      </c>
      <c r="AH1885" s="194" t="s">
        <v>679</v>
      </c>
      <c r="AI1885" s="6" t="s">
        <v>2930</v>
      </c>
      <c r="AJ1885" s="3" t="s">
        <v>8220</v>
      </c>
      <c r="AK1885" t="s">
        <v>8220</v>
      </c>
      <c r="AV1885"/>
      <c r="AX1885"/>
      <c r="AZ1885" t="str">
        <f t="shared" si="279"/>
        <v/>
      </c>
      <c r="BA1885" t="str">
        <f t="shared" si="280"/>
        <v/>
      </c>
    </row>
    <row r="1886" spans="3:53" ht="13.5">
      <c r="C1886" s="19"/>
      <c r="D1886" s="19"/>
      <c r="AC1886" s="6" t="s">
        <v>4423</v>
      </c>
      <c r="AD1886" s="6" t="s">
        <v>7353</v>
      </c>
      <c r="AE1886" s="155" t="s">
        <v>2673</v>
      </c>
      <c r="AF1886" s="159" t="s">
        <v>8299</v>
      </c>
      <c r="AG1886" s="160" t="s">
        <v>2220</v>
      </c>
      <c r="AH1886" s="194" t="s">
        <v>679</v>
      </c>
      <c r="AI1886" s="6" t="s">
        <v>2942</v>
      </c>
      <c r="AJ1886" s="3" t="s">
        <v>8240</v>
      </c>
      <c r="AK1886" t="s">
        <v>8240</v>
      </c>
      <c r="AV1886"/>
      <c r="AX1886"/>
      <c r="AZ1886" t="str">
        <f t="shared" si="279"/>
        <v/>
      </c>
      <c r="BA1886" t="str">
        <f t="shared" si="280"/>
        <v/>
      </c>
    </row>
    <row r="1887" spans="3:53" ht="13.5">
      <c r="C1887" s="19"/>
      <c r="D1887" s="19"/>
      <c r="AC1887" s="6" t="s">
        <v>3490</v>
      </c>
      <c r="AD1887" s="6" t="s">
        <v>7405</v>
      </c>
      <c r="AE1887" s="155" t="s">
        <v>2674</v>
      </c>
      <c r="AF1887" s="159" t="s">
        <v>8299</v>
      </c>
      <c r="AG1887" s="160" t="s">
        <v>5260</v>
      </c>
      <c r="AH1887" s="194" t="s">
        <v>1314</v>
      </c>
      <c r="AI1887" s="6" t="s">
        <v>2954</v>
      </c>
      <c r="AJ1887" s="3" t="s">
        <v>8205</v>
      </c>
      <c r="AK1887" t="s">
        <v>8211</v>
      </c>
      <c r="AV1887"/>
      <c r="AX1887"/>
      <c r="AZ1887" t="str">
        <f t="shared" si="279"/>
        <v/>
      </c>
      <c r="BA1887" t="str">
        <f t="shared" si="280"/>
        <v/>
      </c>
    </row>
    <row r="1888" spans="3:53" ht="13.5">
      <c r="C1888" s="19"/>
      <c r="D1888" s="19"/>
      <c r="AC1888" s="6" t="s">
        <v>3083</v>
      </c>
      <c r="AD1888" s="6" t="s">
        <v>7353</v>
      </c>
      <c r="AE1888" s="155" t="s">
        <v>2675</v>
      </c>
      <c r="AF1888" s="159" t="s">
        <v>8299</v>
      </c>
      <c r="AG1888" s="160" t="s">
        <v>1757</v>
      </c>
      <c r="AH1888" s="194" t="s">
        <v>679</v>
      </c>
      <c r="AI1888" s="6" t="s">
        <v>2956</v>
      </c>
      <c r="AJ1888" s="3" t="s">
        <v>8220</v>
      </c>
      <c r="AK1888" t="s">
        <v>8220</v>
      </c>
      <c r="AV1888"/>
      <c r="AX1888"/>
      <c r="AZ1888" t="str">
        <f t="shared" si="279"/>
        <v/>
      </c>
      <c r="BA1888" t="str">
        <f t="shared" si="280"/>
        <v/>
      </c>
    </row>
    <row r="1889" spans="3:53" ht="13.5">
      <c r="C1889" s="19"/>
      <c r="D1889" s="19"/>
      <c r="AC1889" s="6" t="s">
        <v>3500</v>
      </c>
      <c r="AD1889" s="6" t="s">
        <v>7406</v>
      </c>
      <c r="AE1889" s="155" t="s">
        <v>2676</v>
      </c>
      <c r="AF1889" s="159" t="s">
        <v>8299</v>
      </c>
      <c r="AG1889" s="160" t="s">
        <v>1758</v>
      </c>
      <c r="AH1889" s="194" t="s">
        <v>679</v>
      </c>
      <c r="AI1889" s="6" t="s">
        <v>2958</v>
      </c>
      <c r="AJ1889" s="3" t="s">
        <v>8220</v>
      </c>
      <c r="AK1889" t="s">
        <v>8220</v>
      </c>
      <c r="AV1889"/>
      <c r="AX1889"/>
      <c r="AZ1889" t="str">
        <f t="shared" si="279"/>
        <v/>
      </c>
      <c r="BA1889" t="str">
        <f t="shared" si="280"/>
        <v/>
      </c>
    </row>
    <row r="1890" spans="3:53" ht="13.5">
      <c r="C1890" s="19"/>
      <c r="D1890" s="19"/>
      <c r="AC1890" s="6" t="s">
        <v>3387</v>
      </c>
      <c r="AD1890" s="6" t="s">
        <v>7353</v>
      </c>
      <c r="AE1890" s="155" t="s">
        <v>2677</v>
      </c>
      <c r="AF1890" s="159" t="s">
        <v>8299</v>
      </c>
      <c r="AG1890" s="160" t="s">
        <v>1916</v>
      </c>
      <c r="AH1890" s="194" t="s">
        <v>679</v>
      </c>
      <c r="AI1890" s="6" t="s">
        <v>2962</v>
      </c>
      <c r="AJ1890" s="3" t="s">
        <v>8240</v>
      </c>
      <c r="AK1890" t="s">
        <v>8240</v>
      </c>
      <c r="AV1890"/>
      <c r="AX1890"/>
      <c r="AZ1890" t="str">
        <f t="shared" si="279"/>
        <v/>
      </c>
      <c r="BA1890" t="str">
        <f t="shared" si="280"/>
        <v/>
      </c>
    </row>
    <row r="1891" spans="3:53" ht="13.5">
      <c r="C1891" s="19"/>
      <c r="D1891" s="19"/>
      <c r="AC1891" s="6" t="s">
        <v>3366</v>
      </c>
      <c r="AD1891" s="6" t="s">
        <v>7353</v>
      </c>
      <c r="AE1891" s="155" t="s">
        <v>2678</v>
      </c>
      <c r="AF1891" s="159" t="s">
        <v>8297</v>
      </c>
      <c r="AG1891" s="160" t="s">
        <v>2061</v>
      </c>
      <c r="AH1891" s="194" t="s">
        <v>679</v>
      </c>
      <c r="AI1891" s="6" t="s">
        <v>2964</v>
      </c>
      <c r="AJ1891" s="3" t="s">
        <v>8205</v>
      </c>
      <c r="AK1891" t="s">
        <v>8211</v>
      </c>
      <c r="AV1891"/>
      <c r="AX1891"/>
      <c r="AZ1891" t="str">
        <f t="shared" si="279"/>
        <v/>
      </c>
      <c r="BA1891" t="str">
        <f t="shared" si="280"/>
        <v/>
      </c>
    </row>
    <row r="1892" spans="3:53" ht="13.5">
      <c r="C1892" s="19"/>
      <c r="D1892" s="19"/>
      <c r="AC1892" s="6" t="s">
        <v>4758</v>
      </c>
      <c r="AD1892" s="6" t="s">
        <v>7353</v>
      </c>
      <c r="AE1892" s="155" t="s">
        <v>2679</v>
      </c>
      <c r="AF1892" s="159" t="s">
        <v>8299</v>
      </c>
      <c r="AG1892" s="160" t="s">
        <v>2062</v>
      </c>
      <c r="AH1892" s="194" t="s">
        <v>679</v>
      </c>
      <c r="AI1892" s="6" t="s">
        <v>2966</v>
      </c>
      <c r="AJ1892" s="3" t="s">
        <v>8220</v>
      </c>
      <c r="AK1892" t="s">
        <v>8220</v>
      </c>
      <c r="AV1892"/>
      <c r="AX1892"/>
      <c r="AZ1892" t="str">
        <f t="shared" si="279"/>
        <v/>
      </c>
      <c r="BA1892" t="str">
        <f t="shared" si="280"/>
        <v/>
      </c>
    </row>
    <row r="1893" spans="3:53" ht="13.5">
      <c r="C1893" s="19"/>
      <c r="D1893" s="19"/>
      <c r="AC1893" s="6" t="s">
        <v>3377</v>
      </c>
      <c r="AD1893" s="6" t="s">
        <v>7353</v>
      </c>
      <c r="AE1893" s="155" t="s">
        <v>2680</v>
      </c>
      <c r="AF1893" s="159" t="s">
        <v>8299</v>
      </c>
      <c r="AG1893" s="160" t="s">
        <v>5148</v>
      </c>
      <c r="AH1893" s="194" t="s">
        <v>679</v>
      </c>
      <c r="AI1893" s="6" t="s">
        <v>2967</v>
      </c>
      <c r="AJ1893" s="3" t="s">
        <v>8220</v>
      </c>
      <c r="AK1893" t="s">
        <v>8220</v>
      </c>
      <c r="AV1893"/>
      <c r="AX1893"/>
      <c r="AZ1893" t="str">
        <f t="shared" si="279"/>
        <v/>
      </c>
      <c r="BA1893" t="str">
        <f t="shared" si="280"/>
        <v/>
      </c>
    </row>
    <row r="1894" spans="3:53" ht="13.5">
      <c r="C1894" s="19"/>
      <c r="D1894" s="19"/>
      <c r="AC1894" s="6" t="s">
        <v>3004</v>
      </c>
      <c r="AD1894" s="6" t="s">
        <v>7353</v>
      </c>
      <c r="AE1894" s="155" t="s">
        <v>2681</v>
      </c>
      <c r="AF1894" s="159" t="s">
        <v>8299</v>
      </c>
      <c r="AG1894" s="160" t="s">
        <v>2063</v>
      </c>
      <c r="AH1894" s="194" t="s">
        <v>679</v>
      </c>
      <c r="AI1894" s="6" t="s">
        <v>2968</v>
      </c>
      <c r="AJ1894" s="3" t="s">
        <v>8205</v>
      </c>
      <c r="AK1894" t="s">
        <v>8211</v>
      </c>
      <c r="AV1894"/>
      <c r="AX1894"/>
      <c r="AZ1894" t="str">
        <f t="shared" si="279"/>
        <v/>
      </c>
      <c r="BA1894" t="str">
        <f t="shared" si="280"/>
        <v/>
      </c>
    </row>
    <row r="1895" spans="3:53" ht="13.5">
      <c r="C1895" s="19"/>
      <c r="D1895" s="19"/>
      <c r="AC1895" s="6" t="s">
        <v>2865</v>
      </c>
      <c r="AD1895" s="6" t="s">
        <v>7353</v>
      </c>
      <c r="AE1895" s="155" t="s">
        <v>2682</v>
      </c>
      <c r="AF1895" s="159" t="s">
        <v>8299</v>
      </c>
      <c r="AG1895" s="160" t="s">
        <v>2064</v>
      </c>
      <c r="AH1895" s="194" t="s">
        <v>679</v>
      </c>
      <c r="AI1895" s="6" t="s">
        <v>2974</v>
      </c>
      <c r="AJ1895" s="3" t="s">
        <v>8205</v>
      </c>
      <c r="AK1895" t="s">
        <v>8211</v>
      </c>
      <c r="AV1895"/>
      <c r="AX1895"/>
      <c r="AZ1895" t="str">
        <f t="shared" si="279"/>
        <v/>
      </c>
      <c r="BA1895" t="str">
        <f t="shared" si="280"/>
        <v/>
      </c>
    </row>
    <row r="1896" spans="3:53" ht="13.5">
      <c r="C1896" s="19"/>
      <c r="D1896" s="19"/>
      <c r="AC1896" s="6" t="s">
        <v>3043</v>
      </c>
      <c r="AD1896" s="6" t="s">
        <v>7353</v>
      </c>
      <c r="AE1896" s="155" t="s">
        <v>2683</v>
      </c>
      <c r="AF1896" s="159" t="s">
        <v>8299</v>
      </c>
      <c r="AG1896" s="160" t="s">
        <v>2065</v>
      </c>
      <c r="AH1896" s="194" t="s">
        <v>679</v>
      </c>
      <c r="AI1896" s="6" t="s">
        <v>2978</v>
      </c>
      <c r="AJ1896" s="3" t="s">
        <v>8211</v>
      </c>
      <c r="AK1896" t="s">
        <v>8242</v>
      </c>
      <c r="AV1896"/>
      <c r="AX1896"/>
      <c r="AZ1896" t="str">
        <f t="shared" si="279"/>
        <v/>
      </c>
      <c r="BA1896" t="str">
        <f t="shared" si="280"/>
        <v/>
      </c>
    </row>
    <row r="1897" spans="3:53" ht="13.5">
      <c r="C1897" s="19"/>
      <c r="D1897" s="19"/>
      <c r="AC1897" s="6" t="s">
        <v>3473</v>
      </c>
      <c r="AD1897" s="6" t="s">
        <v>7407</v>
      </c>
      <c r="AE1897" s="155" t="s">
        <v>2684</v>
      </c>
      <c r="AF1897" s="159" t="s">
        <v>8299</v>
      </c>
      <c r="AG1897" s="160" t="s">
        <v>5267</v>
      </c>
      <c r="AH1897" s="194" t="s">
        <v>679</v>
      </c>
      <c r="AI1897" s="6" t="s">
        <v>2979</v>
      </c>
      <c r="AJ1897" s="3" t="s">
        <v>8240</v>
      </c>
      <c r="AK1897" t="s">
        <v>8240</v>
      </c>
      <c r="AV1897"/>
      <c r="AX1897"/>
      <c r="AZ1897" t="str">
        <f t="shared" si="279"/>
        <v/>
      </c>
      <c r="BA1897" t="str">
        <f t="shared" si="280"/>
        <v/>
      </c>
    </row>
    <row r="1898" spans="3:53" ht="13.5">
      <c r="C1898" s="19"/>
      <c r="D1898" s="19"/>
      <c r="AC1898" s="6" t="s">
        <v>3474</v>
      </c>
      <c r="AD1898" s="6" t="s">
        <v>7398</v>
      </c>
      <c r="AE1898" s="155" t="s">
        <v>2685</v>
      </c>
      <c r="AF1898" s="159" t="s">
        <v>8299</v>
      </c>
      <c r="AG1898" s="160" t="s">
        <v>5095</v>
      </c>
      <c r="AH1898" s="194" t="s">
        <v>1314</v>
      </c>
      <c r="AI1898" s="6" t="s">
        <v>2984</v>
      </c>
      <c r="AJ1898" s="3" t="s">
        <v>8247</v>
      </c>
      <c r="AK1898" t="s">
        <v>8247</v>
      </c>
      <c r="AV1898"/>
      <c r="AX1898"/>
      <c r="AZ1898" t="str">
        <f t="shared" si="279"/>
        <v/>
      </c>
      <c r="BA1898" t="str">
        <f t="shared" si="280"/>
        <v/>
      </c>
    </row>
    <row r="1899" spans="3:53" ht="13.5">
      <c r="C1899" s="19"/>
      <c r="D1899" s="19"/>
      <c r="AC1899" s="6" t="s">
        <v>3014</v>
      </c>
      <c r="AD1899" s="6" t="s">
        <v>7353</v>
      </c>
      <c r="AE1899" s="155" t="s">
        <v>2686</v>
      </c>
      <c r="AF1899" s="159" t="s">
        <v>8299</v>
      </c>
      <c r="AG1899" s="160" t="s">
        <v>1234</v>
      </c>
      <c r="AH1899" s="194" t="s">
        <v>679</v>
      </c>
      <c r="AI1899" s="6" t="s">
        <v>2988</v>
      </c>
      <c r="AJ1899" s="3" t="s">
        <v>8247</v>
      </c>
      <c r="AK1899" t="s">
        <v>8247</v>
      </c>
      <c r="AV1899"/>
      <c r="AX1899"/>
      <c r="AZ1899" t="str">
        <f t="shared" si="279"/>
        <v/>
      </c>
      <c r="BA1899" t="str">
        <f t="shared" si="280"/>
        <v/>
      </c>
    </row>
    <row r="1900" spans="3:53" ht="13.5">
      <c r="C1900" s="19"/>
      <c r="D1900" s="19"/>
      <c r="AC1900" s="6" t="s">
        <v>3369</v>
      </c>
      <c r="AD1900" s="6" t="s">
        <v>7353</v>
      </c>
      <c r="AE1900" s="155" t="s">
        <v>2687</v>
      </c>
      <c r="AF1900" s="159" t="s">
        <v>8299</v>
      </c>
      <c r="AG1900" s="160" t="s">
        <v>4417</v>
      </c>
      <c r="AH1900" s="194" t="s">
        <v>679</v>
      </c>
      <c r="AI1900" s="6" t="s">
        <v>2990</v>
      </c>
      <c r="AJ1900" s="3" t="s">
        <v>8211</v>
      </c>
      <c r="AK1900" t="s">
        <v>8242</v>
      </c>
      <c r="AV1900"/>
      <c r="AX1900"/>
      <c r="AZ1900" t="str">
        <f t="shared" si="279"/>
        <v/>
      </c>
      <c r="BA1900" t="str">
        <f t="shared" si="280"/>
        <v/>
      </c>
    </row>
    <row r="1901" spans="3:53" ht="13.5">
      <c r="C1901" s="19"/>
      <c r="D1901" s="19"/>
      <c r="AC1901" s="6" t="s">
        <v>3515</v>
      </c>
      <c r="AD1901" s="6" t="s">
        <v>7408</v>
      </c>
      <c r="AE1901" s="155" t="s">
        <v>2688</v>
      </c>
      <c r="AF1901" s="159" t="s">
        <v>8299</v>
      </c>
      <c r="AG1901" s="160" t="s">
        <v>2311</v>
      </c>
      <c r="AH1901" s="194" t="s">
        <v>679</v>
      </c>
      <c r="AI1901" s="6" t="s">
        <v>3002</v>
      </c>
      <c r="AJ1901" s="3" t="s">
        <v>8220</v>
      </c>
      <c r="AK1901" t="s">
        <v>8220</v>
      </c>
      <c r="AV1901"/>
      <c r="AX1901"/>
      <c r="AZ1901" t="str">
        <f t="shared" si="279"/>
        <v/>
      </c>
      <c r="BA1901" t="str">
        <f t="shared" si="280"/>
        <v/>
      </c>
    </row>
    <row r="1902" spans="3:53" ht="13.5">
      <c r="C1902" s="19"/>
      <c r="D1902" s="19"/>
      <c r="AC1902" s="6" t="s">
        <v>3895</v>
      </c>
      <c r="AD1902" s="6" t="s">
        <v>7353</v>
      </c>
      <c r="AE1902" s="155" t="s">
        <v>2689</v>
      </c>
      <c r="AF1902" s="159" t="s">
        <v>8320</v>
      </c>
      <c r="AG1902" s="160" t="s">
        <v>2312</v>
      </c>
      <c r="AH1902" s="194" t="s">
        <v>679</v>
      </c>
      <c r="AI1902" s="6" t="s">
        <v>3008</v>
      </c>
      <c r="AJ1902" s="3" t="s">
        <v>8204</v>
      </c>
      <c r="AK1902" t="s">
        <v>8204</v>
      </c>
      <c r="AV1902"/>
      <c r="AX1902"/>
      <c r="AZ1902" t="str">
        <f t="shared" si="279"/>
        <v/>
      </c>
      <c r="BA1902" t="str">
        <f t="shared" si="280"/>
        <v/>
      </c>
    </row>
    <row r="1903" spans="3:53" ht="13.5">
      <c r="C1903" s="19"/>
      <c r="D1903" s="19"/>
      <c r="AC1903" s="6" t="s">
        <v>3136</v>
      </c>
      <c r="AD1903" s="6" t="s">
        <v>7353</v>
      </c>
      <c r="AE1903" s="155" t="s">
        <v>2690</v>
      </c>
      <c r="AF1903" s="159" t="s">
        <v>8299</v>
      </c>
      <c r="AG1903" s="160" t="s">
        <v>2313</v>
      </c>
      <c r="AH1903" s="194" t="s">
        <v>679</v>
      </c>
      <c r="AI1903" s="6" t="s">
        <v>3015</v>
      </c>
      <c r="AJ1903" s="3" t="s">
        <v>8240</v>
      </c>
      <c r="AK1903" t="s">
        <v>8240</v>
      </c>
      <c r="AV1903"/>
      <c r="AX1903"/>
      <c r="AZ1903" t="str">
        <f t="shared" si="279"/>
        <v/>
      </c>
      <c r="BA1903" t="str">
        <f t="shared" si="280"/>
        <v/>
      </c>
    </row>
    <row r="1904" spans="3:53" ht="13.5">
      <c r="C1904" s="19"/>
      <c r="D1904" s="19"/>
      <c r="AC1904" s="6" t="s">
        <v>3422</v>
      </c>
      <c r="AD1904" s="6" t="s">
        <v>7353</v>
      </c>
      <c r="AE1904" s="155" t="s">
        <v>2691</v>
      </c>
      <c r="AF1904" s="159" t="s">
        <v>8299</v>
      </c>
      <c r="AG1904" s="160" t="s">
        <v>1235</v>
      </c>
      <c r="AH1904" s="194" t="s">
        <v>679</v>
      </c>
      <c r="AI1904" s="6" t="s">
        <v>3033</v>
      </c>
      <c r="AJ1904" s="3" t="s">
        <v>8240</v>
      </c>
      <c r="AK1904" t="s">
        <v>8240</v>
      </c>
      <c r="AV1904"/>
      <c r="AX1904"/>
      <c r="AZ1904" t="str">
        <f t="shared" si="279"/>
        <v/>
      </c>
      <c r="BA1904" t="str">
        <f t="shared" si="280"/>
        <v/>
      </c>
    </row>
    <row r="1905" spans="3:53" ht="13.5">
      <c r="C1905" s="19"/>
      <c r="D1905" s="19"/>
      <c r="AC1905" s="6" t="s">
        <v>3104</v>
      </c>
      <c r="AD1905" s="6" t="s">
        <v>7353</v>
      </c>
      <c r="AE1905" s="155" t="s">
        <v>2692</v>
      </c>
      <c r="AF1905" s="159" t="s">
        <v>8299</v>
      </c>
      <c r="AG1905" s="160" t="s">
        <v>2795</v>
      </c>
      <c r="AH1905" s="194" t="s">
        <v>1314</v>
      </c>
      <c r="AI1905" s="6" t="s">
        <v>3039</v>
      </c>
      <c r="AJ1905" s="3" t="s">
        <v>8240</v>
      </c>
      <c r="AK1905" t="s">
        <v>8240</v>
      </c>
      <c r="AV1905"/>
      <c r="AX1905"/>
      <c r="AZ1905" t="str">
        <f t="shared" si="279"/>
        <v/>
      </c>
      <c r="BA1905" t="str">
        <f t="shared" si="280"/>
        <v/>
      </c>
    </row>
    <row r="1906" spans="3:53" ht="13.5">
      <c r="C1906" s="19"/>
      <c r="D1906" s="19"/>
      <c r="AC1906" s="6" t="s">
        <v>5392</v>
      </c>
      <c r="AD1906" s="6" t="s">
        <v>7353</v>
      </c>
      <c r="AE1906" s="155" t="s">
        <v>2693</v>
      </c>
      <c r="AF1906" s="159" t="s">
        <v>8299</v>
      </c>
      <c r="AG1906" s="160" t="s">
        <v>2334</v>
      </c>
      <c r="AH1906" s="194" t="s">
        <v>679</v>
      </c>
      <c r="AI1906" s="6" t="s">
        <v>3041</v>
      </c>
      <c r="AJ1906" s="3" t="s">
        <v>8246</v>
      </c>
      <c r="AK1906" t="s">
        <v>8246</v>
      </c>
      <c r="AV1906"/>
      <c r="AX1906"/>
      <c r="AZ1906" t="str">
        <f t="shared" si="279"/>
        <v/>
      </c>
      <c r="BA1906" t="str">
        <f t="shared" si="280"/>
        <v/>
      </c>
    </row>
    <row r="1907" spans="3:53" ht="13.5">
      <c r="C1907" s="19"/>
      <c r="D1907" s="19"/>
      <c r="AC1907" s="6" t="s">
        <v>5393</v>
      </c>
      <c r="AD1907" s="6" t="s">
        <v>7353</v>
      </c>
      <c r="AE1907" s="155" t="s">
        <v>2694</v>
      </c>
      <c r="AF1907" s="159" t="s">
        <v>8299</v>
      </c>
      <c r="AG1907" s="160" t="s">
        <v>2335</v>
      </c>
      <c r="AH1907" s="194" t="s">
        <v>679</v>
      </c>
      <c r="AI1907" s="6" t="s">
        <v>3045</v>
      </c>
      <c r="AJ1907" s="3" t="s">
        <v>8203</v>
      </c>
      <c r="AK1907" t="s">
        <v>8203</v>
      </c>
      <c r="AV1907"/>
      <c r="AX1907"/>
      <c r="AZ1907" t="str">
        <f t="shared" si="279"/>
        <v/>
      </c>
      <c r="BA1907" t="str">
        <f t="shared" si="280"/>
        <v/>
      </c>
    </row>
    <row r="1908" spans="3:53" ht="13.5">
      <c r="C1908" s="19"/>
      <c r="D1908" s="19"/>
      <c r="AC1908" s="6" t="s">
        <v>3467</v>
      </c>
      <c r="AD1908" s="6" t="s">
        <v>7353</v>
      </c>
      <c r="AE1908" s="155" t="s">
        <v>2695</v>
      </c>
      <c r="AF1908" s="159" t="s">
        <v>8299</v>
      </c>
      <c r="AG1908" s="160" t="s">
        <v>1242</v>
      </c>
      <c r="AH1908" s="194" t="s">
        <v>679</v>
      </c>
      <c r="AI1908" s="6" t="s">
        <v>3048</v>
      </c>
      <c r="AJ1908" s="3" t="s">
        <v>8193</v>
      </c>
      <c r="AK1908" t="s">
        <v>8205</v>
      </c>
      <c r="AV1908"/>
      <c r="AX1908"/>
      <c r="AZ1908" t="str">
        <f t="shared" si="279"/>
        <v/>
      </c>
      <c r="BA1908" t="str">
        <f t="shared" si="280"/>
        <v/>
      </c>
    </row>
    <row r="1909" spans="3:53" ht="13.5">
      <c r="C1909" s="19"/>
      <c r="D1909" s="19"/>
      <c r="AC1909" s="6" t="s">
        <v>2899</v>
      </c>
      <c r="AD1909" s="6" t="s">
        <v>7353</v>
      </c>
      <c r="AE1909" s="155" t="s">
        <v>2696</v>
      </c>
      <c r="AF1909" s="159" t="s">
        <v>8299</v>
      </c>
      <c r="AG1909" s="160" t="s">
        <v>2346</v>
      </c>
      <c r="AH1909" s="194" t="s">
        <v>679</v>
      </c>
      <c r="AI1909" s="6" t="s">
        <v>3050</v>
      </c>
      <c r="AJ1909" s="3" t="s">
        <v>8205</v>
      </c>
      <c r="AK1909" t="s">
        <v>8211</v>
      </c>
      <c r="AV1909"/>
      <c r="AX1909"/>
      <c r="AZ1909" t="str">
        <f t="shared" si="279"/>
        <v/>
      </c>
      <c r="BA1909" t="str">
        <f t="shared" si="280"/>
        <v/>
      </c>
    </row>
    <row r="1910" spans="3:53" ht="13.5">
      <c r="C1910" s="19"/>
      <c r="D1910" s="19"/>
      <c r="AC1910" s="6" t="s">
        <v>5404</v>
      </c>
      <c r="AD1910" s="6" t="s">
        <v>7353</v>
      </c>
      <c r="AE1910" s="155" t="s">
        <v>2697</v>
      </c>
      <c r="AF1910" s="159" t="s">
        <v>8309</v>
      </c>
      <c r="AG1910" s="160" t="s">
        <v>3855</v>
      </c>
      <c r="AH1910" s="194" t="s">
        <v>679</v>
      </c>
      <c r="AI1910" s="6" t="s">
        <v>3051</v>
      </c>
      <c r="AJ1910" s="3" t="s">
        <v>8264</v>
      </c>
      <c r="AK1910" t="s">
        <v>8264</v>
      </c>
      <c r="AV1910"/>
      <c r="AX1910"/>
      <c r="AZ1910" t="str">
        <f t="shared" si="279"/>
        <v/>
      </c>
      <c r="BA1910" t="str">
        <f t="shared" si="280"/>
        <v/>
      </c>
    </row>
    <row r="1911" spans="3:53" ht="13.5">
      <c r="C1911" s="19"/>
      <c r="D1911" s="19"/>
      <c r="AC1911" s="6" t="s">
        <v>3517</v>
      </c>
      <c r="AD1911" s="6" t="s">
        <v>7409</v>
      </c>
      <c r="AE1911" s="155" t="s">
        <v>2698</v>
      </c>
      <c r="AF1911" s="159" t="s">
        <v>8299</v>
      </c>
      <c r="AG1911" s="160" t="s">
        <v>2369</v>
      </c>
      <c r="AH1911" s="194" t="s">
        <v>679</v>
      </c>
      <c r="AI1911" s="6" t="s">
        <v>3053</v>
      </c>
      <c r="AJ1911" s="3" t="s">
        <v>8264</v>
      </c>
      <c r="AK1911" t="s">
        <v>8264</v>
      </c>
      <c r="AV1911"/>
      <c r="AX1911"/>
      <c r="AZ1911" t="str">
        <f t="shared" si="279"/>
        <v/>
      </c>
      <c r="BA1911" t="str">
        <f t="shared" si="280"/>
        <v/>
      </c>
    </row>
    <row r="1912" spans="3:53" ht="13.5">
      <c r="C1912" s="19"/>
      <c r="D1912" s="19"/>
      <c r="AC1912" s="6" t="s">
        <v>5326</v>
      </c>
      <c r="AD1912" s="6" t="s">
        <v>7353</v>
      </c>
      <c r="AE1912" s="155" t="s">
        <v>2699</v>
      </c>
      <c r="AF1912" s="159" t="s">
        <v>8299</v>
      </c>
      <c r="AG1912" s="160" t="s">
        <v>2792</v>
      </c>
      <c r="AH1912" s="194" t="s">
        <v>679</v>
      </c>
      <c r="AI1912" s="6" t="s">
        <v>3056</v>
      </c>
      <c r="AJ1912" s="3" t="s">
        <v>8211</v>
      </c>
      <c r="AK1912" t="s">
        <v>8242</v>
      </c>
      <c r="AV1912"/>
      <c r="AX1912"/>
      <c r="AZ1912" t="str">
        <f t="shared" si="279"/>
        <v/>
      </c>
      <c r="BA1912" t="str">
        <f t="shared" si="280"/>
        <v/>
      </c>
    </row>
    <row r="1913" spans="3:53" ht="13.5">
      <c r="C1913" s="19"/>
      <c r="D1913" s="19"/>
      <c r="AC1913" s="6" t="s">
        <v>5584</v>
      </c>
      <c r="AD1913" s="6" t="s">
        <v>7353</v>
      </c>
      <c r="AE1913" s="155" t="s">
        <v>2700</v>
      </c>
      <c r="AF1913" s="159" t="s">
        <v>8299</v>
      </c>
      <c r="AG1913" s="160" t="s">
        <v>2803</v>
      </c>
      <c r="AH1913" s="194" t="s">
        <v>679</v>
      </c>
      <c r="AI1913" s="6" t="s">
        <v>3057</v>
      </c>
      <c r="AJ1913" s="3" t="s">
        <v>8264</v>
      </c>
      <c r="AK1913" t="s">
        <v>8264</v>
      </c>
      <c r="AV1913"/>
      <c r="AX1913"/>
      <c r="AZ1913" t="str">
        <f t="shared" si="279"/>
        <v/>
      </c>
      <c r="BA1913" t="str">
        <f t="shared" si="280"/>
        <v/>
      </c>
    </row>
    <row r="1914" spans="3:53" ht="13.5">
      <c r="C1914" s="19"/>
      <c r="D1914" s="19"/>
      <c r="AC1914" s="6" t="s">
        <v>3894</v>
      </c>
      <c r="AD1914" s="6" t="s">
        <v>7353</v>
      </c>
      <c r="AE1914" s="155" t="s">
        <v>2701</v>
      </c>
      <c r="AF1914" s="159" t="s">
        <v>8299</v>
      </c>
      <c r="AG1914" s="160" t="s">
        <v>4420</v>
      </c>
      <c r="AH1914" s="194" t="s">
        <v>679</v>
      </c>
      <c r="AI1914" s="6" t="s">
        <v>3059</v>
      </c>
      <c r="AJ1914" s="3" t="s">
        <v>8205</v>
      </c>
      <c r="AK1914" t="s">
        <v>8211</v>
      </c>
      <c r="AV1914"/>
      <c r="AX1914"/>
      <c r="AZ1914" t="str">
        <f t="shared" ref="AZ1914:AZ1977" si="281">IF(ISBLANK(AW1914),"",CONCATENATE("(",RIGHT(AW1914,5),"-",TEXT(AX1914,"h:mm;@"),")"))</f>
        <v/>
      </c>
      <c r="BA1914" t="str">
        <f t="shared" ref="BA1914:BA1977" si="282">IF(AV1930=AV1914,"",CONCATENATE(IF(AV1929=AV1914,BA1929,""),IF(AV1928=AV1914,BA1928,""),IF(AV1927=AV1914,BA1927,""),IF(AV1926=AV1914,BA1926,""),IF(AV1925=AV1914,BA1925,""),IF(AV1924=AV1914,BA1924,""),IF(AV1923=AV1914,BA1923,""),IF(AV1922=AV1914,BA1922,""),IF(AV1921=AV1914,BA1921,""),IF(AV1920=AV1914,BA1920,""),IF(AV1919=AV1914,BA1919,""),IF(AV1918=AV1914,BA1918,""),IF(AV1917=AV1914,BA1917,""),IF(AV1916=AV1914,BA1916,""),IF(AV1915=AV1914,BA1915,""),IF(AV1913=AV1914,BA1913,""),BA1914))</f>
        <v/>
      </c>
    </row>
    <row r="1915" spans="3:53" ht="13.5">
      <c r="C1915" s="19"/>
      <c r="D1915" s="19"/>
      <c r="AC1915" s="6" t="s">
        <v>3475</v>
      </c>
      <c r="AD1915" s="6" t="s">
        <v>7398</v>
      </c>
      <c r="AE1915" s="155" t="s">
        <v>2702</v>
      </c>
      <c r="AF1915" s="159" t="s">
        <v>8339</v>
      </c>
      <c r="AG1915" s="160" t="s">
        <v>4776</v>
      </c>
      <c r="AH1915" s="194" t="s">
        <v>679</v>
      </c>
      <c r="AI1915" s="6" t="s">
        <v>3064</v>
      </c>
      <c r="AJ1915" s="3" t="s">
        <v>8247</v>
      </c>
      <c r="AK1915" t="s">
        <v>8247</v>
      </c>
      <c r="AV1915"/>
      <c r="AX1915"/>
      <c r="AZ1915" t="str">
        <f t="shared" si="281"/>
        <v/>
      </c>
      <c r="BA1915" t="str">
        <f t="shared" si="282"/>
        <v/>
      </c>
    </row>
    <row r="1916" spans="3:53" ht="13.5">
      <c r="C1916" s="19"/>
      <c r="D1916" s="19"/>
      <c r="AC1916" s="6" t="s">
        <v>3072</v>
      </c>
      <c r="AD1916" s="6" t="s">
        <v>7353</v>
      </c>
      <c r="AE1916" s="155" t="s">
        <v>2703</v>
      </c>
      <c r="AF1916" s="159" t="s">
        <v>8299</v>
      </c>
      <c r="AG1916" s="160" t="s">
        <v>4424</v>
      </c>
      <c r="AH1916" s="194" t="s">
        <v>679</v>
      </c>
      <c r="AI1916" s="6" t="s">
        <v>3065</v>
      </c>
      <c r="AJ1916" s="3" t="s">
        <v>8220</v>
      </c>
      <c r="AK1916" t="s">
        <v>8220</v>
      </c>
      <c r="AV1916"/>
      <c r="AX1916"/>
      <c r="AZ1916" t="str">
        <f t="shared" si="281"/>
        <v/>
      </c>
      <c r="BA1916" t="str">
        <f t="shared" si="282"/>
        <v/>
      </c>
    </row>
    <row r="1917" spans="3:53" ht="13.5">
      <c r="C1917" s="19"/>
      <c r="D1917" s="19"/>
      <c r="AC1917" s="6" t="s">
        <v>3463</v>
      </c>
      <c r="AD1917" s="6" t="s">
        <v>7410</v>
      </c>
      <c r="AE1917" s="155" t="s">
        <v>2704</v>
      </c>
      <c r="AF1917" s="159" t="s">
        <v>8299</v>
      </c>
      <c r="AG1917" s="160" t="s">
        <v>4425</v>
      </c>
      <c r="AH1917" s="194" t="s">
        <v>679</v>
      </c>
      <c r="AI1917" s="6" t="s">
        <v>3066</v>
      </c>
      <c r="AJ1917" s="3" t="s">
        <v>8205</v>
      </c>
      <c r="AK1917" t="s">
        <v>8211</v>
      </c>
      <c r="AV1917"/>
      <c r="AX1917"/>
      <c r="AZ1917" t="str">
        <f t="shared" si="281"/>
        <v/>
      </c>
      <c r="BA1917" t="str">
        <f t="shared" si="282"/>
        <v/>
      </c>
    </row>
    <row r="1918" spans="3:53" ht="13.5">
      <c r="C1918" s="19"/>
      <c r="D1918" s="19"/>
      <c r="AC1918" s="6" t="s">
        <v>2997</v>
      </c>
      <c r="AD1918" s="6" t="s">
        <v>7353</v>
      </c>
      <c r="AE1918" s="155" t="s">
        <v>2705</v>
      </c>
      <c r="AF1918" s="159" t="s">
        <v>8299</v>
      </c>
      <c r="AG1918" s="160" t="s">
        <v>4762</v>
      </c>
      <c r="AH1918" s="194" t="s">
        <v>679</v>
      </c>
      <c r="AI1918" s="6" t="s">
        <v>3068</v>
      </c>
      <c r="AJ1918" s="3" t="s">
        <v>8220</v>
      </c>
      <c r="AK1918" t="s">
        <v>8220</v>
      </c>
      <c r="AV1918"/>
      <c r="AX1918"/>
      <c r="AZ1918" t="str">
        <f t="shared" si="281"/>
        <v/>
      </c>
      <c r="BA1918" t="str">
        <f t="shared" si="282"/>
        <v/>
      </c>
    </row>
    <row r="1919" spans="3:53" ht="13.5">
      <c r="C1919" s="19"/>
      <c r="D1919" s="19"/>
      <c r="AC1919" s="6" t="s">
        <v>5610</v>
      </c>
      <c r="AD1919" s="6" t="s">
        <v>7353</v>
      </c>
      <c r="AE1919" s="155" t="s">
        <v>2706</v>
      </c>
      <c r="AF1919" s="159" t="s">
        <v>8299</v>
      </c>
      <c r="AG1919" s="160" t="s">
        <v>2384</v>
      </c>
      <c r="AH1919" s="194" t="s">
        <v>679</v>
      </c>
      <c r="AI1919" s="6" t="s">
        <v>3070</v>
      </c>
      <c r="AJ1919" s="3" t="s">
        <v>8247</v>
      </c>
      <c r="AK1919" t="s">
        <v>8247</v>
      </c>
      <c r="AV1919"/>
      <c r="AX1919"/>
      <c r="AZ1919" t="str">
        <f t="shared" si="281"/>
        <v/>
      </c>
      <c r="BA1919" t="str">
        <f t="shared" si="282"/>
        <v/>
      </c>
    </row>
    <row r="1920" spans="3:53" ht="13.5">
      <c r="C1920" s="19"/>
      <c r="D1920" s="19"/>
      <c r="AC1920" s="6" t="s">
        <v>2854</v>
      </c>
      <c r="AD1920" s="6" t="s">
        <v>7353</v>
      </c>
      <c r="AE1920" s="155" t="s">
        <v>2709</v>
      </c>
      <c r="AF1920" s="159" t="s">
        <v>8340</v>
      </c>
      <c r="AG1920" s="160" t="s">
        <v>2385</v>
      </c>
      <c r="AH1920" s="194" t="s">
        <v>679</v>
      </c>
      <c r="AI1920" s="6" t="s">
        <v>3078</v>
      </c>
      <c r="AJ1920" s="3" t="s">
        <v>8203</v>
      </c>
      <c r="AK1920" t="s">
        <v>8203</v>
      </c>
      <c r="AV1920"/>
      <c r="AX1920"/>
      <c r="AZ1920" t="str">
        <f t="shared" si="281"/>
        <v/>
      </c>
      <c r="BA1920" t="str">
        <f t="shared" si="282"/>
        <v/>
      </c>
    </row>
    <row r="1921" spans="3:53" ht="13.5">
      <c r="C1921" s="19"/>
      <c r="D1921" s="19"/>
      <c r="AC1921" s="6" t="s">
        <v>3476</v>
      </c>
      <c r="AD1921" s="6" t="s">
        <v>7398</v>
      </c>
      <c r="AE1921" s="155" t="s">
        <v>2714</v>
      </c>
      <c r="AF1921" s="159" t="s">
        <v>8299</v>
      </c>
      <c r="AG1921" s="160" t="s">
        <v>2386</v>
      </c>
      <c r="AH1921" s="194" t="s">
        <v>679</v>
      </c>
      <c r="AI1921" s="6" t="s">
        <v>3080</v>
      </c>
      <c r="AJ1921" s="3" t="s">
        <v>8205</v>
      </c>
      <c r="AK1921" t="s">
        <v>8211</v>
      </c>
      <c r="AV1921"/>
      <c r="AX1921"/>
      <c r="AZ1921" t="str">
        <f t="shared" si="281"/>
        <v/>
      </c>
      <c r="BA1921" t="str">
        <f t="shared" si="282"/>
        <v/>
      </c>
    </row>
    <row r="1922" spans="3:53" ht="13.5">
      <c r="C1922" s="19"/>
      <c r="D1922" s="19"/>
      <c r="AC1922" s="6" t="s">
        <v>3305</v>
      </c>
      <c r="AD1922" s="6" t="s">
        <v>7353</v>
      </c>
      <c r="AE1922" s="155" t="s">
        <v>2715</v>
      </c>
      <c r="AF1922" s="159" t="s">
        <v>8299</v>
      </c>
      <c r="AG1922" s="160" t="s">
        <v>2387</v>
      </c>
      <c r="AH1922" s="194" t="s">
        <v>679</v>
      </c>
      <c r="AI1922" s="6" t="s">
        <v>3088</v>
      </c>
      <c r="AJ1922" s="3" t="s">
        <v>8240</v>
      </c>
      <c r="AK1922" t="s">
        <v>8240</v>
      </c>
      <c r="AV1922"/>
      <c r="AX1922"/>
      <c r="AZ1922" t="str">
        <f t="shared" si="281"/>
        <v/>
      </c>
      <c r="BA1922" t="str">
        <f t="shared" si="282"/>
        <v/>
      </c>
    </row>
    <row r="1923" spans="3:53" ht="13.5">
      <c r="C1923" s="19"/>
      <c r="D1923" s="19"/>
      <c r="AC1923" s="6" t="s">
        <v>3485</v>
      </c>
      <c r="AD1923" s="6" t="s">
        <v>7411</v>
      </c>
      <c r="AE1923" s="155" t="s">
        <v>2716</v>
      </c>
      <c r="AF1923" s="159" t="s">
        <v>8309</v>
      </c>
      <c r="AG1923" s="160" t="s">
        <v>2388</v>
      </c>
      <c r="AH1923" s="194" t="s">
        <v>678</v>
      </c>
      <c r="AI1923" s="6" t="s">
        <v>3092</v>
      </c>
      <c r="AJ1923" s="3" t="s">
        <v>8264</v>
      </c>
      <c r="AK1923" t="s">
        <v>8264</v>
      </c>
      <c r="AV1923"/>
      <c r="AX1923"/>
      <c r="AZ1923" t="str">
        <f t="shared" si="281"/>
        <v/>
      </c>
      <c r="BA1923" t="str">
        <f t="shared" si="282"/>
        <v/>
      </c>
    </row>
    <row r="1924" spans="3:53" ht="13.5">
      <c r="C1924" s="19"/>
      <c r="D1924" s="19"/>
      <c r="AC1924" s="6" t="s">
        <v>2858</v>
      </c>
      <c r="AD1924" s="6" t="s">
        <v>7353</v>
      </c>
      <c r="AE1924" s="155" t="s">
        <v>2717</v>
      </c>
      <c r="AF1924" s="159" t="s">
        <v>8299</v>
      </c>
      <c r="AG1924" s="160" t="s">
        <v>2389</v>
      </c>
      <c r="AH1924" s="194" t="s">
        <v>679</v>
      </c>
      <c r="AI1924" s="6" t="s">
        <v>3099</v>
      </c>
      <c r="AJ1924" s="3" t="s">
        <v>8193</v>
      </c>
      <c r="AK1924" t="s">
        <v>8205</v>
      </c>
      <c r="AV1924"/>
      <c r="AX1924"/>
      <c r="AZ1924" t="str">
        <f t="shared" si="281"/>
        <v/>
      </c>
      <c r="BA1924" t="str">
        <f t="shared" si="282"/>
        <v/>
      </c>
    </row>
    <row r="1925" spans="3:53" ht="13.5">
      <c r="C1925" s="19"/>
      <c r="D1925" s="19"/>
      <c r="AC1925" s="6" t="s">
        <v>3028</v>
      </c>
      <c r="AD1925" s="6" t="s">
        <v>7353</v>
      </c>
      <c r="AE1925" s="155" t="s">
        <v>2718</v>
      </c>
      <c r="AF1925" s="159" t="s">
        <v>8299</v>
      </c>
      <c r="AG1925" s="160" t="s">
        <v>2390</v>
      </c>
      <c r="AH1925" s="194" t="s">
        <v>679</v>
      </c>
      <c r="AI1925" s="6" t="s">
        <v>3100</v>
      </c>
      <c r="AJ1925" s="3" t="s">
        <v>8247</v>
      </c>
      <c r="AK1925" t="s">
        <v>8247</v>
      </c>
      <c r="AV1925"/>
      <c r="AX1925"/>
      <c r="AZ1925" t="str">
        <f t="shared" si="281"/>
        <v/>
      </c>
      <c r="BA1925" t="str">
        <f t="shared" si="282"/>
        <v/>
      </c>
    </row>
    <row r="1926" spans="3:53" ht="13.5">
      <c r="C1926" s="19"/>
      <c r="D1926" s="19"/>
      <c r="AC1926" s="6" t="s">
        <v>3886</v>
      </c>
      <c r="AD1926" s="6" t="s">
        <v>7353</v>
      </c>
      <c r="AE1926" s="155" t="s">
        <v>2719</v>
      </c>
      <c r="AF1926" s="159" t="s">
        <v>8299</v>
      </c>
      <c r="AG1926" s="161" t="s">
        <v>2391</v>
      </c>
      <c r="AH1926" s="194" t="s">
        <v>679</v>
      </c>
      <c r="AI1926" s="6" t="s">
        <v>3101</v>
      </c>
      <c r="AJ1926" s="3" t="s">
        <v>8240</v>
      </c>
      <c r="AK1926" t="s">
        <v>8240</v>
      </c>
      <c r="AV1926"/>
      <c r="AX1926"/>
      <c r="AZ1926" t="str">
        <f t="shared" si="281"/>
        <v/>
      </c>
      <c r="BA1926" t="str">
        <f t="shared" si="282"/>
        <v/>
      </c>
    </row>
    <row r="1927" spans="3:53" ht="13.5">
      <c r="C1927" s="19"/>
      <c r="D1927" s="19"/>
      <c r="AC1927" s="6" t="s">
        <v>3005</v>
      </c>
      <c r="AD1927" s="6" t="s">
        <v>7353</v>
      </c>
      <c r="AE1927" s="155" t="s">
        <v>2720</v>
      </c>
      <c r="AF1927" s="159" t="s">
        <v>8299</v>
      </c>
      <c r="AG1927" s="160" t="s">
        <v>2392</v>
      </c>
      <c r="AH1927" s="194" t="s">
        <v>679</v>
      </c>
      <c r="AI1927" s="6" t="s">
        <v>3109</v>
      </c>
      <c r="AJ1927" s="3" t="s">
        <v>8211</v>
      </c>
      <c r="AK1927" t="s">
        <v>8242</v>
      </c>
      <c r="AV1927"/>
      <c r="AX1927"/>
      <c r="AZ1927" t="str">
        <f t="shared" si="281"/>
        <v/>
      </c>
      <c r="BA1927" t="str">
        <f t="shared" si="282"/>
        <v/>
      </c>
    </row>
    <row r="1928" spans="3:53" ht="13.5">
      <c r="C1928" s="19"/>
      <c r="D1928" s="19"/>
      <c r="AC1928" s="6" t="s">
        <v>5717</v>
      </c>
      <c r="AD1928" s="6" t="s">
        <v>7353</v>
      </c>
      <c r="AE1928" s="155" t="s">
        <v>2721</v>
      </c>
      <c r="AF1928" s="159" t="s">
        <v>8297</v>
      </c>
      <c r="AG1928" s="160" t="s">
        <v>2393</v>
      </c>
      <c r="AH1928" s="194" t="s">
        <v>678</v>
      </c>
      <c r="AI1928" s="6" t="s">
        <v>3110</v>
      </c>
      <c r="AJ1928" s="3" t="s">
        <v>8211</v>
      </c>
      <c r="AK1928" t="s">
        <v>8242</v>
      </c>
      <c r="AV1928"/>
      <c r="AX1928"/>
      <c r="AZ1928" t="str">
        <f t="shared" si="281"/>
        <v/>
      </c>
      <c r="BA1928" t="str">
        <f t="shared" si="282"/>
        <v/>
      </c>
    </row>
    <row r="1929" spans="3:53" ht="13.5">
      <c r="C1929" s="19"/>
      <c r="D1929" s="19"/>
      <c r="AC1929" s="6" t="s">
        <v>3324</v>
      </c>
      <c r="AD1929" s="6" t="s">
        <v>7353</v>
      </c>
      <c r="AE1929" s="155" t="s">
        <v>2722</v>
      </c>
      <c r="AF1929" s="159" t="s">
        <v>8299</v>
      </c>
      <c r="AG1929" s="160" t="s">
        <v>2394</v>
      </c>
      <c r="AH1929" s="194" t="s">
        <v>678</v>
      </c>
      <c r="AI1929" s="6" t="s">
        <v>3111</v>
      </c>
      <c r="AJ1929" s="3" t="s">
        <v>8220</v>
      </c>
      <c r="AK1929" t="s">
        <v>8220</v>
      </c>
      <c r="AV1929"/>
      <c r="AX1929"/>
      <c r="AZ1929" t="str">
        <f t="shared" si="281"/>
        <v/>
      </c>
      <c r="BA1929" t="str">
        <f t="shared" si="282"/>
        <v/>
      </c>
    </row>
    <row r="1930" spans="3:53" ht="13.5">
      <c r="C1930" s="19"/>
      <c r="D1930" s="19"/>
      <c r="AC1930" s="6" t="s">
        <v>5384</v>
      </c>
      <c r="AD1930" s="6" t="s">
        <v>7353</v>
      </c>
      <c r="AE1930" s="155" t="s">
        <v>2723</v>
      </c>
      <c r="AF1930" s="159" t="s">
        <v>8299</v>
      </c>
      <c r="AG1930" s="160" t="s">
        <v>2395</v>
      </c>
      <c r="AH1930" s="194" t="s">
        <v>679</v>
      </c>
      <c r="AI1930" s="6" t="s">
        <v>3112</v>
      </c>
      <c r="AJ1930" s="3" t="s">
        <v>8220</v>
      </c>
      <c r="AK1930" t="s">
        <v>8220</v>
      </c>
      <c r="AV1930"/>
      <c r="AX1930"/>
      <c r="AZ1930" t="str">
        <f t="shared" si="281"/>
        <v/>
      </c>
      <c r="BA1930" t="str">
        <f t="shared" si="282"/>
        <v/>
      </c>
    </row>
    <row r="1931" spans="3:53" ht="13.5">
      <c r="C1931" s="19"/>
      <c r="D1931" s="19"/>
      <c r="AC1931" s="6" t="s">
        <v>4814</v>
      </c>
      <c r="AD1931" s="6" t="s">
        <v>7353</v>
      </c>
      <c r="AE1931" s="155" t="s">
        <v>2724</v>
      </c>
      <c r="AF1931" s="159" t="s">
        <v>8299</v>
      </c>
      <c r="AG1931" s="160" t="s">
        <v>2396</v>
      </c>
      <c r="AH1931" s="194" t="s">
        <v>678</v>
      </c>
      <c r="AI1931" s="6" t="s">
        <v>3113</v>
      </c>
      <c r="AJ1931" s="3" t="s">
        <v>8220</v>
      </c>
      <c r="AK1931" t="s">
        <v>8220</v>
      </c>
      <c r="AV1931"/>
      <c r="AX1931"/>
      <c r="AZ1931" t="str">
        <f t="shared" si="281"/>
        <v/>
      </c>
      <c r="BA1931" t="str">
        <f t="shared" si="282"/>
        <v/>
      </c>
    </row>
    <row r="1932" spans="3:53" ht="13.5">
      <c r="C1932" s="19"/>
      <c r="D1932" s="19"/>
      <c r="AC1932" s="6" t="s">
        <v>3008</v>
      </c>
      <c r="AD1932" s="6" t="s">
        <v>7353</v>
      </c>
      <c r="AE1932" s="155" t="s">
        <v>2725</v>
      </c>
      <c r="AF1932" s="159" t="s">
        <v>8299</v>
      </c>
      <c r="AG1932" s="161" t="s">
        <v>2399</v>
      </c>
      <c r="AH1932" s="194" t="s">
        <v>679</v>
      </c>
      <c r="AI1932" s="6" t="s">
        <v>3115</v>
      </c>
      <c r="AJ1932" s="3" t="s">
        <v>8205</v>
      </c>
      <c r="AK1932" t="s">
        <v>8211</v>
      </c>
      <c r="AV1932"/>
      <c r="AX1932"/>
      <c r="AZ1932" t="str">
        <f t="shared" si="281"/>
        <v/>
      </c>
      <c r="BA1932" t="str">
        <f t="shared" si="282"/>
        <v/>
      </c>
    </row>
    <row r="1933" spans="3:53" ht="13.5">
      <c r="C1933" s="19"/>
      <c r="D1933" s="19"/>
      <c r="AC1933" s="6" t="s">
        <v>3078</v>
      </c>
      <c r="AD1933" s="6" t="s">
        <v>7353</v>
      </c>
      <c r="AE1933" s="155" t="s">
        <v>2726</v>
      </c>
      <c r="AF1933" s="159" t="s">
        <v>8299</v>
      </c>
      <c r="AG1933" s="160" t="s">
        <v>2400</v>
      </c>
      <c r="AH1933" s="194" t="s">
        <v>679</v>
      </c>
      <c r="AI1933" s="6" t="s">
        <v>3123</v>
      </c>
      <c r="AJ1933" s="3" t="s">
        <v>8240</v>
      </c>
      <c r="AK1933" t="s">
        <v>8240</v>
      </c>
      <c r="AV1933"/>
      <c r="AX1933"/>
      <c r="AZ1933" t="str">
        <f t="shared" si="281"/>
        <v/>
      </c>
      <c r="BA1933" t="str">
        <f t="shared" si="282"/>
        <v/>
      </c>
    </row>
    <row r="1934" spans="3:53" ht="13.5">
      <c r="C1934" s="19"/>
      <c r="D1934" s="19"/>
      <c r="AC1934" s="6" t="s">
        <v>4430</v>
      </c>
      <c r="AD1934" s="6" t="s">
        <v>7353</v>
      </c>
      <c r="AE1934" s="155" t="s">
        <v>2727</v>
      </c>
      <c r="AF1934" s="159" t="s">
        <v>8299</v>
      </c>
      <c r="AG1934" s="160" t="s">
        <v>2401</v>
      </c>
      <c r="AH1934" s="194" t="s">
        <v>679</v>
      </c>
      <c r="AI1934" s="6" t="s">
        <v>3125</v>
      </c>
      <c r="AJ1934" s="3" t="s">
        <v>8193</v>
      </c>
      <c r="AK1934" t="s">
        <v>8205</v>
      </c>
      <c r="AV1934"/>
      <c r="AX1934"/>
      <c r="AZ1934" t="str">
        <f t="shared" si="281"/>
        <v/>
      </c>
      <c r="BA1934" t="str">
        <f t="shared" si="282"/>
        <v/>
      </c>
    </row>
    <row r="1935" spans="3:53" ht="13.5">
      <c r="C1935" s="19"/>
      <c r="D1935" s="19"/>
      <c r="AC1935" s="6" t="s">
        <v>5491</v>
      </c>
      <c r="AD1935" s="6" t="s">
        <v>7353</v>
      </c>
      <c r="AE1935" s="155" t="s">
        <v>2728</v>
      </c>
      <c r="AF1935" s="159" t="s">
        <v>8299</v>
      </c>
      <c r="AG1935" s="160" t="s">
        <v>2402</v>
      </c>
      <c r="AH1935" s="194" t="s">
        <v>679</v>
      </c>
      <c r="AI1935" s="6" t="s">
        <v>3126</v>
      </c>
      <c r="AJ1935" s="3" t="s">
        <v>8264</v>
      </c>
      <c r="AK1935" t="s">
        <v>8264</v>
      </c>
      <c r="AV1935"/>
      <c r="AX1935"/>
      <c r="AZ1935" t="str">
        <f t="shared" si="281"/>
        <v/>
      </c>
      <c r="BA1935" t="str">
        <f t="shared" si="282"/>
        <v/>
      </c>
    </row>
    <row r="1936" spans="3:53" ht="13.5">
      <c r="C1936" s="19"/>
      <c r="D1936" s="19"/>
      <c r="AC1936" s="6" t="s">
        <v>3365</v>
      </c>
      <c r="AD1936" s="6" t="s">
        <v>7353</v>
      </c>
      <c r="AE1936" s="155" t="s">
        <v>2729</v>
      </c>
      <c r="AF1936" s="159" t="s">
        <v>8299</v>
      </c>
      <c r="AG1936" s="160" t="s">
        <v>2403</v>
      </c>
      <c r="AH1936" s="194" t="s">
        <v>679</v>
      </c>
      <c r="AI1936" s="6" t="s">
        <v>3127</v>
      </c>
      <c r="AJ1936" s="3" t="s">
        <v>8240</v>
      </c>
      <c r="AK1936" t="s">
        <v>8240</v>
      </c>
      <c r="AV1936"/>
      <c r="AX1936"/>
      <c r="AZ1936" t="str">
        <f t="shared" si="281"/>
        <v/>
      </c>
      <c r="BA1936" t="str">
        <f t="shared" si="282"/>
        <v/>
      </c>
    </row>
    <row r="1937" spans="3:53" ht="13.5">
      <c r="C1937" s="19"/>
      <c r="D1937" s="19"/>
      <c r="AC1937" s="6" t="s">
        <v>2864</v>
      </c>
      <c r="AD1937" s="6" t="s">
        <v>7353</v>
      </c>
      <c r="AE1937" s="155" t="s">
        <v>2730</v>
      </c>
      <c r="AF1937" s="159" t="s">
        <v>8299</v>
      </c>
      <c r="AG1937" s="160" t="s">
        <v>2404</v>
      </c>
      <c r="AH1937" s="194" t="s">
        <v>679</v>
      </c>
      <c r="AI1937" s="6" t="s">
        <v>3129</v>
      </c>
      <c r="AJ1937" s="3" t="s">
        <v>8240</v>
      </c>
      <c r="AK1937" t="s">
        <v>8240</v>
      </c>
      <c r="AV1937"/>
      <c r="AX1937"/>
      <c r="AZ1937" t="str">
        <f t="shared" si="281"/>
        <v/>
      </c>
      <c r="BA1937" t="str">
        <f t="shared" si="282"/>
        <v/>
      </c>
    </row>
    <row r="1938" spans="3:53" ht="13.5">
      <c r="C1938" s="19"/>
      <c r="D1938" s="19"/>
      <c r="AC1938" s="6" t="s">
        <v>3385</v>
      </c>
      <c r="AD1938" s="6" t="s">
        <v>7353</v>
      </c>
      <c r="AE1938" s="155" t="s">
        <v>2731</v>
      </c>
      <c r="AF1938" s="159" t="s">
        <v>8299</v>
      </c>
      <c r="AG1938" s="160" t="s">
        <v>2405</v>
      </c>
      <c r="AH1938" s="194" t="s">
        <v>679</v>
      </c>
      <c r="AI1938" s="6" t="s">
        <v>3131</v>
      </c>
      <c r="AJ1938" s="3" t="s">
        <v>8204</v>
      </c>
      <c r="AK1938" t="s">
        <v>8204</v>
      </c>
      <c r="AV1938"/>
      <c r="AX1938"/>
      <c r="AZ1938" t="str">
        <f t="shared" si="281"/>
        <v/>
      </c>
      <c r="BA1938" t="str">
        <f t="shared" si="282"/>
        <v/>
      </c>
    </row>
    <row r="1939" spans="3:53" ht="13.5">
      <c r="C1939" s="19"/>
      <c r="D1939" s="19"/>
      <c r="AC1939" s="6" t="s">
        <v>3306</v>
      </c>
      <c r="AD1939" s="6" t="s">
        <v>7353</v>
      </c>
      <c r="AE1939" s="155" t="s">
        <v>2732</v>
      </c>
      <c r="AF1939" s="159" t="s">
        <v>8299</v>
      </c>
      <c r="AG1939" s="160" t="s">
        <v>2406</v>
      </c>
      <c r="AH1939" s="194" t="s">
        <v>679</v>
      </c>
      <c r="AI1939" s="6" t="s">
        <v>3139</v>
      </c>
      <c r="AJ1939" s="3" t="s">
        <v>8264</v>
      </c>
      <c r="AK1939" t="s">
        <v>8264</v>
      </c>
      <c r="AV1939"/>
      <c r="AX1939"/>
      <c r="AZ1939" t="str">
        <f t="shared" si="281"/>
        <v/>
      </c>
      <c r="BA1939" t="str">
        <f t="shared" si="282"/>
        <v/>
      </c>
    </row>
    <row r="1940" spans="3:53" ht="13.5">
      <c r="C1940" s="19"/>
      <c r="D1940" s="19"/>
      <c r="AC1940" s="6" t="s">
        <v>3193</v>
      </c>
      <c r="AD1940" s="6" t="s">
        <v>7353</v>
      </c>
      <c r="AE1940" s="155" t="s">
        <v>2733</v>
      </c>
      <c r="AF1940" s="159" t="s">
        <v>8299</v>
      </c>
      <c r="AG1940" s="160" t="s">
        <v>2407</v>
      </c>
      <c r="AH1940" s="194" t="s">
        <v>679</v>
      </c>
      <c r="AI1940" s="6" t="s">
        <v>3143</v>
      </c>
      <c r="AJ1940" s="3" t="s">
        <v>8264</v>
      </c>
      <c r="AK1940" t="s">
        <v>8264</v>
      </c>
      <c r="AV1940"/>
      <c r="AX1940"/>
      <c r="AZ1940" t="str">
        <f t="shared" si="281"/>
        <v/>
      </c>
      <c r="BA1940" t="str">
        <f t="shared" si="282"/>
        <v/>
      </c>
    </row>
    <row r="1941" spans="3:53" ht="13.5">
      <c r="C1941" s="19"/>
      <c r="D1941" s="19"/>
      <c r="AC1941" s="6" t="s">
        <v>3506</v>
      </c>
      <c r="AD1941" s="6" t="s">
        <v>7412</v>
      </c>
      <c r="AE1941" s="155" t="s">
        <v>2734</v>
      </c>
      <c r="AF1941" s="159" t="s">
        <v>8299</v>
      </c>
      <c r="AG1941" s="160" t="s">
        <v>2408</v>
      </c>
      <c r="AH1941" s="194" t="s">
        <v>679</v>
      </c>
      <c r="AI1941" s="6" t="s">
        <v>3161</v>
      </c>
      <c r="AJ1941" s="3" t="s">
        <v>8211</v>
      </c>
      <c r="AK1941" t="s">
        <v>8242</v>
      </c>
      <c r="AV1941"/>
      <c r="AX1941"/>
      <c r="AZ1941" t="str">
        <f t="shared" si="281"/>
        <v/>
      </c>
      <c r="BA1941" t="str">
        <f t="shared" si="282"/>
        <v/>
      </c>
    </row>
    <row r="1942" spans="3:53" ht="13.5">
      <c r="C1942" s="19"/>
      <c r="D1942" s="19"/>
      <c r="AC1942" s="6" t="s">
        <v>3006</v>
      </c>
      <c r="AD1942" s="6" t="s">
        <v>7353</v>
      </c>
      <c r="AE1942" s="155" t="s">
        <v>2735</v>
      </c>
      <c r="AF1942" s="159" t="s">
        <v>8299</v>
      </c>
      <c r="AG1942" s="160" t="s">
        <v>2409</v>
      </c>
      <c r="AH1942" s="194" t="s">
        <v>679</v>
      </c>
      <c r="AI1942" s="6" t="s">
        <v>3162</v>
      </c>
      <c r="AJ1942" s="3" t="s">
        <v>8193</v>
      </c>
      <c r="AK1942" t="s">
        <v>8205</v>
      </c>
      <c r="AV1942"/>
      <c r="AX1942"/>
      <c r="AZ1942" t="str">
        <f t="shared" si="281"/>
        <v/>
      </c>
      <c r="BA1942" t="str">
        <f t="shared" si="282"/>
        <v/>
      </c>
    </row>
    <row r="1943" spans="3:53" ht="13.5">
      <c r="C1943" s="19"/>
      <c r="D1943" s="19"/>
      <c r="AC1943" s="6" t="s">
        <v>3024</v>
      </c>
      <c r="AD1943" s="6" t="s">
        <v>7353</v>
      </c>
      <c r="AE1943" s="155" t="s">
        <v>2736</v>
      </c>
      <c r="AF1943" s="159" t="s">
        <v>8299</v>
      </c>
      <c r="AG1943" s="160" t="s">
        <v>2410</v>
      </c>
      <c r="AH1943" s="194" t="s">
        <v>679</v>
      </c>
      <c r="AI1943" s="6" t="s">
        <v>3164</v>
      </c>
      <c r="AJ1943" s="3" t="s">
        <v>8205</v>
      </c>
      <c r="AK1943" t="s">
        <v>8211</v>
      </c>
      <c r="AV1943"/>
      <c r="AX1943"/>
      <c r="AZ1943" t="str">
        <f t="shared" si="281"/>
        <v/>
      </c>
      <c r="BA1943" t="str">
        <f t="shared" si="282"/>
        <v/>
      </c>
    </row>
    <row r="1944" spans="3:53" ht="13.5">
      <c r="C1944" s="19"/>
      <c r="D1944" s="19"/>
      <c r="AC1944" s="6" t="s">
        <v>3303</v>
      </c>
      <c r="AD1944" s="6" t="s">
        <v>7353</v>
      </c>
      <c r="AE1944" s="155" t="s">
        <v>2737</v>
      </c>
      <c r="AF1944" s="159" t="s">
        <v>8299</v>
      </c>
      <c r="AG1944" s="160" t="s">
        <v>2411</v>
      </c>
      <c r="AH1944" s="194" t="s">
        <v>679</v>
      </c>
      <c r="AI1944" s="6" t="s">
        <v>3175</v>
      </c>
      <c r="AJ1944" s="3" t="s">
        <v>8205</v>
      </c>
      <c r="AK1944" t="s">
        <v>8211</v>
      </c>
      <c r="AV1944"/>
      <c r="AX1944"/>
      <c r="AZ1944" t="str">
        <f t="shared" si="281"/>
        <v/>
      </c>
      <c r="BA1944" t="str">
        <f t="shared" si="282"/>
        <v/>
      </c>
    </row>
    <row r="1945" spans="3:53" ht="13.5">
      <c r="C1945" s="19"/>
      <c r="D1945" s="19"/>
      <c r="AC1945" s="6" t="s">
        <v>3386</v>
      </c>
      <c r="AD1945" s="6" t="s">
        <v>7353</v>
      </c>
      <c r="AE1945" s="155" t="s">
        <v>2738</v>
      </c>
      <c r="AF1945" s="159" t="s">
        <v>8299</v>
      </c>
      <c r="AG1945" s="160" t="s">
        <v>2412</v>
      </c>
      <c r="AH1945" s="194" t="s">
        <v>679</v>
      </c>
      <c r="AI1945" s="6" t="s">
        <v>3176</v>
      </c>
      <c r="AJ1945" s="3" t="s">
        <v>8247</v>
      </c>
      <c r="AK1945" t="s">
        <v>8247</v>
      </c>
      <c r="AV1945"/>
      <c r="AX1945"/>
      <c r="AZ1945" t="str">
        <f t="shared" si="281"/>
        <v/>
      </c>
      <c r="BA1945" t="str">
        <f t="shared" si="282"/>
        <v/>
      </c>
    </row>
    <row r="1946" spans="3:53" ht="13.5">
      <c r="C1946" s="19"/>
      <c r="D1946" s="19"/>
      <c r="AC1946" s="6" t="s">
        <v>2938</v>
      </c>
      <c r="AD1946" s="6" t="s">
        <v>7353</v>
      </c>
      <c r="AE1946" s="155" t="s">
        <v>2739</v>
      </c>
      <c r="AF1946" s="159" t="s">
        <v>8299</v>
      </c>
      <c r="AG1946" s="160" t="s">
        <v>2413</v>
      </c>
      <c r="AH1946" s="194" t="s">
        <v>679</v>
      </c>
      <c r="AI1946" s="6" t="s">
        <v>3180</v>
      </c>
      <c r="AJ1946" s="3" t="s">
        <v>8211</v>
      </c>
      <c r="AK1946" t="s">
        <v>8242</v>
      </c>
      <c r="AV1946"/>
      <c r="AX1946"/>
      <c r="AZ1946" t="str">
        <f t="shared" si="281"/>
        <v/>
      </c>
      <c r="BA1946" t="str">
        <f t="shared" si="282"/>
        <v/>
      </c>
    </row>
    <row r="1947" spans="3:53" ht="13.5">
      <c r="C1947" s="19"/>
      <c r="D1947" s="19"/>
      <c r="AC1947" s="6" t="s">
        <v>3505</v>
      </c>
      <c r="AD1947" s="6" t="s">
        <v>7412</v>
      </c>
      <c r="AE1947" s="155" t="s">
        <v>2740</v>
      </c>
      <c r="AF1947" s="159" t="s">
        <v>8299</v>
      </c>
      <c r="AG1947" s="160" t="s">
        <v>2414</v>
      </c>
      <c r="AH1947" s="194" t="s">
        <v>679</v>
      </c>
      <c r="AI1947" s="6" t="s">
        <v>3183</v>
      </c>
      <c r="AJ1947" s="3" t="s">
        <v>8264</v>
      </c>
      <c r="AK1947" t="s">
        <v>8264</v>
      </c>
      <c r="AV1947"/>
      <c r="AX1947"/>
      <c r="AZ1947" t="str">
        <f t="shared" si="281"/>
        <v/>
      </c>
      <c r="BA1947" t="str">
        <f t="shared" si="282"/>
        <v/>
      </c>
    </row>
    <row r="1948" spans="3:53" ht="13.5">
      <c r="C1948" s="19"/>
      <c r="D1948" s="19"/>
      <c r="AC1948" s="6" t="s">
        <v>3167</v>
      </c>
      <c r="AD1948" s="6" t="s">
        <v>7353</v>
      </c>
      <c r="AE1948" s="155" t="s">
        <v>2741</v>
      </c>
      <c r="AF1948" s="159" t="s">
        <v>8299</v>
      </c>
      <c r="AG1948" s="160" t="s">
        <v>2415</v>
      </c>
      <c r="AH1948" s="194" t="s">
        <v>679</v>
      </c>
      <c r="AI1948" s="6" t="s">
        <v>3185</v>
      </c>
      <c r="AJ1948" s="3" t="s">
        <v>8220</v>
      </c>
      <c r="AK1948" t="s">
        <v>8220</v>
      </c>
      <c r="AV1948"/>
      <c r="AX1948"/>
      <c r="AZ1948" t="str">
        <f t="shared" si="281"/>
        <v/>
      </c>
      <c r="BA1948" t="str">
        <f t="shared" si="282"/>
        <v/>
      </c>
    </row>
    <row r="1949" spans="3:53" ht="13.5">
      <c r="C1949" s="19"/>
      <c r="D1949" s="19"/>
      <c r="AC1949" s="6" t="s">
        <v>5612</v>
      </c>
      <c r="AD1949" s="6" t="s">
        <v>7353</v>
      </c>
      <c r="AE1949" s="155" t="s">
        <v>2742</v>
      </c>
      <c r="AF1949" s="159" t="s">
        <v>8299</v>
      </c>
      <c r="AG1949" s="160" t="s">
        <v>2416</v>
      </c>
      <c r="AH1949" s="194" t="s">
        <v>679</v>
      </c>
      <c r="AI1949" s="6" t="s">
        <v>3187</v>
      </c>
      <c r="AJ1949" s="3" t="s">
        <v>8211</v>
      </c>
      <c r="AK1949" t="s">
        <v>8242</v>
      </c>
      <c r="AV1949"/>
      <c r="AX1949"/>
      <c r="AZ1949" t="str">
        <f t="shared" si="281"/>
        <v/>
      </c>
      <c r="BA1949" t="str">
        <f t="shared" si="282"/>
        <v/>
      </c>
    </row>
    <row r="1950" spans="3:53" ht="13.5">
      <c r="C1950" s="19"/>
      <c r="D1950" s="19"/>
      <c r="AC1950" s="6" t="s">
        <v>2859</v>
      </c>
      <c r="AD1950" s="6" t="s">
        <v>7353</v>
      </c>
      <c r="AE1950" s="155" t="s">
        <v>2743</v>
      </c>
      <c r="AF1950" s="159" t="s">
        <v>8299</v>
      </c>
      <c r="AG1950" s="160" t="s">
        <v>2417</v>
      </c>
      <c r="AH1950" s="194" t="s">
        <v>679</v>
      </c>
      <c r="AI1950" s="6" t="s">
        <v>3188</v>
      </c>
      <c r="AJ1950" s="3" t="s">
        <v>8220</v>
      </c>
      <c r="AK1950" t="s">
        <v>8220</v>
      </c>
      <c r="AV1950"/>
      <c r="AX1950"/>
      <c r="AZ1950" t="str">
        <f t="shared" si="281"/>
        <v/>
      </c>
      <c r="BA1950" t="str">
        <f t="shared" si="282"/>
        <v/>
      </c>
    </row>
    <row r="1951" spans="3:53" ht="13.5">
      <c r="C1951" s="19"/>
      <c r="D1951" s="19"/>
      <c r="AC1951" s="6" t="s">
        <v>3206</v>
      </c>
      <c r="AD1951" s="6" t="s">
        <v>7353</v>
      </c>
      <c r="AE1951" s="155" t="s">
        <v>2744</v>
      </c>
      <c r="AF1951" s="159" t="s">
        <v>8299</v>
      </c>
      <c r="AG1951" s="160" t="s">
        <v>2418</v>
      </c>
      <c r="AH1951" s="194" t="s">
        <v>678</v>
      </c>
      <c r="AI1951" s="6" t="s">
        <v>3190</v>
      </c>
      <c r="AJ1951" s="3" t="s">
        <v>8220</v>
      </c>
      <c r="AK1951" t="s">
        <v>8220</v>
      </c>
      <c r="AV1951"/>
      <c r="AX1951"/>
      <c r="AZ1951" t="str">
        <f t="shared" si="281"/>
        <v/>
      </c>
      <c r="BA1951" t="str">
        <f t="shared" si="282"/>
        <v/>
      </c>
    </row>
    <row r="1952" spans="3:53" ht="13.5">
      <c r="C1952" s="19"/>
      <c r="D1952" s="19"/>
      <c r="AC1952" s="6" t="s">
        <v>3177</v>
      </c>
      <c r="AD1952" s="6" t="s">
        <v>7353</v>
      </c>
      <c r="AE1952" s="155" t="s">
        <v>2745</v>
      </c>
      <c r="AF1952" s="159" t="s">
        <v>8299</v>
      </c>
      <c r="AG1952" s="160" t="s">
        <v>2419</v>
      </c>
      <c r="AH1952" s="194" t="s">
        <v>679</v>
      </c>
      <c r="AI1952" s="6" t="s">
        <v>3191</v>
      </c>
      <c r="AJ1952" s="3" t="s">
        <v>8193</v>
      </c>
      <c r="AK1952" t="s">
        <v>8205</v>
      </c>
      <c r="AV1952"/>
      <c r="AX1952"/>
      <c r="AZ1952" t="str">
        <f t="shared" si="281"/>
        <v/>
      </c>
      <c r="BA1952" t="str">
        <f t="shared" si="282"/>
        <v/>
      </c>
    </row>
    <row r="1953" spans="3:53" ht="13.5">
      <c r="C1953" s="19"/>
      <c r="D1953" s="19"/>
      <c r="AC1953" s="6" t="s">
        <v>3465</v>
      </c>
      <c r="AD1953" s="6" t="s">
        <v>7413</v>
      </c>
      <c r="AE1953" s="155" t="s">
        <v>2746</v>
      </c>
      <c r="AF1953" s="159" t="s">
        <v>8299</v>
      </c>
      <c r="AG1953" s="160" t="s">
        <v>2420</v>
      </c>
      <c r="AH1953" s="194" t="s">
        <v>679</v>
      </c>
      <c r="AI1953" s="6" t="s">
        <v>3192</v>
      </c>
      <c r="AJ1953" s="3" t="s">
        <v>8264</v>
      </c>
      <c r="AK1953" t="s">
        <v>8264</v>
      </c>
      <c r="AV1953"/>
      <c r="AX1953"/>
      <c r="AZ1953" t="str">
        <f t="shared" si="281"/>
        <v/>
      </c>
      <c r="BA1953" t="str">
        <f t="shared" si="282"/>
        <v/>
      </c>
    </row>
    <row r="1954" spans="3:53" ht="13.5">
      <c r="C1954" s="19"/>
      <c r="D1954" s="19"/>
      <c r="AC1954" s="6" t="s">
        <v>3045</v>
      </c>
      <c r="AD1954" s="6" t="s">
        <v>7353</v>
      </c>
      <c r="AE1954" s="155">
        <v>246296</v>
      </c>
      <c r="AF1954" s="159" t="s">
        <v>8299</v>
      </c>
      <c r="AG1954" s="160" t="s">
        <v>2421</v>
      </c>
      <c r="AH1954" s="194" t="s">
        <v>679</v>
      </c>
      <c r="AI1954" s="6" t="s">
        <v>3193</v>
      </c>
      <c r="AJ1954" s="3" t="s">
        <v>8193</v>
      </c>
      <c r="AK1954" t="s">
        <v>8205</v>
      </c>
      <c r="AV1954"/>
      <c r="AX1954"/>
      <c r="AZ1954" t="str">
        <f t="shared" si="281"/>
        <v/>
      </c>
      <c r="BA1954" t="str">
        <f t="shared" si="282"/>
        <v/>
      </c>
    </row>
    <row r="1955" spans="3:53" ht="13.5">
      <c r="C1955" s="19"/>
      <c r="D1955" s="19"/>
      <c r="AC1955" s="6" t="s">
        <v>3373</v>
      </c>
      <c r="AD1955" s="6" t="s">
        <v>7353</v>
      </c>
      <c r="AE1955" s="155" t="s">
        <v>2747</v>
      </c>
      <c r="AF1955" s="159" t="s">
        <v>8299</v>
      </c>
      <c r="AG1955" s="160" t="s">
        <v>2422</v>
      </c>
      <c r="AH1955" s="194" t="s">
        <v>678</v>
      </c>
      <c r="AI1955" s="6" t="s">
        <v>3194</v>
      </c>
      <c r="AJ1955" s="3" t="s">
        <v>8193</v>
      </c>
      <c r="AK1955" t="s">
        <v>8205</v>
      </c>
      <c r="AV1955"/>
      <c r="AX1955"/>
      <c r="AZ1955" t="str">
        <f t="shared" si="281"/>
        <v/>
      </c>
      <c r="BA1955" t="str">
        <f t="shared" si="282"/>
        <v/>
      </c>
    </row>
    <row r="1956" spans="3:53" ht="13.5">
      <c r="C1956" s="19"/>
      <c r="D1956" s="19"/>
      <c r="AC1956" s="6" t="s">
        <v>3438</v>
      </c>
      <c r="AD1956" s="6" t="s">
        <v>7353</v>
      </c>
      <c r="AE1956" s="155" t="s">
        <v>2748</v>
      </c>
      <c r="AF1956" s="159" t="s">
        <v>8309</v>
      </c>
      <c r="AG1956" s="160" t="s">
        <v>2423</v>
      </c>
      <c r="AH1956" s="194" t="s">
        <v>679</v>
      </c>
      <c r="AI1956" s="6" t="s">
        <v>3200</v>
      </c>
      <c r="AJ1956" s="3" t="s">
        <v>8211</v>
      </c>
      <c r="AK1956" t="s">
        <v>8242</v>
      </c>
      <c r="AV1956"/>
      <c r="AX1956"/>
      <c r="AZ1956" t="str">
        <f t="shared" si="281"/>
        <v/>
      </c>
      <c r="BA1956" t="str">
        <f t="shared" si="282"/>
        <v/>
      </c>
    </row>
    <row r="1957" spans="3:53" ht="13.5">
      <c r="C1957" s="19"/>
      <c r="D1957" s="19"/>
      <c r="AC1957" s="6" t="s">
        <v>5583</v>
      </c>
      <c r="AD1957" s="6" t="s">
        <v>7353</v>
      </c>
      <c r="AE1957" s="155" t="s">
        <v>2749</v>
      </c>
      <c r="AF1957" s="159" t="s">
        <v>8299</v>
      </c>
      <c r="AG1957" s="160" t="s">
        <v>2424</v>
      </c>
      <c r="AH1957" s="194" t="s">
        <v>679</v>
      </c>
      <c r="AI1957" s="6" t="s">
        <v>3203</v>
      </c>
      <c r="AJ1957" s="3" t="s">
        <v>8264</v>
      </c>
      <c r="AK1957" t="s">
        <v>8264</v>
      </c>
      <c r="AV1957"/>
      <c r="AX1957"/>
      <c r="AZ1957" t="str">
        <f t="shared" si="281"/>
        <v/>
      </c>
      <c r="BA1957" t="str">
        <f t="shared" si="282"/>
        <v/>
      </c>
    </row>
    <row r="1958" spans="3:53" ht="13.5">
      <c r="C1958" s="19"/>
      <c r="D1958" s="19"/>
      <c r="AC1958" s="6" t="s">
        <v>5614</v>
      </c>
      <c r="AD1958" s="6" t="s">
        <v>7353</v>
      </c>
      <c r="AE1958" s="155" t="s">
        <v>2750</v>
      </c>
      <c r="AF1958" s="159" t="s">
        <v>8299</v>
      </c>
      <c r="AG1958" s="160" t="s">
        <v>5081</v>
      </c>
      <c r="AH1958" s="194" t="s">
        <v>1314</v>
      </c>
      <c r="AI1958" s="6" t="s">
        <v>3205</v>
      </c>
      <c r="AJ1958" s="3" t="s">
        <v>8220</v>
      </c>
      <c r="AK1958" t="s">
        <v>8220</v>
      </c>
      <c r="AV1958"/>
      <c r="AX1958"/>
      <c r="AZ1958" t="str">
        <f t="shared" si="281"/>
        <v/>
      </c>
      <c r="BA1958" t="str">
        <f t="shared" si="282"/>
        <v/>
      </c>
    </row>
    <row r="1959" spans="3:53" ht="13.5">
      <c r="C1959" s="19"/>
      <c r="D1959" s="19"/>
      <c r="AC1959" s="6" t="s">
        <v>3437</v>
      </c>
      <c r="AD1959" s="6" t="s">
        <v>7353</v>
      </c>
      <c r="AE1959" s="155" t="s">
        <v>2751</v>
      </c>
      <c r="AF1959" s="159" t="s">
        <v>8299</v>
      </c>
      <c r="AG1959" s="160" t="s">
        <v>5198</v>
      </c>
      <c r="AH1959" s="194" t="s">
        <v>679</v>
      </c>
      <c r="AI1959" s="6" t="s">
        <v>3212</v>
      </c>
      <c r="AJ1959" s="3" t="s">
        <v>8240</v>
      </c>
      <c r="AK1959" t="s">
        <v>8240</v>
      </c>
      <c r="AV1959"/>
      <c r="AX1959"/>
      <c r="AZ1959" t="str">
        <f t="shared" si="281"/>
        <v/>
      </c>
      <c r="BA1959" t="str">
        <f t="shared" si="282"/>
        <v/>
      </c>
    </row>
    <row r="1960" spans="3:53" ht="13.5">
      <c r="C1960" s="19"/>
      <c r="D1960" s="19"/>
      <c r="AC1960" s="6" t="s">
        <v>1226</v>
      </c>
      <c r="AD1960" s="6" t="s">
        <v>7353</v>
      </c>
      <c r="AE1960" s="155" t="s">
        <v>2754</v>
      </c>
      <c r="AF1960" s="159" t="s">
        <v>8299</v>
      </c>
      <c r="AG1960" s="160" t="s">
        <v>692</v>
      </c>
      <c r="AH1960" s="194" t="s">
        <v>1314</v>
      </c>
      <c r="AI1960" s="6" t="s">
        <v>3214</v>
      </c>
      <c r="AJ1960" s="3" t="s">
        <v>8240</v>
      </c>
      <c r="AK1960" t="s">
        <v>8240</v>
      </c>
      <c r="AV1960"/>
      <c r="AX1960"/>
      <c r="AZ1960" t="str">
        <f t="shared" si="281"/>
        <v/>
      </c>
      <c r="BA1960" t="str">
        <f t="shared" si="282"/>
        <v/>
      </c>
    </row>
    <row r="1961" spans="3:53" ht="13.5">
      <c r="C1961" s="19"/>
      <c r="D1961" s="19"/>
      <c r="AC1961" s="6" t="s">
        <v>3307</v>
      </c>
      <c r="AD1961" s="6" t="s">
        <v>7353</v>
      </c>
      <c r="AE1961" s="155" t="s">
        <v>2755</v>
      </c>
      <c r="AF1961" s="159" t="s">
        <v>8340</v>
      </c>
      <c r="AG1961" s="160" t="s">
        <v>2261</v>
      </c>
      <c r="AH1961" s="194" t="s">
        <v>4700</v>
      </c>
      <c r="AI1961" s="6" t="s">
        <v>3215</v>
      </c>
      <c r="AJ1961" s="3" t="s">
        <v>8240</v>
      </c>
      <c r="AK1961" t="s">
        <v>8240</v>
      </c>
      <c r="AV1961"/>
      <c r="AX1961"/>
      <c r="AZ1961" t="str">
        <f t="shared" si="281"/>
        <v/>
      </c>
      <c r="BA1961" t="str">
        <f t="shared" si="282"/>
        <v/>
      </c>
    </row>
    <row r="1962" spans="3:53" ht="13.5">
      <c r="C1962" s="19"/>
      <c r="D1962" s="19"/>
      <c r="AC1962" s="6" t="s">
        <v>3479</v>
      </c>
      <c r="AD1962" s="6" t="s">
        <v>7414</v>
      </c>
      <c r="AE1962" s="155" t="s">
        <v>1300</v>
      </c>
      <c r="AF1962" s="159" t="s">
        <v>8297</v>
      </c>
      <c r="AG1962" s="160" t="s">
        <v>1713</v>
      </c>
      <c r="AH1962" s="194" t="s">
        <v>4700</v>
      </c>
      <c r="AI1962" s="6" t="s">
        <v>3217</v>
      </c>
      <c r="AJ1962" s="3" t="s">
        <v>8220</v>
      </c>
      <c r="AK1962" t="s">
        <v>8220</v>
      </c>
      <c r="AV1962"/>
      <c r="AX1962"/>
      <c r="AZ1962" t="str">
        <f t="shared" si="281"/>
        <v/>
      </c>
      <c r="BA1962" t="str">
        <f t="shared" si="282"/>
        <v/>
      </c>
    </row>
    <row r="1963" spans="3:53" ht="13.5">
      <c r="C1963" s="19"/>
      <c r="D1963" s="19"/>
      <c r="AC1963" s="6" t="s">
        <v>5394</v>
      </c>
      <c r="AD1963" s="6" t="s">
        <v>7353</v>
      </c>
      <c r="AE1963" s="155">
        <v>826336</v>
      </c>
      <c r="AF1963" s="159" t="s">
        <v>8297</v>
      </c>
      <c r="AG1963" s="160" t="s">
        <v>4494</v>
      </c>
      <c r="AH1963" s="194" t="s">
        <v>679</v>
      </c>
      <c r="AI1963" s="6" t="s">
        <v>3218</v>
      </c>
      <c r="AJ1963" s="3" t="s">
        <v>8204</v>
      </c>
      <c r="AK1963" t="s">
        <v>8204</v>
      </c>
      <c r="AV1963"/>
      <c r="AX1963"/>
      <c r="AZ1963" t="str">
        <f t="shared" si="281"/>
        <v/>
      </c>
      <c r="BA1963" t="str">
        <f t="shared" si="282"/>
        <v/>
      </c>
    </row>
    <row r="1964" spans="3:53" ht="13.5">
      <c r="C1964" s="19"/>
      <c r="D1964" s="19"/>
      <c r="AC1964" s="6" t="s">
        <v>2878</v>
      </c>
      <c r="AD1964" s="6" t="s">
        <v>7353</v>
      </c>
      <c r="AE1964" s="155">
        <v>826337</v>
      </c>
      <c r="AF1964" s="159" t="s">
        <v>8311</v>
      </c>
      <c r="AG1964" s="160" t="s">
        <v>1716</v>
      </c>
      <c r="AH1964" s="194" t="s">
        <v>4700</v>
      </c>
      <c r="AI1964" s="6" t="s">
        <v>3221</v>
      </c>
      <c r="AJ1964" s="3" t="s">
        <v>8205</v>
      </c>
      <c r="AK1964" t="s">
        <v>8211</v>
      </c>
      <c r="AV1964"/>
      <c r="AX1964"/>
      <c r="AZ1964" t="str">
        <f t="shared" si="281"/>
        <v/>
      </c>
      <c r="BA1964" t="str">
        <f t="shared" si="282"/>
        <v/>
      </c>
    </row>
    <row r="1965" spans="3:53" ht="13.5">
      <c r="C1965" s="19"/>
      <c r="D1965" s="19"/>
      <c r="AC1965" s="6" t="s">
        <v>3013</v>
      </c>
      <c r="AD1965" s="6" t="s">
        <v>7353</v>
      </c>
      <c r="AE1965" s="155">
        <v>826339</v>
      </c>
      <c r="AF1965" s="159" t="s">
        <v>8299</v>
      </c>
      <c r="AG1965" s="161" t="s">
        <v>23</v>
      </c>
      <c r="AH1965" s="194" t="s">
        <v>679</v>
      </c>
      <c r="AI1965" s="6" t="s">
        <v>3223</v>
      </c>
      <c r="AJ1965" s="3" t="s">
        <v>8211</v>
      </c>
      <c r="AK1965" t="s">
        <v>8242</v>
      </c>
      <c r="AV1965"/>
      <c r="AX1965"/>
      <c r="AZ1965" t="str">
        <f t="shared" si="281"/>
        <v/>
      </c>
      <c r="BA1965" t="str">
        <f t="shared" si="282"/>
        <v/>
      </c>
    </row>
    <row r="1966" spans="3:53" ht="13.5">
      <c r="C1966" s="19"/>
      <c r="D1966" s="19"/>
      <c r="AC1966" s="6" t="s">
        <v>3312</v>
      </c>
      <c r="AD1966" s="6" t="s">
        <v>7353</v>
      </c>
      <c r="AE1966" s="155">
        <v>826342</v>
      </c>
      <c r="AF1966" s="159" t="s">
        <v>8309</v>
      </c>
      <c r="AG1966" s="160" t="s">
        <v>689</v>
      </c>
      <c r="AH1966" s="194" t="s">
        <v>1314</v>
      </c>
      <c r="AI1966" s="6" t="s">
        <v>3227</v>
      </c>
      <c r="AJ1966" s="3" t="s">
        <v>8205</v>
      </c>
      <c r="AK1966" t="s">
        <v>8211</v>
      </c>
      <c r="AV1966"/>
      <c r="AX1966"/>
      <c r="AZ1966" t="str">
        <f t="shared" si="281"/>
        <v/>
      </c>
      <c r="BA1966" t="str">
        <f t="shared" si="282"/>
        <v/>
      </c>
    </row>
    <row r="1967" spans="3:53" ht="13.5">
      <c r="C1967" s="19"/>
      <c r="D1967" s="19"/>
      <c r="AC1967" s="6" t="s">
        <v>3428</v>
      </c>
      <c r="AD1967" s="6" t="s">
        <v>7353</v>
      </c>
      <c r="AE1967" s="155">
        <v>826343</v>
      </c>
      <c r="AF1967" s="159" t="s">
        <v>8296</v>
      </c>
      <c r="AG1967" s="160" t="s">
        <v>684</v>
      </c>
      <c r="AH1967" s="194" t="s">
        <v>679</v>
      </c>
      <c r="AI1967" s="6" t="s">
        <v>3228</v>
      </c>
      <c r="AJ1967" s="3" t="s">
        <v>8240</v>
      </c>
      <c r="AK1967" t="s">
        <v>8240</v>
      </c>
      <c r="AV1967"/>
      <c r="AX1967"/>
      <c r="AZ1967" t="str">
        <f t="shared" si="281"/>
        <v/>
      </c>
      <c r="BA1967" t="str">
        <f t="shared" si="282"/>
        <v/>
      </c>
    </row>
    <row r="1968" spans="3:53" ht="13.5">
      <c r="C1968" s="19"/>
      <c r="D1968" s="19"/>
      <c r="AC1968" s="6" t="s">
        <v>3029</v>
      </c>
      <c r="AD1968" s="6" t="s">
        <v>7353</v>
      </c>
      <c r="AE1968" s="155">
        <v>386346</v>
      </c>
      <c r="AF1968" s="159" t="s">
        <v>8299</v>
      </c>
      <c r="AG1968" s="160" t="s">
        <v>1160</v>
      </c>
      <c r="AH1968" s="194" t="s">
        <v>679</v>
      </c>
      <c r="AI1968" s="6" t="s">
        <v>3232</v>
      </c>
      <c r="AJ1968" s="3" t="s">
        <v>8240</v>
      </c>
      <c r="AK1968" t="s">
        <v>8240</v>
      </c>
      <c r="AV1968"/>
      <c r="AX1968"/>
      <c r="AZ1968" t="str">
        <f t="shared" si="281"/>
        <v/>
      </c>
      <c r="BA1968" t="str">
        <f t="shared" si="282"/>
        <v/>
      </c>
    </row>
    <row r="1969" spans="3:53" ht="13.5">
      <c r="C1969" s="19"/>
      <c r="D1969" s="19"/>
      <c r="AC1969" s="6" t="s">
        <v>5575</v>
      </c>
      <c r="AD1969" s="6" t="s">
        <v>7353</v>
      </c>
      <c r="AE1969" s="155">
        <v>386347</v>
      </c>
      <c r="AF1969" s="159" t="s">
        <v>8299</v>
      </c>
      <c r="AG1969" s="160" t="s">
        <v>693</v>
      </c>
      <c r="AH1969" s="194" t="s">
        <v>1314</v>
      </c>
      <c r="AI1969" s="6" t="s">
        <v>3234</v>
      </c>
      <c r="AJ1969" s="3" t="s">
        <v>8240</v>
      </c>
      <c r="AK1969" t="s">
        <v>8240</v>
      </c>
      <c r="AV1969"/>
      <c r="AX1969"/>
      <c r="AZ1969" t="str">
        <f t="shared" si="281"/>
        <v/>
      </c>
      <c r="BA1969" t="str">
        <f t="shared" si="282"/>
        <v/>
      </c>
    </row>
    <row r="1970" spans="3:53" ht="13.5">
      <c r="C1970" s="19"/>
      <c r="D1970" s="19"/>
      <c r="AC1970" s="6" t="s">
        <v>2905</v>
      </c>
      <c r="AD1970" s="6" t="s">
        <v>7353</v>
      </c>
      <c r="AE1970" s="155">
        <v>396353</v>
      </c>
      <c r="AF1970" s="159" t="s">
        <v>8299</v>
      </c>
      <c r="AG1970" s="160" t="s">
        <v>1161</v>
      </c>
      <c r="AH1970" s="194" t="s">
        <v>1314</v>
      </c>
      <c r="AI1970" s="6" t="s">
        <v>3235</v>
      </c>
      <c r="AJ1970" s="3" t="s">
        <v>8240</v>
      </c>
      <c r="AK1970" t="s">
        <v>8240</v>
      </c>
      <c r="AV1970"/>
      <c r="AX1970"/>
      <c r="AZ1970" t="str">
        <f t="shared" si="281"/>
        <v/>
      </c>
      <c r="BA1970" t="str">
        <f t="shared" si="282"/>
        <v/>
      </c>
    </row>
    <row r="1971" spans="3:53" ht="13.5">
      <c r="C1971" s="19"/>
      <c r="D1971" s="19"/>
      <c r="AC1971" s="6" t="s">
        <v>3392</v>
      </c>
      <c r="AD1971" s="6" t="s">
        <v>7353</v>
      </c>
      <c r="AE1971" s="155" t="s">
        <v>1302</v>
      </c>
      <c r="AF1971" s="159" t="s">
        <v>8299</v>
      </c>
      <c r="AG1971" s="160" t="s">
        <v>690</v>
      </c>
      <c r="AH1971" s="194" t="s">
        <v>1314</v>
      </c>
      <c r="AI1971" s="6" t="s">
        <v>3237</v>
      </c>
      <c r="AJ1971" s="3" t="s">
        <v>8220</v>
      </c>
      <c r="AK1971" t="s">
        <v>8220</v>
      </c>
      <c r="AV1971"/>
      <c r="AX1971"/>
      <c r="AZ1971" t="str">
        <f t="shared" si="281"/>
        <v/>
      </c>
      <c r="BA1971" t="str">
        <f t="shared" si="282"/>
        <v/>
      </c>
    </row>
    <row r="1972" spans="3:53" ht="13.5">
      <c r="C1972" s="19"/>
      <c r="D1972" s="19"/>
      <c r="AC1972" s="6" t="s">
        <v>3027</v>
      </c>
      <c r="AD1972" s="6" t="s">
        <v>7353</v>
      </c>
      <c r="AE1972" s="155" t="s">
        <v>1303</v>
      </c>
      <c r="AF1972" s="159" t="s">
        <v>8309</v>
      </c>
      <c r="AG1972" s="160" t="s">
        <v>694</v>
      </c>
      <c r="AH1972" s="194" t="s">
        <v>1314</v>
      </c>
      <c r="AI1972" s="6" t="s">
        <v>3238</v>
      </c>
      <c r="AJ1972" s="3" t="s">
        <v>8240</v>
      </c>
      <c r="AK1972" t="s">
        <v>8240</v>
      </c>
      <c r="AV1972"/>
      <c r="AX1972"/>
      <c r="AZ1972" t="str">
        <f t="shared" si="281"/>
        <v/>
      </c>
      <c r="BA1972" t="str">
        <f t="shared" si="282"/>
        <v/>
      </c>
    </row>
    <row r="1973" spans="3:53" ht="13.5">
      <c r="C1973" s="19"/>
      <c r="D1973" s="19"/>
      <c r="AC1973" s="6" t="s">
        <v>3046</v>
      </c>
      <c r="AD1973" s="6" t="s">
        <v>7353</v>
      </c>
      <c r="AE1973" s="155">
        <v>406390</v>
      </c>
      <c r="AF1973" s="159" t="s">
        <v>8299</v>
      </c>
      <c r="AG1973" s="160" t="s">
        <v>695</v>
      </c>
      <c r="AH1973" s="194" t="s">
        <v>1314</v>
      </c>
      <c r="AI1973" s="6" t="s">
        <v>3244</v>
      </c>
      <c r="AJ1973" s="3" t="s">
        <v>8220</v>
      </c>
      <c r="AK1973" t="s">
        <v>8220</v>
      </c>
      <c r="AV1973"/>
      <c r="AX1973"/>
      <c r="AZ1973" t="str">
        <f t="shared" si="281"/>
        <v/>
      </c>
      <c r="BA1973" t="str">
        <f t="shared" si="282"/>
        <v/>
      </c>
    </row>
    <row r="1974" spans="3:53" ht="13.5">
      <c r="C1974" s="19"/>
      <c r="D1974" s="19"/>
      <c r="AC1974" s="6" t="s">
        <v>2855</v>
      </c>
      <c r="AD1974" s="6" t="s">
        <v>7353</v>
      </c>
      <c r="AE1974" s="155">
        <v>406391</v>
      </c>
      <c r="AF1974" s="159" t="s">
        <v>8299</v>
      </c>
      <c r="AG1974" s="160" t="s">
        <v>697</v>
      </c>
      <c r="AH1974" s="194" t="s">
        <v>1314</v>
      </c>
      <c r="AI1974" s="6" t="s">
        <v>3248</v>
      </c>
      <c r="AJ1974" s="3" t="s">
        <v>8211</v>
      </c>
      <c r="AK1974" t="s">
        <v>8242</v>
      </c>
      <c r="AV1974"/>
      <c r="AX1974"/>
      <c r="AZ1974" t="str">
        <f t="shared" si="281"/>
        <v/>
      </c>
      <c r="BA1974" t="str">
        <f t="shared" si="282"/>
        <v/>
      </c>
    </row>
    <row r="1975" spans="3:53" ht="13.5">
      <c r="C1975" s="19"/>
      <c r="D1975" s="19"/>
      <c r="AC1975" s="6" t="s">
        <v>3025</v>
      </c>
      <c r="AD1975" s="6" t="s">
        <v>7353</v>
      </c>
      <c r="AE1975" s="155" t="s">
        <v>1304</v>
      </c>
      <c r="AF1975" s="159" t="s">
        <v>8299</v>
      </c>
      <c r="AG1975" s="160" t="s">
        <v>1718</v>
      </c>
      <c r="AH1975" s="194" t="s">
        <v>1314</v>
      </c>
      <c r="AI1975" s="6" t="s">
        <v>3251</v>
      </c>
      <c r="AJ1975" s="3" t="s">
        <v>8240</v>
      </c>
      <c r="AK1975" t="s">
        <v>8240</v>
      </c>
      <c r="AV1975"/>
      <c r="AX1975"/>
      <c r="AZ1975" t="str">
        <f t="shared" si="281"/>
        <v/>
      </c>
      <c r="BA1975" t="str">
        <f t="shared" si="282"/>
        <v/>
      </c>
    </row>
    <row r="1976" spans="3:53" ht="13.5">
      <c r="C1976" s="19"/>
      <c r="D1976" s="19"/>
      <c r="AC1976" s="6" t="s">
        <v>5611</v>
      </c>
      <c r="AD1976" s="6" t="s">
        <v>7353</v>
      </c>
      <c r="AE1976" s="155">
        <v>876393</v>
      </c>
      <c r="AF1976" s="159" t="s">
        <v>8320</v>
      </c>
      <c r="AG1976" s="160" t="s">
        <v>698</v>
      </c>
      <c r="AH1976" s="194" t="s">
        <v>1314</v>
      </c>
      <c r="AI1976" s="6" t="s">
        <v>3252</v>
      </c>
      <c r="AJ1976" s="3" t="s">
        <v>8211</v>
      </c>
      <c r="AK1976" t="s">
        <v>8242</v>
      </c>
      <c r="AV1976"/>
      <c r="AX1976"/>
      <c r="AZ1976" t="str">
        <f t="shared" si="281"/>
        <v/>
      </c>
      <c r="BA1976" t="str">
        <f t="shared" si="282"/>
        <v/>
      </c>
    </row>
    <row r="1977" spans="3:53" ht="13.5">
      <c r="C1977" s="19"/>
      <c r="D1977" s="19"/>
      <c r="AC1977" s="6" t="s">
        <v>4747</v>
      </c>
      <c r="AD1977" s="6" t="s">
        <v>7353</v>
      </c>
      <c r="AE1977" s="155">
        <v>876394</v>
      </c>
      <c r="AF1977" s="159" t="s">
        <v>8309</v>
      </c>
      <c r="AG1977" s="160" t="s">
        <v>699</v>
      </c>
      <c r="AH1977" s="194" t="s">
        <v>1314</v>
      </c>
      <c r="AI1977" s="6" t="s">
        <v>3253</v>
      </c>
      <c r="AJ1977" s="3" t="s">
        <v>8247</v>
      </c>
      <c r="AK1977" t="s">
        <v>8247</v>
      </c>
      <c r="AV1977"/>
      <c r="AX1977"/>
      <c r="AZ1977" t="str">
        <f t="shared" si="281"/>
        <v/>
      </c>
      <c r="BA1977" t="str">
        <f t="shared" si="282"/>
        <v/>
      </c>
    </row>
    <row r="1978" spans="3:53" ht="13.5">
      <c r="C1978" s="19"/>
      <c r="D1978" s="19"/>
      <c r="AC1978" s="6" t="s">
        <v>3898</v>
      </c>
      <c r="AD1978" s="6" t="s">
        <v>7353</v>
      </c>
      <c r="AE1978" s="155">
        <v>876396</v>
      </c>
      <c r="AF1978" s="159" t="s">
        <v>8299</v>
      </c>
      <c r="AG1978" s="160" t="s">
        <v>700</v>
      </c>
      <c r="AH1978" s="194" t="s">
        <v>1314</v>
      </c>
      <c r="AI1978" s="6" t="s">
        <v>3254</v>
      </c>
      <c r="AJ1978" s="3" t="s">
        <v>8211</v>
      </c>
      <c r="AK1978" t="s">
        <v>8242</v>
      </c>
      <c r="AV1978"/>
      <c r="AX1978"/>
      <c r="AZ1978" t="str">
        <f t="shared" ref="AZ1978:AZ2000" si="283">IF(ISBLANK(AW1978),"",CONCATENATE("(",RIGHT(AW1978,5),"-",TEXT(AX1978,"h:mm;@"),")"))</f>
        <v/>
      </c>
      <c r="BA1978" t="str">
        <f t="shared" ref="BA1978:BA2000" si="284">IF(AV1994=AV1978,"",CONCATENATE(IF(AV1993=AV1978,BA1993,""),IF(AV1992=AV1978,BA1992,""),IF(AV1991=AV1978,BA1991,""),IF(AV1990=AV1978,BA1990,""),IF(AV1989=AV1978,BA1989,""),IF(AV1988=AV1978,BA1988,""),IF(AV1987=AV1978,BA1987,""),IF(AV1986=AV1978,BA1986,""),IF(AV1985=AV1978,BA1985,""),IF(AV1984=AV1978,BA1984,""),IF(AV1983=AV1978,BA1983,""),IF(AV1982=AV1978,BA1982,""),IF(AV1981=AV1978,BA1981,""),IF(AV1980=AV1978,BA1980,""),IF(AV1979=AV1978,BA1979,""),IF(AV1977=AV1978,BA1977,""),BA1978))</f>
        <v/>
      </c>
    </row>
    <row r="1979" spans="3:53" ht="13.5">
      <c r="C1979" s="19"/>
      <c r="D1979" s="19"/>
      <c r="AC1979" s="6" t="s">
        <v>3300</v>
      </c>
      <c r="AD1979" s="6" t="s">
        <v>7353</v>
      </c>
      <c r="AE1979" s="155">
        <v>876397</v>
      </c>
      <c r="AF1979" s="159" t="s">
        <v>8297</v>
      </c>
      <c r="AG1979" s="160" t="s">
        <v>701</v>
      </c>
      <c r="AH1979" s="194" t="s">
        <v>1314</v>
      </c>
      <c r="AI1979" s="6" t="s">
        <v>3257</v>
      </c>
      <c r="AJ1979" s="3" t="s">
        <v>8240</v>
      </c>
      <c r="AK1979" t="s">
        <v>8240</v>
      </c>
      <c r="AV1979"/>
      <c r="AX1979"/>
      <c r="AZ1979" t="str">
        <f t="shared" si="283"/>
        <v/>
      </c>
      <c r="BA1979" t="str">
        <f t="shared" si="284"/>
        <v/>
      </c>
    </row>
    <row r="1980" spans="3:53" ht="13.5">
      <c r="C1980" s="19"/>
      <c r="D1980" s="19"/>
      <c r="AC1980" s="6" t="s">
        <v>3493</v>
      </c>
      <c r="AD1980" s="6" t="s">
        <v>7414</v>
      </c>
      <c r="AE1980" s="155">
        <v>876398</v>
      </c>
      <c r="AF1980" s="159" t="s">
        <v>8311</v>
      </c>
      <c r="AG1980" s="160" t="s">
        <v>688</v>
      </c>
      <c r="AH1980" s="194" t="s">
        <v>1314</v>
      </c>
      <c r="AI1980" s="6" t="s">
        <v>3260</v>
      </c>
      <c r="AJ1980" s="3" t="s">
        <v>8205</v>
      </c>
      <c r="AK1980" t="s">
        <v>8211</v>
      </c>
      <c r="AV1980"/>
      <c r="AX1980"/>
      <c r="AZ1980" t="str">
        <f t="shared" si="283"/>
        <v/>
      </c>
      <c r="BA1980" t="str">
        <f t="shared" si="284"/>
        <v/>
      </c>
    </row>
    <row r="1981" spans="3:53" ht="13.5">
      <c r="C1981" s="19"/>
      <c r="D1981" s="19"/>
      <c r="AC1981" s="6" t="s">
        <v>3501</v>
      </c>
      <c r="AD1981" s="6" t="s">
        <v>7415</v>
      </c>
      <c r="AE1981" s="155">
        <v>876399</v>
      </c>
      <c r="AF1981" s="159" t="s">
        <v>8299</v>
      </c>
      <c r="AG1981" s="160" t="s">
        <v>1720</v>
      </c>
      <c r="AH1981" s="194" t="s">
        <v>1314</v>
      </c>
      <c r="AI1981" s="6" t="s">
        <v>3261</v>
      </c>
      <c r="AJ1981" s="3" t="s">
        <v>8205</v>
      </c>
      <c r="AK1981" t="s">
        <v>8211</v>
      </c>
      <c r="AV1981"/>
      <c r="AX1981"/>
      <c r="AZ1981" t="str">
        <f t="shared" si="283"/>
        <v/>
      </c>
      <c r="BA1981" t="str">
        <f t="shared" si="284"/>
        <v/>
      </c>
    </row>
    <row r="1982" spans="3:53" ht="13.5">
      <c r="C1982" s="19"/>
      <c r="D1982" s="19"/>
      <c r="AC1982" s="6" t="s">
        <v>5631</v>
      </c>
      <c r="AD1982" s="6" t="s">
        <v>7353</v>
      </c>
      <c r="AE1982" s="155">
        <v>906417</v>
      </c>
      <c r="AF1982" s="159" t="s">
        <v>8299</v>
      </c>
      <c r="AG1982" s="160" t="s">
        <v>1162</v>
      </c>
      <c r="AH1982" s="194" t="s">
        <v>1314</v>
      </c>
      <c r="AI1982" s="6" t="s">
        <v>3885</v>
      </c>
      <c r="AJ1982" s="3" t="s">
        <v>8211</v>
      </c>
      <c r="AK1982" t="s">
        <v>8242</v>
      </c>
      <c r="AV1982"/>
      <c r="AX1982"/>
      <c r="AZ1982" t="str">
        <f t="shared" si="283"/>
        <v/>
      </c>
      <c r="BA1982" t="str">
        <f t="shared" si="284"/>
        <v/>
      </c>
    </row>
    <row r="1983" spans="3:53" ht="13.5">
      <c r="C1983" s="19"/>
      <c r="D1983" s="19"/>
      <c r="AC1983" s="6" t="s">
        <v>3209</v>
      </c>
      <c r="AD1983" s="6" t="s">
        <v>7353</v>
      </c>
      <c r="AE1983" s="155">
        <v>436425</v>
      </c>
      <c r="AF1983" s="159" t="s">
        <v>8299</v>
      </c>
      <c r="AG1983" s="160" t="s">
        <v>702</v>
      </c>
      <c r="AH1983" s="194" t="s">
        <v>1314</v>
      </c>
      <c r="AI1983" s="6" t="s">
        <v>3270</v>
      </c>
      <c r="AJ1983" s="3" t="s">
        <v>8211</v>
      </c>
      <c r="AK1983" t="s">
        <v>8242</v>
      </c>
      <c r="AV1983"/>
      <c r="AX1983"/>
      <c r="AZ1983" t="str">
        <f t="shared" si="283"/>
        <v/>
      </c>
      <c r="BA1983" t="str">
        <f t="shared" si="284"/>
        <v/>
      </c>
    </row>
    <row r="1984" spans="3:53" ht="13.5">
      <c r="C1984" s="19"/>
      <c r="D1984" s="19"/>
      <c r="AC1984" s="6" t="s">
        <v>3445</v>
      </c>
      <c r="AD1984" s="6" t="s">
        <v>7353</v>
      </c>
      <c r="AE1984" s="155">
        <v>966444</v>
      </c>
      <c r="AF1984" s="159" t="s">
        <v>8299</v>
      </c>
      <c r="AG1984" s="160" t="s">
        <v>703</v>
      </c>
      <c r="AH1984" s="194" t="s">
        <v>1314</v>
      </c>
      <c r="AI1984" s="6" t="s">
        <v>3271</v>
      </c>
      <c r="AJ1984" s="3" t="s">
        <v>8203</v>
      </c>
      <c r="AK1984" t="s">
        <v>8203</v>
      </c>
      <c r="AV1984"/>
      <c r="AX1984"/>
      <c r="AZ1984" t="str">
        <f t="shared" si="283"/>
        <v/>
      </c>
      <c r="BA1984" t="str">
        <f t="shared" si="284"/>
        <v/>
      </c>
    </row>
    <row r="1985" spans="3:53" ht="13.5">
      <c r="C1985" s="19"/>
      <c r="D1985" s="19"/>
      <c r="AC1985" s="6" t="s">
        <v>3401</v>
      </c>
      <c r="AD1985" s="6" t="s">
        <v>7353</v>
      </c>
      <c r="AE1985" s="155">
        <v>246445</v>
      </c>
      <c r="AF1985" s="159" t="s">
        <v>8299</v>
      </c>
      <c r="AG1985" s="160" t="s">
        <v>704</v>
      </c>
      <c r="AH1985" s="194" t="s">
        <v>1314</v>
      </c>
      <c r="AI1985" s="6" t="s">
        <v>3273</v>
      </c>
      <c r="AJ1985" s="3" t="s">
        <v>8264</v>
      </c>
      <c r="AK1985" t="s">
        <v>8264</v>
      </c>
      <c r="AV1985"/>
      <c r="AX1985"/>
      <c r="AZ1985" t="str">
        <f t="shared" si="283"/>
        <v/>
      </c>
      <c r="BA1985" t="str">
        <f t="shared" si="284"/>
        <v/>
      </c>
    </row>
    <row r="1986" spans="3:53" ht="13.5">
      <c r="C1986" s="19"/>
      <c r="D1986" s="19"/>
      <c r="AC1986" s="6" t="s">
        <v>3061</v>
      </c>
      <c r="AD1986" s="6" t="s">
        <v>7353</v>
      </c>
      <c r="AE1986" s="155">
        <v>966446</v>
      </c>
      <c r="AF1986" s="159" t="s">
        <v>8320</v>
      </c>
      <c r="AG1986" s="160" t="s">
        <v>686</v>
      </c>
      <c r="AH1986" s="194" t="s">
        <v>1314</v>
      </c>
      <c r="AI1986" s="6" t="s">
        <v>3277</v>
      </c>
      <c r="AJ1986" s="3" t="s">
        <v>8240</v>
      </c>
      <c r="AK1986" t="s">
        <v>8240</v>
      </c>
      <c r="AV1986"/>
      <c r="AX1986"/>
      <c r="AZ1986" t="str">
        <f t="shared" si="283"/>
        <v/>
      </c>
      <c r="BA1986" t="str">
        <f t="shared" si="284"/>
        <v/>
      </c>
    </row>
    <row r="1987" spans="3:53" ht="13.5">
      <c r="C1987" s="19"/>
      <c r="D1987" s="19"/>
      <c r="AC1987" s="6" t="s">
        <v>3397</v>
      </c>
      <c r="AD1987" s="6" t="s">
        <v>7353</v>
      </c>
      <c r="AE1987" s="155">
        <v>966447</v>
      </c>
      <c r="AF1987" s="159" t="s">
        <v>8320</v>
      </c>
      <c r="AG1987" s="160" t="s">
        <v>1163</v>
      </c>
      <c r="AH1987" s="194" t="s">
        <v>1314</v>
      </c>
      <c r="AI1987" s="6" t="s">
        <v>3278</v>
      </c>
      <c r="AJ1987" s="3" t="s">
        <v>8204</v>
      </c>
      <c r="AK1987" t="s">
        <v>8204</v>
      </c>
      <c r="AV1987"/>
      <c r="AX1987"/>
      <c r="AZ1987" t="str">
        <f t="shared" si="283"/>
        <v/>
      </c>
      <c r="BA1987" t="str">
        <f t="shared" si="284"/>
        <v/>
      </c>
    </row>
    <row r="1988" spans="3:53" ht="13.5">
      <c r="C1988" s="19"/>
      <c r="D1988" s="19"/>
      <c r="AC1988" s="6" t="s">
        <v>3478</v>
      </c>
      <c r="AD1988" s="6" t="s">
        <v>7414</v>
      </c>
      <c r="AE1988" s="155">
        <v>966448</v>
      </c>
      <c r="AF1988" s="159" t="s">
        <v>8299</v>
      </c>
      <c r="AG1988" s="160" t="s">
        <v>705</v>
      </c>
      <c r="AH1988" s="194" t="s">
        <v>1314</v>
      </c>
      <c r="AI1988" s="6" t="s">
        <v>3280</v>
      </c>
      <c r="AJ1988" s="3" t="s">
        <v>8220</v>
      </c>
      <c r="AK1988" t="s">
        <v>8220</v>
      </c>
      <c r="AV1988"/>
      <c r="AX1988"/>
      <c r="AZ1988" t="str">
        <f t="shared" si="283"/>
        <v/>
      </c>
      <c r="BA1988" t="str">
        <f t="shared" si="284"/>
        <v/>
      </c>
    </row>
    <row r="1989" spans="3:53" ht="13.5">
      <c r="C1989" s="19"/>
      <c r="D1989" s="19"/>
      <c r="AC1989" s="6" t="s">
        <v>3158</v>
      </c>
      <c r="AD1989" s="6" t="s">
        <v>7353</v>
      </c>
      <c r="AE1989" s="155">
        <v>976449</v>
      </c>
      <c r="AF1989" s="159" t="s">
        <v>8299</v>
      </c>
      <c r="AG1989" s="160" t="s">
        <v>706</v>
      </c>
      <c r="AH1989" s="194" t="s">
        <v>679</v>
      </c>
      <c r="AI1989" s="6" t="s">
        <v>3282</v>
      </c>
      <c r="AJ1989" s="3" t="s">
        <v>8220</v>
      </c>
      <c r="AK1989" t="s">
        <v>8220</v>
      </c>
      <c r="AV1989"/>
      <c r="AX1989"/>
      <c r="AZ1989" t="str">
        <f t="shared" si="283"/>
        <v/>
      </c>
      <c r="BA1989" t="str">
        <f t="shared" si="284"/>
        <v/>
      </c>
    </row>
    <row r="1990" spans="3:53" ht="13.5">
      <c r="C1990" s="19"/>
      <c r="D1990" s="19"/>
      <c r="AC1990" s="6" t="s">
        <v>5764</v>
      </c>
      <c r="AD1990" s="6" t="s">
        <v>7353</v>
      </c>
      <c r="AE1990" s="155" t="s">
        <v>2756</v>
      </c>
      <c r="AF1990" s="159" t="s">
        <v>8299</v>
      </c>
      <c r="AG1990" s="160" t="s">
        <v>4505</v>
      </c>
      <c r="AH1990" s="194" t="s">
        <v>4700</v>
      </c>
      <c r="AI1990" s="6" t="s">
        <v>3283</v>
      </c>
      <c r="AJ1990" s="3" t="s">
        <v>8240</v>
      </c>
      <c r="AK1990" t="s">
        <v>8240</v>
      </c>
      <c r="AV1990"/>
      <c r="AX1990"/>
      <c r="AZ1990" t="str">
        <f t="shared" si="283"/>
        <v/>
      </c>
      <c r="BA1990" t="str">
        <f t="shared" si="284"/>
        <v/>
      </c>
    </row>
    <row r="1991" spans="3:53" ht="13.5">
      <c r="C1991" s="19"/>
      <c r="D1991" s="19"/>
      <c r="AC1991" s="6" t="s">
        <v>5718</v>
      </c>
      <c r="AD1991" s="6" t="s">
        <v>7353</v>
      </c>
      <c r="AE1991" s="155">
        <v>976451</v>
      </c>
      <c r="AF1991" s="159" t="s">
        <v>8323</v>
      </c>
      <c r="AG1991" s="160" t="s">
        <v>5372</v>
      </c>
      <c r="AH1991" s="194" t="s">
        <v>679</v>
      </c>
      <c r="AI1991" s="6" t="s">
        <v>3284</v>
      </c>
      <c r="AJ1991" s="3" t="s">
        <v>8220</v>
      </c>
      <c r="AK1991" t="s">
        <v>8220</v>
      </c>
      <c r="AV1991"/>
      <c r="AX1991"/>
      <c r="AZ1991" t="str">
        <f t="shared" si="283"/>
        <v/>
      </c>
      <c r="BA1991" t="str">
        <f t="shared" si="284"/>
        <v/>
      </c>
    </row>
    <row r="1992" spans="3:53" ht="13.5">
      <c r="C1992" s="19"/>
      <c r="D1992" s="19"/>
      <c r="AC1992" s="6" t="s">
        <v>3175</v>
      </c>
      <c r="AD1992" s="6" t="s">
        <v>7353</v>
      </c>
      <c r="AE1992" s="155">
        <v>976452</v>
      </c>
      <c r="AF1992" s="159" t="s">
        <v>8299</v>
      </c>
      <c r="AG1992" s="160" t="s">
        <v>707</v>
      </c>
      <c r="AH1992" s="194" t="s">
        <v>679</v>
      </c>
      <c r="AI1992" s="6" t="s">
        <v>3285</v>
      </c>
      <c r="AJ1992" s="3" t="s">
        <v>8220</v>
      </c>
      <c r="AK1992" t="s">
        <v>8220</v>
      </c>
      <c r="AV1992"/>
      <c r="AX1992"/>
      <c r="AZ1992" t="str">
        <f t="shared" si="283"/>
        <v/>
      </c>
      <c r="BA1992" t="str">
        <f t="shared" si="284"/>
        <v/>
      </c>
    </row>
    <row r="1993" spans="3:53" ht="13.5">
      <c r="C1993" s="19"/>
      <c r="D1993" s="19"/>
      <c r="AC1993" s="6" t="s">
        <v>3115</v>
      </c>
      <c r="AD1993" s="6" t="s">
        <v>7353</v>
      </c>
      <c r="AE1993" s="155">
        <v>976453</v>
      </c>
      <c r="AF1993" s="159" t="s">
        <v>8340</v>
      </c>
      <c r="AG1993" s="160" t="s">
        <v>5373</v>
      </c>
      <c r="AH1993" s="194" t="s">
        <v>679</v>
      </c>
      <c r="AI1993" s="6" t="s">
        <v>3286</v>
      </c>
      <c r="AJ1993" s="3" t="s">
        <v>8220</v>
      </c>
      <c r="AK1993" t="s">
        <v>8220</v>
      </c>
      <c r="AV1993"/>
      <c r="AX1993"/>
      <c r="AZ1993" t="str">
        <f t="shared" si="283"/>
        <v/>
      </c>
      <c r="BA1993" t="str">
        <f t="shared" si="284"/>
        <v/>
      </c>
    </row>
    <row r="1994" spans="3:53" ht="13.5">
      <c r="C1994" s="19"/>
      <c r="D1994" s="19"/>
      <c r="AC1994" s="6" t="s">
        <v>3103</v>
      </c>
      <c r="AD1994" s="6" t="s">
        <v>7353</v>
      </c>
      <c r="AE1994" s="155">
        <v>976454</v>
      </c>
      <c r="AF1994" s="159" t="s">
        <v>8311</v>
      </c>
      <c r="AG1994" s="160" t="s">
        <v>708</v>
      </c>
      <c r="AH1994" s="194" t="s">
        <v>679</v>
      </c>
      <c r="AI1994" s="6" t="s">
        <v>3289</v>
      </c>
      <c r="AJ1994" s="3" t="s">
        <v>8220</v>
      </c>
      <c r="AK1994" t="s">
        <v>8220</v>
      </c>
      <c r="AV1994"/>
      <c r="AX1994"/>
      <c r="AZ1994" t="str">
        <f t="shared" si="283"/>
        <v/>
      </c>
      <c r="BA1994" t="str">
        <f t="shared" si="284"/>
        <v/>
      </c>
    </row>
    <row r="1995" spans="3:53" ht="13.5">
      <c r="C1995" s="19"/>
      <c r="D1995" s="19"/>
      <c r="AC1995" s="6" t="s">
        <v>2964</v>
      </c>
      <c r="AD1995" s="6" t="s">
        <v>7353</v>
      </c>
      <c r="AE1995" s="155">
        <v>986456</v>
      </c>
      <c r="AF1995" s="159" t="s">
        <v>8320</v>
      </c>
      <c r="AG1995" s="160" t="s">
        <v>709</v>
      </c>
      <c r="AH1995" s="194" t="s">
        <v>679</v>
      </c>
      <c r="AI1995" s="6" t="s">
        <v>3290</v>
      </c>
      <c r="AJ1995" s="3" t="s">
        <v>8220</v>
      </c>
      <c r="AK1995" t="s">
        <v>8220</v>
      </c>
      <c r="AV1995"/>
      <c r="AX1995"/>
      <c r="AZ1995" t="str">
        <f t="shared" si="283"/>
        <v/>
      </c>
      <c r="BA1995" t="str">
        <f t="shared" si="284"/>
        <v/>
      </c>
    </row>
    <row r="1996" spans="3:53" ht="13.5">
      <c r="C1996" s="19"/>
      <c r="D1996" s="19"/>
      <c r="AC1996" s="6" t="s">
        <v>3370</v>
      </c>
      <c r="AD1996" s="6" t="s">
        <v>7353</v>
      </c>
      <c r="AE1996" s="155">
        <v>986457</v>
      </c>
      <c r="AF1996" s="159" t="s">
        <v>8299</v>
      </c>
      <c r="AG1996" s="160" t="s">
        <v>710</v>
      </c>
      <c r="AH1996" s="194" t="s">
        <v>679</v>
      </c>
      <c r="AI1996" s="6" t="s">
        <v>3292</v>
      </c>
      <c r="AJ1996" s="3" t="s">
        <v>8240</v>
      </c>
      <c r="AK1996" t="s">
        <v>8240</v>
      </c>
      <c r="AV1996"/>
      <c r="AX1996"/>
      <c r="AZ1996" t="str">
        <f t="shared" si="283"/>
        <v/>
      </c>
      <c r="BA1996" t="str">
        <f t="shared" si="284"/>
        <v/>
      </c>
    </row>
    <row r="1997" spans="3:53" ht="13.5">
      <c r="C1997" s="19"/>
      <c r="D1997" s="19"/>
      <c r="AC1997" s="6" t="s">
        <v>3178</v>
      </c>
      <c r="AD1997" s="6" t="s">
        <v>7353</v>
      </c>
      <c r="AE1997" s="155">
        <v>986459</v>
      </c>
      <c r="AF1997" s="159" t="s">
        <v>8309</v>
      </c>
      <c r="AG1997" s="160" t="s">
        <v>711</v>
      </c>
      <c r="AH1997" s="194" t="s">
        <v>679</v>
      </c>
      <c r="AI1997" s="6" t="s">
        <v>3293</v>
      </c>
      <c r="AJ1997" s="3" t="s">
        <v>8220</v>
      </c>
      <c r="AK1997" t="s">
        <v>8220</v>
      </c>
      <c r="AV1997"/>
      <c r="AX1997"/>
      <c r="AZ1997" t="str">
        <f t="shared" si="283"/>
        <v/>
      </c>
      <c r="BA1997" t="str">
        <f t="shared" si="284"/>
        <v/>
      </c>
    </row>
    <row r="1998" spans="3:53" ht="13.5">
      <c r="C1998" s="19"/>
      <c r="D1998" s="19"/>
      <c r="AC1998" s="6" t="s">
        <v>3049</v>
      </c>
      <c r="AD1998" s="6" t="s">
        <v>7353</v>
      </c>
      <c r="AE1998" s="155">
        <v>986460</v>
      </c>
      <c r="AF1998" s="159" t="s">
        <v>8299</v>
      </c>
      <c r="AG1998" s="160" t="s">
        <v>712</v>
      </c>
      <c r="AH1998" s="194" t="s">
        <v>679</v>
      </c>
      <c r="AI1998" s="6" t="s">
        <v>3294</v>
      </c>
      <c r="AJ1998" s="3" t="s">
        <v>8220</v>
      </c>
      <c r="AK1998" t="s">
        <v>8220</v>
      </c>
      <c r="AV1998"/>
      <c r="AX1998"/>
      <c r="AZ1998" t="str">
        <f t="shared" si="283"/>
        <v/>
      </c>
      <c r="BA1998" t="str">
        <f t="shared" si="284"/>
        <v/>
      </c>
    </row>
    <row r="1999" spans="3:53" ht="13.5">
      <c r="C1999" s="19"/>
      <c r="D1999" s="19"/>
      <c r="AC1999" s="6" t="s">
        <v>3388</v>
      </c>
      <c r="AD1999" s="6" t="s">
        <v>7353</v>
      </c>
      <c r="AE1999" s="155">
        <v>986461</v>
      </c>
      <c r="AF1999" s="159" t="s">
        <v>8309</v>
      </c>
      <c r="AG1999" s="160" t="s">
        <v>713</v>
      </c>
      <c r="AH1999" s="194" t="s">
        <v>679</v>
      </c>
      <c r="AI1999" s="6" t="s">
        <v>3299</v>
      </c>
      <c r="AJ1999" s="3" t="s">
        <v>8220</v>
      </c>
      <c r="AK1999" t="s">
        <v>8220</v>
      </c>
      <c r="AV1999"/>
      <c r="AX1999"/>
      <c r="AZ1999" t="str">
        <f t="shared" si="283"/>
        <v/>
      </c>
      <c r="BA1999" t="str">
        <f t="shared" si="284"/>
        <v/>
      </c>
    </row>
    <row r="2000" spans="3:53" ht="13.5">
      <c r="C2000" s="19"/>
      <c r="D2000" s="19"/>
      <c r="AC2000" s="6" t="s">
        <v>3477</v>
      </c>
      <c r="AD2000" s="6" t="s">
        <v>7414</v>
      </c>
      <c r="AE2000" s="155">
        <v>986462</v>
      </c>
      <c r="AF2000" s="159" t="s">
        <v>8299</v>
      </c>
      <c r="AG2000" s="160" t="s">
        <v>714</v>
      </c>
      <c r="AH2000" s="194" t="s">
        <v>679</v>
      </c>
      <c r="AI2000" s="6" t="s">
        <v>3301</v>
      </c>
      <c r="AJ2000" s="3" t="s">
        <v>8240</v>
      </c>
      <c r="AK2000" t="s">
        <v>8240</v>
      </c>
      <c r="AV2000"/>
      <c r="AX2000"/>
      <c r="AZ2000" t="str">
        <f t="shared" si="283"/>
        <v/>
      </c>
      <c r="BA2000" t="str">
        <f t="shared" si="284"/>
        <v/>
      </c>
    </row>
    <row r="2001" spans="3:53" ht="13.5">
      <c r="C2001" s="19"/>
      <c r="D2001" s="19"/>
      <c r="AC2001" s="6" t="s">
        <v>5606</v>
      </c>
      <c r="AD2001" s="6" t="s">
        <v>7353</v>
      </c>
      <c r="AE2001" s="155">
        <v>986464</v>
      </c>
      <c r="AF2001" s="159" t="s">
        <v>8320</v>
      </c>
      <c r="AG2001" s="160" t="s">
        <v>715</v>
      </c>
      <c r="AH2001" s="194" t="s">
        <v>679</v>
      </c>
      <c r="AI2001" s="6" t="s">
        <v>3308</v>
      </c>
      <c r="AJ2001" s="3" t="s">
        <v>8211</v>
      </c>
      <c r="AK2001" t="s">
        <v>8242</v>
      </c>
      <c r="AV2001"/>
      <c r="AX2001"/>
      <c r="AZ2001" t="str">
        <f t="shared" ref="AZ2001:AZ2064" si="285">IF(ISBLANK(AW2001),"",CONCATENATE("(",RIGHT(AW2001,5),"-",TEXT(AX2001,"h:mm;@"),")"))</f>
        <v/>
      </c>
      <c r="BA2001" t="str">
        <f t="shared" ref="BA2001:BA2064" si="286">IF(AV2017=AV2001,"",CONCATENATE(IF(AV2016=AV2001,BA2016,""),IF(AV2015=AV2001,BA2015,""),IF(AV2014=AV2001,BA2014,""),IF(AV2013=AV2001,BA2013,""),IF(AV2012=AV2001,BA2012,""),IF(AV2011=AV2001,BA2011,""),IF(AV2010=AV2001,BA2010,""),IF(AV2009=AV2001,BA2009,""),IF(AV2008=AV2001,BA2008,""),IF(AV2007=AV2001,BA2007,""),IF(AV2006=AV2001,BA2006,""),IF(AV2005=AV2001,BA2005,""),IF(AV2004=AV2001,BA2004,""),IF(AV2003=AV2001,BA2003,""),IF(AV2002=AV2001,BA2002,""),IF(AV2000=AV2001,BA2000,""),BA2001))</f>
        <v/>
      </c>
    </row>
    <row r="2002" spans="3:53" ht="13.5">
      <c r="C2002" s="19"/>
      <c r="D2002" s="19"/>
      <c r="AC2002" s="6" t="s">
        <v>3426</v>
      </c>
      <c r="AD2002" s="6" t="s">
        <v>7353</v>
      </c>
      <c r="AE2002" s="155">
        <v>986465</v>
      </c>
      <c r="AF2002" s="159" t="s">
        <v>8297</v>
      </c>
      <c r="AG2002" s="160" t="s">
        <v>716</v>
      </c>
      <c r="AH2002" s="194" t="s">
        <v>679</v>
      </c>
      <c r="AI2002" s="6" t="s">
        <v>3426</v>
      </c>
      <c r="AJ2002" s="3" t="s">
        <v>8193</v>
      </c>
      <c r="AK2002" t="s">
        <v>8205</v>
      </c>
      <c r="AV2002"/>
      <c r="AX2002"/>
      <c r="AZ2002" t="str">
        <f t="shared" si="285"/>
        <v/>
      </c>
      <c r="BA2002" t="str">
        <f t="shared" si="286"/>
        <v/>
      </c>
    </row>
    <row r="2003" spans="3:53" ht="13.5">
      <c r="C2003" s="19"/>
      <c r="D2003" s="19"/>
      <c r="AC2003" s="6" t="s">
        <v>3038</v>
      </c>
      <c r="AD2003" s="6" t="s">
        <v>7353</v>
      </c>
      <c r="AE2003" s="155">
        <v>456475</v>
      </c>
      <c r="AF2003" s="159" t="s">
        <v>8299</v>
      </c>
      <c r="AG2003" s="160" t="s">
        <v>1014</v>
      </c>
      <c r="AH2003" s="194" t="s">
        <v>679</v>
      </c>
      <c r="AI2003" s="6" t="s">
        <v>3315</v>
      </c>
      <c r="AJ2003" s="3" t="s">
        <v>8247</v>
      </c>
      <c r="AK2003" t="s">
        <v>8247</v>
      </c>
      <c r="AV2003"/>
      <c r="AX2003"/>
      <c r="AZ2003" t="str">
        <f t="shared" si="285"/>
        <v/>
      </c>
      <c r="BA2003" t="str">
        <f t="shared" si="286"/>
        <v/>
      </c>
    </row>
    <row r="2004" spans="3:53" ht="13.5">
      <c r="C2004" s="19"/>
      <c r="D2004" s="19"/>
      <c r="AC2004" s="6" t="s">
        <v>3892</v>
      </c>
      <c r="AD2004" s="6" t="s">
        <v>7353</v>
      </c>
      <c r="AE2004" s="155">
        <v>456476</v>
      </c>
      <c r="AF2004" s="159" t="s">
        <v>8309</v>
      </c>
      <c r="AG2004" s="160" t="s">
        <v>717</v>
      </c>
      <c r="AH2004" s="194" t="s">
        <v>679</v>
      </c>
      <c r="AI2004" s="6" t="s">
        <v>3316</v>
      </c>
      <c r="AJ2004" s="3" t="s">
        <v>8205</v>
      </c>
      <c r="AK2004" t="s">
        <v>8211</v>
      </c>
      <c r="AV2004"/>
      <c r="AX2004"/>
      <c r="AZ2004" t="str">
        <f t="shared" si="285"/>
        <v/>
      </c>
      <c r="BA2004" t="str">
        <f t="shared" si="286"/>
        <v/>
      </c>
    </row>
    <row r="2005" spans="3:53" ht="13.5">
      <c r="C2005" s="19"/>
      <c r="D2005" s="19"/>
      <c r="AC2005" s="6" t="s">
        <v>5629</v>
      </c>
      <c r="AD2005" s="6" t="s">
        <v>7353</v>
      </c>
      <c r="AE2005" s="155">
        <v>426478</v>
      </c>
      <c r="AF2005" s="159" t="s">
        <v>8299</v>
      </c>
      <c r="AG2005" s="160" t="s">
        <v>718</v>
      </c>
      <c r="AH2005" s="194" t="s">
        <v>679</v>
      </c>
      <c r="AI2005" s="6" t="s">
        <v>3317</v>
      </c>
      <c r="AJ2005" s="3" t="s">
        <v>8264</v>
      </c>
      <c r="AK2005" t="s">
        <v>8264</v>
      </c>
      <c r="AV2005"/>
      <c r="AX2005"/>
      <c r="AZ2005" t="str">
        <f t="shared" si="285"/>
        <v/>
      </c>
      <c r="BA2005" t="str">
        <f t="shared" si="286"/>
        <v/>
      </c>
    </row>
    <row r="2006" spans="3:53" ht="13.5">
      <c r="C2006" s="19"/>
      <c r="D2006" s="19"/>
      <c r="AC2006" s="6" t="s">
        <v>2886</v>
      </c>
      <c r="AD2006" s="6" t="s">
        <v>7353</v>
      </c>
      <c r="AE2006" s="155" t="s">
        <v>1305</v>
      </c>
      <c r="AF2006" s="159" t="s">
        <v>8299</v>
      </c>
      <c r="AG2006" s="160" t="s">
        <v>719</v>
      </c>
      <c r="AH2006" s="194" t="s">
        <v>679</v>
      </c>
      <c r="AI2006" s="6" t="s">
        <v>4768</v>
      </c>
      <c r="AJ2006" s="3" t="s">
        <v>8247</v>
      </c>
      <c r="AK2006" t="s">
        <v>8247</v>
      </c>
      <c r="AV2006"/>
      <c r="AX2006"/>
      <c r="AZ2006" t="str">
        <f t="shared" si="285"/>
        <v/>
      </c>
      <c r="BA2006" t="str">
        <f t="shared" si="286"/>
        <v/>
      </c>
    </row>
    <row r="2007" spans="3:53" ht="13.5">
      <c r="C2007" s="19"/>
      <c r="D2007" s="19"/>
      <c r="AC2007" s="6" t="s">
        <v>2860</v>
      </c>
      <c r="AD2007" s="6" t="s">
        <v>7353</v>
      </c>
      <c r="AE2007" s="155" t="s">
        <v>2757</v>
      </c>
      <c r="AF2007" s="159" t="s">
        <v>8299</v>
      </c>
      <c r="AG2007" s="160" t="s">
        <v>720</v>
      </c>
      <c r="AH2007" s="194" t="s">
        <v>679</v>
      </c>
      <c r="AI2007" s="6" t="s">
        <v>5723</v>
      </c>
      <c r="AJ2007" s="3" t="s">
        <v>8203</v>
      </c>
      <c r="AK2007" t="s">
        <v>8203</v>
      </c>
      <c r="AV2007"/>
      <c r="AX2007"/>
      <c r="AZ2007" t="str">
        <f t="shared" si="285"/>
        <v/>
      </c>
      <c r="BA2007" t="str">
        <f t="shared" si="286"/>
        <v/>
      </c>
    </row>
    <row r="2008" spans="3:53" ht="13.5">
      <c r="C2008" s="19"/>
      <c r="D2008" s="19"/>
      <c r="AC2008" s="6" t="s">
        <v>2910</v>
      </c>
      <c r="AD2008" s="6" t="s">
        <v>7353</v>
      </c>
      <c r="AE2008" s="155" t="s">
        <v>2758</v>
      </c>
      <c r="AF2008" s="159" t="s">
        <v>8299</v>
      </c>
      <c r="AG2008" s="160" t="s">
        <v>1015</v>
      </c>
      <c r="AH2008" s="194" t="s">
        <v>679</v>
      </c>
      <c r="AI2008" s="6" t="s">
        <v>3327</v>
      </c>
      <c r="AJ2008" s="3" t="s">
        <v>8247</v>
      </c>
      <c r="AK2008" t="s">
        <v>8247</v>
      </c>
      <c r="AV2008"/>
      <c r="AX2008"/>
      <c r="AZ2008" t="str">
        <f t="shared" si="285"/>
        <v/>
      </c>
      <c r="BA2008" t="str">
        <f t="shared" si="286"/>
        <v/>
      </c>
    </row>
    <row r="2009" spans="3:53" ht="13.5">
      <c r="C2009" s="19"/>
      <c r="D2009" s="19"/>
      <c r="AC2009" s="6" t="s">
        <v>3371</v>
      </c>
      <c r="AD2009" s="6" t="s">
        <v>7353</v>
      </c>
      <c r="AE2009" s="155" t="s">
        <v>2759</v>
      </c>
      <c r="AF2009" s="159" t="s">
        <v>8299</v>
      </c>
      <c r="AG2009" s="160" t="s">
        <v>1016</v>
      </c>
      <c r="AH2009" s="194" t="s">
        <v>679</v>
      </c>
      <c r="AI2009" s="6" t="s">
        <v>3328</v>
      </c>
      <c r="AJ2009" s="3" t="s">
        <v>8247</v>
      </c>
      <c r="AK2009" t="s">
        <v>8247</v>
      </c>
      <c r="AV2009"/>
      <c r="AX2009"/>
      <c r="AZ2009" t="str">
        <f t="shared" si="285"/>
        <v/>
      </c>
      <c r="BA2009" t="str">
        <f t="shared" si="286"/>
        <v/>
      </c>
    </row>
    <row r="2010" spans="3:53" ht="13.5">
      <c r="C2010" s="19"/>
      <c r="D2010" s="19"/>
      <c r="AC2010" s="6" t="s">
        <v>4766</v>
      </c>
      <c r="AD2010" s="6" t="s">
        <v>7353</v>
      </c>
      <c r="AE2010" s="155" t="s">
        <v>2760</v>
      </c>
      <c r="AF2010" s="159" t="s">
        <v>8299</v>
      </c>
      <c r="AG2010" s="160" t="s">
        <v>721</v>
      </c>
      <c r="AH2010" s="194" t="s">
        <v>679</v>
      </c>
      <c r="AI2010" s="6" t="s">
        <v>3330</v>
      </c>
      <c r="AJ2010" s="3" t="s">
        <v>8247</v>
      </c>
      <c r="AK2010" t="s">
        <v>8247</v>
      </c>
      <c r="AV2010"/>
      <c r="AX2010"/>
      <c r="AZ2010" t="str">
        <f t="shared" si="285"/>
        <v/>
      </c>
      <c r="BA2010" t="str">
        <f t="shared" si="286"/>
        <v/>
      </c>
    </row>
    <row r="2011" spans="3:53" ht="13.5">
      <c r="C2011" s="19"/>
      <c r="D2011" s="19"/>
      <c r="AC2011" s="6" t="s">
        <v>2895</v>
      </c>
      <c r="AD2011" s="6" t="s">
        <v>7353</v>
      </c>
      <c r="AE2011" s="155" t="s">
        <v>2761</v>
      </c>
      <c r="AF2011" s="159" t="s">
        <v>8299</v>
      </c>
      <c r="AG2011" s="160" t="s">
        <v>1848</v>
      </c>
      <c r="AH2011" s="194" t="s">
        <v>679</v>
      </c>
      <c r="AI2011" s="6" t="s">
        <v>3331</v>
      </c>
      <c r="AJ2011" s="3" t="s">
        <v>8240</v>
      </c>
      <c r="AK2011" t="s">
        <v>8240</v>
      </c>
      <c r="AV2011"/>
      <c r="AX2011"/>
      <c r="AZ2011" t="str">
        <f t="shared" si="285"/>
        <v/>
      </c>
      <c r="BA2011" t="str">
        <f t="shared" si="286"/>
        <v/>
      </c>
    </row>
    <row r="2012" spans="3:53" ht="13.5">
      <c r="C2012" s="19"/>
      <c r="D2012" s="19"/>
      <c r="AC2012" s="6" t="s">
        <v>3326</v>
      </c>
      <c r="AD2012" s="6" t="s">
        <v>7353</v>
      </c>
      <c r="AE2012" s="155" t="s">
        <v>2762</v>
      </c>
      <c r="AF2012" s="159" t="s">
        <v>8299</v>
      </c>
      <c r="AG2012" s="160" t="s">
        <v>1849</v>
      </c>
      <c r="AH2012" s="194" t="s">
        <v>679</v>
      </c>
      <c r="AI2012" s="6" t="s">
        <v>3334</v>
      </c>
      <c r="AJ2012" s="3" t="s">
        <v>8240</v>
      </c>
      <c r="AK2012" t="s">
        <v>8240</v>
      </c>
      <c r="AV2012"/>
      <c r="AX2012"/>
      <c r="AZ2012" t="str">
        <f t="shared" si="285"/>
        <v/>
      </c>
      <c r="BA2012" t="str">
        <f t="shared" si="286"/>
        <v/>
      </c>
    </row>
    <row r="2013" spans="3:53" ht="13.5">
      <c r="C2013" s="19"/>
      <c r="D2013" s="19"/>
      <c r="AC2013" s="6" t="s">
        <v>3164</v>
      </c>
      <c r="AD2013" s="6" t="s">
        <v>7353</v>
      </c>
      <c r="AE2013" s="155" t="s">
        <v>2763</v>
      </c>
      <c r="AF2013" s="159" t="s">
        <v>8299</v>
      </c>
      <c r="AG2013" s="160" t="s">
        <v>1850</v>
      </c>
      <c r="AH2013" s="194" t="s">
        <v>679</v>
      </c>
      <c r="AI2013" s="6" t="s">
        <v>1227</v>
      </c>
      <c r="AJ2013" s="3" t="s">
        <v>8240</v>
      </c>
      <c r="AK2013" t="s">
        <v>8240</v>
      </c>
      <c r="AV2013"/>
      <c r="AX2013"/>
      <c r="AZ2013" t="str">
        <f t="shared" si="285"/>
        <v/>
      </c>
      <c r="BA2013" t="str">
        <f t="shared" si="286"/>
        <v/>
      </c>
    </row>
    <row r="2014" spans="3:53" ht="13.5">
      <c r="C2014" s="19"/>
      <c r="D2014" s="19"/>
      <c r="AC2014" s="6" t="s">
        <v>3017</v>
      </c>
      <c r="AD2014" s="6" t="s">
        <v>7353</v>
      </c>
      <c r="AE2014" s="155" t="s">
        <v>2764</v>
      </c>
      <c r="AF2014" s="159" t="s">
        <v>8299</v>
      </c>
      <c r="AG2014" s="160" t="s">
        <v>1253</v>
      </c>
      <c r="AH2014" s="194" t="s">
        <v>679</v>
      </c>
      <c r="AI2014" s="6" t="s">
        <v>3336</v>
      </c>
      <c r="AJ2014" s="3" t="s">
        <v>8240</v>
      </c>
      <c r="AK2014" t="s">
        <v>8240</v>
      </c>
      <c r="AV2014"/>
      <c r="AX2014"/>
      <c r="AZ2014" t="str">
        <f t="shared" si="285"/>
        <v/>
      </c>
      <c r="BA2014" t="str">
        <f t="shared" si="286"/>
        <v/>
      </c>
    </row>
    <row r="2015" spans="3:53" ht="13.5">
      <c r="C2015" s="19"/>
      <c r="D2015" s="19"/>
      <c r="AC2015" s="6" t="s">
        <v>3240</v>
      </c>
      <c r="AD2015" s="6" t="s">
        <v>7353</v>
      </c>
      <c r="AE2015" s="155" t="s">
        <v>1306</v>
      </c>
      <c r="AF2015" s="159" t="s">
        <v>8391</v>
      </c>
      <c r="AG2015" s="160" t="s">
        <v>722</v>
      </c>
      <c r="AH2015" s="194" t="s">
        <v>679</v>
      </c>
      <c r="AI2015" s="6" t="s">
        <v>3338</v>
      </c>
      <c r="AJ2015" s="3" t="s">
        <v>8240</v>
      </c>
      <c r="AK2015" t="s">
        <v>8240</v>
      </c>
      <c r="AV2015"/>
      <c r="AX2015"/>
      <c r="AZ2015" t="str">
        <f t="shared" si="285"/>
        <v/>
      </c>
      <c r="BA2015" t="str">
        <f t="shared" si="286"/>
        <v/>
      </c>
    </row>
    <row r="2016" spans="3:53" ht="13.5">
      <c r="C2016" s="19"/>
      <c r="D2016" s="19"/>
      <c r="AC2016" s="6" t="s">
        <v>2896</v>
      </c>
      <c r="AD2016" s="6" t="s">
        <v>7353</v>
      </c>
      <c r="AE2016" s="155" t="s">
        <v>1307</v>
      </c>
      <c r="AF2016" s="159" t="s">
        <v>8299</v>
      </c>
      <c r="AG2016" s="160" t="s">
        <v>723</v>
      </c>
      <c r="AH2016" s="194" t="s">
        <v>679</v>
      </c>
      <c r="AI2016" s="6" t="s">
        <v>3340</v>
      </c>
      <c r="AJ2016" s="3" t="s">
        <v>8240</v>
      </c>
      <c r="AK2016" t="s">
        <v>8240</v>
      </c>
      <c r="AV2016"/>
      <c r="AX2016"/>
      <c r="AZ2016" t="str">
        <f t="shared" si="285"/>
        <v/>
      </c>
      <c r="BA2016" t="str">
        <f t="shared" si="286"/>
        <v/>
      </c>
    </row>
    <row r="2017" spans="3:53" ht="13.5">
      <c r="C2017" s="19"/>
      <c r="D2017" s="19"/>
      <c r="AC2017" s="6" t="s">
        <v>3050</v>
      </c>
      <c r="AD2017" s="6" t="s">
        <v>7353</v>
      </c>
      <c r="AE2017" s="155" t="s">
        <v>2772</v>
      </c>
      <c r="AF2017" s="159" t="s">
        <v>8299</v>
      </c>
      <c r="AG2017" s="160" t="s">
        <v>724</v>
      </c>
      <c r="AH2017" s="194" t="s">
        <v>679</v>
      </c>
      <c r="AI2017" s="6" t="s">
        <v>3344</v>
      </c>
      <c r="AJ2017" s="3" t="s">
        <v>8240</v>
      </c>
      <c r="AK2017" t="s">
        <v>8240</v>
      </c>
      <c r="AV2017"/>
      <c r="AX2017"/>
      <c r="AZ2017" t="str">
        <f t="shared" si="285"/>
        <v/>
      </c>
      <c r="BA2017" t="str">
        <f t="shared" si="286"/>
        <v/>
      </c>
    </row>
    <row r="2018" spans="3:53" ht="13.5">
      <c r="C2018" s="19"/>
      <c r="D2018" s="19"/>
      <c r="AC2018" s="6" t="s">
        <v>3134</v>
      </c>
      <c r="AD2018" s="6" t="s">
        <v>7353</v>
      </c>
      <c r="AE2018" s="155" t="s">
        <v>2773</v>
      </c>
      <c r="AF2018" s="159" t="s">
        <v>8299</v>
      </c>
      <c r="AG2018" s="160" t="s">
        <v>1851</v>
      </c>
      <c r="AH2018" s="194" t="s">
        <v>679</v>
      </c>
      <c r="AI2018" s="6" t="s">
        <v>3345</v>
      </c>
      <c r="AJ2018" s="3" t="s">
        <v>8264</v>
      </c>
      <c r="AK2018" t="s">
        <v>8264</v>
      </c>
      <c r="AV2018"/>
      <c r="AX2018"/>
      <c r="AZ2018" t="str">
        <f t="shared" si="285"/>
        <v/>
      </c>
      <c r="BA2018" t="str">
        <f t="shared" si="286"/>
        <v/>
      </c>
    </row>
    <row r="2019" spans="3:53" ht="13.5">
      <c r="C2019" s="19"/>
      <c r="D2019" s="19"/>
      <c r="AC2019" s="6" t="s">
        <v>2907</v>
      </c>
      <c r="AD2019" s="6" t="s">
        <v>7353</v>
      </c>
      <c r="AE2019" s="155" t="s">
        <v>2774</v>
      </c>
      <c r="AF2019" s="159" t="s">
        <v>8297</v>
      </c>
      <c r="AG2019" s="160" t="s">
        <v>725</v>
      </c>
      <c r="AH2019" s="194" t="s">
        <v>679</v>
      </c>
      <c r="AI2019" s="6" t="s">
        <v>3346</v>
      </c>
      <c r="AJ2019" s="3" t="s">
        <v>8240</v>
      </c>
      <c r="AK2019" t="s">
        <v>8240</v>
      </c>
      <c r="AV2019"/>
      <c r="AX2019"/>
      <c r="AZ2019" t="str">
        <f t="shared" si="285"/>
        <v/>
      </c>
      <c r="BA2019" t="str">
        <f t="shared" si="286"/>
        <v/>
      </c>
    </row>
    <row r="2020" spans="3:53" ht="13.5">
      <c r="C2020" s="19"/>
      <c r="D2020" s="19"/>
      <c r="AC2020" s="6" t="s">
        <v>3394</v>
      </c>
      <c r="AD2020" s="6" t="s">
        <v>7353</v>
      </c>
      <c r="AE2020" s="155" t="s">
        <v>2775</v>
      </c>
      <c r="AF2020" s="159" t="s">
        <v>8299</v>
      </c>
      <c r="AG2020" s="160" t="s">
        <v>726</v>
      </c>
      <c r="AH2020" s="194" t="s">
        <v>678</v>
      </c>
      <c r="AI2020" s="6" t="s">
        <v>3347</v>
      </c>
      <c r="AJ2020" s="3" t="s">
        <v>8264</v>
      </c>
      <c r="AK2020" t="s">
        <v>8264</v>
      </c>
      <c r="AV2020"/>
      <c r="AX2020"/>
      <c r="AZ2020" t="str">
        <f t="shared" si="285"/>
        <v/>
      </c>
      <c r="BA2020" t="str">
        <f t="shared" si="286"/>
        <v/>
      </c>
    </row>
    <row r="2021" spans="3:53" ht="13.5">
      <c r="C2021" s="19"/>
      <c r="D2021" s="19"/>
      <c r="AC2021" s="6" t="s">
        <v>2866</v>
      </c>
      <c r="AD2021" s="6" t="s">
        <v>7353</v>
      </c>
      <c r="AE2021" s="155" t="s">
        <v>2776</v>
      </c>
      <c r="AF2021" s="159" t="s">
        <v>8299</v>
      </c>
      <c r="AG2021" s="160" t="s">
        <v>1852</v>
      </c>
      <c r="AH2021" s="194" t="s">
        <v>679</v>
      </c>
      <c r="AI2021" s="6" t="s">
        <v>3348</v>
      </c>
      <c r="AJ2021" s="3" t="s">
        <v>8193</v>
      </c>
      <c r="AK2021" t="s">
        <v>8205</v>
      </c>
      <c r="AV2021"/>
      <c r="AX2021"/>
      <c r="AZ2021" t="str">
        <f t="shared" si="285"/>
        <v/>
      </c>
      <c r="BA2021" t="str">
        <f t="shared" si="286"/>
        <v/>
      </c>
    </row>
    <row r="2022" spans="3:53" ht="13.5">
      <c r="C2022" s="19"/>
      <c r="D2022" s="19"/>
      <c r="AC2022" s="6" t="s">
        <v>3026</v>
      </c>
      <c r="AD2022" s="6" t="s">
        <v>7353</v>
      </c>
      <c r="AE2022" s="155" t="s">
        <v>2777</v>
      </c>
      <c r="AF2022" s="159" t="s">
        <v>8324</v>
      </c>
      <c r="AG2022" s="160" t="s">
        <v>1853</v>
      </c>
      <c r="AH2022" s="194" t="s">
        <v>679</v>
      </c>
      <c r="AI2022" s="6" t="s">
        <v>3349</v>
      </c>
      <c r="AJ2022" s="3" t="s">
        <v>8193</v>
      </c>
      <c r="AK2022" t="s">
        <v>8205</v>
      </c>
      <c r="AV2022"/>
      <c r="AX2022"/>
      <c r="AZ2022" t="str">
        <f t="shared" si="285"/>
        <v/>
      </c>
      <c r="BA2022" t="str">
        <f t="shared" si="286"/>
        <v/>
      </c>
    </row>
    <row r="2023" spans="3:53" ht="13.5">
      <c r="C2023" s="19"/>
      <c r="D2023" s="19"/>
      <c r="AC2023" s="6" t="s">
        <v>5403</v>
      </c>
      <c r="AD2023" s="6" t="s">
        <v>7353</v>
      </c>
      <c r="AE2023" s="155" t="s">
        <v>2778</v>
      </c>
      <c r="AF2023" s="159" t="s">
        <v>8299</v>
      </c>
      <c r="AG2023" s="160" t="s">
        <v>727</v>
      </c>
      <c r="AH2023" s="194" t="s">
        <v>679</v>
      </c>
      <c r="AI2023" s="6" t="s">
        <v>4759</v>
      </c>
      <c r="AJ2023" s="3" t="s">
        <v>8264</v>
      </c>
      <c r="AK2023" t="s">
        <v>8264</v>
      </c>
      <c r="AV2023"/>
      <c r="AX2023"/>
      <c r="AZ2023" t="str">
        <f t="shared" si="285"/>
        <v/>
      </c>
      <c r="BA2023" t="str">
        <f t="shared" si="286"/>
        <v/>
      </c>
    </row>
    <row r="2024" spans="3:53" ht="13.5">
      <c r="C2024" s="19"/>
      <c r="D2024" s="19"/>
      <c r="AC2024" s="6" t="s">
        <v>3433</v>
      </c>
      <c r="AD2024" s="6" t="s">
        <v>7353</v>
      </c>
      <c r="AE2024" s="155" t="s">
        <v>2779</v>
      </c>
      <c r="AF2024" s="159" t="s">
        <v>8299</v>
      </c>
      <c r="AG2024" s="160" t="s">
        <v>1854</v>
      </c>
      <c r="AH2024" s="194" t="s">
        <v>679</v>
      </c>
      <c r="AI2024" s="6" t="s">
        <v>5722</v>
      </c>
      <c r="AJ2024" s="3" t="s">
        <v>8211</v>
      </c>
      <c r="AK2024" t="s">
        <v>8242</v>
      </c>
      <c r="AV2024"/>
      <c r="AX2024"/>
      <c r="AZ2024" t="str">
        <f t="shared" si="285"/>
        <v/>
      </c>
      <c r="BA2024" t="str">
        <f t="shared" si="286"/>
        <v/>
      </c>
    </row>
    <row r="2025" spans="3:53" ht="13.5">
      <c r="C2025" s="19"/>
      <c r="D2025" s="19"/>
      <c r="AC2025" s="6" t="s">
        <v>3210</v>
      </c>
      <c r="AD2025" s="6" t="s">
        <v>7353</v>
      </c>
      <c r="AE2025" s="155" t="s">
        <v>1310</v>
      </c>
      <c r="AF2025" s="159" t="s">
        <v>8299</v>
      </c>
      <c r="AG2025" s="160" t="s">
        <v>728</v>
      </c>
      <c r="AH2025" s="194" t="s">
        <v>679</v>
      </c>
      <c r="AI2025" s="6" t="s">
        <v>5389</v>
      </c>
      <c r="AJ2025" s="3" t="s">
        <v>8264</v>
      </c>
      <c r="AK2025" t="s">
        <v>8264</v>
      </c>
      <c r="AV2025"/>
      <c r="AX2025"/>
      <c r="AZ2025" t="str">
        <f t="shared" si="285"/>
        <v/>
      </c>
      <c r="BA2025" t="str">
        <f t="shared" si="286"/>
        <v/>
      </c>
    </row>
    <row r="2026" spans="3:53" ht="13.5">
      <c r="C2026" s="19"/>
      <c r="D2026" s="19"/>
      <c r="AC2026" s="6" t="s">
        <v>3070</v>
      </c>
      <c r="AD2026" s="6" t="s">
        <v>7353</v>
      </c>
      <c r="AE2026" s="155" t="s">
        <v>2785</v>
      </c>
      <c r="AF2026" s="159" t="s">
        <v>8299</v>
      </c>
      <c r="AG2026" s="160" t="s">
        <v>729</v>
      </c>
      <c r="AH2026" s="194" t="s">
        <v>679</v>
      </c>
      <c r="AI2026" s="6" t="s">
        <v>3354</v>
      </c>
      <c r="AJ2026" s="3" t="s">
        <v>8211</v>
      </c>
      <c r="AK2026" t="s">
        <v>8242</v>
      </c>
      <c r="AV2026"/>
      <c r="AX2026"/>
      <c r="AZ2026" t="str">
        <f t="shared" si="285"/>
        <v/>
      </c>
      <c r="BA2026" t="str">
        <f t="shared" si="286"/>
        <v/>
      </c>
    </row>
    <row r="2027" spans="3:53" ht="13.5">
      <c r="C2027" s="19"/>
      <c r="D2027" s="19"/>
      <c r="AC2027" s="6" t="s">
        <v>3384</v>
      </c>
      <c r="AD2027" s="6" t="s">
        <v>7353</v>
      </c>
      <c r="AE2027" s="155" t="s">
        <v>2786</v>
      </c>
      <c r="AF2027" s="159" t="s">
        <v>8299</v>
      </c>
      <c r="AG2027" s="160" t="s">
        <v>730</v>
      </c>
      <c r="AH2027" s="194" t="s">
        <v>678</v>
      </c>
      <c r="AI2027" s="6" t="s">
        <v>3355</v>
      </c>
      <c r="AJ2027" s="3" t="s">
        <v>8246</v>
      </c>
      <c r="AK2027" t="s">
        <v>8246</v>
      </c>
      <c r="AV2027"/>
      <c r="AX2027"/>
      <c r="AZ2027" t="str">
        <f t="shared" si="285"/>
        <v/>
      </c>
      <c r="BA2027" t="str">
        <f t="shared" si="286"/>
        <v/>
      </c>
    </row>
    <row r="2028" spans="3:53" ht="13.5">
      <c r="C2028" s="19"/>
      <c r="D2028" s="19"/>
      <c r="AC2028" s="6" t="s">
        <v>3135</v>
      </c>
      <c r="AD2028" s="6" t="s">
        <v>7353</v>
      </c>
      <c r="AE2028" s="155" t="s">
        <v>1311</v>
      </c>
      <c r="AF2028" s="159" t="s">
        <v>8299</v>
      </c>
      <c r="AG2028" s="160" t="s">
        <v>1855</v>
      </c>
      <c r="AH2028" s="194" t="s">
        <v>679</v>
      </c>
      <c r="AI2028" s="6" t="s">
        <v>3359</v>
      </c>
      <c r="AJ2028" s="3" t="s">
        <v>8240</v>
      </c>
      <c r="AK2028" t="s">
        <v>8240</v>
      </c>
      <c r="AV2028"/>
      <c r="AX2028"/>
      <c r="AZ2028" t="str">
        <f t="shared" si="285"/>
        <v/>
      </c>
      <c r="BA2028" t="str">
        <f t="shared" si="286"/>
        <v/>
      </c>
    </row>
    <row r="2029" spans="3:53" ht="13.5">
      <c r="C2029" s="19"/>
      <c r="D2029" s="19"/>
      <c r="AC2029" s="6" t="s">
        <v>3323</v>
      </c>
      <c r="AD2029" s="6" t="s">
        <v>7353</v>
      </c>
      <c r="AE2029" s="155" t="s">
        <v>2787</v>
      </c>
      <c r="AF2029" s="159" t="s">
        <v>8299</v>
      </c>
      <c r="AG2029" s="160" t="s">
        <v>731</v>
      </c>
      <c r="AH2029" s="194" t="s">
        <v>679</v>
      </c>
      <c r="AI2029" s="6" t="s">
        <v>1232</v>
      </c>
      <c r="AJ2029" s="3" t="s">
        <v>8211</v>
      </c>
      <c r="AK2029" t="s">
        <v>8242</v>
      </c>
      <c r="AV2029"/>
      <c r="AX2029"/>
      <c r="AZ2029" t="str">
        <f t="shared" si="285"/>
        <v/>
      </c>
      <c r="BA2029" t="str">
        <f t="shared" si="286"/>
        <v/>
      </c>
    </row>
    <row r="2030" spans="3:53" ht="13.5">
      <c r="C2030" s="19"/>
      <c r="D2030" s="19"/>
      <c r="AC2030" s="6" t="s">
        <v>3221</v>
      </c>
      <c r="AD2030" s="6" t="s">
        <v>7353</v>
      </c>
      <c r="AE2030" s="155" t="s">
        <v>2788</v>
      </c>
      <c r="AF2030" s="159" t="s">
        <v>8299</v>
      </c>
      <c r="AG2030" s="160" t="s">
        <v>732</v>
      </c>
      <c r="AH2030" s="194" t="s">
        <v>678</v>
      </c>
      <c r="AI2030" s="6" t="s">
        <v>3360</v>
      </c>
      <c r="AJ2030" s="3" t="s">
        <v>8211</v>
      </c>
      <c r="AK2030" t="s">
        <v>8242</v>
      </c>
      <c r="AV2030"/>
      <c r="AX2030"/>
      <c r="AZ2030" t="str">
        <f t="shared" si="285"/>
        <v/>
      </c>
      <c r="BA2030" t="str">
        <f t="shared" si="286"/>
        <v/>
      </c>
    </row>
    <row r="2031" spans="3:53" ht="13.5">
      <c r="C2031" s="19"/>
      <c r="D2031" s="19"/>
      <c r="AC2031" s="6" t="s">
        <v>2913</v>
      </c>
      <c r="AD2031" s="6" t="s">
        <v>7353</v>
      </c>
      <c r="AE2031" s="155" t="s">
        <v>2789</v>
      </c>
      <c r="AF2031" s="159" t="s">
        <v>8299</v>
      </c>
      <c r="AG2031" s="160" t="s">
        <v>1856</v>
      </c>
      <c r="AH2031" s="194" t="s">
        <v>679</v>
      </c>
      <c r="AI2031" s="6" t="s">
        <v>3361</v>
      </c>
      <c r="AJ2031" s="3" t="s">
        <v>8211</v>
      </c>
      <c r="AK2031" t="s">
        <v>8242</v>
      </c>
      <c r="AV2031"/>
      <c r="AX2031"/>
      <c r="AZ2031" t="str">
        <f t="shared" si="285"/>
        <v/>
      </c>
      <c r="BA2031" t="str">
        <f t="shared" si="286"/>
        <v/>
      </c>
    </row>
    <row r="2032" spans="3:53" ht="13.5">
      <c r="C2032" s="19"/>
      <c r="D2032" s="19"/>
      <c r="AC2032" s="6" t="s">
        <v>5605</v>
      </c>
      <c r="AD2032" s="6" t="s">
        <v>7353</v>
      </c>
      <c r="AE2032" s="155">
        <v>247501</v>
      </c>
      <c r="AF2032" s="159" t="s">
        <v>8320</v>
      </c>
      <c r="AG2032" s="160" t="s">
        <v>1254</v>
      </c>
      <c r="AH2032" s="194" t="s">
        <v>679</v>
      </c>
      <c r="AI2032" s="6" t="s">
        <v>3362</v>
      </c>
      <c r="AJ2032" s="3" t="s">
        <v>8211</v>
      </c>
      <c r="AK2032" t="s">
        <v>8242</v>
      </c>
      <c r="AV2032"/>
      <c r="AX2032"/>
      <c r="AZ2032" t="str">
        <f t="shared" si="285"/>
        <v/>
      </c>
      <c r="BA2032" t="str">
        <f t="shared" si="286"/>
        <v/>
      </c>
    </row>
    <row r="2033" spans="3:53" ht="13.5">
      <c r="C2033" s="19"/>
      <c r="D2033" s="19"/>
      <c r="AC2033" s="6" t="s">
        <v>1215</v>
      </c>
      <c r="AD2033" s="6" t="s">
        <v>7353</v>
      </c>
      <c r="AE2033" s="155" t="s">
        <v>2790</v>
      </c>
      <c r="AF2033" s="159" t="s">
        <v>8309</v>
      </c>
      <c r="AG2033" s="160" t="s">
        <v>733</v>
      </c>
      <c r="AH2033" s="194" t="s">
        <v>679</v>
      </c>
      <c r="AI2033" s="6" t="s">
        <v>3364</v>
      </c>
      <c r="AJ2033" s="3" t="s">
        <v>8211</v>
      </c>
      <c r="AK2033" t="s">
        <v>8242</v>
      </c>
      <c r="AV2033"/>
      <c r="AX2033"/>
      <c r="AZ2033" t="str">
        <f t="shared" si="285"/>
        <v/>
      </c>
      <c r="BA2033" t="str">
        <f t="shared" si="286"/>
        <v/>
      </c>
    </row>
    <row r="2034" spans="3:53" ht="13.5">
      <c r="C2034" s="19"/>
      <c r="D2034" s="19"/>
      <c r="AC2034" s="6" t="s">
        <v>5395</v>
      </c>
      <c r="AD2034" s="6" t="s">
        <v>7353</v>
      </c>
      <c r="AE2034" s="155" t="s">
        <v>2791</v>
      </c>
      <c r="AF2034" s="159" t="s">
        <v>8325</v>
      </c>
      <c r="AG2034" s="160" t="s">
        <v>734</v>
      </c>
      <c r="AH2034" s="194" t="s">
        <v>678</v>
      </c>
      <c r="AI2034" s="6" t="s">
        <v>3374</v>
      </c>
      <c r="AJ2034" s="3" t="s">
        <v>8247</v>
      </c>
      <c r="AK2034" t="s">
        <v>8247</v>
      </c>
      <c r="AV2034"/>
      <c r="AX2034"/>
      <c r="AZ2034" t="str">
        <f t="shared" si="285"/>
        <v/>
      </c>
      <c r="BA2034" t="str">
        <f t="shared" si="286"/>
        <v/>
      </c>
    </row>
    <row r="2035" spans="3:53" ht="13.5">
      <c r="C2035" s="19"/>
      <c r="D2035" s="19"/>
      <c r="AC2035" s="6" t="s">
        <v>5282</v>
      </c>
      <c r="AD2035" s="6" t="s">
        <v>7353</v>
      </c>
      <c r="AE2035" s="155" t="s">
        <v>2792</v>
      </c>
      <c r="AF2035" s="159" t="s">
        <v>8299</v>
      </c>
      <c r="AG2035" s="160" t="s">
        <v>1017</v>
      </c>
      <c r="AH2035" s="194" t="s">
        <v>679</v>
      </c>
      <c r="AI2035" s="6" t="s">
        <v>3376</v>
      </c>
      <c r="AJ2035" s="3" t="s">
        <v>8240</v>
      </c>
      <c r="AK2035" t="s">
        <v>8240</v>
      </c>
      <c r="AV2035"/>
      <c r="AX2035"/>
      <c r="AZ2035" t="str">
        <f t="shared" si="285"/>
        <v/>
      </c>
      <c r="BA2035" t="str">
        <f t="shared" si="286"/>
        <v/>
      </c>
    </row>
    <row r="2036" spans="3:53" ht="13.5">
      <c r="C2036" s="19"/>
      <c r="D2036" s="19"/>
      <c r="AC2036" s="6" t="s">
        <v>3261</v>
      </c>
      <c r="AD2036" s="6" t="s">
        <v>7353</v>
      </c>
      <c r="AE2036" s="155" t="s">
        <v>2793</v>
      </c>
      <c r="AF2036" s="159" t="s">
        <v>8325</v>
      </c>
      <c r="AG2036" s="160" t="s">
        <v>735</v>
      </c>
      <c r="AH2036" s="194" t="s">
        <v>679</v>
      </c>
      <c r="AI2036" s="6" t="s">
        <v>3379</v>
      </c>
      <c r="AJ2036" s="3" t="s">
        <v>8220</v>
      </c>
      <c r="AK2036" t="s">
        <v>8220</v>
      </c>
      <c r="AV2036"/>
      <c r="AX2036"/>
      <c r="AZ2036" t="str">
        <f t="shared" si="285"/>
        <v/>
      </c>
      <c r="BA2036" t="str">
        <f t="shared" si="286"/>
        <v/>
      </c>
    </row>
    <row r="2037" spans="3:53" ht="13.5">
      <c r="C2037" s="19"/>
      <c r="D2037" s="19"/>
      <c r="AC2037" s="6" t="s">
        <v>3288</v>
      </c>
      <c r="AD2037" s="6" t="s">
        <v>7353</v>
      </c>
      <c r="AE2037" s="155" t="s">
        <v>2794</v>
      </c>
      <c r="AF2037" s="159" t="s">
        <v>8324</v>
      </c>
      <c r="AG2037" s="160" t="s">
        <v>1857</v>
      </c>
      <c r="AH2037" s="194" t="s">
        <v>679</v>
      </c>
      <c r="AI2037" s="6" t="s">
        <v>3380</v>
      </c>
      <c r="AJ2037" s="3" t="s">
        <v>8220</v>
      </c>
      <c r="AK2037" t="s">
        <v>8220</v>
      </c>
      <c r="AV2037"/>
      <c r="AX2037"/>
      <c r="AZ2037" t="str">
        <f t="shared" si="285"/>
        <v/>
      </c>
      <c r="BA2037" t="str">
        <f t="shared" si="286"/>
        <v/>
      </c>
    </row>
    <row r="2038" spans="3:53" ht="13.5">
      <c r="C2038" s="19"/>
      <c r="D2038" s="19"/>
      <c r="AC2038" s="6" t="s">
        <v>3226</v>
      </c>
      <c r="AD2038" s="6" t="s">
        <v>7353</v>
      </c>
      <c r="AE2038" s="155" t="s">
        <v>2795</v>
      </c>
      <c r="AF2038" s="159" t="s">
        <v>8299</v>
      </c>
      <c r="AG2038" s="160" t="s">
        <v>736</v>
      </c>
      <c r="AH2038" s="194" t="s">
        <v>678</v>
      </c>
      <c r="AI2038" s="6" t="s">
        <v>3381</v>
      </c>
      <c r="AJ2038" s="3" t="s">
        <v>8220</v>
      </c>
      <c r="AK2038" t="s">
        <v>8220</v>
      </c>
      <c r="AV2038"/>
      <c r="AX2038"/>
      <c r="AZ2038" t="str">
        <f t="shared" si="285"/>
        <v/>
      </c>
      <c r="BA2038" t="str">
        <f t="shared" si="286"/>
        <v/>
      </c>
    </row>
    <row r="2039" spans="3:53" ht="13.5">
      <c r="C2039" s="19"/>
      <c r="D2039" s="19"/>
      <c r="AC2039" s="6" t="s">
        <v>2909</v>
      </c>
      <c r="AD2039" s="6" t="s">
        <v>7353</v>
      </c>
      <c r="AE2039" s="155" t="s">
        <v>2796</v>
      </c>
      <c r="AF2039" s="159" t="s">
        <v>8299</v>
      </c>
      <c r="AG2039" s="160" t="s">
        <v>1255</v>
      </c>
      <c r="AH2039" s="194" t="s">
        <v>678</v>
      </c>
      <c r="AI2039" s="6" t="s">
        <v>3441</v>
      </c>
      <c r="AJ2039" s="3" t="s">
        <v>8247</v>
      </c>
      <c r="AK2039" t="s">
        <v>8247</v>
      </c>
      <c r="AV2039"/>
      <c r="AX2039"/>
      <c r="AZ2039" t="str">
        <f t="shared" si="285"/>
        <v/>
      </c>
      <c r="BA2039" t="str">
        <f t="shared" si="286"/>
        <v/>
      </c>
    </row>
    <row r="2040" spans="3:53" ht="13.5">
      <c r="C2040" s="19"/>
      <c r="D2040" s="19"/>
      <c r="AC2040" s="6" t="s">
        <v>2861</v>
      </c>
      <c r="AD2040" s="6" t="s">
        <v>7353</v>
      </c>
      <c r="AE2040" s="155" t="s">
        <v>2797</v>
      </c>
      <c r="AF2040" s="159" t="s">
        <v>8299</v>
      </c>
      <c r="AG2040" s="160" t="s">
        <v>1018</v>
      </c>
      <c r="AH2040" s="194" t="s">
        <v>679</v>
      </c>
      <c r="AI2040" s="6" t="s">
        <v>3383</v>
      </c>
      <c r="AJ2040" s="3" t="s">
        <v>8193</v>
      </c>
      <c r="AK2040" t="s">
        <v>8205</v>
      </c>
      <c r="AV2040"/>
      <c r="AX2040"/>
      <c r="AZ2040" t="str">
        <f t="shared" si="285"/>
        <v/>
      </c>
      <c r="BA2040" t="str">
        <f t="shared" si="286"/>
        <v/>
      </c>
    </row>
    <row r="2041" spans="3:53" ht="13.5">
      <c r="C2041" s="19"/>
      <c r="D2041" s="19"/>
      <c r="AC2041" s="6" t="s">
        <v>3196</v>
      </c>
      <c r="AD2041" s="6" t="s">
        <v>7353</v>
      </c>
      <c r="AE2041" s="155" t="s">
        <v>2798</v>
      </c>
      <c r="AF2041" s="159" t="s">
        <v>8299</v>
      </c>
      <c r="AG2041" s="160" t="s">
        <v>737</v>
      </c>
      <c r="AH2041" s="194" t="s">
        <v>678</v>
      </c>
      <c r="AI2041" s="6" t="s">
        <v>3384</v>
      </c>
      <c r="AJ2041" s="3" t="s">
        <v>8205</v>
      </c>
      <c r="AK2041" t="s">
        <v>8211</v>
      </c>
      <c r="AV2041"/>
      <c r="AX2041"/>
      <c r="AZ2041" t="str">
        <f t="shared" si="285"/>
        <v/>
      </c>
      <c r="BA2041" t="str">
        <f t="shared" si="286"/>
        <v/>
      </c>
    </row>
    <row r="2042" spans="3:53" ht="13.5">
      <c r="C2042" s="19"/>
      <c r="D2042" s="19"/>
      <c r="AC2042" s="6" t="s">
        <v>3247</v>
      </c>
      <c r="AD2042" s="6" t="s">
        <v>7353</v>
      </c>
      <c r="AE2042" s="155" t="s">
        <v>2799</v>
      </c>
      <c r="AF2042" s="159" t="s">
        <v>8299</v>
      </c>
      <c r="AG2042" s="160" t="s">
        <v>738</v>
      </c>
      <c r="AH2042" s="194" t="s">
        <v>679</v>
      </c>
      <c r="AI2042" s="6" t="s">
        <v>3440</v>
      </c>
      <c r="AJ2042" s="3" t="s">
        <v>8264</v>
      </c>
      <c r="AK2042" t="s">
        <v>8264</v>
      </c>
      <c r="AV2042"/>
      <c r="AX2042"/>
      <c r="AZ2042" t="str">
        <f t="shared" si="285"/>
        <v/>
      </c>
      <c r="BA2042" t="str">
        <f t="shared" si="286"/>
        <v/>
      </c>
    </row>
    <row r="2043" spans="3:53" ht="13.5">
      <c r="C2043" s="19"/>
      <c r="D2043" s="19"/>
      <c r="AC2043" s="6" t="s">
        <v>3316</v>
      </c>
      <c r="AD2043" s="6" t="s">
        <v>7353</v>
      </c>
      <c r="AE2043" s="155" t="s">
        <v>2800</v>
      </c>
      <c r="AF2043" s="159" t="s">
        <v>8299</v>
      </c>
      <c r="AG2043" s="160" t="s">
        <v>948</v>
      </c>
      <c r="AH2043" s="194" t="s">
        <v>679</v>
      </c>
      <c r="AI2043" s="6" t="s">
        <v>3420</v>
      </c>
      <c r="AJ2043" s="3" t="s">
        <v>8264</v>
      </c>
      <c r="AK2043" t="s">
        <v>8264</v>
      </c>
      <c r="AV2043"/>
      <c r="AX2043"/>
      <c r="AZ2043" t="str">
        <f t="shared" si="285"/>
        <v/>
      </c>
      <c r="BA2043" t="str">
        <f t="shared" si="286"/>
        <v/>
      </c>
    </row>
    <row r="2044" spans="3:53" ht="13.5">
      <c r="C2044" s="19"/>
      <c r="D2044" s="19"/>
      <c r="AC2044" s="6" t="s">
        <v>2972</v>
      </c>
      <c r="AD2044" s="6" t="s">
        <v>7353</v>
      </c>
      <c r="AE2044" s="155" t="s">
        <v>1267</v>
      </c>
      <c r="AF2044" s="159" t="s">
        <v>8299</v>
      </c>
      <c r="AG2044" s="160" t="s">
        <v>1858</v>
      </c>
      <c r="AH2044" s="194" t="s">
        <v>679</v>
      </c>
      <c r="AI2044" s="6" t="s">
        <v>3393</v>
      </c>
      <c r="AJ2044" s="3" t="s">
        <v>8211</v>
      </c>
      <c r="AK2044" t="s">
        <v>8242</v>
      </c>
      <c r="AV2044"/>
      <c r="AX2044"/>
      <c r="AZ2044" t="str">
        <f t="shared" si="285"/>
        <v/>
      </c>
      <c r="BA2044" t="str">
        <f t="shared" si="286"/>
        <v/>
      </c>
    </row>
    <row r="2045" spans="3:53" ht="13.5">
      <c r="C2045" s="19"/>
      <c r="D2045" s="19"/>
      <c r="AC2045" s="6" t="s">
        <v>3084</v>
      </c>
      <c r="AD2045" s="6" t="s">
        <v>7353</v>
      </c>
      <c r="AE2045" s="155" t="s">
        <v>2801</v>
      </c>
      <c r="AF2045" s="159" t="s">
        <v>8299</v>
      </c>
      <c r="AG2045" s="160" t="s">
        <v>1019</v>
      </c>
      <c r="AH2045" s="194" t="s">
        <v>679</v>
      </c>
      <c r="AI2045" s="6" t="s">
        <v>5719</v>
      </c>
      <c r="AJ2045" s="3" t="s">
        <v>8193</v>
      </c>
      <c r="AK2045" t="s">
        <v>8205</v>
      </c>
      <c r="AV2045"/>
      <c r="AX2045"/>
      <c r="AZ2045" t="str">
        <f t="shared" si="285"/>
        <v/>
      </c>
      <c r="BA2045" t="str">
        <f t="shared" si="286"/>
        <v/>
      </c>
    </row>
    <row r="2046" spans="3:53" ht="13.5">
      <c r="C2046" s="19"/>
      <c r="D2046" s="19"/>
      <c r="AC2046" s="6" t="s">
        <v>3069</v>
      </c>
      <c r="AD2046" s="6" t="s">
        <v>7353</v>
      </c>
      <c r="AE2046" s="155" t="s">
        <v>2802</v>
      </c>
      <c r="AF2046" s="159" t="s">
        <v>8299</v>
      </c>
      <c r="AG2046" s="160" t="s">
        <v>1256</v>
      </c>
      <c r="AH2046" s="194" t="s">
        <v>4700</v>
      </c>
      <c r="AI2046" s="6" t="s">
        <v>3396</v>
      </c>
      <c r="AJ2046" s="3" t="s">
        <v>8205</v>
      </c>
      <c r="AK2046" t="s">
        <v>8211</v>
      </c>
      <c r="AV2046"/>
      <c r="AX2046"/>
      <c r="AZ2046" t="str">
        <f t="shared" si="285"/>
        <v/>
      </c>
      <c r="BA2046" t="str">
        <f t="shared" si="286"/>
        <v/>
      </c>
    </row>
    <row r="2047" spans="3:53" ht="13.5">
      <c r="C2047" s="19"/>
      <c r="D2047" s="19"/>
      <c r="AC2047" s="6" t="s">
        <v>5715</v>
      </c>
      <c r="AD2047" s="6" t="s">
        <v>7353</v>
      </c>
      <c r="AE2047" s="155" t="s">
        <v>2803</v>
      </c>
      <c r="AF2047" s="159" t="s">
        <v>8299</v>
      </c>
      <c r="AG2047" s="160" t="s">
        <v>1859</v>
      </c>
      <c r="AH2047" s="194" t="s">
        <v>4700</v>
      </c>
      <c r="AI2047" s="6" t="s">
        <v>3897</v>
      </c>
      <c r="AJ2047" s="3" t="s">
        <v>8240</v>
      </c>
      <c r="AK2047" t="s">
        <v>8240</v>
      </c>
      <c r="AV2047"/>
      <c r="AX2047"/>
      <c r="AZ2047" t="str">
        <f t="shared" si="285"/>
        <v/>
      </c>
      <c r="BA2047" t="str">
        <f t="shared" si="286"/>
        <v/>
      </c>
    </row>
    <row r="2048" spans="3:53" ht="13.5">
      <c r="C2048" s="19"/>
      <c r="D2048" s="19"/>
      <c r="AC2048" s="6" t="s">
        <v>3071</v>
      </c>
      <c r="AD2048" s="6" t="s">
        <v>7353</v>
      </c>
      <c r="AE2048" s="155" t="s">
        <v>2804</v>
      </c>
      <c r="AF2048" s="159" t="s">
        <v>8299</v>
      </c>
      <c r="AG2048" s="160" t="s">
        <v>1860</v>
      </c>
      <c r="AH2048" s="194" t="s">
        <v>679</v>
      </c>
      <c r="AI2048" s="6" t="s">
        <v>3399</v>
      </c>
      <c r="AJ2048" s="3" t="s">
        <v>8247</v>
      </c>
      <c r="AK2048" t="s">
        <v>8247</v>
      </c>
      <c r="AV2048"/>
      <c r="AX2048"/>
      <c r="AZ2048" t="str">
        <f t="shared" si="285"/>
        <v/>
      </c>
      <c r="BA2048" t="str">
        <f t="shared" si="286"/>
        <v/>
      </c>
    </row>
    <row r="2049" spans="3:53" ht="13.5">
      <c r="C2049" s="19"/>
      <c r="D2049" s="19"/>
      <c r="AC2049" s="6" t="s">
        <v>3260</v>
      </c>
      <c r="AD2049" s="6" t="s">
        <v>7353</v>
      </c>
      <c r="AE2049" s="155" t="s">
        <v>2805</v>
      </c>
      <c r="AF2049" s="159" t="s">
        <v>8299</v>
      </c>
      <c r="AG2049" s="160" t="s">
        <v>1861</v>
      </c>
      <c r="AH2049" s="194" t="s">
        <v>679</v>
      </c>
      <c r="AI2049" s="6" t="s">
        <v>4745</v>
      </c>
      <c r="AJ2049" s="3" t="s">
        <v>8247</v>
      </c>
      <c r="AK2049" t="s">
        <v>8247</v>
      </c>
      <c r="AV2049"/>
      <c r="AX2049"/>
      <c r="AZ2049" t="str">
        <f t="shared" si="285"/>
        <v/>
      </c>
      <c r="BA2049" t="str">
        <f t="shared" si="286"/>
        <v/>
      </c>
    </row>
    <row r="2050" spans="3:53" ht="13.5">
      <c r="C2050" s="19"/>
      <c r="D2050" s="19"/>
      <c r="AC2050" s="6" t="s">
        <v>5616</v>
      </c>
      <c r="AD2050" s="6" t="s">
        <v>7353</v>
      </c>
      <c r="AE2050" s="155" t="s">
        <v>2806</v>
      </c>
      <c r="AF2050" s="159" t="s">
        <v>8299</v>
      </c>
      <c r="AG2050" s="160" t="s">
        <v>1862</v>
      </c>
      <c r="AH2050" s="194" t="s">
        <v>679</v>
      </c>
      <c r="AI2050" s="6" t="s">
        <v>4763</v>
      </c>
      <c r="AJ2050" s="3" t="s">
        <v>8220</v>
      </c>
      <c r="AK2050" t="s">
        <v>8220</v>
      </c>
      <c r="AV2050"/>
      <c r="AX2050"/>
      <c r="AZ2050" t="str">
        <f t="shared" si="285"/>
        <v/>
      </c>
      <c r="BA2050" t="str">
        <f t="shared" si="286"/>
        <v/>
      </c>
    </row>
    <row r="2051" spans="3:53" ht="13.5">
      <c r="C2051" s="19"/>
      <c r="D2051" s="19"/>
      <c r="AC2051" s="6" t="s">
        <v>3176</v>
      </c>
      <c r="AD2051" s="6" t="s">
        <v>7353</v>
      </c>
      <c r="AE2051" s="155">
        <v>826341</v>
      </c>
      <c r="AF2051" s="159" t="s">
        <v>8299</v>
      </c>
      <c r="AG2051" s="160" t="s">
        <v>1863</v>
      </c>
      <c r="AH2051" s="194" t="s">
        <v>678</v>
      </c>
      <c r="AI2051" s="6" t="s">
        <v>4432</v>
      </c>
      <c r="AJ2051" s="3" t="s">
        <v>8211</v>
      </c>
      <c r="AK2051" t="s">
        <v>8242</v>
      </c>
      <c r="AV2051"/>
      <c r="AX2051"/>
      <c r="AZ2051" t="str">
        <f t="shared" si="285"/>
        <v/>
      </c>
      <c r="BA2051" t="str">
        <f t="shared" si="286"/>
        <v/>
      </c>
    </row>
    <row r="2052" spans="3:53" ht="13.5">
      <c r="C2052" s="19"/>
      <c r="D2052" s="19"/>
      <c r="AC2052" s="6" t="s">
        <v>3225</v>
      </c>
      <c r="AD2052" s="6" t="s">
        <v>7353</v>
      </c>
      <c r="AE2052" s="155" t="s">
        <v>2808</v>
      </c>
      <c r="AF2052" s="159" t="s">
        <v>8299</v>
      </c>
      <c r="AG2052" s="160" t="s">
        <v>1864</v>
      </c>
      <c r="AH2052" s="194" t="s">
        <v>679</v>
      </c>
      <c r="AI2052" s="6" t="s">
        <v>4752</v>
      </c>
      <c r="AJ2052" s="3" t="s">
        <v>8247</v>
      </c>
      <c r="AK2052" t="s">
        <v>8247</v>
      </c>
      <c r="AV2052"/>
      <c r="AX2052"/>
      <c r="AZ2052" t="str">
        <f t="shared" si="285"/>
        <v/>
      </c>
      <c r="BA2052" t="str">
        <f t="shared" si="286"/>
        <v/>
      </c>
    </row>
    <row r="2053" spans="3:53" ht="13.5">
      <c r="C2053" s="19"/>
      <c r="D2053" s="19"/>
      <c r="AC2053" s="6" t="s">
        <v>3037</v>
      </c>
      <c r="AD2053" s="6" t="s">
        <v>7353</v>
      </c>
      <c r="AE2053" s="155" t="s">
        <v>2809</v>
      </c>
      <c r="AF2053" s="159" t="s">
        <v>8309</v>
      </c>
      <c r="AG2053" s="160" t="s">
        <v>1865</v>
      </c>
      <c r="AH2053" s="194" t="s">
        <v>679</v>
      </c>
      <c r="AI2053" s="6" t="s">
        <v>4428</v>
      </c>
      <c r="AJ2053" s="3" t="s">
        <v>8240</v>
      </c>
      <c r="AK2053" t="s">
        <v>8240</v>
      </c>
      <c r="AV2053"/>
      <c r="AX2053"/>
      <c r="AZ2053" t="str">
        <f t="shared" si="285"/>
        <v/>
      </c>
      <c r="BA2053" t="str">
        <f t="shared" si="286"/>
        <v/>
      </c>
    </row>
    <row r="2054" spans="3:53" ht="13.5">
      <c r="C2054" s="19"/>
      <c r="D2054" s="19"/>
      <c r="AC2054" s="6" t="s">
        <v>3168</v>
      </c>
      <c r="AD2054" s="6" t="s">
        <v>7353</v>
      </c>
      <c r="AE2054" s="155" t="s">
        <v>2810</v>
      </c>
      <c r="AF2054" s="159" t="s">
        <v>8299</v>
      </c>
      <c r="AG2054" s="160" t="s">
        <v>1866</v>
      </c>
      <c r="AH2054" s="194" t="s">
        <v>678</v>
      </c>
      <c r="AI2054" s="6" t="s">
        <v>5711</v>
      </c>
      <c r="AJ2054" s="3" t="s">
        <v>8237</v>
      </c>
      <c r="AK2054" t="s">
        <v>8237</v>
      </c>
      <c r="AV2054"/>
      <c r="AX2054"/>
      <c r="AZ2054" t="str">
        <f t="shared" si="285"/>
        <v/>
      </c>
      <c r="BA2054" t="str">
        <f t="shared" si="286"/>
        <v/>
      </c>
    </row>
    <row r="2055" spans="3:53" ht="13.5">
      <c r="C2055" s="19"/>
      <c r="D2055" s="19"/>
      <c r="AC2055" s="6" t="s">
        <v>2975</v>
      </c>
      <c r="AD2055" s="6" t="s">
        <v>7353</v>
      </c>
      <c r="AE2055" s="155" t="s">
        <v>2811</v>
      </c>
      <c r="AF2055" s="159" t="s">
        <v>8299</v>
      </c>
      <c r="AG2055" s="160" t="s">
        <v>1867</v>
      </c>
      <c r="AH2055" s="194" t="s">
        <v>678</v>
      </c>
      <c r="AI2055" s="6" t="s">
        <v>5491</v>
      </c>
      <c r="AJ2055" s="3" t="s">
        <v>8203</v>
      </c>
      <c r="AK2055" t="s">
        <v>8203</v>
      </c>
      <c r="AV2055"/>
      <c r="AX2055"/>
      <c r="AZ2055" t="str">
        <f t="shared" si="285"/>
        <v/>
      </c>
      <c r="BA2055" t="str">
        <f t="shared" si="286"/>
        <v/>
      </c>
    </row>
    <row r="2056" spans="3:53" ht="13.5">
      <c r="C2056" s="19"/>
      <c r="D2056" s="19"/>
      <c r="AC2056" s="6" t="s">
        <v>3147</v>
      </c>
      <c r="AD2056" s="6" t="s">
        <v>7353</v>
      </c>
      <c r="AE2056" s="155" t="s">
        <v>2812</v>
      </c>
      <c r="AF2056" s="159" t="s">
        <v>8324</v>
      </c>
      <c r="AG2056" s="160" t="s">
        <v>1868</v>
      </c>
      <c r="AH2056" s="194" t="s">
        <v>679</v>
      </c>
      <c r="AI2056" s="6" t="s">
        <v>5764</v>
      </c>
      <c r="AJ2056" s="3" t="s">
        <v>8203</v>
      </c>
      <c r="AK2056" t="s">
        <v>8203</v>
      </c>
      <c r="AV2056"/>
      <c r="AX2056"/>
      <c r="AZ2056" t="str">
        <f t="shared" si="285"/>
        <v/>
      </c>
      <c r="BA2056" t="str">
        <f t="shared" si="286"/>
        <v/>
      </c>
    </row>
    <row r="2057" spans="3:53" ht="13.5">
      <c r="C2057" s="19"/>
      <c r="D2057" s="19"/>
      <c r="AC2057" s="6" t="s">
        <v>3181</v>
      </c>
      <c r="AD2057" s="6" t="s">
        <v>7353</v>
      </c>
      <c r="AE2057" s="155" t="s">
        <v>2813</v>
      </c>
      <c r="AF2057" s="159" t="s">
        <v>8299</v>
      </c>
      <c r="AG2057" s="160" t="s">
        <v>739</v>
      </c>
      <c r="AH2057" s="194" t="s">
        <v>679</v>
      </c>
      <c r="AI2057" s="6" t="s">
        <v>5611</v>
      </c>
      <c r="AJ2057" s="3" t="s">
        <v>8203</v>
      </c>
      <c r="AK2057" t="s">
        <v>8203</v>
      </c>
      <c r="AV2057"/>
      <c r="AX2057"/>
      <c r="AZ2057" t="str">
        <f t="shared" si="285"/>
        <v/>
      </c>
      <c r="BA2057" t="str">
        <f t="shared" si="286"/>
        <v/>
      </c>
    </row>
    <row r="2058" spans="3:53" ht="13.5">
      <c r="C2058" s="19"/>
      <c r="D2058" s="19"/>
      <c r="AC2058" s="6" t="s">
        <v>2342</v>
      </c>
      <c r="AD2058" s="6" t="s">
        <v>7416</v>
      </c>
      <c r="AE2058" s="155" t="s">
        <v>1262</v>
      </c>
      <c r="AF2058" s="159" t="s">
        <v>8323</v>
      </c>
      <c r="AG2058" s="160" t="s">
        <v>1869</v>
      </c>
      <c r="AH2058" s="194" t="s">
        <v>678</v>
      </c>
      <c r="AI2058" s="6" t="s">
        <v>5614</v>
      </c>
      <c r="AJ2058" s="3" t="s">
        <v>8203</v>
      </c>
      <c r="AK2058" t="s">
        <v>8203</v>
      </c>
      <c r="AV2058"/>
      <c r="AX2058"/>
      <c r="AZ2058" t="str">
        <f t="shared" si="285"/>
        <v/>
      </c>
      <c r="BA2058" t="str">
        <f t="shared" si="286"/>
        <v/>
      </c>
    </row>
    <row r="2059" spans="3:53" ht="13.5">
      <c r="C2059" s="19"/>
      <c r="D2059" s="19"/>
      <c r="AC2059" s="6" t="s">
        <v>5301</v>
      </c>
      <c r="AD2059" s="6" t="s">
        <v>7353</v>
      </c>
      <c r="AE2059" s="155" t="s">
        <v>2815</v>
      </c>
      <c r="AF2059" s="159" t="s">
        <v>8340</v>
      </c>
      <c r="AG2059" s="160" t="s">
        <v>1870</v>
      </c>
      <c r="AH2059" s="194" t="s">
        <v>679</v>
      </c>
      <c r="AI2059" s="6" t="s">
        <v>5718</v>
      </c>
      <c r="AJ2059" s="3" t="s">
        <v>8203</v>
      </c>
      <c r="AK2059" t="s">
        <v>8203</v>
      </c>
      <c r="AV2059"/>
      <c r="AX2059"/>
      <c r="AZ2059" t="str">
        <f t="shared" si="285"/>
        <v/>
      </c>
      <c r="BA2059" t="str">
        <f t="shared" si="286"/>
        <v/>
      </c>
    </row>
    <row r="2060" spans="3:53" ht="13.5">
      <c r="C2060" s="19"/>
      <c r="D2060" s="19"/>
      <c r="AC2060" s="6" t="s">
        <v>3396</v>
      </c>
      <c r="AD2060" s="6" t="s">
        <v>7353</v>
      </c>
      <c r="AE2060" s="155" t="s">
        <v>2816</v>
      </c>
      <c r="AF2060" s="159" t="s">
        <v>8296</v>
      </c>
      <c r="AG2060" s="160" t="s">
        <v>1871</v>
      </c>
      <c r="AH2060" s="194" t="s">
        <v>678</v>
      </c>
      <c r="AI2060" s="6" t="s">
        <v>5717</v>
      </c>
      <c r="AJ2060" s="3" t="s">
        <v>8203</v>
      </c>
      <c r="AK2060" t="s">
        <v>8203</v>
      </c>
      <c r="AV2060"/>
      <c r="AX2060"/>
      <c r="AZ2060" t="str">
        <f t="shared" si="285"/>
        <v/>
      </c>
      <c r="BA2060" t="str">
        <f t="shared" si="286"/>
        <v/>
      </c>
    </row>
    <row r="2061" spans="3:53" ht="13.5">
      <c r="C2061" s="19"/>
      <c r="D2061" s="19"/>
      <c r="AC2061" s="6" t="s">
        <v>4752</v>
      </c>
      <c r="AD2061" s="6" t="s">
        <v>7353</v>
      </c>
      <c r="AE2061" s="155" t="s">
        <v>2817</v>
      </c>
      <c r="AF2061" s="159" t="s">
        <v>8309</v>
      </c>
      <c r="AG2061" s="160" t="s">
        <v>1872</v>
      </c>
      <c r="AH2061" s="194" t="s">
        <v>4700</v>
      </c>
      <c r="AI2061" s="6" t="s">
        <v>5612</v>
      </c>
      <c r="AJ2061" s="3" t="s">
        <v>8203</v>
      </c>
      <c r="AK2061" t="s">
        <v>8203</v>
      </c>
      <c r="AV2061"/>
      <c r="AX2061"/>
      <c r="AZ2061" t="str">
        <f t="shared" si="285"/>
        <v/>
      </c>
      <c r="BA2061" t="str">
        <f t="shared" si="286"/>
        <v/>
      </c>
    </row>
    <row r="2062" spans="3:53" ht="13.5">
      <c r="C2062" s="19"/>
      <c r="D2062" s="19"/>
      <c r="AC2062" s="6" t="s">
        <v>2911</v>
      </c>
      <c r="AD2062" s="6" t="s">
        <v>7353</v>
      </c>
      <c r="AE2062" s="155" t="s">
        <v>2818</v>
      </c>
      <c r="AF2062" s="159" t="s">
        <v>8299</v>
      </c>
      <c r="AG2062" s="160" t="s">
        <v>1873</v>
      </c>
      <c r="AH2062" s="194" t="s">
        <v>679</v>
      </c>
      <c r="AI2062" s="6" t="s">
        <v>5609</v>
      </c>
      <c r="AJ2062" s="3" t="s">
        <v>8203</v>
      </c>
      <c r="AK2062" t="s">
        <v>8203</v>
      </c>
      <c r="AV2062"/>
      <c r="AX2062"/>
      <c r="AZ2062" t="str">
        <f t="shared" si="285"/>
        <v/>
      </c>
      <c r="BA2062" t="str">
        <f t="shared" si="286"/>
        <v/>
      </c>
    </row>
    <row r="2063" spans="3:53" ht="13.5">
      <c r="C2063" s="19"/>
      <c r="D2063" s="19"/>
      <c r="AC2063" s="6" t="s">
        <v>3287</v>
      </c>
      <c r="AD2063" s="6" t="s">
        <v>7353</v>
      </c>
      <c r="AE2063" s="155" t="s">
        <v>2819</v>
      </c>
      <c r="AF2063" s="159" t="s">
        <v>8299</v>
      </c>
      <c r="AG2063" s="160" t="s">
        <v>1874</v>
      </c>
      <c r="AH2063" s="194" t="s">
        <v>679</v>
      </c>
      <c r="AI2063" s="6" t="s">
        <v>5605</v>
      </c>
      <c r="AJ2063" s="3" t="s">
        <v>8203</v>
      </c>
      <c r="AK2063" t="s">
        <v>8203</v>
      </c>
      <c r="AV2063"/>
      <c r="AX2063"/>
      <c r="AZ2063" t="str">
        <f t="shared" si="285"/>
        <v/>
      </c>
      <c r="BA2063" t="str">
        <f t="shared" si="286"/>
        <v/>
      </c>
    </row>
    <row r="2064" spans="3:53" ht="13.5">
      <c r="C2064" s="19"/>
      <c r="D2064" s="19"/>
      <c r="AC2064" s="6" t="s">
        <v>3249</v>
      </c>
      <c r="AD2064" s="6" t="s">
        <v>7353</v>
      </c>
      <c r="AE2064" s="155" t="s">
        <v>2820</v>
      </c>
      <c r="AF2064" s="159" t="s">
        <v>8299</v>
      </c>
      <c r="AG2064" s="160" t="s">
        <v>1875</v>
      </c>
      <c r="AH2064" s="194" t="s">
        <v>679</v>
      </c>
      <c r="AI2064" s="6" t="s">
        <v>5610</v>
      </c>
      <c r="AJ2064" s="3" t="s">
        <v>8203</v>
      </c>
      <c r="AK2064" t="s">
        <v>8203</v>
      </c>
      <c r="AV2064"/>
      <c r="AX2064"/>
      <c r="AZ2064" t="str">
        <f t="shared" si="285"/>
        <v/>
      </c>
      <c r="BA2064" t="str">
        <f t="shared" si="286"/>
        <v/>
      </c>
    </row>
    <row r="2065" spans="3:53" ht="13.5">
      <c r="C2065" s="19"/>
      <c r="D2065" s="19"/>
      <c r="AC2065" s="6" t="s">
        <v>3367</v>
      </c>
      <c r="AD2065" s="6" t="s">
        <v>7353</v>
      </c>
      <c r="AE2065" s="155" t="s">
        <v>2821</v>
      </c>
      <c r="AF2065" s="159" t="s">
        <v>8297</v>
      </c>
      <c r="AG2065" s="160" t="s">
        <v>1876</v>
      </c>
      <c r="AH2065" s="194" t="s">
        <v>4700</v>
      </c>
      <c r="AI2065" s="6" t="s">
        <v>5763</v>
      </c>
      <c r="AJ2065" s="3" t="s">
        <v>8220</v>
      </c>
      <c r="AK2065" t="s">
        <v>8220</v>
      </c>
      <c r="AV2065"/>
      <c r="AX2065"/>
      <c r="AZ2065" t="str">
        <f t="shared" ref="AZ2065:AZ2128" si="287">IF(ISBLANK(AW2065),"",CONCATENATE("(",RIGHT(AW2065,5),"-",TEXT(AX2065,"h:mm;@"),")"))</f>
        <v/>
      </c>
      <c r="BA2065" t="str">
        <f t="shared" ref="BA2065:BA2128" si="288">IF(AV2081=AV2065,"",CONCATENATE(IF(AV2080=AV2065,BA2080,""),IF(AV2079=AV2065,BA2079,""),IF(AV2078=AV2065,BA2078,""),IF(AV2077=AV2065,BA2077,""),IF(AV2076=AV2065,BA2076,""),IF(AV2075=AV2065,BA2075,""),IF(AV2074=AV2065,BA2074,""),IF(AV2073=AV2065,BA2073,""),IF(AV2072=AV2065,BA2072,""),IF(AV2071=AV2065,BA2071,""),IF(AV2070=AV2065,BA2070,""),IF(AV2069=AV2065,BA2069,""),IF(AV2068=AV2065,BA2068,""),IF(AV2067=AV2065,BA2067,""),IF(AV2066=AV2065,BA2066,""),IF(AV2064=AV2065,BA2064,""),BA2065))</f>
        <v/>
      </c>
    </row>
    <row r="2066" spans="3:53" ht="13.5">
      <c r="C2066" s="19"/>
      <c r="D2066" s="19"/>
      <c r="AC2066" s="6" t="s">
        <v>3446</v>
      </c>
      <c r="AD2066" s="6" t="s">
        <v>7353</v>
      </c>
      <c r="AE2066" s="155" t="s">
        <v>2822</v>
      </c>
      <c r="AF2066" s="159" t="s">
        <v>8297</v>
      </c>
      <c r="AG2066" s="160" t="s">
        <v>1877</v>
      </c>
      <c r="AH2066" s="194" t="s">
        <v>679</v>
      </c>
      <c r="AI2066" s="6" t="s">
        <v>5402</v>
      </c>
      <c r="AJ2066" s="3" t="s">
        <v>8264</v>
      </c>
      <c r="AK2066" t="s">
        <v>8264</v>
      </c>
      <c r="AV2066"/>
      <c r="AX2066"/>
      <c r="AZ2066" t="str">
        <f t="shared" si="287"/>
        <v/>
      </c>
      <c r="BA2066" t="str">
        <f t="shared" si="288"/>
        <v/>
      </c>
    </row>
    <row r="2067" spans="3:53" ht="13.5">
      <c r="C2067" s="19"/>
      <c r="D2067" s="19"/>
      <c r="AC2067" s="6" t="s">
        <v>2973</v>
      </c>
      <c r="AD2067" s="6" t="s">
        <v>7353</v>
      </c>
      <c r="AE2067" s="155" t="s">
        <v>2823</v>
      </c>
      <c r="AF2067" s="159" t="s">
        <v>8299</v>
      </c>
      <c r="AG2067" s="160" t="s">
        <v>1878</v>
      </c>
      <c r="AH2067" s="194" t="s">
        <v>679</v>
      </c>
      <c r="AI2067" s="6" t="s">
        <v>5613</v>
      </c>
      <c r="AJ2067" s="3" t="s">
        <v>8247</v>
      </c>
      <c r="AK2067" t="s">
        <v>8247</v>
      </c>
      <c r="AV2067"/>
      <c r="AX2067"/>
      <c r="AZ2067" t="str">
        <f t="shared" si="287"/>
        <v/>
      </c>
      <c r="BA2067" t="str">
        <f t="shared" si="288"/>
        <v/>
      </c>
    </row>
    <row r="2068" spans="3:53" ht="13.5">
      <c r="C2068" s="19"/>
      <c r="D2068" s="19"/>
      <c r="AC2068" s="6" t="s">
        <v>3085</v>
      </c>
      <c r="AD2068" s="6" t="s">
        <v>7353</v>
      </c>
      <c r="AE2068" s="155" t="s">
        <v>2824</v>
      </c>
      <c r="AF2068" s="159" t="s">
        <v>8299</v>
      </c>
      <c r="AG2068" s="160" t="s">
        <v>1879</v>
      </c>
      <c r="AH2068" s="194" t="s">
        <v>4700</v>
      </c>
      <c r="AI2068" s="6" t="s">
        <v>3409</v>
      </c>
      <c r="AJ2068" s="3" t="s">
        <v>8226</v>
      </c>
      <c r="AK2068" t="s">
        <v>8671</v>
      </c>
      <c r="AV2068"/>
      <c r="AX2068"/>
      <c r="AZ2068" t="str">
        <f t="shared" si="287"/>
        <v/>
      </c>
      <c r="BA2068" t="str">
        <f t="shared" si="288"/>
        <v/>
      </c>
    </row>
    <row r="2069" spans="3:53" ht="13.5">
      <c r="C2069" s="19"/>
      <c r="D2069" s="19"/>
      <c r="AC2069" s="6" t="s">
        <v>3398</v>
      </c>
      <c r="AD2069" s="6" t="s">
        <v>7353</v>
      </c>
      <c r="AE2069" s="155" t="s">
        <v>2825</v>
      </c>
      <c r="AF2069" s="159" t="s">
        <v>8309</v>
      </c>
      <c r="AG2069" s="160" t="s">
        <v>740</v>
      </c>
      <c r="AH2069" s="194" t="s">
        <v>679</v>
      </c>
      <c r="AI2069" s="6" t="s">
        <v>2629</v>
      </c>
      <c r="AJ2069" s="3" t="s">
        <v>8226</v>
      </c>
      <c r="AK2069" t="s">
        <v>8671</v>
      </c>
      <c r="AV2069"/>
      <c r="AX2069"/>
      <c r="AZ2069" t="str">
        <f t="shared" si="287"/>
        <v/>
      </c>
      <c r="BA2069" t="str">
        <f t="shared" si="288"/>
        <v/>
      </c>
    </row>
    <row r="2070" spans="3:53" ht="13.5">
      <c r="C2070" s="19"/>
      <c r="D2070" s="19"/>
      <c r="AC2070" s="6" t="s">
        <v>5401</v>
      </c>
      <c r="AD2070" s="6" t="s">
        <v>7353</v>
      </c>
      <c r="AE2070" s="155" t="s">
        <v>2826</v>
      </c>
      <c r="AF2070" s="159" t="s">
        <v>8391</v>
      </c>
      <c r="AG2070" s="160" t="s">
        <v>741</v>
      </c>
      <c r="AH2070" s="194" t="s">
        <v>679</v>
      </c>
      <c r="AI2070" s="6" t="s">
        <v>5310</v>
      </c>
      <c r="AJ2070" s="3" t="s">
        <v>8211</v>
      </c>
      <c r="AK2070" t="s">
        <v>8242</v>
      </c>
      <c r="AV2070"/>
      <c r="AX2070"/>
      <c r="AZ2070" t="str">
        <f t="shared" si="287"/>
        <v/>
      </c>
      <c r="BA2070" t="str">
        <f t="shared" si="288"/>
        <v/>
      </c>
    </row>
    <row r="2071" spans="3:53" ht="13.5">
      <c r="C2071" s="19"/>
      <c r="D2071" s="19"/>
      <c r="AC2071" s="6" t="s">
        <v>2917</v>
      </c>
      <c r="AD2071" s="6" t="s">
        <v>7353</v>
      </c>
      <c r="AE2071" s="155" t="s">
        <v>1238</v>
      </c>
      <c r="AF2071" s="159" t="s">
        <v>8299</v>
      </c>
      <c r="AG2071" s="160" t="s">
        <v>1880</v>
      </c>
      <c r="AH2071" s="194" t="s">
        <v>4700</v>
      </c>
      <c r="AI2071" s="6" t="s">
        <v>3410</v>
      </c>
      <c r="AJ2071" s="3" t="s">
        <v>8226</v>
      </c>
      <c r="AK2071" t="s">
        <v>8671</v>
      </c>
      <c r="AV2071"/>
      <c r="AX2071"/>
      <c r="AZ2071" t="str">
        <f t="shared" si="287"/>
        <v/>
      </c>
      <c r="BA2071" t="str">
        <f t="shared" si="288"/>
        <v/>
      </c>
    </row>
    <row r="2072" spans="3:53" ht="13.5">
      <c r="C2072" s="19"/>
      <c r="D2072" s="19"/>
      <c r="AC2072" s="6" t="s">
        <v>5604</v>
      </c>
      <c r="AD2072" s="6" t="s">
        <v>7353</v>
      </c>
      <c r="AE2072" s="155" t="s">
        <v>2827</v>
      </c>
      <c r="AF2072" s="159" t="s">
        <v>8309</v>
      </c>
      <c r="AG2072" s="160" t="s">
        <v>1881</v>
      </c>
      <c r="AH2072" s="194" t="s">
        <v>679</v>
      </c>
      <c r="AI2072" s="6" t="s">
        <v>3411</v>
      </c>
      <c r="AJ2072" s="3" t="s">
        <v>8226</v>
      </c>
      <c r="AK2072" t="s">
        <v>8671</v>
      </c>
      <c r="AV2072"/>
      <c r="AX2072"/>
      <c r="AZ2072" t="str">
        <f t="shared" si="287"/>
        <v/>
      </c>
      <c r="BA2072" t="str">
        <f t="shared" si="288"/>
        <v/>
      </c>
    </row>
    <row r="2073" spans="3:53" ht="13.5">
      <c r="C2073" s="19"/>
      <c r="D2073" s="19"/>
      <c r="AC2073" s="6" t="s">
        <v>2915</v>
      </c>
      <c r="AD2073" s="6" t="s">
        <v>7353</v>
      </c>
      <c r="AE2073" s="155" t="s">
        <v>2828</v>
      </c>
      <c r="AF2073" s="159" t="s">
        <v>8299</v>
      </c>
      <c r="AG2073" s="160" t="s">
        <v>742</v>
      </c>
      <c r="AH2073" s="194" t="s">
        <v>4700</v>
      </c>
      <c r="AI2073" s="6" t="s">
        <v>2751</v>
      </c>
      <c r="AJ2073" s="3" t="s">
        <v>8274</v>
      </c>
      <c r="AK2073" t="s">
        <v>8274</v>
      </c>
      <c r="AV2073"/>
      <c r="AX2073"/>
      <c r="AZ2073" t="str">
        <f t="shared" si="287"/>
        <v/>
      </c>
      <c r="BA2073" t="str">
        <f t="shared" si="288"/>
        <v/>
      </c>
    </row>
    <row r="2074" spans="3:53" ht="13.5">
      <c r="C2074" s="19"/>
      <c r="D2074" s="19"/>
      <c r="AC2074" s="6" t="s">
        <v>2970</v>
      </c>
      <c r="AD2074" s="6" t="s">
        <v>7353</v>
      </c>
      <c r="AE2074" s="155">
        <v>386400</v>
      </c>
      <c r="AF2074" s="159" t="s">
        <v>8299</v>
      </c>
      <c r="AG2074" s="160" t="s">
        <v>687</v>
      </c>
      <c r="AH2074" s="194" t="s">
        <v>678</v>
      </c>
      <c r="AI2074" s="6" t="s">
        <v>5632</v>
      </c>
      <c r="AJ2074" s="3" t="s">
        <v>8247</v>
      </c>
      <c r="AK2074" t="s">
        <v>8247</v>
      </c>
      <c r="AV2074"/>
      <c r="AX2074"/>
      <c r="AZ2074" t="str">
        <f t="shared" si="287"/>
        <v/>
      </c>
      <c r="BA2074" t="str">
        <f t="shared" si="288"/>
        <v/>
      </c>
    </row>
    <row r="2075" spans="3:53" ht="13.5">
      <c r="C2075" s="19"/>
      <c r="D2075" s="19"/>
      <c r="AC2075" s="6" t="s">
        <v>1222</v>
      </c>
      <c r="AD2075" s="6" t="s">
        <v>7353</v>
      </c>
      <c r="AE2075" s="155" t="s">
        <v>1236</v>
      </c>
      <c r="AF2075" s="159" t="s">
        <v>8299</v>
      </c>
      <c r="AG2075" s="160" t="s">
        <v>1882</v>
      </c>
      <c r="AH2075" s="194" t="s">
        <v>678</v>
      </c>
      <c r="AI2075" s="6" t="s">
        <v>5715</v>
      </c>
      <c r="AJ2075" s="3" t="s">
        <v>8205</v>
      </c>
      <c r="AK2075" t="s">
        <v>8211</v>
      </c>
      <c r="AV2075"/>
      <c r="AX2075"/>
      <c r="AZ2075" t="str">
        <f t="shared" si="287"/>
        <v/>
      </c>
      <c r="BA2075" t="str">
        <f t="shared" si="288"/>
        <v/>
      </c>
    </row>
    <row r="2076" spans="3:53" ht="13.5">
      <c r="C2076" s="19"/>
      <c r="D2076" s="19"/>
      <c r="AC2076" s="6" t="s">
        <v>5385</v>
      </c>
      <c r="AD2076" s="6" t="s">
        <v>7353</v>
      </c>
      <c r="AE2076" s="155" t="s">
        <v>2829</v>
      </c>
      <c r="AF2076" s="159" t="s">
        <v>8299</v>
      </c>
      <c r="AG2076" s="160" t="s">
        <v>743</v>
      </c>
      <c r="AH2076" s="194" t="s">
        <v>4700</v>
      </c>
      <c r="AI2076" s="6" t="s">
        <v>3903</v>
      </c>
      <c r="AJ2076" s="3" t="s">
        <v>8265</v>
      </c>
      <c r="AK2076" t="s">
        <v>8265</v>
      </c>
      <c r="AV2076"/>
      <c r="AX2076"/>
      <c r="AZ2076" t="str">
        <f t="shared" si="287"/>
        <v/>
      </c>
      <c r="BA2076" t="str">
        <f t="shared" si="288"/>
        <v/>
      </c>
    </row>
    <row r="2077" spans="3:53" ht="13.5">
      <c r="C2077" s="19"/>
      <c r="D2077" s="19"/>
      <c r="AC2077" s="6" t="s">
        <v>3414</v>
      </c>
      <c r="AD2077" s="6" t="s">
        <v>7353</v>
      </c>
      <c r="AE2077" s="155" t="s">
        <v>2831</v>
      </c>
      <c r="AF2077" s="159" t="s">
        <v>8299</v>
      </c>
      <c r="AG2077" s="160" t="s">
        <v>744</v>
      </c>
      <c r="AH2077" s="194" t="s">
        <v>678</v>
      </c>
      <c r="AI2077" s="6" t="s">
        <v>3906</v>
      </c>
      <c r="AJ2077" s="3" t="s">
        <v>8265</v>
      </c>
      <c r="AK2077" t="s">
        <v>8265</v>
      </c>
      <c r="AV2077"/>
      <c r="AX2077"/>
      <c r="AZ2077" t="str">
        <f t="shared" si="287"/>
        <v/>
      </c>
      <c r="BA2077" t="str">
        <f t="shared" si="288"/>
        <v/>
      </c>
    </row>
    <row r="2078" spans="3:53" ht="13.5">
      <c r="C2078" s="19"/>
      <c r="D2078" s="19"/>
      <c r="AC2078" s="6" t="s">
        <v>3020</v>
      </c>
      <c r="AD2078" s="6" t="s">
        <v>7353</v>
      </c>
      <c r="AE2078" s="155" t="s">
        <v>2832</v>
      </c>
      <c r="AF2078" s="159" t="s">
        <v>8299</v>
      </c>
      <c r="AG2078" s="160" t="s">
        <v>745</v>
      </c>
      <c r="AH2078" s="194" t="s">
        <v>678</v>
      </c>
      <c r="AI2078" s="6" t="s">
        <v>3907</v>
      </c>
      <c r="AJ2078" s="3" t="s">
        <v>8265</v>
      </c>
      <c r="AK2078" t="s">
        <v>8265</v>
      </c>
      <c r="AV2078"/>
      <c r="AX2078"/>
      <c r="AZ2078" t="str">
        <f t="shared" si="287"/>
        <v/>
      </c>
      <c r="BA2078" t="str">
        <f t="shared" si="288"/>
        <v/>
      </c>
    </row>
    <row r="2079" spans="3:53" ht="13.5">
      <c r="C2079" s="19"/>
      <c r="D2079" s="19"/>
      <c r="AC2079" s="6" t="s">
        <v>3227</v>
      </c>
      <c r="AD2079" s="6" t="s">
        <v>7353</v>
      </c>
      <c r="AE2079" s="155" t="s">
        <v>2833</v>
      </c>
      <c r="AF2079" s="159" t="s">
        <v>8299</v>
      </c>
      <c r="AG2079" s="160" t="s">
        <v>746</v>
      </c>
      <c r="AH2079" s="194" t="s">
        <v>678</v>
      </c>
      <c r="AI2079" s="6" t="s">
        <v>3909</v>
      </c>
      <c r="AJ2079" s="3" t="s">
        <v>8265</v>
      </c>
      <c r="AK2079" t="s">
        <v>8265</v>
      </c>
      <c r="AV2079"/>
      <c r="AX2079"/>
      <c r="AZ2079" t="str">
        <f t="shared" si="287"/>
        <v/>
      </c>
      <c r="BA2079" t="str">
        <f t="shared" si="288"/>
        <v/>
      </c>
    </row>
    <row r="2080" spans="3:53" ht="13.5">
      <c r="C2080" s="19"/>
      <c r="D2080" s="19"/>
      <c r="AC2080" s="6" t="s">
        <v>2868</v>
      </c>
      <c r="AD2080" s="6" t="s">
        <v>7353</v>
      </c>
      <c r="AE2080" s="155" t="s">
        <v>2834</v>
      </c>
      <c r="AF2080" s="159" t="s">
        <v>8299</v>
      </c>
      <c r="AG2080" s="160" t="s">
        <v>747</v>
      </c>
      <c r="AH2080" s="194" t="s">
        <v>678</v>
      </c>
      <c r="AI2080" s="6" t="s">
        <v>3910</v>
      </c>
      <c r="AJ2080" s="3" t="s">
        <v>8265</v>
      </c>
      <c r="AK2080" t="s">
        <v>8265</v>
      </c>
      <c r="AV2080"/>
      <c r="AX2080"/>
      <c r="AZ2080" t="str">
        <f t="shared" si="287"/>
        <v/>
      </c>
      <c r="BA2080" t="str">
        <f t="shared" si="288"/>
        <v/>
      </c>
    </row>
    <row r="2081" spans="3:53" ht="13.5">
      <c r="C2081" s="19"/>
      <c r="D2081" s="19"/>
      <c r="AC2081" s="6" t="s">
        <v>3431</v>
      </c>
      <c r="AD2081" s="6" t="s">
        <v>7353</v>
      </c>
      <c r="AE2081" s="155" t="s">
        <v>2835</v>
      </c>
      <c r="AF2081" s="159" t="s">
        <v>8299</v>
      </c>
      <c r="AG2081" s="160" t="s">
        <v>748</v>
      </c>
      <c r="AH2081" s="194" t="s">
        <v>678</v>
      </c>
      <c r="AI2081" s="6" t="s">
        <v>3911</v>
      </c>
      <c r="AJ2081" s="3" t="s">
        <v>8265</v>
      </c>
      <c r="AK2081" t="s">
        <v>8265</v>
      </c>
      <c r="AV2081"/>
      <c r="AX2081"/>
      <c r="AZ2081" t="str">
        <f t="shared" si="287"/>
        <v/>
      </c>
      <c r="BA2081" t="str">
        <f t="shared" si="288"/>
        <v/>
      </c>
    </row>
    <row r="2082" spans="3:53" ht="13.5">
      <c r="C2082" s="19"/>
      <c r="D2082" s="19"/>
      <c r="AC2082" s="6" t="s">
        <v>2341</v>
      </c>
      <c r="AD2082" s="6" t="s">
        <v>7360</v>
      </c>
      <c r="AE2082" s="155" t="s">
        <v>2836</v>
      </c>
      <c r="AF2082" s="159" t="s">
        <v>8299</v>
      </c>
      <c r="AG2082" s="160" t="s">
        <v>749</v>
      </c>
      <c r="AH2082" s="194" t="s">
        <v>678</v>
      </c>
      <c r="AI2082" s="6" t="s">
        <v>180</v>
      </c>
      <c r="AJ2082" s="3" t="s">
        <v>8219</v>
      </c>
      <c r="AK2082" t="s">
        <v>8219</v>
      </c>
      <c r="AV2082"/>
      <c r="AX2082"/>
      <c r="AZ2082" t="str">
        <f t="shared" si="287"/>
        <v/>
      </c>
      <c r="BA2082" t="str">
        <f t="shared" si="288"/>
        <v/>
      </c>
    </row>
    <row r="2083" spans="3:53" ht="13.5">
      <c r="C2083" s="19"/>
      <c r="D2083" s="19"/>
      <c r="AC2083" s="6" t="s">
        <v>3451</v>
      </c>
      <c r="AD2083" s="6" t="s">
        <v>7353</v>
      </c>
      <c r="AE2083" s="155" t="s">
        <v>2837</v>
      </c>
      <c r="AF2083" s="159" t="s">
        <v>8299</v>
      </c>
      <c r="AG2083" s="160" t="s">
        <v>750</v>
      </c>
      <c r="AH2083" s="194" t="s">
        <v>678</v>
      </c>
      <c r="AI2083" s="6" t="s">
        <v>181</v>
      </c>
      <c r="AJ2083" s="3" t="s">
        <v>8216</v>
      </c>
      <c r="AK2083" t="s">
        <v>8216</v>
      </c>
      <c r="AV2083"/>
      <c r="AX2083"/>
      <c r="AZ2083" t="str">
        <f t="shared" si="287"/>
        <v/>
      </c>
      <c r="BA2083" t="str">
        <f t="shared" si="288"/>
        <v/>
      </c>
    </row>
    <row r="2084" spans="3:53" ht="13.5">
      <c r="C2084" s="19"/>
      <c r="D2084" s="19"/>
      <c r="AC2084" s="6" t="s">
        <v>2959</v>
      </c>
      <c r="AD2084" s="6" t="s">
        <v>7353</v>
      </c>
      <c r="AE2084" s="155" t="s">
        <v>2838</v>
      </c>
      <c r="AF2084" s="159" t="s">
        <v>8299</v>
      </c>
      <c r="AG2084" s="160" t="s">
        <v>751</v>
      </c>
      <c r="AH2084" s="194" t="s">
        <v>678</v>
      </c>
      <c r="AI2084" s="6" t="s">
        <v>2647</v>
      </c>
      <c r="AJ2084" s="3" t="s">
        <v>8255</v>
      </c>
      <c r="AK2084" t="s">
        <v>8255</v>
      </c>
      <c r="AV2084"/>
      <c r="AX2084"/>
      <c r="AZ2084" t="str">
        <f t="shared" si="287"/>
        <v/>
      </c>
      <c r="BA2084" t="str">
        <f t="shared" si="288"/>
        <v/>
      </c>
    </row>
    <row r="2085" spans="3:53" ht="13.5">
      <c r="C2085" s="19"/>
      <c r="D2085" s="19"/>
      <c r="AC2085" s="6" t="s">
        <v>2853</v>
      </c>
      <c r="AD2085" s="6" t="s">
        <v>7353</v>
      </c>
      <c r="AE2085" s="155" t="s">
        <v>2839</v>
      </c>
      <c r="AF2085" s="159" t="s">
        <v>8299</v>
      </c>
      <c r="AG2085" s="160" t="s">
        <v>752</v>
      </c>
      <c r="AH2085" s="194" t="s">
        <v>678</v>
      </c>
      <c r="AI2085" s="6" t="s">
        <v>3914</v>
      </c>
      <c r="AJ2085" s="3" t="s">
        <v>8269</v>
      </c>
      <c r="AK2085" t="s">
        <v>8269</v>
      </c>
      <c r="AV2085"/>
      <c r="AX2085"/>
      <c r="AZ2085" t="str">
        <f t="shared" si="287"/>
        <v/>
      </c>
      <c r="BA2085" t="str">
        <f t="shared" si="288"/>
        <v/>
      </c>
    </row>
    <row r="2086" spans="3:53" ht="13.5">
      <c r="C2086" s="19"/>
      <c r="D2086" s="19"/>
      <c r="AC2086" s="6" t="s">
        <v>3417</v>
      </c>
      <c r="AD2086" s="6" t="s">
        <v>7353</v>
      </c>
      <c r="AE2086" s="155" t="s">
        <v>2840</v>
      </c>
      <c r="AF2086" s="159" t="s">
        <v>8299</v>
      </c>
      <c r="AG2086" s="160" t="s">
        <v>753</v>
      </c>
      <c r="AH2086" s="194" t="s">
        <v>4700</v>
      </c>
      <c r="AI2086" s="6" t="s">
        <v>2492</v>
      </c>
      <c r="AJ2086" s="3" t="s">
        <v>8241</v>
      </c>
      <c r="AK2086" t="s">
        <v>8675</v>
      </c>
      <c r="AV2086"/>
      <c r="AX2086"/>
      <c r="AZ2086" t="str">
        <f t="shared" si="287"/>
        <v/>
      </c>
      <c r="BA2086" t="str">
        <f t="shared" si="288"/>
        <v/>
      </c>
    </row>
    <row r="2087" spans="3:53" ht="13.5">
      <c r="C2087" s="19"/>
      <c r="D2087" s="19"/>
      <c r="AC2087" s="6" t="s">
        <v>3403</v>
      </c>
      <c r="AD2087" s="6" t="s">
        <v>7353</v>
      </c>
      <c r="AE2087" s="155" t="s">
        <v>2841</v>
      </c>
      <c r="AF2087" s="159" t="s">
        <v>8299</v>
      </c>
      <c r="AG2087" s="160" t="s">
        <v>754</v>
      </c>
      <c r="AH2087" s="194" t="s">
        <v>678</v>
      </c>
      <c r="AI2087" s="6" t="s">
        <v>2589</v>
      </c>
      <c r="AJ2087" s="3" t="s">
        <v>8241</v>
      </c>
      <c r="AK2087" t="s">
        <v>8675</v>
      </c>
      <c r="AV2087"/>
      <c r="AX2087"/>
      <c r="AZ2087" t="str">
        <f t="shared" si="287"/>
        <v/>
      </c>
      <c r="BA2087" t="str">
        <f t="shared" si="288"/>
        <v/>
      </c>
    </row>
    <row r="2088" spans="3:53" ht="13.5">
      <c r="C2088" s="19"/>
      <c r="D2088" s="19"/>
      <c r="AC2088" s="6" t="s">
        <v>2954</v>
      </c>
      <c r="AD2088" s="6" t="s">
        <v>7353</v>
      </c>
      <c r="AE2088" s="155" t="s">
        <v>2842</v>
      </c>
      <c r="AF2088" s="159" t="s">
        <v>8299</v>
      </c>
      <c r="AG2088" s="160" t="s">
        <v>755</v>
      </c>
      <c r="AH2088" s="194" t="s">
        <v>679</v>
      </c>
      <c r="AI2088" s="6" t="s">
        <v>2590</v>
      </c>
      <c r="AJ2088" s="3" t="s">
        <v>8275</v>
      </c>
      <c r="AK2088" t="s">
        <v>8275</v>
      </c>
      <c r="AV2088"/>
      <c r="AX2088"/>
      <c r="AZ2088" t="str">
        <f t="shared" si="287"/>
        <v/>
      </c>
      <c r="BA2088" t="str">
        <f t="shared" si="288"/>
        <v/>
      </c>
    </row>
    <row r="2089" spans="3:53" ht="13.5">
      <c r="C2089" s="19"/>
      <c r="D2089" s="19"/>
      <c r="AC2089" s="6" t="s">
        <v>3021</v>
      </c>
      <c r="AD2089" s="6" t="s">
        <v>7353</v>
      </c>
      <c r="AE2089" s="155" t="s">
        <v>2843</v>
      </c>
      <c r="AF2089" s="159" t="s">
        <v>8299</v>
      </c>
      <c r="AG2089" s="160" t="s">
        <v>756</v>
      </c>
      <c r="AH2089" s="194" t="s">
        <v>678</v>
      </c>
      <c r="AI2089" s="6" t="s">
        <v>2518</v>
      </c>
      <c r="AJ2089" s="3" t="s">
        <v>8255</v>
      </c>
      <c r="AK2089" t="s">
        <v>8255</v>
      </c>
      <c r="AV2089"/>
      <c r="AX2089"/>
      <c r="AZ2089" t="str">
        <f t="shared" si="287"/>
        <v/>
      </c>
      <c r="BA2089" t="str">
        <f t="shared" si="288"/>
        <v/>
      </c>
    </row>
    <row r="2090" spans="3:53" ht="13.5">
      <c r="C2090" s="19"/>
      <c r="D2090" s="19"/>
      <c r="AC2090" s="6" t="s">
        <v>4756</v>
      </c>
      <c r="AD2090" s="6" t="s">
        <v>7353</v>
      </c>
      <c r="AE2090" s="155" t="s">
        <v>2844</v>
      </c>
      <c r="AF2090" s="159" t="s">
        <v>8299</v>
      </c>
      <c r="AG2090" s="160" t="s">
        <v>757</v>
      </c>
      <c r="AH2090" s="194" t="s">
        <v>679</v>
      </c>
      <c r="AI2090" s="6" t="s">
        <v>2584</v>
      </c>
      <c r="AJ2090" s="3" t="s">
        <v>8251</v>
      </c>
      <c r="AK2090" t="s">
        <v>8251</v>
      </c>
      <c r="AV2090"/>
      <c r="AX2090"/>
      <c r="AZ2090" t="str">
        <f t="shared" si="287"/>
        <v/>
      </c>
      <c r="BA2090" t="str">
        <f t="shared" si="288"/>
        <v/>
      </c>
    </row>
    <row r="2091" spans="3:53" ht="13.5">
      <c r="C2091" s="19"/>
      <c r="D2091" s="19"/>
      <c r="AC2091" s="6" t="s">
        <v>5601</v>
      </c>
      <c r="AD2091" s="6" t="s">
        <v>7353</v>
      </c>
      <c r="AE2091" s="155" t="s">
        <v>2845</v>
      </c>
      <c r="AF2091" s="159" t="s">
        <v>8299</v>
      </c>
      <c r="AG2091" s="160" t="s">
        <v>758</v>
      </c>
      <c r="AH2091" s="194" t="s">
        <v>679</v>
      </c>
      <c r="AI2091" s="6" t="s">
        <v>3920</v>
      </c>
      <c r="AJ2091" s="3" t="s">
        <v>8244</v>
      </c>
      <c r="AK2091" t="s">
        <v>8244</v>
      </c>
      <c r="AV2091"/>
      <c r="AX2091"/>
      <c r="AZ2091" t="str">
        <f t="shared" si="287"/>
        <v/>
      </c>
      <c r="BA2091" t="str">
        <f t="shared" si="288"/>
        <v/>
      </c>
    </row>
    <row r="2092" spans="3:53" ht="13.5">
      <c r="C2092" s="19"/>
      <c r="D2092" s="19"/>
      <c r="AC2092" s="6" t="s">
        <v>5600</v>
      </c>
      <c r="AD2092" s="6" t="s">
        <v>7353</v>
      </c>
      <c r="AE2092" s="155" t="s">
        <v>2846</v>
      </c>
      <c r="AF2092" s="159" t="s">
        <v>8299</v>
      </c>
      <c r="AG2092" s="160" t="s">
        <v>759</v>
      </c>
      <c r="AH2092" s="194" t="s">
        <v>679</v>
      </c>
      <c r="AI2092" s="6" t="s">
        <v>3921</v>
      </c>
      <c r="AJ2092" s="3" t="s">
        <v>8268</v>
      </c>
      <c r="AK2092" t="s">
        <v>8268</v>
      </c>
      <c r="AV2092"/>
      <c r="AX2092"/>
      <c r="AZ2092" t="str">
        <f t="shared" si="287"/>
        <v/>
      </c>
      <c r="BA2092" t="str">
        <f t="shared" si="288"/>
        <v/>
      </c>
    </row>
    <row r="2093" spans="3:53" ht="13.5">
      <c r="C2093" s="19"/>
      <c r="D2093" s="19"/>
      <c r="AC2093" s="6" t="s">
        <v>1218</v>
      </c>
      <c r="AD2093" s="6" t="s">
        <v>7353</v>
      </c>
      <c r="AE2093" s="155" t="s">
        <v>2847</v>
      </c>
      <c r="AF2093" s="159" t="s">
        <v>8299</v>
      </c>
      <c r="AG2093" s="160" t="s">
        <v>760</v>
      </c>
      <c r="AH2093" s="194" t="s">
        <v>678</v>
      </c>
      <c r="AI2093" s="6" t="s">
        <v>1995</v>
      </c>
      <c r="AJ2093" s="3" t="s">
        <v>8224</v>
      </c>
      <c r="AK2093" t="s">
        <v>8224</v>
      </c>
      <c r="AV2093"/>
      <c r="AX2093"/>
      <c r="AZ2093" t="str">
        <f t="shared" si="287"/>
        <v/>
      </c>
      <c r="BA2093" t="str">
        <f t="shared" si="288"/>
        <v/>
      </c>
    </row>
    <row r="2094" spans="3:53" ht="13.5">
      <c r="C2094" s="19"/>
      <c r="D2094" s="19"/>
      <c r="AC2094" s="6" t="s">
        <v>3374</v>
      </c>
      <c r="AD2094" s="6" t="s">
        <v>7353</v>
      </c>
      <c r="AE2094" s="155" t="s">
        <v>2848</v>
      </c>
      <c r="AF2094" s="159" t="s">
        <v>8299</v>
      </c>
      <c r="AG2094" s="160" t="s">
        <v>761</v>
      </c>
      <c r="AH2094" s="194" t="s">
        <v>678</v>
      </c>
      <c r="AI2094" s="6" t="s">
        <v>1996</v>
      </c>
      <c r="AJ2094" s="3" t="s">
        <v>8224</v>
      </c>
      <c r="AK2094" t="s">
        <v>8224</v>
      </c>
      <c r="AV2094"/>
      <c r="AX2094"/>
      <c r="AZ2094" t="str">
        <f t="shared" si="287"/>
        <v/>
      </c>
      <c r="BA2094" t="str">
        <f t="shared" si="288"/>
        <v/>
      </c>
    </row>
    <row r="2095" spans="3:53" ht="13.5">
      <c r="C2095" s="19"/>
      <c r="D2095" s="19"/>
      <c r="AC2095" s="6" t="s">
        <v>3246</v>
      </c>
      <c r="AD2095" s="6" t="s">
        <v>7353</v>
      </c>
      <c r="AE2095" s="155" t="s">
        <v>2849</v>
      </c>
      <c r="AF2095" s="159" t="s">
        <v>8299</v>
      </c>
      <c r="AG2095" s="160" t="s">
        <v>762</v>
      </c>
      <c r="AH2095" s="194" t="s">
        <v>678</v>
      </c>
      <c r="AI2095" s="6" t="s">
        <v>2150</v>
      </c>
      <c r="AJ2095" s="3" t="s">
        <v>8224</v>
      </c>
      <c r="AK2095" t="s">
        <v>8224</v>
      </c>
      <c r="AV2095"/>
      <c r="AX2095"/>
      <c r="AZ2095" t="str">
        <f t="shared" si="287"/>
        <v/>
      </c>
      <c r="BA2095" t="str">
        <f t="shared" si="288"/>
        <v/>
      </c>
    </row>
    <row r="2096" spans="3:53" ht="13.5">
      <c r="C2096" s="19"/>
      <c r="D2096" s="19"/>
      <c r="AC2096" s="6" t="s">
        <v>2999</v>
      </c>
      <c r="AD2096" s="6" t="s">
        <v>7353</v>
      </c>
      <c r="AE2096" s="155" t="s">
        <v>2850</v>
      </c>
      <c r="AF2096" s="159" t="s">
        <v>8299</v>
      </c>
      <c r="AG2096" s="160" t="s">
        <v>763</v>
      </c>
      <c r="AH2096" s="194" t="s">
        <v>678</v>
      </c>
      <c r="AI2096" s="6" t="s">
        <v>2152</v>
      </c>
      <c r="AJ2096" s="3" t="s">
        <v>8224</v>
      </c>
      <c r="AK2096" t="s">
        <v>8224</v>
      </c>
      <c r="AV2096"/>
      <c r="AX2096"/>
      <c r="AZ2096" t="str">
        <f t="shared" si="287"/>
        <v/>
      </c>
      <c r="BA2096" t="str">
        <f t="shared" si="288"/>
        <v/>
      </c>
    </row>
    <row r="2097" spans="3:53" ht="13.5">
      <c r="C2097" s="19"/>
      <c r="D2097" s="19"/>
      <c r="AC2097" s="6" t="s">
        <v>3313</v>
      </c>
      <c r="AD2097" s="6" t="s">
        <v>7353</v>
      </c>
      <c r="AE2097" s="155" t="s">
        <v>2851</v>
      </c>
      <c r="AF2097" s="159" t="s">
        <v>8299</v>
      </c>
      <c r="AG2097" s="160" t="s">
        <v>764</v>
      </c>
      <c r="AH2097" s="194" t="s">
        <v>679</v>
      </c>
      <c r="AI2097" s="6" t="s">
        <v>1783</v>
      </c>
      <c r="AJ2097" s="3" t="s">
        <v>8243</v>
      </c>
      <c r="AK2097" t="s">
        <v>8243</v>
      </c>
      <c r="AV2097"/>
      <c r="AX2097"/>
      <c r="AZ2097" t="str">
        <f t="shared" si="287"/>
        <v/>
      </c>
      <c r="BA2097" t="str">
        <f t="shared" si="288"/>
        <v/>
      </c>
    </row>
    <row r="2098" spans="3:53" ht="13.5">
      <c r="C2098" s="19"/>
      <c r="D2098" s="19"/>
      <c r="AC2098" s="6" t="s">
        <v>5630</v>
      </c>
      <c r="AD2098" s="6" t="s">
        <v>7353</v>
      </c>
      <c r="AE2098" s="155" t="s">
        <v>2852</v>
      </c>
      <c r="AF2098" s="159" t="s">
        <v>8299</v>
      </c>
      <c r="AG2098" s="160" t="s">
        <v>765</v>
      </c>
      <c r="AH2098" s="194" t="s">
        <v>679</v>
      </c>
      <c r="AI2098" s="6" t="s">
        <v>2241</v>
      </c>
      <c r="AJ2098" s="3" t="s">
        <v>8243</v>
      </c>
      <c r="AK2098" t="s">
        <v>8243</v>
      </c>
      <c r="AV2098"/>
      <c r="AX2098"/>
      <c r="AZ2098" t="str">
        <f t="shared" si="287"/>
        <v/>
      </c>
      <c r="BA2098" t="str">
        <f t="shared" si="288"/>
        <v/>
      </c>
    </row>
    <row r="2099" spans="3:53" ht="13.5">
      <c r="C2099" s="19"/>
      <c r="D2099" s="19"/>
      <c r="AC2099" s="6" t="s">
        <v>1230</v>
      </c>
      <c r="AD2099" s="6" t="s">
        <v>7353</v>
      </c>
      <c r="AE2099" s="155">
        <v>826338</v>
      </c>
      <c r="AF2099" s="159" t="s">
        <v>8299</v>
      </c>
      <c r="AG2099" s="160" t="s">
        <v>766</v>
      </c>
      <c r="AH2099" s="194" t="s">
        <v>679</v>
      </c>
      <c r="AI2099" s="6" t="s">
        <v>2242</v>
      </c>
      <c r="AJ2099" s="3" t="s">
        <v>8243</v>
      </c>
      <c r="AK2099" t="s">
        <v>8243</v>
      </c>
      <c r="AV2099"/>
      <c r="AX2099"/>
      <c r="AZ2099" t="str">
        <f t="shared" si="287"/>
        <v/>
      </c>
      <c r="BA2099" t="str">
        <f t="shared" si="288"/>
        <v/>
      </c>
    </row>
    <row r="2100" spans="3:53" ht="13.5">
      <c r="C2100" s="19"/>
      <c r="D2100" s="19"/>
      <c r="AC2100" s="6" t="s">
        <v>2918</v>
      </c>
      <c r="AD2100" s="6" t="s">
        <v>7353</v>
      </c>
      <c r="AE2100" s="155">
        <v>826340</v>
      </c>
      <c r="AF2100" s="159" t="s">
        <v>8299</v>
      </c>
      <c r="AG2100" s="160" t="s">
        <v>767</v>
      </c>
      <c r="AH2100" s="194" t="s">
        <v>678</v>
      </c>
      <c r="AI2100" s="6" t="s">
        <v>2249</v>
      </c>
      <c r="AJ2100" s="3" t="s">
        <v>8243</v>
      </c>
      <c r="AK2100" t="s">
        <v>8243</v>
      </c>
      <c r="AV2100"/>
      <c r="AX2100"/>
      <c r="AZ2100" t="str">
        <f t="shared" si="287"/>
        <v/>
      </c>
      <c r="BA2100" t="str">
        <f t="shared" si="288"/>
        <v/>
      </c>
    </row>
    <row r="2101" spans="3:53" ht="13.5">
      <c r="C2101" s="19"/>
      <c r="D2101" s="19"/>
      <c r="AC2101" s="6" t="s">
        <v>3441</v>
      </c>
      <c r="AD2101" s="6" t="s">
        <v>7353</v>
      </c>
      <c r="AE2101" s="155">
        <v>906418</v>
      </c>
      <c r="AF2101" s="159" t="s">
        <v>8299</v>
      </c>
      <c r="AG2101" s="160" t="s">
        <v>768</v>
      </c>
      <c r="AH2101" s="194" t="s">
        <v>679</v>
      </c>
      <c r="AI2101" s="6" t="s">
        <v>197</v>
      </c>
      <c r="AJ2101" s="3" t="s">
        <v>8212</v>
      </c>
      <c r="AK2101" t="s">
        <v>8212</v>
      </c>
      <c r="AV2101"/>
      <c r="AX2101"/>
      <c r="AZ2101" t="str">
        <f t="shared" si="287"/>
        <v/>
      </c>
      <c r="BA2101" t="str">
        <f t="shared" si="288"/>
        <v/>
      </c>
    </row>
    <row r="2102" spans="3:53" ht="13.5">
      <c r="C2102" s="19"/>
      <c r="D2102" s="19"/>
      <c r="AC2102" s="6" t="s">
        <v>3321</v>
      </c>
      <c r="AD2102" s="6" t="s">
        <v>7353</v>
      </c>
      <c r="AE2102" s="155">
        <v>986466</v>
      </c>
      <c r="AF2102" s="159" t="s">
        <v>8299</v>
      </c>
      <c r="AG2102" s="160" t="s">
        <v>769</v>
      </c>
      <c r="AH2102" s="194" t="s">
        <v>678</v>
      </c>
      <c r="AI2102" s="6" t="s">
        <v>1031</v>
      </c>
      <c r="AJ2102" s="3" t="s">
        <v>8212</v>
      </c>
      <c r="AK2102" t="s">
        <v>8212</v>
      </c>
      <c r="AV2102"/>
      <c r="AX2102"/>
      <c r="AZ2102" t="str">
        <f t="shared" si="287"/>
        <v/>
      </c>
      <c r="BA2102" t="str">
        <f t="shared" si="288"/>
        <v/>
      </c>
    </row>
    <row r="2103" spans="3:53" ht="13.5">
      <c r="C2103" s="19"/>
      <c r="D2103" s="19"/>
      <c r="AC2103" s="6" t="s">
        <v>3208</v>
      </c>
      <c r="AD2103" s="6" t="s">
        <v>7353</v>
      </c>
      <c r="AE2103" s="155" t="s">
        <v>2853</v>
      </c>
      <c r="AF2103" s="159" t="s">
        <v>8299</v>
      </c>
      <c r="AG2103" s="160" t="s">
        <v>770</v>
      </c>
      <c r="AH2103" s="194" t="s">
        <v>678</v>
      </c>
      <c r="AI2103" s="6" t="s">
        <v>2315</v>
      </c>
      <c r="AJ2103" s="3" t="s">
        <v>8237</v>
      </c>
      <c r="AK2103" t="s">
        <v>8237</v>
      </c>
      <c r="AV2103"/>
      <c r="AX2103"/>
      <c r="AZ2103" t="str">
        <f t="shared" si="287"/>
        <v/>
      </c>
      <c r="BA2103" t="str">
        <f t="shared" si="288"/>
        <v/>
      </c>
    </row>
    <row r="2104" spans="3:53" ht="13.5">
      <c r="C2104" s="19"/>
      <c r="D2104" s="19"/>
      <c r="AC2104" s="6" t="s">
        <v>3099</v>
      </c>
      <c r="AD2104" s="6" t="s">
        <v>7353</v>
      </c>
      <c r="AE2104" s="155" t="s">
        <v>2854</v>
      </c>
      <c r="AF2104" s="159" t="s">
        <v>8339</v>
      </c>
      <c r="AG2104" s="160" t="s">
        <v>771</v>
      </c>
      <c r="AH2104" s="194" t="s">
        <v>679</v>
      </c>
      <c r="AI2104" s="6" t="s">
        <v>5482</v>
      </c>
      <c r="AJ2104" s="3" t="s">
        <v>8206</v>
      </c>
      <c r="AK2104" t="s">
        <v>8206</v>
      </c>
      <c r="AV2104"/>
      <c r="AX2104"/>
      <c r="AZ2104" t="str">
        <f t="shared" si="287"/>
        <v/>
      </c>
      <c r="BA2104" t="str">
        <f t="shared" si="288"/>
        <v/>
      </c>
    </row>
    <row r="2105" spans="3:53" ht="13.5">
      <c r="C2105" s="19"/>
      <c r="D2105" s="19"/>
      <c r="AC2105" s="6" t="s">
        <v>2971</v>
      </c>
      <c r="AD2105" s="6" t="s">
        <v>7353</v>
      </c>
      <c r="AE2105" s="155" t="s">
        <v>2855</v>
      </c>
      <c r="AF2105" s="159" t="s">
        <v>8311</v>
      </c>
      <c r="AG2105" s="160" t="s">
        <v>772</v>
      </c>
      <c r="AH2105" s="194" t="s">
        <v>678</v>
      </c>
      <c r="AI2105" s="6" t="s">
        <v>3926</v>
      </c>
      <c r="AJ2105" s="3" t="s">
        <v>8236</v>
      </c>
      <c r="AK2105" t="s">
        <v>8236</v>
      </c>
      <c r="AV2105"/>
      <c r="AX2105"/>
      <c r="AZ2105" t="str">
        <f t="shared" si="287"/>
        <v/>
      </c>
      <c r="BA2105" t="str">
        <f t="shared" si="288"/>
        <v/>
      </c>
    </row>
    <row r="2106" spans="3:53" ht="13.5">
      <c r="C2106" s="19"/>
      <c r="D2106" s="19"/>
      <c r="AC2106" s="6" t="s">
        <v>3311</v>
      </c>
      <c r="AD2106" s="6" t="s">
        <v>7353</v>
      </c>
      <c r="AE2106" s="155" t="s">
        <v>2856</v>
      </c>
      <c r="AF2106" s="159" t="s">
        <v>8392</v>
      </c>
      <c r="AG2106" s="160" t="s">
        <v>773</v>
      </c>
      <c r="AH2106" s="194" t="s">
        <v>678</v>
      </c>
      <c r="AI2106" s="6" t="s">
        <v>3927</v>
      </c>
      <c r="AJ2106" s="3" t="s">
        <v>8236</v>
      </c>
      <c r="AK2106" t="s">
        <v>8236</v>
      </c>
      <c r="AV2106"/>
      <c r="AX2106"/>
      <c r="AZ2106" t="str">
        <f t="shared" si="287"/>
        <v/>
      </c>
      <c r="BA2106" t="str">
        <f t="shared" si="288"/>
        <v/>
      </c>
    </row>
    <row r="2107" spans="3:53" ht="13.5">
      <c r="C2107" s="19"/>
      <c r="D2107" s="19"/>
      <c r="AC2107" s="6" t="s">
        <v>3220</v>
      </c>
      <c r="AD2107" s="6" t="s">
        <v>7353</v>
      </c>
      <c r="AE2107" s="155" t="s">
        <v>2857</v>
      </c>
      <c r="AF2107" s="159" t="s">
        <v>8339</v>
      </c>
      <c r="AG2107" s="160" t="s">
        <v>774</v>
      </c>
      <c r="AH2107" s="194" t="s">
        <v>679</v>
      </c>
      <c r="AI2107" s="6" t="s">
        <v>3929</v>
      </c>
      <c r="AJ2107" s="3" t="s">
        <v>8236</v>
      </c>
      <c r="AK2107" t="s">
        <v>8236</v>
      </c>
      <c r="AV2107"/>
      <c r="AX2107"/>
      <c r="AZ2107" t="str">
        <f t="shared" si="287"/>
        <v/>
      </c>
      <c r="BA2107" t="str">
        <f t="shared" si="288"/>
        <v/>
      </c>
    </row>
    <row r="2108" spans="3:53" ht="13.5">
      <c r="C2108" s="19"/>
      <c r="D2108" s="19"/>
      <c r="AC2108" s="6" t="s">
        <v>3063</v>
      </c>
      <c r="AD2108" s="6" t="s">
        <v>7353</v>
      </c>
      <c r="AE2108" s="155" t="s">
        <v>2858</v>
      </c>
      <c r="AF2108" s="159" t="s">
        <v>8393</v>
      </c>
      <c r="AG2108" s="160" t="s">
        <v>1883</v>
      </c>
      <c r="AH2108" s="194" t="s">
        <v>678</v>
      </c>
      <c r="AI2108" s="6" t="s">
        <v>3931</v>
      </c>
      <c r="AJ2108" s="3" t="s">
        <v>8236</v>
      </c>
      <c r="AK2108" t="s">
        <v>8236</v>
      </c>
      <c r="AV2108"/>
      <c r="AX2108"/>
      <c r="AZ2108" t="str">
        <f t="shared" si="287"/>
        <v/>
      </c>
      <c r="BA2108" t="str">
        <f t="shared" si="288"/>
        <v/>
      </c>
    </row>
    <row r="2109" spans="3:53" ht="13.5">
      <c r="C2109" s="19"/>
      <c r="D2109" s="19"/>
      <c r="AC2109" s="6" t="s">
        <v>3122</v>
      </c>
      <c r="AD2109" s="6" t="s">
        <v>7353</v>
      </c>
      <c r="AE2109" s="155" t="s">
        <v>2859</v>
      </c>
      <c r="AF2109" s="159" t="s">
        <v>8394</v>
      </c>
      <c r="AG2109" s="160" t="s">
        <v>1884</v>
      </c>
      <c r="AH2109" s="194" t="s">
        <v>679</v>
      </c>
      <c r="AI2109" s="6" t="s">
        <v>3933</v>
      </c>
      <c r="AJ2109" s="3" t="s">
        <v>8253</v>
      </c>
      <c r="AK2109" t="s">
        <v>8253</v>
      </c>
      <c r="AV2109"/>
      <c r="AX2109"/>
      <c r="AZ2109" t="str">
        <f t="shared" si="287"/>
        <v/>
      </c>
      <c r="BA2109" t="str">
        <f t="shared" si="288"/>
        <v/>
      </c>
    </row>
    <row r="2110" spans="3:53" ht="13.5">
      <c r="C2110" s="19"/>
      <c r="D2110" s="19"/>
      <c r="AC2110" s="6" t="s">
        <v>3230</v>
      </c>
      <c r="AD2110" s="6" t="s">
        <v>7353</v>
      </c>
      <c r="AE2110" s="155" t="s">
        <v>2860</v>
      </c>
      <c r="AF2110" s="159" t="s">
        <v>8320</v>
      </c>
      <c r="AG2110" s="160" t="s">
        <v>1885</v>
      </c>
      <c r="AH2110" s="194" t="s">
        <v>678</v>
      </c>
      <c r="AI2110" s="6" t="s">
        <v>3934</v>
      </c>
      <c r="AJ2110" s="3" t="s">
        <v>8253</v>
      </c>
      <c r="AK2110" t="s">
        <v>8253</v>
      </c>
      <c r="AV2110"/>
      <c r="AX2110"/>
      <c r="AZ2110" t="str">
        <f t="shared" si="287"/>
        <v/>
      </c>
      <c r="BA2110" t="str">
        <f t="shared" si="288"/>
        <v/>
      </c>
    </row>
    <row r="2111" spans="3:53" ht="13.5">
      <c r="C2111" s="19"/>
      <c r="D2111" s="19"/>
      <c r="AC2111" s="6" t="s">
        <v>5719</v>
      </c>
      <c r="AD2111" s="6" t="s">
        <v>7353</v>
      </c>
      <c r="AE2111" s="155" t="s">
        <v>2861</v>
      </c>
      <c r="AF2111" s="159" t="s">
        <v>8339</v>
      </c>
      <c r="AG2111" s="160" t="s">
        <v>775</v>
      </c>
      <c r="AH2111" s="194" t="s">
        <v>679</v>
      </c>
      <c r="AI2111" s="6" t="s">
        <v>3935</v>
      </c>
      <c r="AJ2111" s="3" t="s">
        <v>8253</v>
      </c>
      <c r="AK2111" t="s">
        <v>8253</v>
      </c>
      <c r="AV2111"/>
      <c r="AX2111"/>
      <c r="AZ2111" t="str">
        <f t="shared" si="287"/>
        <v/>
      </c>
      <c r="BA2111" t="str">
        <f t="shared" si="288"/>
        <v/>
      </c>
    </row>
    <row r="2112" spans="3:53" ht="13.5">
      <c r="C2112" s="19"/>
      <c r="D2112" s="19"/>
      <c r="AC2112" s="6" t="s">
        <v>2974</v>
      </c>
      <c r="AD2112" s="6" t="s">
        <v>7353</v>
      </c>
      <c r="AE2112" s="155" t="s">
        <v>2862</v>
      </c>
      <c r="AF2112" s="159" t="s">
        <v>8395</v>
      </c>
      <c r="AG2112" s="160" t="s">
        <v>776</v>
      </c>
      <c r="AH2112" s="194" t="s">
        <v>679</v>
      </c>
      <c r="AI2112" s="6" t="s">
        <v>3937</v>
      </c>
      <c r="AJ2112" s="3" t="s">
        <v>8236</v>
      </c>
      <c r="AK2112" t="s">
        <v>8236</v>
      </c>
      <c r="AV2112"/>
      <c r="AX2112"/>
      <c r="AZ2112" t="str">
        <f t="shared" si="287"/>
        <v/>
      </c>
      <c r="BA2112" t="str">
        <f t="shared" si="288"/>
        <v/>
      </c>
    </row>
    <row r="2113" spans="3:53" ht="13.5">
      <c r="C2113" s="19"/>
      <c r="D2113" s="19"/>
      <c r="AC2113" s="6" t="s">
        <v>3219</v>
      </c>
      <c r="AD2113" s="6" t="s">
        <v>7353</v>
      </c>
      <c r="AE2113" s="155" t="s">
        <v>2863</v>
      </c>
      <c r="AF2113" s="159" t="s">
        <v>8396</v>
      </c>
      <c r="AG2113" s="160" t="s">
        <v>777</v>
      </c>
      <c r="AH2113" s="194" t="s">
        <v>678</v>
      </c>
      <c r="AI2113" s="6" t="s">
        <v>3939</v>
      </c>
      <c r="AJ2113" s="3" t="s">
        <v>8279</v>
      </c>
      <c r="AK2113" t="s">
        <v>8679</v>
      </c>
      <c r="AV2113"/>
      <c r="AX2113"/>
      <c r="AZ2113" t="str">
        <f t="shared" si="287"/>
        <v/>
      </c>
      <c r="BA2113" t="str">
        <f t="shared" si="288"/>
        <v/>
      </c>
    </row>
    <row r="2114" spans="3:53" ht="13.5">
      <c r="C2114" s="19"/>
      <c r="D2114" s="19"/>
      <c r="AC2114" s="6" t="s">
        <v>2904</v>
      </c>
      <c r="AD2114" s="6" t="s">
        <v>7353</v>
      </c>
      <c r="AE2114" s="155" t="s">
        <v>2864</v>
      </c>
      <c r="AF2114" s="159" t="s">
        <v>8375</v>
      </c>
      <c r="AG2114" s="160" t="s">
        <v>778</v>
      </c>
      <c r="AH2114" s="194" t="s">
        <v>679</v>
      </c>
      <c r="AI2114" s="6" t="s">
        <v>3940</v>
      </c>
      <c r="AJ2114" s="3" t="s">
        <v>8279</v>
      </c>
      <c r="AK2114" t="s">
        <v>8679</v>
      </c>
      <c r="AV2114"/>
      <c r="AX2114"/>
      <c r="AZ2114" t="str">
        <f t="shared" si="287"/>
        <v/>
      </c>
      <c r="BA2114" t="str">
        <f t="shared" si="288"/>
        <v/>
      </c>
    </row>
    <row r="2115" spans="3:53" ht="13.5">
      <c r="C2115" s="19"/>
      <c r="D2115" s="19"/>
      <c r="AC2115" s="6" t="s">
        <v>3309</v>
      </c>
      <c r="AD2115" s="6" t="s">
        <v>7353</v>
      </c>
      <c r="AE2115" s="155" t="s">
        <v>2865</v>
      </c>
      <c r="AF2115" s="159" t="s">
        <v>8339</v>
      </c>
      <c r="AG2115" s="160" t="s">
        <v>1908</v>
      </c>
      <c r="AH2115" s="194" t="s">
        <v>679</v>
      </c>
      <c r="AI2115" s="6" t="s">
        <v>3941</v>
      </c>
      <c r="AJ2115" s="3" t="s">
        <v>8279</v>
      </c>
      <c r="AK2115" t="s">
        <v>8679</v>
      </c>
      <c r="AV2115"/>
      <c r="AX2115"/>
      <c r="AZ2115" t="str">
        <f t="shared" si="287"/>
        <v/>
      </c>
      <c r="BA2115" t="str">
        <f t="shared" si="288"/>
        <v/>
      </c>
    </row>
    <row r="2116" spans="3:53" ht="13.5">
      <c r="C2116" s="19"/>
      <c r="D2116" s="19"/>
      <c r="AC2116" s="6" t="s">
        <v>3016</v>
      </c>
      <c r="AD2116" s="6" t="s">
        <v>7353</v>
      </c>
      <c r="AE2116" s="155" t="s">
        <v>2866</v>
      </c>
      <c r="AF2116" s="159" t="s">
        <v>8397</v>
      </c>
      <c r="AG2116" s="160" t="s">
        <v>1909</v>
      </c>
      <c r="AH2116" s="194" t="s">
        <v>679</v>
      </c>
      <c r="AI2116" s="6" t="s">
        <v>3942</v>
      </c>
      <c r="AJ2116" s="3" t="s">
        <v>8279</v>
      </c>
      <c r="AK2116" t="s">
        <v>8679</v>
      </c>
      <c r="AV2116"/>
      <c r="AX2116"/>
      <c r="AZ2116" t="str">
        <f t="shared" si="287"/>
        <v/>
      </c>
      <c r="BA2116" t="str">
        <f t="shared" si="288"/>
        <v/>
      </c>
    </row>
    <row r="2117" spans="3:53" ht="13.5">
      <c r="C2117" s="19"/>
      <c r="D2117" s="19"/>
      <c r="AC2117" s="6" t="s">
        <v>3420</v>
      </c>
      <c r="AD2117" s="6" t="s">
        <v>7353</v>
      </c>
      <c r="AE2117" s="155" t="s">
        <v>2867</v>
      </c>
      <c r="AF2117" s="159" t="s">
        <v>8398</v>
      </c>
      <c r="AG2117" s="160" t="s">
        <v>2260</v>
      </c>
      <c r="AH2117" s="194" t="s">
        <v>1314</v>
      </c>
      <c r="AI2117" s="6" t="s">
        <v>3943</v>
      </c>
      <c r="AJ2117" s="3" t="s">
        <v>8279</v>
      </c>
      <c r="AK2117" t="s">
        <v>8679</v>
      </c>
      <c r="AV2117"/>
      <c r="AX2117"/>
      <c r="AZ2117" t="str">
        <f t="shared" si="287"/>
        <v/>
      </c>
      <c r="BA2117" t="str">
        <f t="shared" si="288"/>
        <v/>
      </c>
    </row>
    <row r="2118" spans="3:53" ht="13.5">
      <c r="C2118" s="19"/>
      <c r="D2118" s="19"/>
      <c r="AC2118" s="6" t="s">
        <v>3253</v>
      </c>
      <c r="AD2118" s="6" t="s">
        <v>7353</v>
      </c>
      <c r="AE2118" s="155" t="s">
        <v>2868</v>
      </c>
      <c r="AF2118" s="159" t="s">
        <v>8299</v>
      </c>
      <c r="AG2118" s="160" t="s">
        <v>779</v>
      </c>
      <c r="AH2118" s="194" t="s">
        <v>679</v>
      </c>
      <c r="AI2118" s="6" t="s">
        <v>3944</v>
      </c>
      <c r="AJ2118" s="3" t="s">
        <v>8279</v>
      </c>
      <c r="AK2118" t="s">
        <v>8679</v>
      </c>
      <c r="AV2118"/>
      <c r="AX2118"/>
      <c r="AZ2118" t="str">
        <f t="shared" si="287"/>
        <v/>
      </c>
      <c r="BA2118" t="str">
        <f t="shared" si="288"/>
        <v/>
      </c>
    </row>
    <row r="2119" spans="3:53" ht="13.5">
      <c r="C2119" s="19"/>
      <c r="D2119" s="19"/>
      <c r="AC2119" s="6" t="s">
        <v>3059</v>
      </c>
      <c r="AD2119" s="6" t="s">
        <v>7353</v>
      </c>
      <c r="AE2119" s="155" t="s">
        <v>2869</v>
      </c>
      <c r="AF2119" s="159" t="s">
        <v>8339</v>
      </c>
      <c r="AG2119" s="160" t="s">
        <v>780</v>
      </c>
      <c r="AH2119" s="194" t="s">
        <v>678</v>
      </c>
      <c r="AI2119" s="6" t="s">
        <v>3947</v>
      </c>
      <c r="AJ2119" s="3" t="s">
        <v>8279</v>
      </c>
      <c r="AK2119" t="s">
        <v>8679</v>
      </c>
      <c r="AV2119"/>
      <c r="AX2119"/>
      <c r="AZ2119" t="str">
        <f t="shared" si="287"/>
        <v/>
      </c>
      <c r="BA2119" t="str">
        <f t="shared" si="288"/>
        <v/>
      </c>
    </row>
    <row r="2120" spans="3:53" ht="13.5">
      <c r="C2120" s="19"/>
      <c r="D2120" s="19"/>
      <c r="AC2120" s="6" t="s">
        <v>3001</v>
      </c>
      <c r="AD2120" s="6" t="s">
        <v>7353</v>
      </c>
      <c r="AE2120" s="155" t="s">
        <v>2870</v>
      </c>
      <c r="AF2120" s="159" t="s">
        <v>8399</v>
      </c>
      <c r="AG2120" s="161" t="s">
        <v>1918</v>
      </c>
      <c r="AH2120" s="194" t="s">
        <v>679</v>
      </c>
      <c r="AI2120" s="6" t="s">
        <v>3948</v>
      </c>
      <c r="AJ2120" s="3" t="s">
        <v>8279</v>
      </c>
      <c r="AK2120" t="s">
        <v>8679</v>
      </c>
      <c r="AV2120"/>
      <c r="AX2120"/>
      <c r="AZ2120" t="str">
        <f t="shared" si="287"/>
        <v/>
      </c>
      <c r="BA2120" t="str">
        <f t="shared" si="288"/>
        <v/>
      </c>
    </row>
    <row r="2121" spans="3:53" ht="13.5">
      <c r="C2121" s="19"/>
      <c r="D2121" s="19"/>
      <c r="AC2121" s="6" t="s">
        <v>3468</v>
      </c>
      <c r="AD2121" s="6" t="s">
        <v>7417</v>
      </c>
      <c r="AE2121" s="155" t="s">
        <v>2871</v>
      </c>
      <c r="AF2121" s="159" t="s">
        <v>8342</v>
      </c>
      <c r="AG2121" s="160" t="s">
        <v>1919</v>
      </c>
      <c r="AH2121" s="194" t="s">
        <v>679</v>
      </c>
      <c r="AI2121" s="6" t="s">
        <v>5316</v>
      </c>
      <c r="AJ2121" s="3" t="s">
        <v>8279</v>
      </c>
      <c r="AK2121" t="s">
        <v>8679</v>
      </c>
      <c r="AV2121"/>
      <c r="AX2121"/>
      <c r="AZ2121" t="str">
        <f t="shared" si="287"/>
        <v/>
      </c>
      <c r="BA2121" t="str">
        <f t="shared" si="288"/>
        <v/>
      </c>
    </row>
    <row r="2122" spans="3:53" ht="13.5">
      <c r="C2122" s="19"/>
      <c r="D2122" s="19"/>
      <c r="AC2122" s="6">
        <v>65331</v>
      </c>
      <c r="AD2122" s="6" t="s">
        <v>7418</v>
      </c>
      <c r="AE2122" s="155" t="s">
        <v>2872</v>
      </c>
      <c r="AF2122" s="159" t="s">
        <v>8339</v>
      </c>
      <c r="AG2122" s="160" t="s">
        <v>1920</v>
      </c>
      <c r="AH2122" s="194" t="s">
        <v>678</v>
      </c>
      <c r="AI2122" s="6" t="s">
        <v>45</v>
      </c>
      <c r="AJ2122" s="3" t="s">
        <v>8261</v>
      </c>
      <c r="AK2122" t="s">
        <v>8261</v>
      </c>
      <c r="AV2122"/>
      <c r="AX2122"/>
      <c r="AZ2122" t="str">
        <f t="shared" si="287"/>
        <v/>
      </c>
      <c r="BA2122" t="str">
        <f t="shared" si="288"/>
        <v/>
      </c>
    </row>
    <row r="2123" spans="3:53" ht="13.5">
      <c r="C2123" s="19"/>
      <c r="D2123" s="19"/>
      <c r="AC2123" s="6" t="s">
        <v>2883</v>
      </c>
      <c r="AD2123" s="6" t="s">
        <v>7353</v>
      </c>
      <c r="AE2123" s="155" t="s">
        <v>2873</v>
      </c>
      <c r="AF2123" s="159" t="s">
        <v>8342</v>
      </c>
      <c r="AG2123" s="160" t="s">
        <v>1921</v>
      </c>
      <c r="AH2123" s="194" t="s">
        <v>679</v>
      </c>
      <c r="AI2123" s="6" t="s">
        <v>3952</v>
      </c>
      <c r="AJ2123" s="3" t="s">
        <v>8261</v>
      </c>
      <c r="AK2123" t="s">
        <v>8261</v>
      </c>
      <c r="AV2123"/>
      <c r="AX2123"/>
      <c r="AZ2123" t="str">
        <f t="shared" si="287"/>
        <v/>
      </c>
      <c r="BA2123" t="str">
        <f t="shared" si="288"/>
        <v/>
      </c>
    </row>
    <row r="2124" spans="3:53" ht="13.5">
      <c r="C2124" s="19"/>
      <c r="D2124" s="19"/>
      <c r="AC2124" s="6" t="s">
        <v>2912</v>
      </c>
      <c r="AD2124" s="6" t="s">
        <v>7353</v>
      </c>
      <c r="AE2124" s="155" t="s">
        <v>2874</v>
      </c>
      <c r="AF2124" s="159" t="s">
        <v>8312</v>
      </c>
      <c r="AG2124" s="160" t="s">
        <v>781</v>
      </c>
      <c r="AH2124" s="194" t="s">
        <v>679</v>
      </c>
      <c r="AI2124" s="6" t="s">
        <v>3953</v>
      </c>
      <c r="AJ2124" s="3" t="s">
        <v>8280</v>
      </c>
      <c r="AK2124" t="s">
        <v>8280</v>
      </c>
      <c r="AV2124"/>
      <c r="AX2124"/>
      <c r="AZ2124" t="str">
        <f t="shared" si="287"/>
        <v/>
      </c>
      <c r="BA2124" t="str">
        <f t="shared" si="288"/>
        <v/>
      </c>
    </row>
    <row r="2125" spans="3:53" ht="13.5">
      <c r="C2125" s="19"/>
      <c r="D2125" s="19"/>
      <c r="AC2125" s="6" t="s">
        <v>3194</v>
      </c>
      <c r="AD2125" s="6" t="s">
        <v>7353</v>
      </c>
      <c r="AE2125" s="155" t="s">
        <v>2875</v>
      </c>
      <c r="AF2125" s="159" t="s">
        <v>8299</v>
      </c>
      <c r="AG2125" s="160" t="s">
        <v>782</v>
      </c>
      <c r="AH2125" s="194" t="s">
        <v>679</v>
      </c>
      <c r="AI2125" s="6" t="s">
        <v>3954</v>
      </c>
      <c r="AJ2125" s="3" t="s">
        <v>8280</v>
      </c>
      <c r="AK2125" t="s">
        <v>8280</v>
      </c>
      <c r="AV2125"/>
      <c r="AX2125"/>
      <c r="AZ2125" t="str">
        <f t="shared" si="287"/>
        <v/>
      </c>
      <c r="BA2125" t="str">
        <f t="shared" si="288"/>
        <v/>
      </c>
    </row>
    <row r="2126" spans="3:53" ht="13.5">
      <c r="C2126" s="19"/>
      <c r="D2126" s="19"/>
      <c r="AC2126" s="6" t="s">
        <v>3459</v>
      </c>
      <c r="AD2126" s="6" t="s">
        <v>7419</v>
      </c>
      <c r="AE2126" s="155" t="s">
        <v>2876</v>
      </c>
      <c r="AF2126" s="159" t="s">
        <v>8400</v>
      </c>
      <c r="AG2126" s="160" t="s">
        <v>783</v>
      </c>
      <c r="AH2126" s="194" t="s">
        <v>679</v>
      </c>
      <c r="AI2126" s="6" t="s">
        <v>3961</v>
      </c>
      <c r="AJ2126" s="3" t="s">
        <v>8236</v>
      </c>
      <c r="AK2126" t="s">
        <v>8236</v>
      </c>
      <c r="AV2126"/>
      <c r="AX2126"/>
      <c r="AZ2126" t="str">
        <f t="shared" si="287"/>
        <v/>
      </c>
      <c r="BA2126" t="str">
        <f t="shared" si="288"/>
        <v/>
      </c>
    </row>
    <row r="2127" spans="3:53" ht="13.5">
      <c r="C2127" s="19"/>
      <c r="D2127" s="19"/>
      <c r="AC2127" s="6" t="s">
        <v>3310</v>
      </c>
      <c r="AD2127" s="6" t="s">
        <v>7353</v>
      </c>
      <c r="AE2127" s="155" t="s">
        <v>2877</v>
      </c>
      <c r="AF2127" s="159" t="s">
        <v>8341</v>
      </c>
      <c r="AG2127" s="160" t="s">
        <v>784</v>
      </c>
      <c r="AH2127" s="194" t="s">
        <v>678</v>
      </c>
      <c r="AI2127" s="6" t="s">
        <v>3967</v>
      </c>
      <c r="AJ2127" s="3" t="s">
        <v>8236</v>
      </c>
      <c r="AK2127" t="s">
        <v>8236</v>
      </c>
      <c r="AV2127"/>
      <c r="AX2127"/>
      <c r="AZ2127" t="str">
        <f t="shared" si="287"/>
        <v/>
      </c>
      <c r="BA2127" t="str">
        <f t="shared" si="288"/>
        <v/>
      </c>
    </row>
    <row r="2128" spans="3:53" ht="13.5">
      <c r="C2128" s="19"/>
      <c r="D2128" s="19"/>
      <c r="AC2128" s="6" t="s">
        <v>3389</v>
      </c>
      <c r="AD2128" s="6" t="s">
        <v>7353</v>
      </c>
      <c r="AE2128" s="155" t="s">
        <v>2878</v>
      </c>
      <c r="AF2128" s="159" t="s">
        <v>8401</v>
      </c>
      <c r="AG2128" s="160" t="s">
        <v>785</v>
      </c>
      <c r="AH2128" s="194" t="s">
        <v>679</v>
      </c>
      <c r="AI2128" s="6" t="s">
        <v>259</v>
      </c>
      <c r="AJ2128" s="3" t="s">
        <v>8195</v>
      </c>
      <c r="AK2128" t="s">
        <v>8195</v>
      </c>
      <c r="AV2128"/>
      <c r="AX2128"/>
      <c r="AZ2128" t="str">
        <f t="shared" si="287"/>
        <v/>
      </c>
      <c r="BA2128" t="str">
        <f t="shared" si="288"/>
        <v/>
      </c>
    </row>
    <row r="2129" spans="3:53" ht="13.5">
      <c r="C2129" s="19"/>
      <c r="D2129" s="19"/>
      <c r="AC2129" s="6" t="s">
        <v>3259</v>
      </c>
      <c r="AD2129" s="6" t="s">
        <v>7353</v>
      </c>
      <c r="AE2129" s="155" t="s">
        <v>2879</v>
      </c>
      <c r="AF2129" s="159" t="s">
        <v>8299</v>
      </c>
      <c r="AG2129" s="160" t="s">
        <v>1922</v>
      </c>
      <c r="AH2129" s="194" t="s">
        <v>679</v>
      </c>
      <c r="AI2129" s="6" t="s">
        <v>295</v>
      </c>
      <c r="AJ2129" s="3" t="s">
        <v>8208</v>
      </c>
      <c r="AK2129" t="s">
        <v>8667</v>
      </c>
      <c r="AV2129"/>
      <c r="AX2129"/>
      <c r="AZ2129" t="str">
        <f t="shared" ref="AZ2129:AZ2192" si="289">IF(ISBLANK(AW2129),"",CONCATENATE("(",RIGHT(AW2129,5),"-",TEXT(AX2129,"h:mm;@"),")"))</f>
        <v/>
      </c>
      <c r="BA2129" t="str">
        <f t="shared" ref="BA2129:BA2192" si="290">IF(AV2145=AV2129,"",CONCATENATE(IF(AV2144=AV2129,BA2144,""),IF(AV2143=AV2129,BA2143,""),IF(AV2142=AV2129,BA2142,""),IF(AV2141=AV2129,BA2141,""),IF(AV2140=AV2129,BA2140,""),IF(AV2139=AV2129,BA2139,""),IF(AV2138=AV2129,BA2138,""),IF(AV2137=AV2129,BA2137,""),IF(AV2136=AV2129,BA2136,""),IF(AV2135=AV2129,BA2135,""),IF(AV2134=AV2129,BA2134,""),IF(AV2133=AV2129,BA2133,""),IF(AV2132=AV2129,BA2132,""),IF(AV2131=AV2129,BA2131,""),IF(AV2130=AV2129,BA2130,""),IF(AV2128=AV2129,BA2128,""),BA2129))</f>
        <v/>
      </c>
    </row>
    <row r="2130" spans="3:53" ht="13.5">
      <c r="C2130" s="19"/>
      <c r="D2130" s="19"/>
      <c r="AC2130" s="6" t="s">
        <v>5306</v>
      </c>
      <c r="AD2130" s="6" t="s">
        <v>7353</v>
      </c>
      <c r="AE2130" s="155" t="s">
        <v>2880</v>
      </c>
      <c r="AF2130" s="159" t="s">
        <v>8402</v>
      </c>
      <c r="AG2130" s="160" t="s">
        <v>21</v>
      </c>
      <c r="AH2130" s="194" t="s">
        <v>679</v>
      </c>
      <c r="AI2130" s="6" t="s">
        <v>1366</v>
      </c>
      <c r="AJ2130" s="3" t="s">
        <v>8195</v>
      </c>
      <c r="AK2130" t="s">
        <v>8195</v>
      </c>
      <c r="AV2130"/>
      <c r="AX2130"/>
      <c r="AZ2130" t="str">
        <f t="shared" si="289"/>
        <v/>
      </c>
      <c r="BA2130" t="str">
        <f t="shared" si="290"/>
        <v/>
      </c>
    </row>
    <row r="2131" spans="3:53" ht="13.5">
      <c r="C2131" s="19"/>
      <c r="D2131" s="19"/>
      <c r="AC2131" s="6" t="s">
        <v>2906</v>
      </c>
      <c r="AD2131" s="6" t="s">
        <v>7353</v>
      </c>
      <c r="AE2131" s="155" t="s">
        <v>2881</v>
      </c>
      <c r="AF2131" s="159" t="s">
        <v>8342</v>
      </c>
      <c r="AG2131" s="160" t="s">
        <v>786</v>
      </c>
      <c r="AH2131" s="194" t="s">
        <v>679</v>
      </c>
      <c r="AI2131" s="6" t="s">
        <v>351</v>
      </c>
      <c r="AJ2131" s="3" t="s">
        <v>8201</v>
      </c>
      <c r="AK2131" t="s">
        <v>8666</v>
      </c>
      <c r="AV2131"/>
      <c r="AX2131"/>
      <c r="AZ2131" t="str">
        <f t="shared" si="289"/>
        <v/>
      </c>
      <c r="BA2131" t="str">
        <f t="shared" si="290"/>
        <v/>
      </c>
    </row>
    <row r="2132" spans="3:53" ht="13.5">
      <c r="C2132" s="19"/>
      <c r="D2132" s="19"/>
      <c r="AC2132" s="6" t="s">
        <v>3466</v>
      </c>
      <c r="AD2132" s="6" t="s">
        <v>7420</v>
      </c>
      <c r="AE2132" s="155" t="s">
        <v>2882</v>
      </c>
      <c r="AF2132" s="159" t="s">
        <v>8403</v>
      </c>
      <c r="AG2132" s="160" t="s">
        <v>787</v>
      </c>
      <c r="AH2132" s="194" t="s">
        <v>679</v>
      </c>
      <c r="AI2132" s="6" t="s">
        <v>356</v>
      </c>
      <c r="AJ2132" s="3" t="s">
        <v>8195</v>
      </c>
      <c r="AK2132" t="s">
        <v>8195</v>
      </c>
      <c r="AV2132"/>
      <c r="AX2132"/>
      <c r="AZ2132" t="str">
        <f t="shared" si="289"/>
        <v/>
      </c>
      <c r="BA2132" t="str">
        <f t="shared" si="290"/>
        <v/>
      </c>
    </row>
    <row r="2133" spans="3:53" ht="13.5">
      <c r="C2133" s="19"/>
      <c r="D2133" s="19"/>
      <c r="AC2133" s="6" t="s">
        <v>4757</v>
      </c>
      <c r="AD2133" s="6" t="s">
        <v>7353</v>
      </c>
      <c r="AE2133" s="155" t="s">
        <v>2883</v>
      </c>
      <c r="AF2133" s="159" t="s">
        <v>8299</v>
      </c>
      <c r="AG2133" s="160" t="s">
        <v>788</v>
      </c>
      <c r="AH2133" s="194" t="s">
        <v>679</v>
      </c>
      <c r="AI2133" s="6" t="s">
        <v>380</v>
      </c>
      <c r="AJ2133" s="3" t="s">
        <v>8208</v>
      </c>
      <c r="AK2133" t="s">
        <v>8667</v>
      </c>
      <c r="AV2133"/>
      <c r="AX2133"/>
      <c r="AZ2133" t="str">
        <f t="shared" si="289"/>
        <v/>
      </c>
      <c r="BA2133" t="str">
        <f t="shared" si="290"/>
        <v/>
      </c>
    </row>
    <row r="2134" spans="3:53" ht="13.5">
      <c r="C2134" s="19"/>
      <c r="D2134" s="19"/>
      <c r="AC2134" s="6" t="s">
        <v>2968</v>
      </c>
      <c r="AD2134" s="6" t="s">
        <v>7353</v>
      </c>
      <c r="AE2134" s="155" t="s">
        <v>2884</v>
      </c>
      <c r="AF2134" s="159" t="s">
        <v>8358</v>
      </c>
      <c r="AG2134" s="160" t="s">
        <v>789</v>
      </c>
      <c r="AH2134" s="194" t="s">
        <v>679</v>
      </c>
      <c r="AI2134" s="6" t="s">
        <v>412</v>
      </c>
      <c r="AJ2134" s="3" t="s">
        <v>8196</v>
      </c>
      <c r="AK2134" t="s">
        <v>8196</v>
      </c>
      <c r="AV2134"/>
      <c r="AX2134"/>
      <c r="AZ2134" t="str">
        <f t="shared" si="289"/>
        <v/>
      </c>
      <c r="BA2134" t="str">
        <f t="shared" si="290"/>
        <v/>
      </c>
    </row>
    <row r="2135" spans="3:53" ht="13.5">
      <c r="C2135" s="19"/>
      <c r="D2135" s="19"/>
      <c r="AC2135" s="6" t="s">
        <v>3064</v>
      </c>
      <c r="AD2135" s="6" t="s">
        <v>7353</v>
      </c>
      <c r="AE2135" s="155" t="s">
        <v>2885</v>
      </c>
      <c r="AF2135" s="159" t="s">
        <v>8342</v>
      </c>
      <c r="AG2135" s="160" t="s">
        <v>790</v>
      </c>
      <c r="AH2135" s="194" t="s">
        <v>679</v>
      </c>
      <c r="AI2135" s="6" t="s">
        <v>1413</v>
      </c>
      <c r="AJ2135" s="3" t="s">
        <v>8196</v>
      </c>
      <c r="AK2135" t="s">
        <v>8196</v>
      </c>
      <c r="AV2135"/>
      <c r="AX2135"/>
      <c r="AZ2135" t="str">
        <f t="shared" si="289"/>
        <v/>
      </c>
      <c r="BA2135" t="str">
        <f t="shared" si="290"/>
        <v/>
      </c>
    </row>
    <row r="2136" spans="3:53" ht="13.5">
      <c r="C2136" s="19"/>
      <c r="D2136" s="19"/>
      <c r="AC2136" s="6" t="s">
        <v>3048</v>
      </c>
      <c r="AD2136" s="6" t="s">
        <v>7353</v>
      </c>
      <c r="AE2136" s="166" t="s">
        <v>2886</v>
      </c>
      <c r="AF2136" s="159" t="s">
        <v>8339</v>
      </c>
      <c r="AG2136" s="160" t="s">
        <v>681</v>
      </c>
      <c r="AH2136" s="194" t="s">
        <v>679</v>
      </c>
      <c r="AI2136" s="6" t="s">
        <v>510</v>
      </c>
      <c r="AJ2136" s="3" t="s">
        <v>8209</v>
      </c>
      <c r="AK2136" t="s">
        <v>8209</v>
      </c>
      <c r="AV2136"/>
      <c r="AX2136"/>
      <c r="AZ2136" t="str">
        <f t="shared" si="289"/>
        <v/>
      </c>
      <c r="BA2136" t="str">
        <f t="shared" si="290"/>
        <v/>
      </c>
    </row>
    <row r="2137" spans="3:53" ht="13.5">
      <c r="C2137" s="19"/>
      <c r="D2137" s="19"/>
      <c r="AC2137" s="6" t="s">
        <v>3138</v>
      </c>
      <c r="AD2137" s="6" t="s">
        <v>7353</v>
      </c>
      <c r="AE2137" s="166" t="s">
        <v>2887</v>
      </c>
      <c r="AF2137" s="159" t="s">
        <v>8339</v>
      </c>
      <c r="AG2137" s="160" t="s">
        <v>1020</v>
      </c>
      <c r="AH2137" s="194" t="s">
        <v>678</v>
      </c>
      <c r="AI2137" s="6" t="s">
        <v>513</v>
      </c>
      <c r="AJ2137" s="3" t="s">
        <v>8228</v>
      </c>
      <c r="AK2137" t="s">
        <v>8228</v>
      </c>
      <c r="AV2137"/>
      <c r="AX2137"/>
      <c r="AZ2137" t="str">
        <f t="shared" si="289"/>
        <v/>
      </c>
      <c r="BA2137" t="str">
        <f t="shared" si="290"/>
        <v/>
      </c>
    </row>
    <row r="2138" spans="3:53" ht="13.5">
      <c r="C2138" s="19"/>
      <c r="D2138" s="19"/>
      <c r="AC2138" s="6" t="s">
        <v>2903</v>
      </c>
      <c r="AD2138" s="6" t="s">
        <v>7353</v>
      </c>
      <c r="AE2138" s="166" t="s">
        <v>2888</v>
      </c>
      <c r="AF2138" s="159" t="s">
        <v>8319</v>
      </c>
      <c r="AG2138" s="160" t="s">
        <v>791</v>
      </c>
      <c r="AH2138" s="194" t="s">
        <v>678</v>
      </c>
      <c r="AI2138" s="6" t="s">
        <v>1419</v>
      </c>
      <c r="AJ2138" s="3" t="s">
        <v>8233</v>
      </c>
      <c r="AK2138" t="s">
        <v>8233</v>
      </c>
      <c r="AV2138"/>
      <c r="AX2138"/>
      <c r="AZ2138" t="str">
        <f t="shared" si="289"/>
        <v/>
      </c>
      <c r="BA2138" t="str">
        <f t="shared" si="290"/>
        <v/>
      </c>
    </row>
    <row r="2139" spans="3:53" ht="13.5">
      <c r="C2139" s="19"/>
      <c r="D2139" s="19"/>
      <c r="AC2139" s="6" t="s">
        <v>3419</v>
      </c>
      <c r="AD2139" s="6" t="s">
        <v>7353</v>
      </c>
      <c r="AE2139" s="166" t="s">
        <v>2889</v>
      </c>
      <c r="AF2139" s="159" t="s">
        <v>8404</v>
      </c>
      <c r="AG2139" s="160" t="s">
        <v>792</v>
      </c>
      <c r="AH2139" s="194" t="s">
        <v>678</v>
      </c>
      <c r="AI2139" s="6" t="s">
        <v>515</v>
      </c>
      <c r="AJ2139" s="3" t="s">
        <v>8233</v>
      </c>
      <c r="AK2139" t="s">
        <v>8233</v>
      </c>
      <c r="AV2139"/>
      <c r="AX2139"/>
      <c r="AZ2139" t="str">
        <f t="shared" si="289"/>
        <v/>
      </c>
      <c r="BA2139" t="str">
        <f t="shared" si="290"/>
        <v/>
      </c>
    </row>
    <row r="2140" spans="3:53" ht="13.5">
      <c r="C2140" s="19"/>
      <c r="D2140" s="19"/>
      <c r="AC2140" s="6" t="s">
        <v>2914</v>
      </c>
      <c r="AD2140" s="6" t="s">
        <v>7353</v>
      </c>
      <c r="AE2140" s="166" t="s">
        <v>2890</v>
      </c>
      <c r="AF2140" s="159" t="s">
        <v>8405</v>
      </c>
      <c r="AG2140" s="160" t="s">
        <v>793</v>
      </c>
      <c r="AH2140" s="194" t="s">
        <v>4700</v>
      </c>
      <c r="AI2140" s="6" t="s">
        <v>543</v>
      </c>
      <c r="AJ2140" s="3" t="s">
        <v>8200</v>
      </c>
      <c r="AK2140" t="s">
        <v>8200</v>
      </c>
      <c r="AV2140"/>
      <c r="AX2140"/>
      <c r="AZ2140" t="str">
        <f t="shared" si="289"/>
        <v/>
      </c>
      <c r="BA2140" t="str">
        <f t="shared" si="290"/>
        <v/>
      </c>
    </row>
    <row r="2141" spans="3:53" ht="13.5">
      <c r="C2141" s="19"/>
      <c r="D2141" s="19"/>
      <c r="AC2141" s="6" t="s">
        <v>2994</v>
      </c>
      <c r="AD2141" s="6" t="s">
        <v>7353</v>
      </c>
      <c r="AE2141" s="155" t="s">
        <v>2891</v>
      </c>
      <c r="AF2141" s="159" t="s">
        <v>8342</v>
      </c>
      <c r="AG2141" s="160" t="s">
        <v>794</v>
      </c>
      <c r="AH2141" s="194" t="s">
        <v>679</v>
      </c>
      <c r="AI2141" s="6" t="s">
        <v>5784</v>
      </c>
      <c r="AJ2141" s="3" t="s">
        <v>8209</v>
      </c>
      <c r="AK2141" t="s">
        <v>8209</v>
      </c>
      <c r="AV2141"/>
      <c r="AX2141"/>
      <c r="AZ2141" t="str">
        <f t="shared" si="289"/>
        <v/>
      </c>
      <c r="BA2141" t="str">
        <f t="shared" si="290"/>
        <v/>
      </c>
    </row>
    <row r="2142" spans="3:53" ht="13.5">
      <c r="C2142" s="19"/>
      <c r="D2142" s="19"/>
      <c r="AC2142" s="6" t="s">
        <v>3203</v>
      </c>
      <c r="AD2142" s="6" t="s">
        <v>7353</v>
      </c>
      <c r="AE2142" s="155" t="s">
        <v>2892</v>
      </c>
      <c r="AF2142" s="159" t="s">
        <v>8406</v>
      </c>
      <c r="AG2142" s="160" t="s">
        <v>795</v>
      </c>
      <c r="AH2142" s="194" t="s">
        <v>679</v>
      </c>
      <c r="AI2142" s="6" t="s">
        <v>572</v>
      </c>
      <c r="AJ2142" s="3" t="s">
        <v>8209</v>
      </c>
      <c r="AK2142" t="s">
        <v>8209</v>
      </c>
      <c r="AV2142"/>
      <c r="AX2142"/>
      <c r="AZ2142" t="str">
        <f t="shared" si="289"/>
        <v/>
      </c>
      <c r="BA2142" t="str">
        <f t="shared" si="290"/>
        <v/>
      </c>
    </row>
    <row r="2143" spans="3:53" ht="13.5">
      <c r="C2143" s="19"/>
      <c r="D2143" s="19"/>
      <c r="AC2143" s="6" t="s">
        <v>3320</v>
      </c>
      <c r="AD2143" s="6" t="s">
        <v>7353</v>
      </c>
      <c r="AE2143" s="155" t="s">
        <v>2893</v>
      </c>
      <c r="AF2143" s="159" t="s">
        <v>8407</v>
      </c>
      <c r="AG2143" s="160" t="s">
        <v>796</v>
      </c>
      <c r="AH2143" s="194" t="s">
        <v>679</v>
      </c>
      <c r="AI2143" s="6" t="s">
        <v>5778</v>
      </c>
      <c r="AJ2143" s="3" t="s">
        <v>8195</v>
      </c>
      <c r="AK2143" t="s">
        <v>8195</v>
      </c>
      <c r="AV2143"/>
      <c r="AX2143"/>
      <c r="AZ2143" t="str">
        <f t="shared" si="289"/>
        <v/>
      </c>
      <c r="BA2143" t="str">
        <f t="shared" si="290"/>
        <v/>
      </c>
    </row>
    <row r="2144" spans="3:53" ht="13.5">
      <c r="C2144" s="19"/>
      <c r="D2144" s="19"/>
      <c r="AC2144" s="6" t="s">
        <v>2908</v>
      </c>
      <c r="AD2144" s="6" t="s">
        <v>7353</v>
      </c>
      <c r="AE2144" s="155" t="s">
        <v>2894</v>
      </c>
      <c r="AF2144" s="159" t="s">
        <v>8408</v>
      </c>
      <c r="AG2144" s="160" t="s">
        <v>1927</v>
      </c>
      <c r="AH2144" s="194" t="s">
        <v>679</v>
      </c>
      <c r="AI2144" s="6" t="s">
        <v>1470</v>
      </c>
      <c r="AJ2144" s="3" t="s">
        <v>8233</v>
      </c>
      <c r="AK2144" t="s">
        <v>8233</v>
      </c>
      <c r="AV2144"/>
      <c r="AX2144"/>
      <c r="AZ2144" t="str">
        <f t="shared" si="289"/>
        <v/>
      </c>
      <c r="BA2144" t="str">
        <f t="shared" si="290"/>
        <v/>
      </c>
    </row>
    <row r="2145" spans="3:53" ht="13.5">
      <c r="C2145" s="19"/>
      <c r="D2145" s="19"/>
      <c r="AC2145" s="6" t="s">
        <v>3448</v>
      </c>
      <c r="AD2145" s="6" t="s">
        <v>7353</v>
      </c>
      <c r="AE2145" s="155" t="s">
        <v>2895</v>
      </c>
      <c r="AF2145" s="159" t="s">
        <v>8409</v>
      </c>
      <c r="AG2145" s="160" t="s">
        <v>1928</v>
      </c>
      <c r="AH2145" s="194" t="s">
        <v>679</v>
      </c>
      <c r="AI2145" s="6" t="s">
        <v>1076</v>
      </c>
      <c r="AJ2145" s="3" t="s">
        <v>8196</v>
      </c>
      <c r="AK2145" t="s">
        <v>8196</v>
      </c>
      <c r="AV2145"/>
      <c r="AX2145"/>
      <c r="AZ2145" t="str">
        <f t="shared" si="289"/>
        <v/>
      </c>
      <c r="BA2145" t="str">
        <f t="shared" si="290"/>
        <v/>
      </c>
    </row>
    <row r="2146" spans="3:53" ht="13.5">
      <c r="C2146" s="19"/>
      <c r="D2146" s="19"/>
      <c r="AC2146" s="6" t="s">
        <v>3509</v>
      </c>
      <c r="AD2146" s="6" t="s">
        <v>7421</v>
      </c>
      <c r="AE2146" s="155" t="s">
        <v>2896</v>
      </c>
      <c r="AF2146" s="159" t="s">
        <v>8339</v>
      </c>
      <c r="AG2146" s="160" t="s">
        <v>797</v>
      </c>
      <c r="AH2146" s="194" t="s">
        <v>679</v>
      </c>
      <c r="AI2146" s="6" t="s">
        <v>1080</v>
      </c>
      <c r="AJ2146" s="3" t="s">
        <v>8208</v>
      </c>
      <c r="AK2146" t="s">
        <v>8667</v>
      </c>
      <c r="AV2146"/>
      <c r="AX2146"/>
      <c r="AZ2146" t="str">
        <f t="shared" si="289"/>
        <v/>
      </c>
      <c r="BA2146" t="str">
        <f t="shared" si="290"/>
        <v/>
      </c>
    </row>
    <row r="2147" spans="3:53" ht="13.5">
      <c r="C2147" s="19"/>
      <c r="D2147" s="19"/>
      <c r="AC2147" s="6" t="s">
        <v>4761</v>
      </c>
      <c r="AD2147" s="6" t="s">
        <v>7353</v>
      </c>
      <c r="AE2147" s="155" t="s">
        <v>2897</v>
      </c>
      <c r="AF2147" s="159" t="s">
        <v>8379</v>
      </c>
      <c r="AG2147" s="160" t="s">
        <v>1257</v>
      </c>
      <c r="AH2147" s="194" t="s">
        <v>679</v>
      </c>
      <c r="AI2147" s="6" t="s">
        <v>1082</v>
      </c>
      <c r="AJ2147" s="3" t="s">
        <v>8209</v>
      </c>
      <c r="AK2147" t="s">
        <v>8209</v>
      </c>
      <c r="AV2147"/>
      <c r="AX2147"/>
      <c r="AZ2147" t="str">
        <f t="shared" si="289"/>
        <v/>
      </c>
      <c r="BA2147" t="str">
        <f t="shared" si="290"/>
        <v/>
      </c>
    </row>
    <row r="2148" spans="3:53" ht="13.5">
      <c r="C2148" s="19"/>
      <c r="D2148" s="19"/>
      <c r="AC2148" s="6" t="s">
        <v>3141</v>
      </c>
      <c r="AD2148" s="6" t="s">
        <v>7353</v>
      </c>
      <c r="AE2148" s="155" t="s">
        <v>2898</v>
      </c>
      <c r="AF2148" s="159" t="s">
        <v>8375</v>
      </c>
      <c r="AG2148" s="160" t="s">
        <v>798</v>
      </c>
      <c r="AH2148" s="194" t="s">
        <v>678</v>
      </c>
      <c r="AI2148" s="6" t="s">
        <v>1083</v>
      </c>
      <c r="AJ2148" s="3" t="s">
        <v>8209</v>
      </c>
      <c r="AK2148" t="s">
        <v>8209</v>
      </c>
      <c r="AV2148"/>
      <c r="AX2148"/>
      <c r="AZ2148" t="str">
        <f t="shared" si="289"/>
        <v/>
      </c>
      <c r="BA2148" t="str">
        <f t="shared" si="290"/>
        <v/>
      </c>
    </row>
    <row r="2149" spans="3:53" ht="13.5">
      <c r="C2149" s="19"/>
      <c r="D2149" s="19"/>
      <c r="AC2149" s="6" t="s">
        <v>3030</v>
      </c>
      <c r="AD2149" s="6" t="s">
        <v>7353</v>
      </c>
      <c r="AE2149" s="155" t="s">
        <v>2899</v>
      </c>
      <c r="AF2149" s="159" t="s">
        <v>8410</v>
      </c>
      <c r="AG2149" s="160" t="s">
        <v>1929</v>
      </c>
      <c r="AH2149" s="194" t="s">
        <v>679</v>
      </c>
      <c r="AI2149" s="6" t="s">
        <v>1089</v>
      </c>
      <c r="AJ2149" s="3" t="s">
        <v>8207</v>
      </c>
      <c r="AK2149" t="s">
        <v>8207</v>
      </c>
      <c r="AV2149"/>
      <c r="AX2149"/>
      <c r="AZ2149" t="str">
        <f t="shared" si="289"/>
        <v/>
      </c>
      <c r="BA2149" t="str">
        <f t="shared" si="290"/>
        <v/>
      </c>
    </row>
    <row r="2150" spans="3:53" ht="13.5">
      <c r="C2150" s="19"/>
      <c r="D2150" s="19"/>
      <c r="AC2150" s="6" t="s">
        <v>3449</v>
      </c>
      <c r="AD2150" s="6" t="s">
        <v>7353</v>
      </c>
      <c r="AE2150" s="155" t="s">
        <v>2900</v>
      </c>
      <c r="AF2150" s="159" t="s">
        <v>8299</v>
      </c>
      <c r="AG2150" s="160" t="s">
        <v>799</v>
      </c>
      <c r="AH2150" s="194" t="s">
        <v>678</v>
      </c>
      <c r="AI2150" s="6" t="s">
        <v>1528</v>
      </c>
      <c r="AJ2150" s="3" t="s">
        <v>8212</v>
      </c>
      <c r="AK2150" t="s">
        <v>8212</v>
      </c>
      <c r="AV2150"/>
      <c r="AX2150"/>
      <c r="AZ2150" t="str">
        <f t="shared" si="289"/>
        <v/>
      </c>
      <c r="BA2150" t="str">
        <f t="shared" si="290"/>
        <v/>
      </c>
    </row>
    <row r="2151" spans="3:53" ht="13.5">
      <c r="C2151" s="19"/>
      <c r="D2151" s="19"/>
      <c r="AC2151" s="6" t="s">
        <v>2983</v>
      </c>
      <c r="AD2151" s="6" t="s">
        <v>7353</v>
      </c>
      <c r="AE2151" s="155" t="s">
        <v>2901</v>
      </c>
      <c r="AF2151" s="159" t="s">
        <v>8411</v>
      </c>
      <c r="AG2151" s="160" t="s">
        <v>1930</v>
      </c>
      <c r="AH2151" s="194" t="s">
        <v>679</v>
      </c>
      <c r="AI2151" s="6" t="s">
        <v>5782</v>
      </c>
      <c r="AJ2151" s="3" t="s">
        <v>8200</v>
      </c>
      <c r="AK2151" t="s">
        <v>8200</v>
      </c>
      <c r="AV2151"/>
      <c r="AX2151"/>
      <c r="AZ2151" t="str">
        <f t="shared" si="289"/>
        <v/>
      </c>
      <c r="BA2151" t="str">
        <f t="shared" si="290"/>
        <v/>
      </c>
    </row>
    <row r="2152" spans="3:53" ht="13.5">
      <c r="C2152" s="19"/>
      <c r="D2152" s="19"/>
      <c r="AC2152" s="6" t="s">
        <v>1225</v>
      </c>
      <c r="AD2152" s="6" t="s">
        <v>7353</v>
      </c>
      <c r="AE2152" s="155" t="s">
        <v>2902</v>
      </c>
      <c r="AF2152" s="159" t="s">
        <v>8308</v>
      </c>
      <c r="AG2152" s="160" t="s">
        <v>1931</v>
      </c>
      <c r="AH2152" s="194" t="s">
        <v>679</v>
      </c>
      <c r="AI2152" s="6" t="s">
        <v>5513</v>
      </c>
      <c r="AJ2152" s="3" t="s">
        <v>8196</v>
      </c>
      <c r="AK2152" t="s">
        <v>8196</v>
      </c>
      <c r="AV2152"/>
      <c r="AX2152"/>
      <c r="AZ2152" t="str">
        <f t="shared" si="289"/>
        <v/>
      </c>
      <c r="BA2152" t="str">
        <f t="shared" si="290"/>
        <v/>
      </c>
    </row>
    <row r="2153" spans="3:53" ht="13.5">
      <c r="C2153" s="19"/>
      <c r="D2153" s="19"/>
      <c r="AC2153" s="6" t="s">
        <v>3173</v>
      </c>
      <c r="AD2153" s="6" t="s">
        <v>7353</v>
      </c>
      <c r="AE2153" s="155" t="s">
        <v>2903</v>
      </c>
      <c r="AF2153" s="159" t="s">
        <v>8299</v>
      </c>
      <c r="AG2153" s="160" t="s">
        <v>1932</v>
      </c>
      <c r="AH2153" s="194" t="s">
        <v>679</v>
      </c>
      <c r="AI2153" s="6" t="s">
        <v>5515</v>
      </c>
      <c r="AJ2153" s="3" t="s">
        <v>8201</v>
      </c>
      <c r="AK2153" t="s">
        <v>8666</v>
      </c>
      <c r="AV2153"/>
      <c r="AX2153"/>
      <c r="AZ2153" t="str">
        <f t="shared" si="289"/>
        <v/>
      </c>
      <c r="BA2153" t="str">
        <f t="shared" si="290"/>
        <v/>
      </c>
    </row>
    <row r="2154" spans="3:53" ht="13.5">
      <c r="C2154" s="19"/>
      <c r="D2154" s="19"/>
      <c r="AC2154" s="6" t="s">
        <v>3174</v>
      </c>
      <c r="AD2154" s="6" t="s">
        <v>7353</v>
      </c>
      <c r="AE2154" s="155" t="s">
        <v>2904</v>
      </c>
      <c r="AF2154" s="159" t="s">
        <v>8375</v>
      </c>
      <c r="AG2154" s="160" t="s">
        <v>1933</v>
      </c>
      <c r="AH2154" s="194" t="s">
        <v>679</v>
      </c>
      <c r="AI2154" s="6" t="s">
        <v>5793</v>
      </c>
      <c r="AJ2154" s="3" t="s">
        <v>8201</v>
      </c>
      <c r="AK2154" t="s">
        <v>8666</v>
      </c>
      <c r="AV2154"/>
      <c r="AX2154"/>
      <c r="AZ2154" t="str">
        <f t="shared" si="289"/>
        <v/>
      </c>
      <c r="BA2154" t="str">
        <f t="shared" si="290"/>
        <v/>
      </c>
    </row>
    <row r="2155" spans="3:53" ht="13.5">
      <c r="C2155" s="19"/>
      <c r="D2155" s="19"/>
      <c r="AC2155" s="6" t="s">
        <v>5756</v>
      </c>
      <c r="AD2155" s="6" t="s">
        <v>7353</v>
      </c>
      <c r="AE2155" s="155" t="s">
        <v>2905</v>
      </c>
      <c r="AF2155" s="159" t="s">
        <v>8342</v>
      </c>
      <c r="AG2155" s="160" t="s">
        <v>800</v>
      </c>
      <c r="AH2155" s="194" t="s">
        <v>678</v>
      </c>
      <c r="AI2155" s="6" t="s">
        <v>6645</v>
      </c>
      <c r="AJ2155" s="3" t="s">
        <v>8200</v>
      </c>
      <c r="AK2155" t="s">
        <v>8200</v>
      </c>
      <c r="AV2155"/>
      <c r="AX2155"/>
      <c r="AZ2155" t="str">
        <f t="shared" si="289"/>
        <v/>
      </c>
      <c r="BA2155" t="str">
        <f t="shared" si="290"/>
        <v/>
      </c>
    </row>
    <row r="2156" spans="3:53" ht="13.5">
      <c r="C2156" s="19"/>
      <c r="D2156" s="19"/>
      <c r="AC2156" s="6" t="s">
        <v>2960</v>
      </c>
      <c r="AD2156" s="6" t="s">
        <v>7353</v>
      </c>
      <c r="AE2156" s="155" t="s">
        <v>2906</v>
      </c>
      <c r="AF2156" s="159" t="s">
        <v>8299</v>
      </c>
      <c r="AG2156" s="160" t="s">
        <v>801</v>
      </c>
      <c r="AH2156" s="194" t="s">
        <v>679</v>
      </c>
      <c r="AI2156" s="6" t="s">
        <v>6644</v>
      </c>
      <c r="AJ2156" s="3" t="s">
        <v>8200</v>
      </c>
      <c r="AK2156" t="s">
        <v>8200</v>
      </c>
      <c r="AV2156"/>
      <c r="AX2156"/>
      <c r="AZ2156" t="str">
        <f t="shared" si="289"/>
        <v/>
      </c>
      <c r="BA2156" t="str">
        <f t="shared" si="290"/>
        <v/>
      </c>
    </row>
    <row r="2157" spans="3:53" ht="13.5">
      <c r="C2157" s="19"/>
      <c r="D2157" s="19"/>
      <c r="AC2157" s="6" t="s">
        <v>5615</v>
      </c>
      <c r="AD2157" s="6" t="s">
        <v>7353</v>
      </c>
      <c r="AE2157" s="155" t="s">
        <v>2907</v>
      </c>
      <c r="AF2157" s="159" t="s">
        <v>8412</v>
      </c>
      <c r="AG2157" s="160" t="s">
        <v>949</v>
      </c>
      <c r="AH2157" s="194" t="s">
        <v>679</v>
      </c>
      <c r="AI2157" s="6" t="s">
        <v>5775</v>
      </c>
      <c r="AJ2157" s="3" t="s">
        <v>8201</v>
      </c>
      <c r="AK2157" t="s">
        <v>8666</v>
      </c>
      <c r="AV2157"/>
      <c r="AX2157"/>
      <c r="AZ2157" t="str">
        <f t="shared" si="289"/>
        <v/>
      </c>
      <c r="BA2157" t="str">
        <f t="shared" si="290"/>
        <v/>
      </c>
    </row>
    <row r="2158" spans="3:53" ht="13.5">
      <c r="C2158" s="19"/>
      <c r="D2158" s="19"/>
      <c r="AC2158" s="6" t="s">
        <v>1272</v>
      </c>
      <c r="AD2158" s="6" t="s">
        <v>7353</v>
      </c>
      <c r="AE2158" s="155" t="s">
        <v>2908</v>
      </c>
      <c r="AF2158" s="159" t="s">
        <v>8339</v>
      </c>
      <c r="AG2158" s="160" t="s">
        <v>802</v>
      </c>
      <c r="AH2158" s="194" t="s">
        <v>678</v>
      </c>
      <c r="AI2158" s="6" t="s">
        <v>5777</v>
      </c>
      <c r="AJ2158" s="3" t="s">
        <v>8208</v>
      </c>
      <c r="AK2158" t="s">
        <v>8667</v>
      </c>
      <c r="AV2158"/>
      <c r="AX2158"/>
      <c r="AZ2158" t="str">
        <f t="shared" si="289"/>
        <v/>
      </c>
      <c r="BA2158" t="str">
        <f t="shared" si="290"/>
        <v/>
      </c>
    </row>
    <row r="2159" spans="3:53" ht="13.5">
      <c r="C2159" s="19"/>
      <c r="D2159" s="19"/>
      <c r="AC2159" s="6" t="s">
        <v>2969</v>
      </c>
      <c r="AD2159" s="6" t="s">
        <v>7353</v>
      </c>
      <c r="AE2159" s="155" t="s">
        <v>2909</v>
      </c>
      <c r="AF2159" s="159" t="s">
        <v>8413</v>
      </c>
      <c r="AG2159" s="160" t="s">
        <v>803</v>
      </c>
      <c r="AH2159" s="194" t="s">
        <v>679</v>
      </c>
      <c r="AI2159" s="6" t="s">
        <v>5514</v>
      </c>
      <c r="AJ2159" s="3" t="s">
        <v>8208</v>
      </c>
      <c r="AK2159" t="s">
        <v>8667</v>
      </c>
      <c r="AV2159"/>
      <c r="AX2159"/>
      <c r="AZ2159" t="str">
        <f t="shared" si="289"/>
        <v/>
      </c>
      <c r="BA2159" t="str">
        <f t="shared" si="290"/>
        <v/>
      </c>
    </row>
    <row r="2160" spans="3:53" ht="13.5">
      <c r="C2160" s="19"/>
      <c r="D2160" s="19"/>
      <c r="AC2160" s="6" t="s">
        <v>3322</v>
      </c>
      <c r="AD2160" s="6" t="s">
        <v>7353</v>
      </c>
      <c r="AE2160" s="155" t="s">
        <v>2910</v>
      </c>
      <c r="AF2160" s="159" t="s">
        <v>8341</v>
      </c>
      <c r="AG2160" s="160" t="s">
        <v>804</v>
      </c>
      <c r="AH2160" s="194" t="s">
        <v>679</v>
      </c>
      <c r="AI2160" s="6" t="s">
        <v>5807</v>
      </c>
      <c r="AJ2160" s="3" t="s">
        <v>8196</v>
      </c>
      <c r="AK2160" t="s">
        <v>8196</v>
      </c>
      <c r="AV2160"/>
      <c r="AX2160"/>
      <c r="AZ2160" t="str">
        <f t="shared" si="289"/>
        <v/>
      </c>
      <c r="BA2160" t="str">
        <f t="shared" si="290"/>
        <v/>
      </c>
    </row>
    <row r="2161" spans="3:53" ht="13.5">
      <c r="C2161" s="19"/>
      <c r="D2161" s="19"/>
      <c r="AC2161" s="6" t="s">
        <v>3204</v>
      </c>
      <c r="AD2161" s="6" t="s">
        <v>7353</v>
      </c>
      <c r="AE2161" s="155" t="s">
        <v>2911</v>
      </c>
      <c r="AF2161" s="159" t="s">
        <v>8375</v>
      </c>
      <c r="AG2161" s="160" t="s">
        <v>805</v>
      </c>
      <c r="AH2161" s="194" t="s">
        <v>679</v>
      </c>
      <c r="AI2161" s="6" t="s">
        <v>6620</v>
      </c>
      <c r="AJ2161" s="3" t="s">
        <v>8228</v>
      </c>
      <c r="AK2161" t="s">
        <v>8228</v>
      </c>
      <c r="AV2161"/>
      <c r="AX2161"/>
      <c r="AZ2161" t="str">
        <f t="shared" si="289"/>
        <v/>
      </c>
      <c r="BA2161" t="str">
        <f t="shared" si="290"/>
        <v/>
      </c>
    </row>
    <row r="2162" spans="3:53" ht="13.5">
      <c r="C2162" s="19"/>
      <c r="D2162" s="19"/>
      <c r="AC2162" s="6" t="s">
        <v>3186</v>
      </c>
      <c r="AD2162" s="6" t="s">
        <v>7353</v>
      </c>
      <c r="AE2162" s="155" t="s">
        <v>2912</v>
      </c>
      <c r="AF2162" s="159" t="s">
        <v>8299</v>
      </c>
      <c r="AG2162" s="160" t="s">
        <v>806</v>
      </c>
      <c r="AH2162" s="194" t="s">
        <v>678</v>
      </c>
      <c r="AI2162" s="6" t="s">
        <v>5800</v>
      </c>
      <c r="AJ2162" s="3" t="s">
        <v>8207</v>
      </c>
      <c r="AK2162" t="s">
        <v>8207</v>
      </c>
      <c r="AV2162"/>
      <c r="AX2162"/>
      <c r="AZ2162" t="str">
        <f t="shared" si="289"/>
        <v/>
      </c>
      <c r="BA2162" t="str">
        <f t="shared" si="290"/>
        <v/>
      </c>
    </row>
    <row r="2163" spans="3:53" ht="13.5">
      <c r="C2163" s="19"/>
      <c r="D2163" s="19"/>
      <c r="AC2163" s="6" t="s">
        <v>2876</v>
      </c>
      <c r="AD2163" s="6" t="s">
        <v>7353</v>
      </c>
      <c r="AE2163" s="155" t="s">
        <v>2913</v>
      </c>
      <c r="AF2163" s="159" t="s">
        <v>8351</v>
      </c>
      <c r="AG2163" s="160" t="s">
        <v>807</v>
      </c>
      <c r="AH2163" s="194" t="s">
        <v>679</v>
      </c>
      <c r="AI2163" s="6" t="s">
        <v>6647</v>
      </c>
      <c r="AJ2163" s="3" t="s">
        <v>8196</v>
      </c>
      <c r="AK2163" t="s">
        <v>8196</v>
      </c>
      <c r="AV2163"/>
      <c r="AX2163"/>
      <c r="AZ2163" t="str">
        <f t="shared" si="289"/>
        <v/>
      </c>
      <c r="BA2163" t="str">
        <f t="shared" si="290"/>
        <v/>
      </c>
    </row>
    <row r="2164" spans="3:53" ht="13.5">
      <c r="C2164" s="19"/>
      <c r="D2164" s="19"/>
      <c r="AC2164" s="6">
        <v>313509</v>
      </c>
      <c r="AD2164" s="6" t="s">
        <v>7422</v>
      </c>
      <c r="AE2164" s="155" t="s">
        <v>2914</v>
      </c>
      <c r="AF2164" s="159" t="s">
        <v>8393</v>
      </c>
      <c r="AG2164" s="160" t="s">
        <v>808</v>
      </c>
      <c r="AH2164" s="194" t="s">
        <v>679</v>
      </c>
      <c r="AI2164" s="6" t="s">
        <v>994</v>
      </c>
      <c r="AJ2164" s="3" t="s">
        <v>8208</v>
      </c>
      <c r="AK2164" t="s">
        <v>8667</v>
      </c>
      <c r="AV2164"/>
      <c r="AX2164"/>
      <c r="AZ2164" t="str">
        <f t="shared" si="289"/>
        <v/>
      </c>
      <c r="BA2164" t="str">
        <f t="shared" si="290"/>
        <v/>
      </c>
    </row>
    <row r="2165" spans="3:53" ht="13.5">
      <c r="C2165" s="19"/>
      <c r="D2165" s="19"/>
      <c r="AC2165" s="6" t="s">
        <v>3224</v>
      </c>
      <c r="AD2165" s="6" t="s">
        <v>7353</v>
      </c>
      <c r="AE2165" s="155" t="s">
        <v>2915</v>
      </c>
      <c r="AF2165" s="159" t="s">
        <v>8414</v>
      </c>
      <c r="AG2165" s="160" t="s">
        <v>809</v>
      </c>
      <c r="AH2165" s="194" t="s">
        <v>679</v>
      </c>
      <c r="AI2165" s="6" t="s">
        <v>995</v>
      </c>
      <c r="AJ2165" s="3" t="s">
        <v>8209</v>
      </c>
      <c r="AK2165" t="s">
        <v>8209</v>
      </c>
      <c r="AV2165"/>
      <c r="AX2165"/>
      <c r="AZ2165" t="str">
        <f t="shared" si="289"/>
        <v/>
      </c>
      <c r="BA2165" t="str">
        <f t="shared" si="290"/>
        <v/>
      </c>
    </row>
    <row r="2166" spans="3:53" ht="13.5">
      <c r="C2166" s="19"/>
      <c r="D2166" s="19"/>
      <c r="AC2166" s="6" t="s">
        <v>3057</v>
      </c>
      <c r="AD2166" s="6" t="s">
        <v>7353</v>
      </c>
      <c r="AE2166" s="155" t="s">
        <v>2916</v>
      </c>
      <c r="AF2166" s="159" t="s">
        <v>8341</v>
      </c>
      <c r="AG2166" s="160" t="s">
        <v>810</v>
      </c>
      <c r="AH2166" s="194" t="s">
        <v>679</v>
      </c>
      <c r="AI2166" s="6" t="s">
        <v>2495</v>
      </c>
      <c r="AJ2166" s="3" t="s">
        <v>8274</v>
      </c>
      <c r="AK2166" t="s">
        <v>8274</v>
      </c>
      <c r="AV2166"/>
      <c r="AX2166"/>
      <c r="AZ2166" t="str">
        <f t="shared" si="289"/>
        <v/>
      </c>
      <c r="BA2166" t="str">
        <f t="shared" si="290"/>
        <v/>
      </c>
    </row>
    <row r="2167" spans="3:53" ht="13.5">
      <c r="C2167" s="19"/>
      <c r="D2167" s="19"/>
      <c r="AC2167" s="6" t="s">
        <v>3191</v>
      </c>
      <c r="AD2167" s="6" t="s">
        <v>7353</v>
      </c>
      <c r="AE2167" s="155" t="s">
        <v>2917</v>
      </c>
      <c r="AF2167" s="159" t="s">
        <v>8309</v>
      </c>
      <c r="AG2167" s="160" t="s">
        <v>811</v>
      </c>
      <c r="AH2167" s="194" t="s">
        <v>678</v>
      </c>
      <c r="AI2167" s="6" t="s">
        <v>3979</v>
      </c>
      <c r="AJ2167" s="3" t="s">
        <v>8274</v>
      </c>
      <c r="AK2167" t="s">
        <v>8274</v>
      </c>
      <c r="AV2167"/>
      <c r="AX2167"/>
      <c r="AZ2167" t="str">
        <f t="shared" si="289"/>
        <v/>
      </c>
      <c r="BA2167" t="str">
        <f t="shared" si="290"/>
        <v/>
      </c>
    </row>
    <row r="2168" spans="3:53" ht="13.5">
      <c r="C2168" s="19"/>
      <c r="D2168" s="19"/>
      <c r="AC2168" s="6" t="s">
        <v>3058</v>
      </c>
      <c r="AD2168" s="6" t="s">
        <v>7353</v>
      </c>
      <c r="AE2168" s="155" t="s">
        <v>2918</v>
      </c>
      <c r="AF2168" s="159" t="s">
        <v>8299</v>
      </c>
      <c r="AG2168" s="160" t="s">
        <v>812</v>
      </c>
      <c r="AH2168" s="194" t="s">
        <v>678</v>
      </c>
      <c r="AI2168" s="6" t="s">
        <v>2661</v>
      </c>
      <c r="AJ2168" s="3" t="s">
        <v>8274</v>
      </c>
      <c r="AK2168" t="s">
        <v>8274</v>
      </c>
      <c r="AV2168"/>
      <c r="AX2168"/>
      <c r="AZ2168" t="str">
        <f t="shared" si="289"/>
        <v/>
      </c>
      <c r="BA2168" t="str">
        <f t="shared" si="290"/>
        <v/>
      </c>
    </row>
    <row r="2169" spans="3:53" ht="13.5">
      <c r="C2169" s="19"/>
      <c r="D2169" s="19"/>
      <c r="AC2169" s="6" t="s">
        <v>4829</v>
      </c>
      <c r="AD2169" s="6" t="s">
        <v>7353</v>
      </c>
      <c r="AE2169" s="155" t="s">
        <v>2919</v>
      </c>
      <c r="AF2169" s="159" t="s">
        <v>8415</v>
      </c>
      <c r="AG2169" s="160" t="s">
        <v>1934</v>
      </c>
      <c r="AH2169" s="194" t="s">
        <v>679</v>
      </c>
      <c r="AI2169" s="6" t="s">
        <v>2671</v>
      </c>
      <c r="AJ2169" s="3" t="s">
        <v>8241</v>
      </c>
      <c r="AK2169" t="s">
        <v>8675</v>
      </c>
      <c r="AV2169"/>
      <c r="AX2169"/>
      <c r="AZ2169" t="str">
        <f t="shared" si="289"/>
        <v/>
      </c>
      <c r="BA2169" t="str">
        <f t="shared" si="290"/>
        <v/>
      </c>
    </row>
    <row r="2170" spans="3:53" ht="13.5">
      <c r="C2170" s="19"/>
      <c r="D2170" s="19"/>
      <c r="AC2170" s="6" t="s">
        <v>3319</v>
      </c>
      <c r="AD2170" s="6" t="s">
        <v>7353</v>
      </c>
      <c r="AE2170" s="155" t="s">
        <v>2920</v>
      </c>
      <c r="AF2170" s="159" t="s">
        <v>8416</v>
      </c>
      <c r="AG2170" s="160" t="s">
        <v>1935</v>
      </c>
      <c r="AH2170" s="194" t="s">
        <v>679</v>
      </c>
      <c r="AI2170" s="6" t="s">
        <v>5619</v>
      </c>
      <c r="AJ2170" s="3" t="s">
        <v>8251</v>
      </c>
      <c r="AK2170" t="s">
        <v>8251</v>
      </c>
      <c r="AV2170"/>
      <c r="AX2170"/>
      <c r="AZ2170" t="str">
        <f t="shared" si="289"/>
        <v/>
      </c>
      <c r="BA2170" t="str">
        <f t="shared" si="290"/>
        <v/>
      </c>
    </row>
    <row r="2171" spans="3:53" ht="13.5">
      <c r="C2171" s="19"/>
      <c r="D2171" s="19"/>
      <c r="AC2171" s="6" t="s">
        <v>3047</v>
      </c>
      <c r="AD2171" s="6" t="s">
        <v>7353</v>
      </c>
      <c r="AE2171" s="155" t="s">
        <v>2921</v>
      </c>
      <c r="AF2171" s="159" t="s">
        <v>8417</v>
      </c>
      <c r="AG2171" s="160" t="s">
        <v>1936</v>
      </c>
      <c r="AH2171" s="194" t="s">
        <v>679</v>
      </c>
      <c r="AI2171" s="6" t="s">
        <v>5624</v>
      </c>
      <c r="AJ2171" s="3" t="s">
        <v>8276</v>
      </c>
      <c r="AK2171" t="s">
        <v>8276</v>
      </c>
      <c r="AV2171"/>
      <c r="AX2171"/>
      <c r="AZ2171" t="str">
        <f t="shared" si="289"/>
        <v/>
      </c>
      <c r="BA2171" t="str">
        <f t="shared" si="290"/>
        <v/>
      </c>
    </row>
    <row r="2172" spans="3:53" ht="13.5">
      <c r="C2172" s="19"/>
      <c r="D2172" s="19"/>
      <c r="AC2172" s="6" t="s">
        <v>5288</v>
      </c>
      <c r="AD2172" s="6" t="s">
        <v>7353</v>
      </c>
      <c r="AE2172" s="155" t="s">
        <v>2922</v>
      </c>
      <c r="AF2172" s="159" t="s">
        <v>8339</v>
      </c>
      <c r="AG2172" s="160" t="s">
        <v>1937</v>
      </c>
      <c r="AH2172" s="194" t="s">
        <v>679</v>
      </c>
      <c r="AI2172" s="6" t="s">
        <v>2662</v>
      </c>
      <c r="AJ2172" s="3" t="s">
        <v>8251</v>
      </c>
      <c r="AK2172" t="s">
        <v>8251</v>
      </c>
      <c r="AV2172"/>
      <c r="AX2172"/>
      <c r="AZ2172" t="str">
        <f t="shared" si="289"/>
        <v/>
      </c>
      <c r="BA2172" t="str">
        <f t="shared" si="290"/>
        <v/>
      </c>
    </row>
    <row r="2173" spans="3:53" ht="13.5">
      <c r="C2173" s="19"/>
      <c r="D2173" s="19"/>
      <c r="AC2173" s="6" t="s">
        <v>1286</v>
      </c>
      <c r="AD2173" s="6" t="s">
        <v>7353</v>
      </c>
      <c r="AE2173" s="155" t="s">
        <v>2923</v>
      </c>
      <c r="AF2173" s="159" t="s">
        <v>8339</v>
      </c>
      <c r="AG2173" s="160" t="s">
        <v>1938</v>
      </c>
      <c r="AH2173" s="194" t="s">
        <v>679</v>
      </c>
      <c r="AI2173" s="6" t="s">
        <v>2664</v>
      </c>
      <c r="AJ2173" s="3" t="s">
        <v>8251</v>
      </c>
      <c r="AK2173" t="s">
        <v>8251</v>
      </c>
      <c r="AV2173"/>
      <c r="AX2173"/>
      <c r="AZ2173" t="str">
        <f t="shared" si="289"/>
        <v/>
      </c>
      <c r="BA2173" t="str">
        <f t="shared" si="290"/>
        <v/>
      </c>
    </row>
    <row r="2174" spans="3:53" ht="13.5">
      <c r="C2174" s="19"/>
      <c r="D2174" s="19"/>
      <c r="AC2174" s="6" t="s">
        <v>3887</v>
      </c>
      <c r="AD2174" s="6" t="s">
        <v>7353</v>
      </c>
      <c r="AE2174" s="155" t="s">
        <v>2924</v>
      </c>
      <c r="AF2174" s="159" t="s">
        <v>8339</v>
      </c>
      <c r="AG2174" s="160" t="s">
        <v>1258</v>
      </c>
      <c r="AH2174" s="194" t="s">
        <v>679</v>
      </c>
      <c r="AI2174" s="6" t="s">
        <v>2665</v>
      </c>
      <c r="AJ2174" s="3" t="s">
        <v>8251</v>
      </c>
      <c r="AK2174" t="s">
        <v>8251</v>
      </c>
      <c r="AV2174"/>
      <c r="AX2174"/>
      <c r="AZ2174" t="str">
        <f t="shared" si="289"/>
        <v/>
      </c>
      <c r="BA2174" t="str">
        <f t="shared" si="290"/>
        <v/>
      </c>
    </row>
    <row r="2175" spans="3:53" ht="13.5">
      <c r="C2175" s="19"/>
      <c r="D2175" s="19"/>
      <c r="AC2175" s="6" t="s">
        <v>2952</v>
      </c>
      <c r="AD2175" s="6" t="s">
        <v>7353</v>
      </c>
      <c r="AE2175" s="155" t="s">
        <v>2925</v>
      </c>
      <c r="AF2175" s="159" t="s">
        <v>8299</v>
      </c>
      <c r="AG2175" s="160" t="s">
        <v>813</v>
      </c>
      <c r="AH2175" s="194" t="s">
        <v>679</v>
      </c>
      <c r="AI2175" s="6" t="s">
        <v>2696</v>
      </c>
      <c r="AJ2175" s="3" t="s">
        <v>8251</v>
      </c>
      <c r="AK2175" t="s">
        <v>8251</v>
      </c>
      <c r="AV2175"/>
      <c r="AX2175"/>
      <c r="AZ2175" t="str">
        <f t="shared" si="289"/>
        <v/>
      </c>
      <c r="BA2175" t="str">
        <f t="shared" si="290"/>
        <v/>
      </c>
    </row>
    <row r="2176" spans="3:53" ht="13.5">
      <c r="C2176" s="19"/>
      <c r="D2176" s="19"/>
      <c r="AC2176" s="6" t="s">
        <v>3418</v>
      </c>
      <c r="AD2176" s="6" t="s">
        <v>7353</v>
      </c>
      <c r="AE2176" s="155" t="s">
        <v>2926</v>
      </c>
      <c r="AF2176" s="159" t="s">
        <v>8418</v>
      </c>
      <c r="AG2176" s="160" t="s">
        <v>814</v>
      </c>
      <c r="AH2176" s="194" t="s">
        <v>679</v>
      </c>
      <c r="AI2176" s="6" t="s">
        <v>2728</v>
      </c>
      <c r="AJ2176" s="3" t="s">
        <v>8251</v>
      </c>
      <c r="AK2176" t="s">
        <v>8251</v>
      </c>
      <c r="AV2176"/>
      <c r="AX2176"/>
      <c r="AZ2176" t="str">
        <f t="shared" si="289"/>
        <v/>
      </c>
      <c r="BA2176" t="str">
        <f t="shared" si="290"/>
        <v/>
      </c>
    </row>
    <row r="2177" spans="3:53" ht="13.5">
      <c r="C2177" s="19"/>
      <c r="D2177" s="19"/>
      <c r="AC2177" s="6" t="s">
        <v>3187</v>
      </c>
      <c r="AD2177" s="6" t="s">
        <v>7353</v>
      </c>
      <c r="AE2177" s="155" t="s">
        <v>2927</v>
      </c>
      <c r="AF2177" s="159" t="s">
        <v>8339</v>
      </c>
      <c r="AG2177" s="160" t="s">
        <v>1939</v>
      </c>
      <c r="AH2177" s="194" t="s">
        <v>679</v>
      </c>
      <c r="AI2177" s="6" t="s">
        <v>1489</v>
      </c>
      <c r="AJ2177" s="3" t="s">
        <v>8224</v>
      </c>
      <c r="AK2177" t="s">
        <v>8224</v>
      </c>
      <c r="AV2177"/>
      <c r="AX2177"/>
      <c r="AZ2177" t="str">
        <f t="shared" si="289"/>
        <v/>
      </c>
      <c r="BA2177" t="str">
        <f t="shared" si="290"/>
        <v/>
      </c>
    </row>
    <row r="2178" spans="3:53" ht="13.5">
      <c r="C2178" s="19"/>
      <c r="D2178" s="19"/>
      <c r="AC2178" s="6" t="s">
        <v>3317</v>
      </c>
      <c r="AD2178" s="6" t="s">
        <v>7353</v>
      </c>
      <c r="AE2178" s="155" t="s">
        <v>2928</v>
      </c>
      <c r="AF2178" s="159" t="s">
        <v>8343</v>
      </c>
      <c r="AG2178" s="160" t="s">
        <v>1259</v>
      </c>
      <c r="AH2178" s="194" t="s">
        <v>679</v>
      </c>
      <c r="AI2178" s="6" t="s">
        <v>600</v>
      </c>
      <c r="AJ2178" s="3" t="s">
        <v>8224</v>
      </c>
      <c r="AK2178" t="s">
        <v>8224</v>
      </c>
      <c r="AV2178"/>
      <c r="AX2178"/>
      <c r="AZ2178" t="str">
        <f t="shared" si="289"/>
        <v/>
      </c>
      <c r="BA2178" t="str">
        <f t="shared" si="290"/>
        <v/>
      </c>
    </row>
    <row r="2179" spans="3:53" ht="13.5">
      <c r="C2179" s="19"/>
      <c r="D2179" s="19"/>
      <c r="AC2179" s="6" t="s">
        <v>3066</v>
      </c>
      <c r="AD2179" s="6" t="s">
        <v>7353</v>
      </c>
      <c r="AE2179" s="155" t="s">
        <v>2929</v>
      </c>
      <c r="AF2179" s="159" t="s">
        <v>8419</v>
      </c>
      <c r="AG2179" s="160" t="s">
        <v>815</v>
      </c>
      <c r="AH2179" s="194" t="s">
        <v>679</v>
      </c>
      <c r="AI2179" s="6" t="s">
        <v>601</v>
      </c>
      <c r="AJ2179" s="3" t="s">
        <v>8224</v>
      </c>
      <c r="AK2179" t="s">
        <v>8224</v>
      </c>
      <c r="AV2179"/>
      <c r="AX2179"/>
      <c r="AZ2179" t="str">
        <f t="shared" si="289"/>
        <v/>
      </c>
      <c r="BA2179" t="str">
        <f t="shared" si="290"/>
        <v/>
      </c>
    </row>
    <row r="2180" spans="3:53" ht="13.5">
      <c r="C2180" s="19"/>
      <c r="D2180" s="19"/>
      <c r="AC2180" s="6" t="s">
        <v>3023</v>
      </c>
      <c r="AD2180" s="6" t="s">
        <v>7353</v>
      </c>
      <c r="AE2180" s="155" t="s">
        <v>2930</v>
      </c>
      <c r="AF2180" s="159" t="s">
        <v>8420</v>
      </c>
      <c r="AG2180" s="160" t="s">
        <v>816</v>
      </c>
      <c r="AH2180" s="194" t="s">
        <v>679</v>
      </c>
      <c r="AI2180" s="6" t="s">
        <v>2212</v>
      </c>
      <c r="AJ2180" s="3" t="s">
        <v>8257</v>
      </c>
      <c r="AK2180" t="s">
        <v>8257</v>
      </c>
      <c r="AV2180"/>
      <c r="AX2180"/>
      <c r="AZ2180" t="str">
        <f t="shared" si="289"/>
        <v/>
      </c>
      <c r="BA2180" t="str">
        <f t="shared" si="290"/>
        <v/>
      </c>
    </row>
    <row r="2181" spans="3:53" ht="13.5">
      <c r="C2181" s="19"/>
      <c r="D2181" s="19"/>
      <c r="AC2181" s="6" t="s">
        <v>2916</v>
      </c>
      <c r="AD2181" s="6" t="s">
        <v>7353</v>
      </c>
      <c r="AE2181" s="155" t="s">
        <v>2931</v>
      </c>
      <c r="AF2181" s="159" t="s">
        <v>8375</v>
      </c>
      <c r="AG2181" s="160" t="s">
        <v>1940</v>
      </c>
      <c r="AH2181" s="194" t="s">
        <v>679</v>
      </c>
      <c r="AI2181" s="6" t="s">
        <v>1492</v>
      </c>
      <c r="AJ2181" s="3" t="s">
        <v>8217</v>
      </c>
      <c r="AK2181" t="s">
        <v>8668</v>
      </c>
      <c r="AV2181"/>
      <c r="AX2181"/>
      <c r="AZ2181" t="str">
        <f t="shared" si="289"/>
        <v/>
      </c>
      <c r="BA2181" t="str">
        <f t="shared" si="290"/>
        <v/>
      </c>
    </row>
    <row r="2182" spans="3:53" ht="13.5">
      <c r="C2182" s="19"/>
      <c r="D2182" s="19"/>
      <c r="AC2182" s="6" t="s">
        <v>3248</v>
      </c>
      <c r="AD2182" s="6" t="s">
        <v>7353</v>
      </c>
      <c r="AE2182" s="155" t="s">
        <v>2932</v>
      </c>
      <c r="AF2182" s="159" t="s">
        <v>8357</v>
      </c>
      <c r="AG2182" s="160" t="s">
        <v>817</v>
      </c>
      <c r="AH2182" s="194" t="s">
        <v>679</v>
      </c>
      <c r="AI2182" s="6" t="s">
        <v>2066</v>
      </c>
      <c r="AJ2182" s="3" t="s">
        <v>8234</v>
      </c>
      <c r="AK2182" t="s">
        <v>8234</v>
      </c>
      <c r="AV2182"/>
      <c r="AX2182"/>
      <c r="AZ2182" t="str">
        <f t="shared" si="289"/>
        <v/>
      </c>
      <c r="BA2182" t="str">
        <f t="shared" si="290"/>
        <v/>
      </c>
    </row>
    <row r="2183" spans="3:53" ht="13.5">
      <c r="C2183" s="19"/>
      <c r="D2183" s="19"/>
      <c r="AC2183" s="6" t="s">
        <v>3162</v>
      </c>
      <c r="AD2183" s="6" t="s">
        <v>7353</v>
      </c>
      <c r="AE2183" s="155" t="s">
        <v>2933</v>
      </c>
      <c r="AF2183" s="159" t="s">
        <v>8421</v>
      </c>
      <c r="AG2183" s="160" t="s">
        <v>1941</v>
      </c>
      <c r="AH2183" s="194" t="s">
        <v>679</v>
      </c>
      <c r="AI2183" s="6" t="s">
        <v>2243</v>
      </c>
      <c r="AJ2183" s="3" t="s">
        <v>8232</v>
      </c>
      <c r="AK2183" t="s">
        <v>8232</v>
      </c>
      <c r="AV2183"/>
      <c r="AX2183"/>
      <c r="AZ2183" t="str">
        <f t="shared" si="289"/>
        <v/>
      </c>
      <c r="BA2183" t="str">
        <f t="shared" si="290"/>
        <v/>
      </c>
    </row>
    <row r="2184" spans="3:53" ht="13.5">
      <c r="C2184" s="19"/>
      <c r="D2184" s="19"/>
      <c r="AC2184" s="6" t="s">
        <v>3022</v>
      </c>
      <c r="AD2184" s="6" t="s">
        <v>7353</v>
      </c>
      <c r="AE2184" s="155" t="s">
        <v>2934</v>
      </c>
      <c r="AF2184" s="159" t="s">
        <v>8341</v>
      </c>
      <c r="AG2184" s="160" t="s">
        <v>1942</v>
      </c>
      <c r="AH2184" s="194" t="s">
        <v>679</v>
      </c>
      <c r="AI2184" s="6" t="s">
        <v>2250</v>
      </c>
      <c r="AJ2184" s="3" t="s">
        <v>8232</v>
      </c>
      <c r="AK2184" t="s">
        <v>8232</v>
      </c>
      <c r="AV2184"/>
      <c r="AX2184"/>
      <c r="AZ2184" t="str">
        <f t="shared" si="289"/>
        <v/>
      </c>
      <c r="BA2184" t="str">
        <f t="shared" si="290"/>
        <v/>
      </c>
    </row>
    <row r="2185" spans="3:53" ht="13.5">
      <c r="C2185" s="19"/>
      <c r="D2185" s="19"/>
      <c r="AC2185" s="6" t="s">
        <v>3183</v>
      </c>
      <c r="AD2185" s="6" t="s">
        <v>7353</v>
      </c>
      <c r="AE2185" s="155" t="s">
        <v>2935</v>
      </c>
      <c r="AF2185" s="159" t="s">
        <v>8354</v>
      </c>
      <c r="AG2185" s="160" t="s">
        <v>1943</v>
      </c>
      <c r="AH2185" s="194" t="s">
        <v>679</v>
      </c>
      <c r="AI2185" s="6" t="s">
        <v>52</v>
      </c>
      <c r="AJ2185" s="3" t="s">
        <v>8223</v>
      </c>
      <c r="AK2185" t="s">
        <v>8223</v>
      </c>
      <c r="AV2185"/>
      <c r="AX2185"/>
      <c r="AZ2185" t="str">
        <f t="shared" si="289"/>
        <v/>
      </c>
      <c r="BA2185" t="str">
        <f t="shared" si="290"/>
        <v/>
      </c>
    </row>
    <row r="2186" spans="3:53" ht="13.5">
      <c r="C2186" s="19"/>
      <c r="D2186" s="19"/>
      <c r="AC2186" s="6" t="s">
        <v>3432</v>
      </c>
      <c r="AD2186" s="6" t="s">
        <v>7353</v>
      </c>
      <c r="AE2186" s="155" t="s">
        <v>2936</v>
      </c>
      <c r="AF2186" s="159" t="s">
        <v>8346</v>
      </c>
      <c r="AG2186" s="160" t="s">
        <v>685</v>
      </c>
      <c r="AH2186" s="194" t="s">
        <v>679</v>
      </c>
      <c r="AI2186" s="6" t="s">
        <v>1108</v>
      </c>
      <c r="AJ2186" s="3" t="s">
        <v>8224</v>
      </c>
      <c r="AK2186" t="s">
        <v>8224</v>
      </c>
      <c r="AV2186"/>
      <c r="AX2186"/>
      <c r="AZ2186" t="str">
        <f t="shared" si="289"/>
        <v/>
      </c>
      <c r="BA2186" t="str">
        <f t="shared" si="290"/>
        <v/>
      </c>
    </row>
    <row r="2187" spans="3:53" ht="13.5">
      <c r="C2187" s="19"/>
      <c r="D2187" s="19"/>
      <c r="AC2187" s="6" t="s">
        <v>2995</v>
      </c>
      <c r="AD2187" s="6" t="s">
        <v>7353</v>
      </c>
      <c r="AE2187" s="155" t="s">
        <v>2937</v>
      </c>
      <c r="AF2187" s="159" t="s">
        <v>8339</v>
      </c>
      <c r="AG2187" s="160" t="s">
        <v>818</v>
      </c>
      <c r="AH2187" s="194" t="s">
        <v>679</v>
      </c>
      <c r="AI2187" s="6" t="s">
        <v>1488</v>
      </c>
      <c r="AJ2187" s="3" t="s">
        <v>8224</v>
      </c>
      <c r="AK2187" t="s">
        <v>8224</v>
      </c>
      <c r="AV2187"/>
      <c r="AX2187"/>
      <c r="AZ2187" t="str">
        <f t="shared" si="289"/>
        <v/>
      </c>
      <c r="BA2187" t="str">
        <f t="shared" si="290"/>
        <v/>
      </c>
    </row>
    <row r="2188" spans="3:53" ht="13.5">
      <c r="C2188" s="19"/>
      <c r="D2188" s="19"/>
      <c r="AC2188" s="6" t="s">
        <v>3089</v>
      </c>
      <c r="AD2188" s="6" t="s">
        <v>7353</v>
      </c>
      <c r="AE2188" s="155" t="s">
        <v>2938</v>
      </c>
      <c r="AF2188" s="159" t="s">
        <v>8374</v>
      </c>
      <c r="AG2188" s="160" t="s">
        <v>1944</v>
      </c>
      <c r="AH2188" s="194" t="s">
        <v>679</v>
      </c>
      <c r="AI2188" s="6" t="s">
        <v>1493</v>
      </c>
      <c r="AJ2188" s="3" t="s">
        <v>8224</v>
      </c>
      <c r="AK2188" t="s">
        <v>8224</v>
      </c>
      <c r="AV2188"/>
      <c r="AX2188"/>
      <c r="AZ2188" t="str">
        <f t="shared" si="289"/>
        <v/>
      </c>
      <c r="BA2188" t="str">
        <f t="shared" si="290"/>
        <v/>
      </c>
    </row>
    <row r="2189" spans="3:53" ht="13.5">
      <c r="C2189" s="19"/>
      <c r="D2189" s="19"/>
      <c r="AC2189" s="6" t="s">
        <v>3372</v>
      </c>
      <c r="AD2189" s="6" t="s">
        <v>7353</v>
      </c>
      <c r="AE2189" s="155" t="s">
        <v>2939</v>
      </c>
      <c r="AF2189" s="159" t="s">
        <v>8406</v>
      </c>
      <c r="AG2189" s="160" t="s">
        <v>1945</v>
      </c>
      <c r="AH2189" s="194" t="s">
        <v>679</v>
      </c>
      <c r="AI2189" s="6" t="s">
        <v>1640</v>
      </c>
      <c r="AJ2189" s="3" t="s">
        <v>8224</v>
      </c>
      <c r="AK2189" t="s">
        <v>8224</v>
      </c>
      <c r="AV2189"/>
      <c r="AX2189"/>
      <c r="AZ2189" t="str">
        <f t="shared" si="289"/>
        <v/>
      </c>
      <c r="BA2189" t="str">
        <f t="shared" si="290"/>
        <v/>
      </c>
    </row>
    <row r="2190" spans="3:53" ht="13.5">
      <c r="C2190" s="19"/>
      <c r="D2190" s="19"/>
      <c r="AC2190" s="6" t="s">
        <v>2947</v>
      </c>
      <c r="AD2190" s="6" t="s">
        <v>7353</v>
      </c>
      <c r="AE2190" s="155" t="s">
        <v>2940</v>
      </c>
      <c r="AF2190" s="159" t="s">
        <v>8422</v>
      </c>
      <c r="AG2190" s="160" t="s">
        <v>1946</v>
      </c>
      <c r="AH2190" s="194" t="s">
        <v>679</v>
      </c>
      <c r="AI2190" s="6" t="s">
        <v>3987</v>
      </c>
      <c r="AJ2190" s="3" t="s">
        <v>8260</v>
      </c>
      <c r="AK2190" t="s">
        <v>8678</v>
      </c>
      <c r="AV2190"/>
      <c r="AX2190"/>
      <c r="AZ2190" t="str">
        <f t="shared" si="289"/>
        <v/>
      </c>
      <c r="BA2190" t="str">
        <f t="shared" si="290"/>
        <v/>
      </c>
    </row>
    <row r="2191" spans="3:53" ht="13.5">
      <c r="C2191" s="19"/>
      <c r="D2191" s="19"/>
      <c r="AC2191" s="6" t="s">
        <v>3170</v>
      </c>
      <c r="AD2191" s="6" t="s">
        <v>7353</v>
      </c>
      <c r="AE2191" s="155" t="s">
        <v>2941</v>
      </c>
      <c r="AF2191" s="159" t="s">
        <v>8339</v>
      </c>
      <c r="AG2191" s="160" t="s">
        <v>1947</v>
      </c>
      <c r="AH2191" s="194" t="s">
        <v>1314</v>
      </c>
      <c r="AI2191" s="6" t="s">
        <v>3990</v>
      </c>
      <c r="AJ2191" s="3" t="s">
        <v>8279</v>
      </c>
      <c r="AK2191" t="s">
        <v>8679</v>
      </c>
      <c r="AV2191"/>
      <c r="AX2191"/>
      <c r="AZ2191" t="str">
        <f t="shared" si="289"/>
        <v/>
      </c>
      <c r="BA2191" t="str">
        <f t="shared" si="290"/>
        <v/>
      </c>
    </row>
    <row r="2192" spans="3:53" ht="13.5">
      <c r="C2192" s="19"/>
      <c r="D2192" s="19"/>
      <c r="AC2192" s="6" t="s">
        <v>3172</v>
      </c>
      <c r="AD2192" s="6" t="s">
        <v>7353</v>
      </c>
      <c r="AE2192" s="155" t="s">
        <v>2942</v>
      </c>
      <c r="AF2192" s="159" t="s">
        <v>8324</v>
      </c>
      <c r="AG2192" s="160" t="s">
        <v>1948</v>
      </c>
      <c r="AH2192" s="194" t="s">
        <v>679</v>
      </c>
      <c r="AI2192" s="6" t="s">
        <v>3991</v>
      </c>
      <c r="AJ2192" s="3" t="s">
        <v>8279</v>
      </c>
      <c r="AK2192" t="s">
        <v>8679</v>
      </c>
      <c r="AV2192"/>
      <c r="AX2192"/>
      <c r="AZ2192" t="str">
        <f t="shared" si="289"/>
        <v/>
      </c>
      <c r="BA2192" t="str">
        <f t="shared" si="290"/>
        <v/>
      </c>
    </row>
    <row r="2193" spans="3:53" ht="13.5">
      <c r="C2193" s="19"/>
      <c r="D2193" s="19"/>
      <c r="AC2193" s="6" t="s">
        <v>3383</v>
      </c>
      <c r="AD2193" s="6" t="s">
        <v>7353</v>
      </c>
      <c r="AE2193" s="155" t="s">
        <v>2943</v>
      </c>
      <c r="AF2193" s="159" t="s">
        <v>8297</v>
      </c>
      <c r="AG2193" s="160" t="s">
        <v>1949</v>
      </c>
      <c r="AH2193" s="194" t="s">
        <v>679</v>
      </c>
      <c r="AI2193" s="6" t="s">
        <v>2056</v>
      </c>
      <c r="AJ2193" s="3" t="s">
        <v>8234</v>
      </c>
      <c r="AK2193" t="s">
        <v>8234</v>
      </c>
      <c r="AV2193"/>
      <c r="AX2193"/>
      <c r="AZ2193" t="str">
        <f t="shared" ref="AZ2193:AZ2256" si="291">IF(ISBLANK(AW2193),"",CONCATENATE("(",RIGHT(AW2193,5),"-",TEXT(AX2193,"h:mm;@"),")"))</f>
        <v/>
      </c>
      <c r="BA2193" t="str">
        <f t="shared" ref="BA2193:BA2256" si="292">IF(AV2209=AV2193,"",CONCATENATE(IF(AV2208=AV2193,BA2208,""),IF(AV2207=AV2193,BA2207,""),IF(AV2206=AV2193,BA2206,""),IF(AV2205=AV2193,BA2205,""),IF(AV2204=AV2193,BA2204,""),IF(AV2203=AV2193,BA2203,""),IF(AV2202=AV2193,BA2202,""),IF(AV2201=AV2193,BA2201,""),IF(AV2200=AV2193,BA2200,""),IF(AV2199=AV2193,BA2199,""),IF(AV2198=AV2193,BA2198,""),IF(AV2197=AV2193,BA2197,""),IF(AV2196=AV2193,BA2196,""),IF(AV2195=AV2193,BA2195,""),IF(AV2194=AV2193,BA2194,""),IF(AV2192=AV2193,BA2192,""),BA2193))</f>
        <v/>
      </c>
    </row>
    <row r="2194" spans="3:53" ht="13.5">
      <c r="C2194" s="19"/>
      <c r="D2194" s="19"/>
      <c r="AC2194" s="6" t="s">
        <v>3132</v>
      </c>
      <c r="AD2194" s="6" t="s">
        <v>7353</v>
      </c>
      <c r="AE2194" s="155" t="s">
        <v>2944</v>
      </c>
      <c r="AF2194" s="159" t="s">
        <v>8423</v>
      </c>
      <c r="AG2194" s="160" t="s">
        <v>1260</v>
      </c>
      <c r="AH2194" s="194" t="s">
        <v>679</v>
      </c>
      <c r="AI2194" s="6" t="s">
        <v>2067</v>
      </c>
      <c r="AJ2194" s="3" t="s">
        <v>8234</v>
      </c>
      <c r="AK2194" t="s">
        <v>8234</v>
      </c>
      <c r="AV2194"/>
      <c r="AX2194"/>
      <c r="AZ2194" t="str">
        <f t="shared" si="291"/>
        <v/>
      </c>
      <c r="BA2194" t="str">
        <f t="shared" si="292"/>
        <v/>
      </c>
    </row>
    <row r="2195" spans="3:53" ht="13.5">
      <c r="C2195" s="19"/>
      <c r="D2195" s="19"/>
      <c r="AC2195" s="6" t="s">
        <v>2872</v>
      </c>
      <c r="AD2195" s="6" t="s">
        <v>7353</v>
      </c>
      <c r="AE2195" s="155" t="s">
        <v>2945</v>
      </c>
      <c r="AF2195" s="159" t="s">
        <v>8424</v>
      </c>
      <c r="AG2195" s="160" t="s">
        <v>1950</v>
      </c>
      <c r="AH2195" s="194" t="s">
        <v>679</v>
      </c>
      <c r="AI2195" s="6" t="s">
        <v>2068</v>
      </c>
      <c r="AJ2195" s="3" t="s">
        <v>8234</v>
      </c>
      <c r="AK2195" t="s">
        <v>8234</v>
      </c>
      <c r="AV2195"/>
      <c r="AX2195"/>
      <c r="AZ2195" t="str">
        <f t="shared" si="291"/>
        <v/>
      </c>
      <c r="BA2195" t="str">
        <f t="shared" si="292"/>
        <v/>
      </c>
    </row>
    <row r="2196" spans="3:53" ht="13.5">
      <c r="C2196" s="19"/>
      <c r="D2196" s="19"/>
      <c r="AC2196" s="6" t="s">
        <v>3325</v>
      </c>
      <c r="AD2196" s="6" t="s">
        <v>7353</v>
      </c>
      <c r="AE2196" s="155" t="s">
        <v>2946</v>
      </c>
      <c r="AF2196" s="159" t="s">
        <v>8299</v>
      </c>
      <c r="AG2196" s="161" t="s">
        <v>819</v>
      </c>
      <c r="AH2196" s="194" t="s">
        <v>679</v>
      </c>
      <c r="AI2196" s="6" t="s">
        <v>607</v>
      </c>
      <c r="AJ2196" s="3" t="s">
        <v>8223</v>
      </c>
      <c r="AK2196" t="s">
        <v>8223</v>
      </c>
      <c r="AV2196"/>
      <c r="AX2196"/>
      <c r="AZ2196" t="str">
        <f t="shared" si="291"/>
        <v/>
      </c>
      <c r="BA2196" t="str">
        <f t="shared" si="292"/>
        <v/>
      </c>
    </row>
    <row r="2197" spans="3:53" ht="13.5">
      <c r="C2197" s="19"/>
      <c r="D2197" s="19"/>
      <c r="AC2197" s="6" t="s">
        <v>5402</v>
      </c>
      <c r="AD2197" s="6" t="s">
        <v>7353</v>
      </c>
      <c r="AE2197" s="155" t="s">
        <v>2947</v>
      </c>
      <c r="AF2197" s="159" t="s">
        <v>8353</v>
      </c>
      <c r="AG2197" s="160" t="s">
        <v>820</v>
      </c>
      <c r="AH2197" s="194" t="s">
        <v>679</v>
      </c>
      <c r="AI2197" s="6" t="s">
        <v>608</v>
      </c>
      <c r="AJ2197" s="3" t="s">
        <v>8223</v>
      </c>
      <c r="AK2197" t="s">
        <v>8223</v>
      </c>
      <c r="AV2197"/>
      <c r="AX2197"/>
      <c r="AZ2197" t="str">
        <f t="shared" si="291"/>
        <v/>
      </c>
      <c r="BA2197" t="str">
        <f t="shared" si="292"/>
        <v/>
      </c>
    </row>
    <row r="2198" spans="3:53" ht="13.5">
      <c r="C2198" s="19"/>
      <c r="D2198" s="19"/>
      <c r="AC2198" s="6" t="s">
        <v>3156</v>
      </c>
      <c r="AD2198" s="6" t="s">
        <v>7353</v>
      </c>
      <c r="AE2198" s="155" t="s">
        <v>2948</v>
      </c>
      <c r="AF2198" s="159" t="s">
        <v>8425</v>
      </c>
      <c r="AG2198" s="160" t="s">
        <v>821</v>
      </c>
      <c r="AH2198" s="194" t="s">
        <v>4700</v>
      </c>
      <c r="AI2198" s="6" t="s">
        <v>609</v>
      </c>
      <c r="AJ2198" s="3" t="s">
        <v>8223</v>
      </c>
      <c r="AK2198" t="s">
        <v>8223</v>
      </c>
      <c r="AV2198"/>
      <c r="AX2198"/>
      <c r="AZ2198" t="str">
        <f t="shared" si="291"/>
        <v/>
      </c>
      <c r="BA2198" t="str">
        <f t="shared" si="292"/>
        <v/>
      </c>
    </row>
    <row r="2199" spans="3:53" ht="13.5">
      <c r="C2199" s="19"/>
      <c r="D2199" s="19"/>
      <c r="AC2199" s="6" t="s">
        <v>3430</v>
      </c>
      <c r="AD2199" s="6" t="s">
        <v>7353</v>
      </c>
      <c r="AE2199" s="155" t="s">
        <v>2949</v>
      </c>
      <c r="AF2199" s="159" t="s">
        <v>8342</v>
      </c>
      <c r="AG2199" s="160" t="s">
        <v>822</v>
      </c>
      <c r="AH2199" s="194" t="s">
        <v>679</v>
      </c>
      <c r="AI2199" s="6" t="s">
        <v>1970</v>
      </c>
      <c r="AJ2199" s="3" t="s">
        <v>8227</v>
      </c>
      <c r="AK2199" t="s">
        <v>8227</v>
      </c>
      <c r="AV2199"/>
      <c r="AX2199"/>
      <c r="AZ2199" t="str">
        <f t="shared" si="291"/>
        <v/>
      </c>
      <c r="BA2199" t="str">
        <f t="shared" si="292"/>
        <v/>
      </c>
    </row>
    <row r="2200" spans="3:53" ht="13.5">
      <c r="C2200" s="19"/>
      <c r="D2200" s="19"/>
      <c r="AC2200" s="6" t="s">
        <v>4427</v>
      </c>
      <c r="AD2200" s="6" t="s">
        <v>7353</v>
      </c>
      <c r="AE2200" s="155" t="s">
        <v>2950</v>
      </c>
      <c r="AF2200" s="159" t="s">
        <v>8426</v>
      </c>
      <c r="AG2200" s="160" t="s">
        <v>823</v>
      </c>
      <c r="AH2200" s="194" t="s">
        <v>679</v>
      </c>
      <c r="AI2200" s="6" t="s">
        <v>2188</v>
      </c>
      <c r="AJ2200" s="3" t="s">
        <v>8231</v>
      </c>
      <c r="AK2200" t="s">
        <v>8238</v>
      </c>
      <c r="AV2200"/>
      <c r="AX2200"/>
      <c r="AZ2200" t="str">
        <f t="shared" si="291"/>
        <v/>
      </c>
      <c r="BA2200" t="str">
        <f t="shared" si="292"/>
        <v/>
      </c>
    </row>
    <row r="2201" spans="3:53" ht="13.5">
      <c r="C2201" s="19"/>
      <c r="D2201" s="19"/>
      <c r="AC2201" s="6" t="s">
        <v>2925</v>
      </c>
      <c r="AD2201" s="6" t="s">
        <v>7353</v>
      </c>
      <c r="AE2201" s="155" t="s">
        <v>2951</v>
      </c>
      <c r="AF2201" s="159" t="s">
        <v>8339</v>
      </c>
      <c r="AG2201" s="160" t="s">
        <v>824</v>
      </c>
      <c r="AH2201" s="194" t="s">
        <v>679</v>
      </c>
      <c r="AI2201" s="6" t="s">
        <v>2189</v>
      </c>
      <c r="AJ2201" s="3" t="s">
        <v>8231</v>
      </c>
      <c r="AK2201" t="s">
        <v>8238</v>
      </c>
      <c r="AV2201"/>
      <c r="AX2201"/>
      <c r="AZ2201" t="str">
        <f t="shared" si="291"/>
        <v/>
      </c>
      <c r="BA2201" t="str">
        <f t="shared" si="292"/>
        <v/>
      </c>
    </row>
    <row r="2202" spans="3:53" ht="13.5">
      <c r="C2202" s="19"/>
      <c r="D2202" s="19"/>
      <c r="AC2202" s="6" t="s">
        <v>3391</v>
      </c>
      <c r="AD2202" s="6" t="s">
        <v>7353</v>
      </c>
      <c r="AE2202" s="155" t="s">
        <v>2952</v>
      </c>
      <c r="AF2202" s="159" t="s">
        <v>8427</v>
      </c>
      <c r="AG2202" s="160" t="s">
        <v>825</v>
      </c>
      <c r="AH2202" s="194" t="s">
        <v>679</v>
      </c>
      <c r="AI2202" s="6" t="s">
        <v>2192</v>
      </c>
      <c r="AJ2202" s="3" t="s">
        <v>8231</v>
      </c>
      <c r="AK2202" t="s">
        <v>8238</v>
      </c>
      <c r="AV2202"/>
      <c r="AX2202"/>
      <c r="AZ2202" t="str">
        <f t="shared" si="291"/>
        <v/>
      </c>
      <c r="BA2202" t="str">
        <f t="shared" si="292"/>
        <v/>
      </c>
    </row>
    <row r="2203" spans="3:53" ht="13.5">
      <c r="C2203" s="19"/>
      <c r="D2203" s="19"/>
      <c r="AC2203" s="6" t="s">
        <v>5391</v>
      </c>
      <c r="AD2203" s="6" t="s">
        <v>7353</v>
      </c>
      <c r="AE2203" s="155" t="s">
        <v>2953</v>
      </c>
      <c r="AF2203" s="159" t="s">
        <v>8428</v>
      </c>
      <c r="AG2203" s="160" t="s">
        <v>826</v>
      </c>
      <c r="AH2203" s="194" t="s">
        <v>679</v>
      </c>
      <c r="AI2203" s="6" t="s">
        <v>1759</v>
      </c>
      <c r="AJ2203" s="3" t="s">
        <v>8238</v>
      </c>
      <c r="AK2203" t="s">
        <v>8673</v>
      </c>
      <c r="AV2203"/>
      <c r="AX2203"/>
      <c r="AZ2203" t="str">
        <f t="shared" si="291"/>
        <v/>
      </c>
      <c r="BA2203" t="str">
        <f t="shared" si="292"/>
        <v/>
      </c>
    </row>
    <row r="2204" spans="3:53" ht="13.5">
      <c r="C2204" s="19"/>
      <c r="D2204" s="19"/>
      <c r="AC2204" s="6" t="s">
        <v>3498</v>
      </c>
      <c r="AD2204" s="6" t="s">
        <v>7423</v>
      </c>
      <c r="AE2204" s="155" t="s">
        <v>2954</v>
      </c>
      <c r="AF2204" s="159" t="s">
        <v>8320</v>
      </c>
      <c r="AG2204" s="160" t="s">
        <v>827</v>
      </c>
      <c r="AH2204" s="194" t="s">
        <v>679</v>
      </c>
      <c r="AI2204" s="6" t="s">
        <v>3997</v>
      </c>
      <c r="AJ2204" s="3" t="s">
        <v>8259</v>
      </c>
      <c r="AK2204" t="s">
        <v>8677</v>
      </c>
      <c r="AV2204"/>
      <c r="AX2204"/>
      <c r="AZ2204" t="str">
        <f t="shared" si="291"/>
        <v/>
      </c>
      <c r="BA2204" t="str">
        <f t="shared" si="292"/>
        <v/>
      </c>
    </row>
    <row r="2205" spans="3:53" ht="13.5">
      <c r="C2205" s="19"/>
      <c r="D2205" s="19"/>
      <c r="AC2205" s="6" t="s">
        <v>3492</v>
      </c>
      <c r="AD2205" s="6" t="s">
        <v>7424</v>
      </c>
      <c r="AE2205" s="155" t="s">
        <v>2955</v>
      </c>
      <c r="AF2205" s="159" t="s">
        <v>8377</v>
      </c>
      <c r="AG2205" s="160" t="s">
        <v>1261</v>
      </c>
      <c r="AH2205" s="194" t="s">
        <v>679</v>
      </c>
      <c r="AI2205" s="6" t="s">
        <v>3998</v>
      </c>
      <c r="AJ2205" s="3" t="s">
        <v>8259</v>
      </c>
      <c r="AK2205" t="s">
        <v>8677</v>
      </c>
      <c r="AV2205"/>
      <c r="AX2205"/>
      <c r="AZ2205" t="str">
        <f t="shared" si="291"/>
        <v/>
      </c>
      <c r="BA2205" t="str">
        <f t="shared" si="292"/>
        <v/>
      </c>
    </row>
    <row r="2206" spans="3:53" ht="13.5">
      <c r="C2206" s="19"/>
      <c r="D2206" s="19"/>
      <c r="AC2206" s="6" t="s">
        <v>3275</v>
      </c>
      <c r="AD2206" s="6" t="s">
        <v>7353</v>
      </c>
      <c r="AE2206" s="155" t="s">
        <v>2956</v>
      </c>
      <c r="AF2206" s="159" t="s">
        <v>8321</v>
      </c>
      <c r="AG2206" s="160" t="s">
        <v>1021</v>
      </c>
      <c r="AH2206" s="194" t="s">
        <v>679</v>
      </c>
      <c r="AI2206" s="6" t="s">
        <v>3999</v>
      </c>
      <c r="AJ2206" s="3" t="s">
        <v>8259</v>
      </c>
      <c r="AK2206" t="s">
        <v>8677</v>
      </c>
      <c r="AV2206"/>
      <c r="AX2206"/>
      <c r="AZ2206" t="str">
        <f t="shared" si="291"/>
        <v/>
      </c>
      <c r="BA2206" t="str">
        <f t="shared" si="292"/>
        <v/>
      </c>
    </row>
    <row r="2207" spans="3:53" ht="13.5">
      <c r="C2207" s="19"/>
      <c r="D2207" s="19"/>
      <c r="AC2207" s="6" t="s">
        <v>3348</v>
      </c>
      <c r="AD2207" s="6" t="s">
        <v>7353</v>
      </c>
      <c r="AE2207" s="155" t="s">
        <v>2957</v>
      </c>
      <c r="AF2207" s="159" t="s">
        <v>8339</v>
      </c>
      <c r="AG2207" s="160" t="s">
        <v>828</v>
      </c>
      <c r="AH2207" s="194" t="s">
        <v>679</v>
      </c>
      <c r="AI2207" s="6" t="s">
        <v>2785</v>
      </c>
      <c r="AJ2207" s="3" t="s">
        <v>8255</v>
      </c>
      <c r="AK2207" t="s">
        <v>8255</v>
      </c>
      <c r="AV2207"/>
      <c r="AX2207"/>
      <c r="AZ2207" t="str">
        <f t="shared" si="291"/>
        <v/>
      </c>
      <c r="BA2207" t="str">
        <f t="shared" si="292"/>
        <v/>
      </c>
    </row>
    <row r="2208" spans="3:53" ht="13.5">
      <c r="C2208" s="19"/>
      <c r="D2208" s="19"/>
      <c r="AC2208" s="6" t="s">
        <v>2996</v>
      </c>
      <c r="AD2208" s="6" t="s">
        <v>7353</v>
      </c>
      <c r="AE2208" s="155" t="s">
        <v>2958</v>
      </c>
      <c r="AF2208" s="159" t="s">
        <v>8299</v>
      </c>
      <c r="AG2208" s="161" t="s">
        <v>3856</v>
      </c>
      <c r="AH2208" s="194" t="s">
        <v>679</v>
      </c>
      <c r="AI2208" s="6" t="s">
        <v>2787</v>
      </c>
      <c r="AJ2208" s="3" t="s">
        <v>8255</v>
      </c>
      <c r="AK2208" t="s">
        <v>8255</v>
      </c>
      <c r="AV2208"/>
      <c r="AX2208"/>
      <c r="AZ2208" t="str">
        <f t="shared" si="291"/>
        <v/>
      </c>
      <c r="BA2208" t="str">
        <f t="shared" si="292"/>
        <v/>
      </c>
    </row>
    <row r="2209" spans="3:53" ht="13.5">
      <c r="C2209" s="19"/>
      <c r="D2209" s="19"/>
      <c r="AC2209" s="6" t="s">
        <v>4775</v>
      </c>
      <c r="AD2209" s="6" t="s">
        <v>7353</v>
      </c>
      <c r="AE2209" s="155" t="s">
        <v>2959</v>
      </c>
      <c r="AF2209" s="159" t="s">
        <v>8347</v>
      </c>
      <c r="AG2209" s="160" t="s">
        <v>829</v>
      </c>
      <c r="AH2209" s="194" t="s">
        <v>679</v>
      </c>
      <c r="AI2209" s="6" t="s">
        <v>2806</v>
      </c>
      <c r="AJ2209" s="3" t="s">
        <v>8255</v>
      </c>
      <c r="AK2209" t="s">
        <v>8255</v>
      </c>
      <c r="AV2209"/>
      <c r="AX2209"/>
      <c r="AZ2209" t="str">
        <f t="shared" si="291"/>
        <v/>
      </c>
      <c r="BA2209" t="str">
        <f t="shared" si="292"/>
        <v/>
      </c>
    </row>
    <row r="2210" spans="3:53" ht="13.5">
      <c r="C2210" s="19"/>
      <c r="D2210" s="19"/>
      <c r="AC2210" s="6" t="s">
        <v>2931</v>
      </c>
      <c r="AD2210" s="6" t="s">
        <v>7353</v>
      </c>
      <c r="AE2210" s="155" t="s">
        <v>2960</v>
      </c>
      <c r="AF2210" s="159" t="s">
        <v>8363</v>
      </c>
      <c r="AG2210" s="160" t="s">
        <v>830</v>
      </c>
      <c r="AH2210" s="194" t="s">
        <v>679</v>
      </c>
      <c r="AI2210" s="6" t="s">
        <v>1762</v>
      </c>
      <c r="AJ2210" s="3" t="s">
        <v>8248</v>
      </c>
      <c r="AK2210" t="s">
        <v>8248</v>
      </c>
      <c r="AV2210"/>
      <c r="AX2210"/>
      <c r="AZ2210" t="str">
        <f t="shared" si="291"/>
        <v/>
      </c>
      <c r="BA2210" t="str">
        <f t="shared" si="292"/>
        <v/>
      </c>
    </row>
    <row r="2211" spans="3:53" ht="13.5">
      <c r="C2211" s="19"/>
      <c r="D2211" s="19"/>
      <c r="AC2211" s="6" t="s">
        <v>3327</v>
      </c>
      <c r="AD2211" s="6" t="s">
        <v>7353</v>
      </c>
      <c r="AE2211" s="155" t="s">
        <v>2961</v>
      </c>
      <c r="AF2211" s="159" t="s">
        <v>8339</v>
      </c>
      <c r="AG2211" s="160" t="s">
        <v>831</v>
      </c>
      <c r="AH2211" s="194" t="s">
        <v>679</v>
      </c>
      <c r="AI2211" s="6" t="s">
        <v>1826</v>
      </c>
      <c r="AJ2211" s="3" t="s">
        <v>8258</v>
      </c>
      <c r="AK2211" t="s">
        <v>8258</v>
      </c>
      <c r="AV2211"/>
      <c r="AX2211"/>
      <c r="AZ2211" t="str">
        <f t="shared" si="291"/>
        <v/>
      </c>
      <c r="BA2211" t="str">
        <f t="shared" si="292"/>
        <v/>
      </c>
    </row>
    <row r="2212" spans="3:53" ht="13.5">
      <c r="C2212" s="19"/>
      <c r="D2212" s="19"/>
      <c r="AC2212" s="6" t="s">
        <v>3096</v>
      </c>
      <c r="AD2212" s="6" t="s">
        <v>7353</v>
      </c>
      <c r="AE2212" s="155" t="s">
        <v>2962</v>
      </c>
      <c r="AF2212" s="159" t="s">
        <v>8299</v>
      </c>
      <c r="AG2212" s="160" t="s">
        <v>832</v>
      </c>
      <c r="AH2212" s="194" t="s">
        <v>678</v>
      </c>
      <c r="AI2212" s="6" t="s">
        <v>1839</v>
      </c>
      <c r="AJ2212" s="3" t="s">
        <v>8258</v>
      </c>
      <c r="AK2212" t="s">
        <v>8258</v>
      </c>
      <c r="AV2212"/>
      <c r="AX2212"/>
      <c r="AZ2212" t="str">
        <f t="shared" si="291"/>
        <v/>
      </c>
      <c r="BA2212" t="str">
        <f t="shared" si="292"/>
        <v/>
      </c>
    </row>
    <row r="2213" spans="3:53" ht="13.5">
      <c r="C2213" s="19"/>
      <c r="D2213" s="19"/>
      <c r="AC2213" s="6" t="s">
        <v>2888</v>
      </c>
      <c r="AD2213" s="6" t="s">
        <v>7353</v>
      </c>
      <c r="AE2213" s="155" t="s">
        <v>2963</v>
      </c>
      <c r="AF2213" s="159" t="s">
        <v>8429</v>
      </c>
      <c r="AG2213" s="160" t="s">
        <v>833</v>
      </c>
      <c r="AH2213" s="194" t="s">
        <v>679</v>
      </c>
      <c r="AI2213" s="6" t="s">
        <v>1840</v>
      </c>
      <c r="AJ2213" s="3" t="s">
        <v>8258</v>
      </c>
      <c r="AK2213" t="s">
        <v>8258</v>
      </c>
      <c r="AV2213"/>
      <c r="AX2213"/>
      <c r="AZ2213" t="str">
        <f t="shared" si="291"/>
        <v/>
      </c>
      <c r="BA2213" t="str">
        <f t="shared" si="292"/>
        <v/>
      </c>
    </row>
    <row r="2214" spans="3:53" ht="13.5">
      <c r="C2214" s="19"/>
      <c r="D2214" s="19"/>
      <c r="AC2214" s="6" t="s">
        <v>3272</v>
      </c>
      <c r="AD2214" s="6" t="s">
        <v>7353</v>
      </c>
      <c r="AE2214" s="155" t="s">
        <v>2964</v>
      </c>
      <c r="AF2214" s="159" t="s">
        <v>8299</v>
      </c>
      <c r="AG2214" s="160" t="s">
        <v>834</v>
      </c>
      <c r="AH2214" s="194" t="s">
        <v>679</v>
      </c>
      <c r="AI2214" s="6" t="s">
        <v>1841</v>
      </c>
      <c r="AJ2214" s="3" t="s">
        <v>8258</v>
      </c>
      <c r="AK2214" t="s">
        <v>8258</v>
      </c>
      <c r="AV2214"/>
      <c r="AX2214"/>
      <c r="AZ2214" t="str">
        <f t="shared" si="291"/>
        <v/>
      </c>
      <c r="BA2214" t="str">
        <f t="shared" si="292"/>
        <v/>
      </c>
    </row>
    <row r="2215" spans="3:53" ht="13.5">
      <c r="C2215" s="19"/>
      <c r="D2215" s="19"/>
      <c r="AC2215" s="6" t="s">
        <v>1216</v>
      </c>
      <c r="AD2215" s="6" t="s">
        <v>7353</v>
      </c>
      <c r="AE2215" s="155" t="s">
        <v>1214</v>
      </c>
      <c r="AF2215" s="159" t="s">
        <v>8339</v>
      </c>
      <c r="AG2215" s="160" t="s">
        <v>835</v>
      </c>
      <c r="AH2215" s="194" t="s">
        <v>679</v>
      </c>
      <c r="AI2215" s="6" t="s">
        <v>2009</v>
      </c>
      <c r="AJ2215" s="3" t="s">
        <v>8248</v>
      </c>
      <c r="AK2215" t="s">
        <v>8248</v>
      </c>
      <c r="AV2215"/>
      <c r="AX2215"/>
      <c r="AZ2215" t="str">
        <f t="shared" si="291"/>
        <v/>
      </c>
      <c r="BA2215" t="str">
        <f t="shared" si="292"/>
        <v/>
      </c>
    </row>
    <row r="2216" spans="3:53" ht="13.5">
      <c r="C2216" s="19"/>
      <c r="D2216" s="19"/>
      <c r="AC2216" s="6" t="s">
        <v>3189</v>
      </c>
      <c r="AD2216" s="6" t="s">
        <v>7353</v>
      </c>
      <c r="AE2216" s="155" t="s">
        <v>2965</v>
      </c>
      <c r="AF2216" s="159" t="s">
        <v>8430</v>
      </c>
      <c r="AG2216" s="160" t="s">
        <v>836</v>
      </c>
      <c r="AH2216" s="194" t="s">
        <v>678</v>
      </c>
      <c r="AI2216" s="6" t="s">
        <v>5557</v>
      </c>
      <c r="AJ2216" s="3" t="s">
        <v>8248</v>
      </c>
      <c r="AK2216" t="s">
        <v>8248</v>
      </c>
      <c r="AV2216"/>
      <c r="AX2216"/>
      <c r="AZ2216" t="str">
        <f t="shared" si="291"/>
        <v/>
      </c>
      <c r="BA2216" t="str">
        <f t="shared" si="292"/>
        <v/>
      </c>
    </row>
    <row r="2217" spans="3:53" ht="13.5">
      <c r="C2217" s="19"/>
      <c r="D2217" s="19"/>
      <c r="AC2217" s="6" t="s">
        <v>3440</v>
      </c>
      <c r="AD2217" s="6" t="s">
        <v>7353</v>
      </c>
      <c r="AE2217" s="155" t="s">
        <v>2966</v>
      </c>
      <c r="AF2217" s="159" t="s">
        <v>8340</v>
      </c>
      <c r="AG2217" s="160" t="s">
        <v>837</v>
      </c>
      <c r="AH2217" s="194" t="s">
        <v>679</v>
      </c>
      <c r="AI2217" s="6" t="s">
        <v>5271</v>
      </c>
      <c r="AJ2217" s="3" t="s">
        <v>8248</v>
      </c>
      <c r="AK2217" t="s">
        <v>8248</v>
      </c>
      <c r="AV2217"/>
      <c r="AX2217"/>
      <c r="AZ2217" t="str">
        <f t="shared" si="291"/>
        <v/>
      </c>
      <c r="BA2217" t="str">
        <f t="shared" si="292"/>
        <v/>
      </c>
    </row>
    <row r="2218" spans="3:53" ht="13.5">
      <c r="C2218" s="19"/>
      <c r="D2218" s="19"/>
      <c r="AC2218" s="6" t="s">
        <v>3018</v>
      </c>
      <c r="AD2218" s="6" t="s">
        <v>7353</v>
      </c>
      <c r="AE2218" s="155" t="s">
        <v>2967</v>
      </c>
      <c r="AF2218" s="159" t="s">
        <v>8299</v>
      </c>
      <c r="AG2218" s="160" t="s">
        <v>838</v>
      </c>
      <c r="AH2218" s="194" t="s">
        <v>679</v>
      </c>
      <c r="AI2218" s="6" t="s">
        <v>2224</v>
      </c>
      <c r="AJ2218" s="3" t="s">
        <v>8248</v>
      </c>
      <c r="AK2218" t="s">
        <v>8248</v>
      </c>
      <c r="AV2218"/>
      <c r="AX2218"/>
      <c r="AZ2218" t="str">
        <f t="shared" si="291"/>
        <v/>
      </c>
      <c r="BA2218" t="str">
        <f t="shared" si="292"/>
        <v/>
      </c>
    </row>
    <row r="2219" spans="3:53" ht="13.5">
      <c r="C2219" s="19"/>
      <c r="D2219" s="19"/>
      <c r="AC2219" s="6" t="s">
        <v>3273</v>
      </c>
      <c r="AD2219" s="6" t="s">
        <v>7353</v>
      </c>
      <c r="AE2219" s="155" t="s">
        <v>2968</v>
      </c>
      <c r="AF2219" s="159" t="s">
        <v>8309</v>
      </c>
      <c r="AG2219" s="160" t="s">
        <v>5374</v>
      </c>
      <c r="AH2219" s="194" t="s">
        <v>679</v>
      </c>
      <c r="AI2219" s="6" t="s">
        <v>2225</v>
      </c>
      <c r="AJ2219" s="3" t="s">
        <v>8248</v>
      </c>
      <c r="AK2219" t="s">
        <v>8248</v>
      </c>
      <c r="AV2219"/>
      <c r="AX2219"/>
      <c r="AZ2219" t="str">
        <f t="shared" si="291"/>
        <v/>
      </c>
      <c r="BA2219" t="str">
        <f t="shared" si="292"/>
        <v/>
      </c>
    </row>
    <row r="2220" spans="3:53" ht="13.5">
      <c r="C2220" s="19"/>
      <c r="D2220" s="19"/>
      <c r="AC2220" s="6" t="s">
        <v>3125</v>
      </c>
      <c r="AD2220" s="6" t="s">
        <v>7353</v>
      </c>
      <c r="AE2220" s="155" t="s">
        <v>2969</v>
      </c>
      <c r="AF2220" s="159" t="s">
        <v>8431</v>
      </c>
      <c r="AG2220" s="160" t="s">
        <v>839</v>
      </c>
      <c r="AH2220" s="194" t="s">
        <v>678</v>
      </c>
      <c r="AI2220" s="6" t="s">
        <v>2321</v>
      </c>
      <c r="AJ2220" s="3" t="s">
        <v>8256</v>
      </c>
      <c r="AK2220" t="s">
        <v>8256</v>
      </c>
      <c r="AV2220"/>
      <c r="AX2220"/>
      <c r="AZ2220" t="str">
        <f t="shared" si="291"/>
        <v/>
      </c>
      <c r="BA2220" t="str">
        <f t="shared" si="292"/>
        <v/>
      </c>
    </row>
    <row r="2221" spans="3:53" ht="13.5">
      <c r="C2221" s="19"/>
      <c r="D2221" s="19"/>
      <c r="AC2221" s="6" t="s">
        <v>3262</v>
      </c>
      <c r="AD2221" s="6" t="s">
        <v>7353</v>
      </c>
      <c r="AE2221" s="155" t="s">
        <v>2970</v>
      </c>
      <c r="AF2221" s="159" t="s">
        <v>8432</v>
      </c>
      <c r="AG2221" s="160" t="s">
        <v>5375</v>
      </c>
      <c r="AH2221" s="194" t="s">
        <v>679</v>
      </c>
      <c r="AI2221" s="6" t="s">
        <v>2333</v>
      </c>
      <c r="AJ2221" s="3" t="s">
        <v>8256</v>
      </c>
      <c r="AK2221" t="s">
        <v>8256</v>
      </c>
      <c r="AV2221"/>
      <c r="AX2221"/>
      <c r="AZ2221" t="str">
        <f t="shared" si="291"/>
        <v/>
      </c>
      <c r="BA2221" t="str">
        <f t="shared" si="292"/>
        <v/>
      </c>
    </row>
    <row r="2222" spans="3:53" ht="13.5">
      <c r="C2222" s="19"/>
      <c r="D2222" s="19"/>
      <c r="AC2222" s="6" t="s">
        <v>2921</v>
      </c>
      <c r="AD2222" s="6" t="s">
        <v>7353</v>
      </c>
      <c r="AE2222" s="155" t="s">
        <v>2971</v>
      </c>
      <c r="AF2222" s="159" t="s">
        <v>8342</v>
      </c>
      <c r="AG2222" s="160" t="s">
        <v>840</v>
      </c>
      <c r="AH2222" s="194" t="s">
        <v>679</v>
      </c>
      <c r="AI2222" s="6" t="s">
        <v>1800</v>
      </c>
      <c r="AJ2222" s="3" t="s">
        <v>8238</v>
      </c>
      <c r="AK2222" t="s">
        <v>8673</v>
      </c>
      <c r="AV2222"/>
      <c r="AX2222"/>
      <c r="AZ2222" t="str">
        <f t="shared" si="291"/>
        <v/>
      </c>
      <c r="BA2222" t="str">
        <f t="shared" si="292"/>
        <v/>
      </c>
    </row>
    <row r="2223" spans="3:53" ht="13.5">
      <c r="C2223" s="19"/>
      <c r="D2223" s="19"/>
      <c r="AC2223" s="6" t="s">
        <v>1212</v>
      </c>
      <c r="AD2223" s="6" t="s">
        <v>7353</v>
      </c>
      <c r="AE2223" s="155" t="s">
        <v>2972</v>
      </c>
      <c r="AF2223" s="159" t="s">
        <v>8433</v>
      </c>
      <c r="AG2223" s="160" t="s">
        <v>841</v>
      </c>
      <c r="AH2223" s="194" t="s">
        <v>679</v>
      </c>
      <c r="AI2223" s="6" t="s">
        <v>2497</v>
      </c>
      <c r="AJ2223" s="3" t="s">
        <v>8256</v>
      </c>
      <c r="AK2223" t="s">
        <v>8256</v>
      </c>
      <c r="AV2223"/>
      <c r="AX2223"/>
      <c r="AZ2223" t="str">
        <f t="shared" si="291"/>
        <v/>
      </c>
      <c r="BA2223" t="str">
        <f t="shared" si="292"/>
        <v/>
      </c>
    </row>
    <row r="2224" spans="3:53" ht="13.5">
      <c r="C2224" s="19"/>
      <c r="D2224" s="19"/>
      <c r="AC2224" s="6" t="s">
        <v>5398</v>
      </c>
      <c r="AD2224" s="6" t="s">
        <v>7353</v>
      </c>
      <c r="AE2224" s="155" t="s">
        <v>2973</v>
      </c>
      <c r="AF2224" s="159" t="s">
        <v>8395</v>
      </c>
      <c r="AG2224" s="160" t="s">
        <v>842</v>
      </c>
      <c r="AH2224" s="194" t="s">
        <v>679</v>
      </c>
      <c r="AI2224" s="6" t="s">
        <v>2498</v>
      </c>
      <c r="AJ2224" s="3" t="s">
        <v>8256</v>
      </c>
      <c r="AK2224" t="s">
        <v>8256</v>
      </c>
      <c r="AV2224"/>
      <c r="AX2224"/>
      <c r="AZ2224" t="str">
        <f t="shared" si="291"/>
        <v/>
      </c>
      <c r="BA2224" t="str">
        <f t="shared" si="292"/>
        <v/>
      </c>
    </row>
    <row r="2225" spans="3:53" ht="13.5">
      <c r="C2225" s="19"/>
      <c r="D2225" s="19"/>
      <c r="AC2225" s="6" t="s">
        <v>2934</v>
      </c>
      <c r="AD2225" s="6" t="s">
        <v>7353</v>
      </c>
      <c r="AE2225" s="155" t="s">
        <v>2974</v>
      </c>
      <c r="AF2225" s="159" t="s">
        <v>8296</v>
      </c>
      <c r="AG2225" s="160" t="s">
        <v>843</v>
      </c>
      <c r="AH2225" s="194" t="s">
        <v>679</v>
      </c>
      <c r="AI2225" s="6" t="s">
        <v>2499</v>
      </c>
      <c r="AJ2225" s="3" t="s">
        <v>8256</v>
      </c>
      <c r="AK2225" t="s">
        <v>8256</v>
      </c>
      <c r="AV2225"/>
      <c r="AX2225"/>
      <c r="AZ2225" t="str">
        <f t="shared" si="291"/>
        <v/>
      </c>
      <c r="BA2225" t="str">
        <f t="shared" si="292"/>
        <v/>
      </c>
    </row>
    <row r="2226" spans="3:53" ht="13.5">
      <c r="C2226" s="19"/>
      <c r="D2226" s="19"/>
      <c r="AC2226" s="6" t="s">
        <v>3424</v>
      </c>
      <c r="AD2226" s="6" t="s">
        <v>7353</v>
      </c>
      <c r="AE2226" s="155" t="s">
        <v>2975</v>
      </c>
      <c r="AF2226" s="159" t="s">
        <v>8346</v>
      </c>
      <c r="AG2226" s="160" t="s">
        <v>844</v>
      </c>
      <c r="AH2226" s="194" t="s">
        <v>679</v>
      </c>
      <c r="AI2226" s="6" t="s">
        <v>2674</v>
      </c>
      <c r="AJ2226" s="3" t="s">
        <v>8256</v>
      </c>
      <c r="AK2226" t="s">
        <v>8256</v>
      </c>
      <c r="AV2226"/>
      <c r="AX2226"/>
      <c r="AZ2226" t="str">
        <f t="shared" si="291"/>
        <v/>
      </c>
      <c r="BA2226" t="str">
        <f t="shared" si="292"/>
        <v/>
      </c>
    </row>
    <row r="2227" spans="3:53" ht="13.5">
      <c r="C2227" s="19"/>
      <c r="D2227" s="19"/>
      <c r="AC2227" s="6" t="s">
        <v>5399</v>
      </c>
      <c r="AD2227" s="6" t="s">
        <v>7353</v>
      </c>
      <c r="AE2227" s="155" t="s">
        <v>2976</v>
      </c>
      <c r="AF2227" s="159" t="s">
        <v>8339</v>
      </c>
      <c r="AG2227" s="160" t="s">
        <v>691</v>
      </c>
      <c r="AH2227" s="194" t="s">
        <v>678</v>
      </c>
      <c r="AI2227" s="6" t="s">
        <v>2676</v>
      </c>
      <c r="AJ2227" s="3" t="s">
        <v>8256</v>
      </c>
      <c r="AK2227" t="s">
        <v>8256</v>
      </c>
      <c r="AV2227"/>
      <c r="AX2227"/>
      <c r="AZ2227" t="str">
        <f t="shared" si="291"/>
        <v/>
      </c>
      <c r="BA2227" t="str">
        <f t="shared" si="292"/>
        <v/>
      </c>
    </row>
    <row r="2228" spans="3:53" ht="13.5">
      <c r="C2228" s="19"/>
      <c r="D2228" s="19"/>
      <c r="AC2228" s="6" t="s">
        <v>3315</v>
      </c>
      <c r="AD2228" s="6" t="s">
        <v>7353</v>
      </c>
      <c r="AE2228" s="155" t="s">
        <v>2977</v>
      </c>
      <c r="AF2228" s="159" t="s">
        <v>8339</v>
      </c>
      <c r="AG2228" s="160" t="s">
        <v>845</v>
      </c>
      <c r="AH2228" s="194" t="s">
        <v>679</v>
      </c>
      <c r="AI2228" s="6" t="s">
        <v>1805</v>
      </c>
      <c r="AJ2228" s="3" t="s">
        <v>8222</v>
      </c>
      <c r="AK2228" t="s">
        <v>8670</v>
      </c>
      <c r="AV2228"/>
      <c r="AX2228"/>
      <c r="AZ2228" t="str">
        <f t="shared" si="291"/>
        <v/>
      </c>
      <c r="BA2228" t="str">
        <f t="shared" si="292"/>
        <v/>
      </c>
    </row>
    <row r="2229" spans="3:53" ht="13.5">
      <c r="C2229" s="19"/>
      <c r="D2229" s="19"/>
      <c r="AC2229" s="6" t="s">
        <v>3053</v>
      </c>
      <c r="AD2229" s="6" t="s">
        <v>7353</v>
      </c>
      <c r="AE2229" s="155" t="s">
        <v>2978</v>
      </c>
      <c r="AF2229" s="159" t="s">
        <v>8434</v>
      </c>
      <c r="AG2229" s="160" t="s">
        <v>846</v>
      </c>
      <c r="AH2229" s="194" t="s">
        <v>679</v>
      </c>
      <c r="AI2229" s="6" t="s">
        <v>2594</v>
      </c>
      <c r="AJ2229" s="3" t="s">
        <v>8242</v>
      </c>
      <c r="AK2229" t="s">
        <v>8281</v>
      </c>
      <c r="AV2229"/>
      <c r="AX2229"/>
      <c r="AZ2229" t="str">
        <f t="shared" si="291"/>
        <v/>
      </c>
      <c r="BA2229" t="str">
        <f t="shared" si="292"/>
        <v/>
      </c>
    </row>
    <row r="2230" spans="3:53" ht="13.5">
      <c r="C2230" s="19"/>
      <c r="D2230" s="19"/>
      <c r="AC2230" s="6" t="s">
        <v>3412</v>
      </c>
      <c r="AD2230" s="6" t="s">
        <v>7353</v>
      </c>
      <c r="AE2230" s="155" t="s">
        <v>2979</v>
      </c>
      <c r="AF2230" s="159" t="s">
        <v>8299</v>
      </c>
      <c r="AG2230" s="160" t="s">
        <v>847</v>
      </c>
      <c r="AH2230" s="194" t="s">
        <v>679</v>
      </c>
      <c r="AI2230" s="6" t="s">
        <v>1785</v>
      </c>
      <c r="AJ2230" s="3" t="s">
        <v>8235</v>
      </c>
      <c r="AK2230" t="s">
        <v>8672</v>
      </c>
      <c r="AV2230"/>
      <c r="AX2230"/>
      <c r="AZ2230" t="str">
        <f t="shared" si="291"/>
        <v/>
      </c>
      <c r="BA2230" t="str">
        <f t="shared" si="292"/>
        <v/>
      </c>
    </row>
    <row r="2231" spans="3:53" ht="13.5">
      <c r="C2231" s="19"/>
      <c r="D2231" s="19"/>
      <c r="AC2231" s="6" t="s">
        <v>1232</v>
      </c>
      <c r="AD2231" s="6" t="s">
        <v>7353</v>
      </c>
      <c r="AE2231" s="155" t="s">
        <v>2980</v>
      </c>
      <c r="AF2231" s="159" t="s">
        <v>8339</v>
      </c>
      <c r="AG2231" s="160" t="s">
        <v>848</v>
      </c>
      <c r="AH2231" s="194" t="s">
        <v>679</v>
      </c>
      <c r="AI2231" s="6" t="s">
        <v>1786</v>
      </c>
      <c r="AJ2231" s="3" t="s">
        <v>8235</v>
      </c>
      <c r="AK2231" t="s">
        <v>8672</v>
      </c>
      <c r="AV2231"/>
      <c r="AX2231"/>
      <c r="AZ2231" t="str">
        <f t="shared" si="291"/>
        <v/>
      </c>
      <c r="BA2231" t="str">
        <f t="shared" si="292"/>
        <v/>
      </c>
    </row>
    <row r="2232" spans="3:53" ht="13.5">
      <c r="C2232" s="19"/>
      <c r="D2232" s="19"/>
      <c r="AC2232" s="6" t="s">
        <v>3056</v>
      </c>
      <c r="AD2232" s="6" t="s">
        <v>7353</v>
      </c>
      <c r="AE2232" s="155" t="s">
        <v>2981</v>
      </c>
      <c r="AF2232" s="159" t="s">
        <v>8299</v>
      </c>
      <c r="AG2232" s="160" t="s">
        <v>849</v>
      </c>
      <c r="AH2232" s="194" t="s">
        <v>679</v>
      </c>
      <c r="AI2232" s="6" t="s">
        <v>1788</v>
      </c>
      <c r="AJ2232" s="3" t="s">
        <v>8235</v>
      </c>
      <c r="AK2232" t="s">
        <v>8672</v>
      </c>
      <c r="AV2232"/>
      <c r="AX2232"/>
      <c r="AZ2232" t="str">
        <f t="shared" si="291"/>
        <v/>
      </c>
      <c r="BA2232" t="str">
        <f t="shared" si="292"/>
        <v/>
      </c>
    </row>
    <row r="2233" spans="3:53" ht="13.5">
      <c r="C2233" s="19"/>
      <c r="D2233" s="19"/>
      <c r="AC2233" s="6" t="s">
        <v>5592</v>
      </c>
      <c r="AD2233" s="6" t="s">
        <v>7353</v>
      </c>
      <c r="AE2233" s="155" t="s">
        <v>2982</v>
      </c>
      <c r="AF2233" s="159" t="s">
        <v>8405</v>
      </c>
      <c r="AG2233" s="160" t="s">
        <v>850</v>
      </c>
      <c r="AH2233" s="194" t="s">
        <v>679</v>
      </c>
      <c r="AI2233" s="6" t="s">
        <v>2053</v>
      </c>
      <c r="AJ2233" s="3" t="s">
        <v>8235</v>
      </c>
      <c r="AK2233" t="s">
        <v>8672</v>
      </c>
      <c r="AV2233"/>
      <c r="AX2233"/>
      <c r="AZ2233" t="str">
        <f t="shared" si="291"/>
        <v/>
      </c>
      <c r="BA2233" t="str">
        <f t="shared" si="292"/>
        <v/>
      </c>
    </row>
    <row r="2234" spans="3:53" ht="13.5">
      <c r="C2234" s="19"/>
      <c r="D2234" s="19"/>
      <c r="AC2234" s="6" t="s">
        <v>3352</v>
      </c>
      <c r="AD2234" s="6" t="s">
        <v>7353</v>
      </c>
      <c r="AE2234" s="155" t="s">
        <v>2983</v>
      </c>
      <c r="AF2234" s="159" t="s">
        <v>8339</v>
      </c>
      <c r="AG2234" s="160" t="s">
        <v>851</v>
      </c>
      <c r="AH2234" s="194" t="s">
        <v>679</v>
      </c>
      <c r="AI2234" s="6" t="s">
        <v>2251</v>
      </c>
      <c r="AJ2234" s="3" t="s">
        <v>8235</v>
      </c>
      <c r="AK2234" t="s">
        <v>8672</v>
      </c>
      <c r="AV2234"/>
      <c r="AX2234"/>
      <c r="AZ2234" t="str">
        <f t="shared" si="291"/>
        <v/>
      </c>
      <c r="BA2234" t="str">
        <f t="shared" si="292"/>
        <v/>
      </c>
    </row>
    <row r="2235" spans="3:53" ht="13.5">
      <c r="C2235" s="19"/>
      <c r="D2235" s="19"/>
      <c r="AC2235" s="6" t="s">
        <v>3090</v>
      </c>
      <c r="AD2235" s="6" t="s">
        <v>7353</v>
      </c>
      <c r="AE2235" s="155" t="s">
        <v>2984</v>
      </c>
      <c r="AF2235" s="159" t="s">
        <v>8299</v>
      </c>
      <c r="AG2235" s="160" t="s">
        <v>852</v>
      </c>
      <c r="AH2235" s="194" t="s">
        <v>679</v>
      </c>
      <c r="AI2235" s="6" t="s">
        <v>107</v>
      </c>
      <c r="AJ2235" s="3" t="s">
        <v>8272</v>
      </c>
      <c r="AK2235" t="s">
        <v>8272</v>
      </c>
      <c r="AV2235"/>
      <c r="AX2235"/>
      <c r="AZ2235" t="str">
        <f t="shared" si="291"/>
        <v/>
      </c>
      <c r="BA2235" t="str">
        <f t="shared" si="292"/>
        <v/>
      </c>
    </row>
    <row r="2236" spans="3:53" ht="13.5">
      <c r="C2236" s="19"/>
      <c r="D2236" s="19"/>
      <c r="AC2236" s="6" t="s">
        <v>3088</v>
      </c>
      <c r="AD2236" s="6" t="s">
        <v>7353</v>
      </c>
      <c r="AE2236" s="155" t="s">
        <v>2985</v>
      </c>
      <c r="AF2236" s="159" t="s">
        <v>8299</v>
      </c>
      <c r="AG2236" s="160" t="s">
        <v>3857</v>
      </c>
      <c r="AH2236" s="194" t="s">
        <v>679</v>
      </c>
      <c r="AI2236" s="6" t="s">
        <v>4014</v>
      </c>
      <c r="AJ2236" s="3" t="s">
        <v>8272</v>
      </c>
      <c r="AK2236" t="s">
        <v>8272</v>
      </c>
      <c r="AV2236"/>
      <c r="AX2236"/>
      <c r="AZ2236" t="str">
        <f t="shared" si="291"/>
        <v/>
      </c>
      <c r="BA2236" t="str">
        <f t="shared" si="292"/>
        <v/>
      </c>
    </row>
    <row r="2237" spans="3:53" ht="13.5">
      <c r="C2237" s="19"/>
      <c r="D2237" s="19"/>
      <c r="AC2237" s="6" t="s">
        <v>5389</v>
      </c>
      <c r="AD2237" s="6" t="s">
        <v>7353</v>
      </c>
      <c r="AE2237" s="155" t="s">
        <v>2986</v>
      </c>
      <c r="AF2237" s="159" t="s">
        <v>8358</v>
      </c>
      <c r="AG2237" s="160" t="s">
        <v>853</v>
      </c>
      <c r="AH2237" s="194" t="s">
        <v>679</v>
      </c>
      <c r="AI2237" s="6" t="s">
        <v>4023</v>
      </c>
      <c r="AJ2237" s="3" t="s">
        <v>8267</v>
      </c>
      <c r="AK2237" t="s">
        <v>8280</v>
      </c>
      <c r="AV2237"/>
      <c r="AX2237"/>
      <c r="AZ2237" t="str">
        <f t="shared" si="291"/>
        <v/>
      </c>
      <c r="BA2237" t="str">
        <f t="shared" si="292"/>
        <v/>
      </c>
    </row>
    <row r="2238" spans="3:53" ht="13.5">
      <c r="C2238" s="19"/>
      <c r="D2238" s="19"/>
      <c r="AC2238" s="6" t="s">
        <v>3897</v>
      </c>
      <c r="AD2238" s="6" t="s">
        <v>7353</v>
      </c>
      <c r="AE2238" s="155" t="s">
        <v>2987</v>
      </c>
      <c r="AF2238" s="159" t="s">
        <v>8321</v>
      </c>
      <c r="AG2238" s="160" t="s">
        <v>1971</v>
      </c>
      <c r="AH2238" s="194" t="s">
        <v>679</v>
      </c>
      <c r="AI2238" s="6" t="s">
        <v>4030</v>
      </c>
      <c r="AJ2238" s="3" t="s">
        <v>8269</v>
      </c>
      <c r="AK2238" t="s">
        <v>8269</v>
      </c>
      <c r="AV2238"/>
      <c r="AX2238"/>
      <c r="AZ2238" t="str">
        <f t="shared" si="291"/>
        <v/>
      </c>
      <c r="BA2238" t="str">
        <f t="shared" si="292"/>
        <v/>
      </c>
    </row>
    <row r="2239" spans="3:53" ht="13.5">
      <c r="C2239" s="19"/>
      <c r="D2239" s="19"/>
      <c r="AC2239" s="6" t="s">
        <v>3503</v>
      </c>
      <c r="AD2239" s="6" t="s">
        <v>7425</v>
      </c>
      <c r="AE2239" s="155" t="s">
        <v>2988</v>
      </c>
      <c r="AF2239" s="159" t="s">
        <v>8299</v>
      </c>
      <c r="AG2239" s="160" t="s">
        <v>1972</v>
      </c>
      <c r="AH2239" s="194" t="s">
        <v>1314</v>
      </c>
      <c r="AI2239" s="6" t="s">
        <v>4033</v>
      </c>
      <c r="AJ2239" s="3" t="s">
        <v>8267</v>
      </c>
      <c r="AK2239" t="s">
        <v>8280</v>
      </c>
      <c r="AV2239"/>
      <c r="AX2239"/>
      <c r="AZ2239" t="str">
        <f t="shared" si="291"/>
        <v/>
      </c>
      <c r="BA2239" t="str">
        <f t="shared" si="292"/>
        <v/>
      </c>
    </row>
    <row r="2240" spans="3:53" ht="13.5">
      <c r="C2240" s="19"/>
      <c r="D2240" s="19"/>
      <c r="AC2240" s="6" t="s">
        <v>2987</v>
      </c>
      <c r="AD2240" s="6" t="s">
        <v>7353</v>
      </c>
      <c r="AE2240" s="155" t="s">
        <v>2989</v>
      </c>
      <c r="AF2240" s="159" t="s">
        <v>8435</v>
      </c>
      <c r="AG2240" s="160" t="s">
        <v>1974</v>
      </c>
      <c r="AH2240" s="194" t="s">
        <v>679</v>
      </c>
      <c r="AI2240" s="6" t="s">
        <v>4037</v>
      </c>
      <c r="AJ2240" s="3" t="s">
        <v>8230</v>
      </c>
      <c r="AK2240" t="s">
        <v>8230</v>
      </c>
      <c r="AV2240"/>
      <c r="AX2240"/>
      <c r="AZ2240" t="str">
        <f t="shared" si="291"/>
        <v/>
      </c>
      <c r="BA2240" t="str">
        <f t="shared" si="292"/>
        <v/>
      </c>
    </row>
    <row r="2241" spans="3:53" ht="13.5">
      <c r="C2241" s="19"/>
      <c r="D2241" s="19"/>
      <c r="AC2241" s="6" t="s">
        <v>3345</v>
      </c>
      <c r="AD2241" s="6" t="s">
        <v>7353</v>
      </c>
      <c r="AE2241" s="155" t="s">
        <v>2990</v>
      </c>
      <c r="AF2241" s="159" t="s">
        <v>8299</v>
      </c>
      <c r="AG2241" s="160" t="s">
        <v>2002</v>
      </c>
      <c r="AH2241" s="194" t="s">
        <v>679</v>
      </c>
      <c r="AI2241" s="6" t="s">
        <v>4038</v>
      </c>
      <c r="AJ2241" s="3" t="s">
        <v>8230</v>
      </c>
      <c r="AK2241" t="s">
        <v>8230</v>
      </c>
      <c r="AV2241"/>
      <c r="AX2241"/>
      <c r="AZ2241" t="str">
        <f t="shared" si="291"/>
        <v/>
      </c>
      <c r="BA2241" t="str">
        <f t="shared" si="292"/>
        <v/>
      </c>
    </row>
    <row r="2242" spans="3:53" ht="13.5">
      <c r="C2242" s="19"/>
      <c r="D2242" s="19"/>
      <c r="AC2242" s="6" t="s">
        <v>1229</v>
      </c>
      <c r="AD2242" s="6" t="s">
        <v>7353</v>
      </c>
      <c r="AE2242" s="155" t="s">
        <v>2991</v>
      </c>
      <c r="AF2242" s="159" t="s">
        <v>8339</v>
      </c>
      <c r="AG2242" s="160" t="s">
        <v>2003</v>
      </c>
      <c r="AH2242" s="194" t="s">
        <v>679</v>
      </c>
      <c r="AI2242" s="6" t="s">
        <v>4043</v>
      </c>
      <c r="AJ2242" s="3" t="s">
        <v>8265</v>
      </c>
      <c r="AK2242" t="s">
        <v>8265</v>
      </c>
      <c r="AV2242"/>
      <c r="AX2242"/>
      <c r="AZ2242" t="str">
        <f t="shared" si="291"/>
        <v/>
      </c>
      <c r="BA2242" t="str">
        <f t="shared" si="292"/>
        <v/>
      </c>
    </row>
    <row r="2243" spans="3:53" ht="13.5">
      <c r="C2243" s="19"/>
      <c r="D2243" s="19"/>
      <c r="AC2243" s="6" t="s">
        <v>3076</v>
      </c>
      <c r="AD2243" s="6" t="s">
        <v>7353</v>
      </c>
      <c r="AE2243" s="155" t="s">
        <v>2992</v>
      </c>
      <c r="AF2243" s="159" t="s">
        <v>8406</v>
      </c>
      <c r="AG2243" s="160" t="s">
        <v>1022</v>
      </c>
      <c r="AH2243" s="194" t="s">
        <v>679</v>
      </c>
      <c r="AI2243" s="6" t="s">
        <v>1246</v>
      </c>
      <c r="AJ2243" s="3" t="s">
        <v>8249</v>
      </c>
      <c r="AK2243" t="s">
        <v>8249</v>
      </c>
      <c r="AV2243"/>
      <c r="AX2243"/>
      <c r="AZ2243" t="str">
        <f t="shared" si="291"/>
        <v/>
      </c>
      <c r="BA2243" t="str">
        <f t="shared" si="292"/>
        <v/>
      </c>
    </row>
    <row r="2244" spans="3:53" ht="13.5">
      <c r="C2244" s="19"/>
      <c r="D2244" s="19"/>
      <c r="AC2244" s="6" t="s">
        <v>3151</v>
      </c>
      <c r="AD2244" s="6" t="s">
        <v>7353</v>
      </c>
      <c r="AE2244" s="155" t="s">
        <v>2993</v>
      </c>
      <c r="AF2244" s="159" t="s">
        <v>8436</v>
      </c>
      <c r="AG2244" s="160" t="s">
        <v>1280</v>
      </c>
      <c r="AH2244" s="194" t="s">
        <v>678</v>
      </c>
      <c r="AI2244" s="6" t="s">
        <v>4045</v>
      </c>
      <c r="AJ2244" s="3" t="s">
        <v>8249</v>
      </c>
      <c r="AK2244" t="s">
        <v>8249</v>
      </c>
      <c r="AV2244"/>
      <c r="AX2244"/>
      <c r="AZ2244" t="str">
        <f t="shared" si="291"/>
        <v/>
      </c>
      <c r="BA2244" t="str">
        <f t="shared" si="292"/>
        <v/>
      </c>
    </row>
    <row r="2245" spans="3:53" ht="13.5">
      <c r="C2245" s="19"/>
      <c r="D2245" s="19"/>
      <c r="AC2245" s="6" t="s">
        <v>3092</v>
      </c>
      <c r="AD2245" s="6" t="s">
        <v>7353</v>
      </c>
      <c r="AE2245" s="155" t="s">
        <v>2994</v>
      </c>
      <c r="AF2245" s="159" t="s">
        <v>8379</v>
      </c>
      <c r="AG2245" s="160" t="s">
        <v>3858</v>
      </c>
      <c r="AH2245" s="194" t="s">
        <v>679</v>
      </c>
      <c r="AI2245" s="6" t="s">
        <v>4046</v>
      </c>
      <c r="AJ2245" s="3" t="s">
        <v>8249</v>
      </c>
      <c r="AK2245" t="s">
        <v>8249</v>
      </c>
      <c r="AV2245"/>
      <c r="AX2245"/>
      <c r="AZ2245" t="str">
        <f t="shared" si="291"/>
        <v/>
      </c>
      <c r="BA2245" t="str">
        <f t="shared" si="292"/>
        <v/>
      </c>
    </row>
    <row r="2246" spans="3:53" ht="13.5">
      <c r="C2246" s="19"/>
      <c r="D2246" s="19"/>
      <c r="AC2246" s="6" t="s">
        <v>3159</v>
      </c>
      <c r="AD2246" s="6" t="s">
        <v>7353</v>
      </c>
      <c r="AE2246" s="155" t="s">
        <v>2995</v>
      </c>
      <c r="AF2246" s="159" t="s">
        <v>8437</v>
      </c>
      <c r="AG2246" s="160" t="s">
        <v>1023</v>
      </c>
      <c r="AH2246" s="194" t="s">
        <v>679</v>
      </c>
      <c r="AI2246" s="6" t="s">
        <v>4047</v>
      </c>
      <c r="AJ2246" s="3" t="s">
        <v>8249</v>
      </c>
      <c r="AK2246" t="s">
        <v>8249</v>
      </c>
      <c r="AV2246"/>
      <c r="AX2246"/>
      <c r="AZ2246" t="str">
        <f t="shared" si="291"/>
        <v/>
      </c>
      <c r="BA2246" t="str">
        <f t="shared" si="292"/>
        <v/>
      </c>
    </row>
    <row r="2247" spans="3:53" ht="13.5">
      <c r="C2247" s="19"/>
      <c r="D2247" s="19"/>
      <c r="AC2247" s="6" t="s">
        <v>2929</v>
      </c>
      <c r="AD2247" s="6" t="s">
        <v>7353</v>
      </c>
      <c r="AE2247" s="155" t="s">
        <v>2996</v>
      </c>
      <c r="AF2247" s="159" t="s">
        <v>8299</v>
      </c>
      <c r="AG2247" s="160" t="s">
        <v>1024</v>
      </c>
      <c r="AH2247" s="194" t="s">
        <v>678</v>
      </c>
      <c r="AI2247" s="6" t="s">
        <v>4048</v>
      </c>
      <c r="AJ2247" s="3" t="s">
        <v>8249</v>
      </c>
      <c r="AK2247" t="s">
        <v>8249</v>
      </c>
      <c r="AV2247"/>
      <c r="AX2247"/>
      <c r="AZ2247" t="str">
        <f t="shared" si="291"/>
        <v/>
      </c>
      <c r="BA2247" t="str">
        <f t="shared" si="292"/>
        <v/>
      </c>
    </row>
    <row r="2248" spans="3:53" ht="13.5">
      <c r="C2248" s="19"/>
      <c r="D2248" s="19"/>
      <c r="AC2248" s="6" t="s">
        <v>2900</v>
      </c>
      <c r="AD2248" s="6" t="s">
        <v>7353</v>
      </c>
      <c r="AE2248" s="155" t="s">
        <v>2997</v>
      </c>
      <c r="AF2248" s="159" t="s">
        <v>8339</v>
      </c>
      <c r="AG2248" s="160" t="s">
        <v>1025</v>
      </c>
      <c r="AH2248" s="194" t="s">
        <v>678</v>
      </c>
      <c r="AI2248" s="6" t="s">
        <v>4049</v>
      </c>
      <c r="AJ2248" s="3" t="s">
        <v>8269</v>
      </c>
      <c r="AK2248" t="s">
        <v>8269</v>
      </c>
      <c r="AV2248"/>
      <c r="AX2248"/>
      <c r="AZ2248" t="str">
        <f t="shared" si="291"/>
        <v/>
      </c>
      <c r="BA2248" t="str">
        <f t="shared" si="292"/>
        <v/>
      </c>
    </row>
    <row r="2249" spans="3:53" ht="13.5">
      <c r="C2249" s="19"/>
      <c r="D2249" s="19"/>
      <c r="AC2249" s="6" t="s">
        <v>2957</v>
      </c>
      <c r="AD2249" s="6" t="s">
        <v>7353</v>
      </c>
      <c r="AE2249" s="155" t="s">
        <v>2998</v>
      </c>
      <c r="AF2249" s="159" t="s">
        <v>8339</v>
      </c>
      <c r="AG2249" s="160" t="s">
        <v>1026</v>
      </c>
      <c r="AH2249" s="194" t="s">
        <v>679</v>
      </c>
      <c r="AI2249" s="6" t="s">
        <v>4051</v>
      </c>
      <c r="AJ2249" s="3" t="s">
        <v>8269</v>
      </c>
      <c r="AK2249" t="s">
        <v>8269</v>
      </c>
      <c r="AV2249"/>
      <c r="AX2249"/>
      <c r="AZ2249" t="str">
        <f t="shared" si="291"/>
        <v/>
      </c>
      <c r="BA2249" t="str">
        <f t="shared" si="292"/>
        <v/>
      </c>
    </row>
    <row r="2250" spans="3:53" ht="13.5">
      <c r="C2250" s="19"/>
      <c r="D2250" s="19"/>
      <c r="AC2250" s="6" t="s">
        <v>3354</v>
      </c>
      <c r="AD2250" s="6" t="s">
        <v>7353</v>
      </c>
      <c r="AE2250" s="155" t="s">
        <v>2999</v>
      </c>
      <c r="AF2250" s="159" t="s">
        <v>8339</v>
      </c>
      <c r="AG2250" s="160" t="s">
        <v>1281</v>
      </c>
      <c r="AH2250" s="194" t="s">
        <v>678</v>
      </c>
      <c r="AI2250" s="6" t="s">
        <v>4052</v>
      </c>
      <c r="AJ2250" s="3" t="s">
        <v>8269</v>
      </c>
      <c r="AK2250" t="s">
        <v>8269</v>
      </c>
      <c r="AV2250"/>
      <c r="AX2250"/>
      <c r="AZ2250" t="str">
        <f t="shared" si="291"/>
        <v/>
      </c>
      <c r="BA2250" t="str">
        <f t="shared" si="292"/>
        <v/>
      </c>
    </row>
    <row r="2251" spans="3:53" ht="13.5">
      <c r="C2251" s="19"/>
      <c r="D2251" s="19"/>
      <c r="AC2251" s="6" t="s">
        <v>3349</v>
      </c>
      <c r="AD2251" s="6" t="s">
        <v>7353</v>
      </c>
      <c r="AE2251" s="155" t="s">
        <v>3000</v>
      </c>
      <c r="AF2251" s="159" t="s">
        <v>8339</v>
      </c>
      <c r="AG2251" s="160" t="s">
        <v>1027</v>
      </c>
      <c r="AH2251" s="194" t="s">
        <v>679</v>
      </c>
      <c r="AI2251" s="6" t="s">
        <v>4053</v>
      </c>
      <c r="AJ2251" s="3" t="s">
        <v>8269</v>
      </c>
      <c r="AK2251" t="s">
        <v>8269</v>
      </c>
      <c r="AV2251"/>
      <c r="AX2251"/>
      <c r="AZ2251" t="str">
        <f t="shared" si="291"/>
        <v/>
      </c>
      <c r="BA2251" t="str">
        <f t="shared" si="292"/>
        <v/>
      </c>
    </row>
    <row r="2252" spans="3:53" ht="13.5">
      <c r="C2252" s="19"/>
      <c r="D2252" s="19"/>
      <c r="AC2252" s="6" t="s">
        <v>4418</v>
      </c>
      <c r="AD2252" s="6" t="s">
        <v>7353</v>
      </c>
      <c r="AE2252" s="155" t="s">
        <v>3001</v>
      </c>
      <c r="AF2252" s="159" t="s">
        <v>8312</v>
      </c>
      <c r="AG2252" s="160" t="s">
        <v>1028</v>
      </c>
      <c r="AH2252" s="194" t="s">
        <v>1314</v>
      </c>
      <c r="AI2252" s="6" t="s">
        <v>4054</v>
      </c>
      <c r="AJ2252" s="3" t="s">
        <v>8269</v>
      </c>
      <c r="AK2252" t="s">
        <v>8269</v>
      </c>
      <c r="AV2252"/>
      <c r="AX2252"/>
      <c r="AZ2252" t="str">
        <f t="shared" si="291"/>
        <v/>
      </c>
      <c r="BA2252" t="str">
        <f t="shared" si="292"/>
        <v/>
      </c>
    </row>
    <row r="2253" spans="3:53" ht="13.5">
      <c r="C2253" s="19"/>
      <c r="D2253" s="19"/>
      <c r="AC2253" s="6" t="s">
        <v>2802</v>
      </c>
      <c r="AD2253" s="6" t="s">
        <v>7360</v>
      </c>
      <c r="AE2253" s="155" t="s">
        <v>3002</v>
      </c>
      <c r="AF2253" s="159" t="s">
        <v>8299</v>
      </c>
      <c r="AG2253" s="160" t="s">
        <v>4495</v>
      </c>
      <c r="AH2253" s="194" t="s">
        <v>679</v>
      </c>
      <c r="AI2253" s="6" t="s">
        <v>4055</v>
      </c>
      <c r="AJ2253" s="3" t="s">
        <v>8269</v>
      </c>
      <c r="AK2253" t="s">
        <v>8269</v>
      </c>
      <c r="AV2253"/>
      <c r="AX2253"/>
      <c r="AZ2253" t="str">
        <f t="shared" si="291"/>
        <v/>
      </c>
      <c r="BA2253" t="str">
        <f t="shared" si="292"/>
        <v/>
      </c>
    </row>
    <row r="2254" spans="3:53" ht="13.5">
      <c r="C2254" s="19"/>
      <c r="D2254" s="19"/>
      <c r="AC2254" s="6" t="s">
        <v>3318</v>
      </c>
      <c r="AD2254" s="6" t="s">
        <v>7353</v>
      </c>
      <c r="AE2254" s="155" t="s">
        <v>3003</v>
      </c>
      <c r="AF2254" s="159" t="s">
        <v>8342</v>
      </c>
      <c r="AG2254" s="160" t="s">
        <v>4506</v>
      </c>
      <c r="AH2254" s="194" t="s">
        <v>679</v>
      </c>
      <c r="AI2254" s="6" t="s">
        <v>4056</v>
      </c>
      <c r="AJ2254" s="3" t="s">
        <v>8269</v>
      </c>
      <c r="AK2254" t="s">
        <v>8269</v>
      </c>
      <c r="AV2254"/>
      <c r="AX2254"/>
      <c r="AZ2254" t="str">
        <f t="shared" si="291"/>
        <v/>
      </c>
      <c r="BA2254" t="str">
        <f t="shared" si="292"/>
        <v/>
      </c>
    </row>
    <row r="2255" spans="3:53" ht="13.5">
      <c r="C2255" s="19"/>
      <c r="D2255" s="19"/>
      <c r="AC2255" s="6" t="s">
        <v>3360</v>
      </c>
      <c r="AD2255" s="6" t="s">
        <v>7353</v>
      </c>
      <c r="AE2255" s="155" t="s">
        <v>3004</v>
      </c>
      <c r="AF2255" s="159" t="s">
        <v>8339</v>
      </c>
      <c r="AG2255" s="160" t="s">
        <v>4504</v>
      </c>
      <c r="AH2255" s="194" t="s">
        <v>679</v>
      </c>
      <c r="AI2255" s="6" t="s">
        <v>4057</v>
      </c>
      <c r="AJ2255" s="3" t="s">
        <v>8269</v>
      </c>
      <c r="AK2255" t="s">
        <v>8269</v>
      </c>
      <c r="AV2255"/>
      <c r="AX2255"/>
      <c r="AZ2255" t="str">
        <f t="shared" si="291"/>
        <v/>
      </c>
      <c r="BA2255" t="str">
        <f t="shared" si="292"/>
        <v/>
      </c>
    </row>
    <row r="2256" spans="3:53" ht="13.5">
      <c r="C2256" s="19"/>
      <c r="D2256" s="19"/>
      <c r="AC2256" s="6" t="s">
        <v>4416</v>
      </c>
      <c r="AD2256" s="6" t="s">
        <v>7353</v>
      </c>
      <c r="AE2256" s="155" t="s">
        <v>3005</v>
      </c>
      <c r="AF2256" s="159" t="s">
        <v>8299</v>
      </c>
      <c r="AG2256" s="160" t="s">
        <v>5256</v>
      </c>
      <c r="AH2256" s="194" t="s">
        <v>679</v>
      </c>
      <c r="AI2256" s="6" t="s">
        <v>2596</v>
      </c>
      <c r="AJ2256" s="3" t="s">
        <v>8274</v>
      </c>
      <c r="AK2256" t="s">
        <v>8274</v>
      </c>
      <c r="AV2256"/>
      <c r="AX2256"/>
      <c r="AZ2256" t="str">
        <f t="shared" si="291"/>
        <v/>
      </c>
      <c r="BA2256" t="str">
        <f t="shared" si="292"/>
        <v/>
      </c>
    </row>
    <row r="2257" spans="3:53" ht="13.5">
      <c r="C2257" s="19"/>
      <c r="D2257" s="19"/>
      <c r="AC2257" s="6" t="s">
        <v>3199</v>
      </c>
      <c r="AD2257" s="6" t="s">
        <v>7353</v>
      </c>
      <c r="AE2257" s="155" t="s">
        <v>3006</v>
      </c>
      <c r="AF2257" s="159" t="s">
        <v>8296</v>
      </c>
      <c r="AG2257" s="160" t="s">
        <v>4765</v>
      </c>
      <c r="AH2257" s="194" t="s">
        <v>679</v>
      </c>
      <c r="AI2257" s="6" t="s">
        <v>2500</v>
      </c>
      <c r="AJ2257" s="3" t="s">
        <v>8241</v>
      </c>
      <c r="AK2257" t="s">
        <v>8675</v>
      </c>
      <c r="AV2257"/>
      <c r="AX2257"/>
      <c r="AZ2257" t="str">
        <f t="shared" ref="AZ2257:AZ2320" si="293">IF(ISBLANK(AW2257),"",CONCATENATE("(",RIGHT(AW2257,5),"-",TEXT(AX2257,"h:mm;@"),")"))</f>
        <v/>
      </c>
      <c r="BA2257" t="str">
        <f t="shared" ref="BA2257:BA2320" si="294">IF(AV2273=AV2257,"",CONCATENATE(IF(AV2272=AV2257,BA2272,""),IF(AV2271=AV2257,BA2271,""),IF(AV2270=AV2257,BA2270,""),IF(AV2269=AV2257,BA2269,""),IF(AV2268=AV2257,BA2268,""),IF(AV2267=AV2257,BA2267,""),IF(AV2266=AV2257,BA2266,""),IF(AV2265=AV2257,BA2265,""),IF(AV2264=AV2257,BA2264,""),IF(AV2263=AV2257,BA2263,""),IF(AV2262=AV2257,BA2262,""),IF(AV2261=AV2257,BA2261,""),IF(AV2260=AV2257,BA2260,""),IF(AV2259=AV2257,BA2259,""),IF(AV2258=AV2257,BA2258,""),IF(AV2256=AV2257,BA2256,""),BA2257))</f>
        <v/>
      </c>
    </row>
    <row r="2258" spans="3:53" ht="13.5">
      <c r="C2258" s="19"/>
      <c r="D2258" s="19"/>
      <c r="AC2258" s="6" t="s">
        <v>3145</v>
      </c>
      <c r="AD2258" s="6" t="s">
        <v>7353</v>
      </c>
      <c r="AE2258" s="155" t="s">
        <v>3007</v>
      </c>
      <c r="AF2258" s="159" t="s">
        <v>8299</v>
      </c>
      <c r="AG2258" s="160" t="s">
        <v>5318</v>
      </c>
      <c r="AH2258" s="194" t="s">
        <v>679</v>
      </c>
      <c r="AI2258" s="6" t="s">
        <v>2746</v>
      </c>
      <c r="AJ2258" s="3" t="s">
        <v>8241</v>
      </c>
      <c r="AK2258" t="s">
        <v>8675</v>
      </c>
      <c r="AV2258"/>
      <c r="AX2258"/>
      <c r="AZ2258" t="str">
        <f t="shared" si="293"/>
        <v/>
      </c>
      <c r="BA2258" t="str">
        <f t="shared" si="294"/>
        <v/>
      </c>
    </row>
    <row r="2259" spans="3:53" ht="13.5">
      <c r="C2259" s="19"/>
      <c r="D2259" s="19"/>
      <c r="AC2259" s="6" t="s">
        <v>3154</v>
      </c>
      <c r="AD2259" s="6" t="s">
        <v>7353</v>
      </c>
      <c r="AE2259" s="155" t="s">
        <v>3008</v>
      </c>
      <c r="AF2259" s="159" t="s">
        <v>8438</v>
      </c>
      <c r="AG2259" s="160" t="s">
        <v>5376</v>
      </c>
      <c r="AH2259" s="194" t="s">
        <v>679</v>
      </c>
      <c r="AI2259" s="6" t="s">
        <v>1963</v>
      </c>
      <c r="AJ2259" s="3" t="s">
        <v>8235</v>
      </c>
      <c r="AK2259" t="s">
        <v>8672</v>
      </c>
      <c r="AV2259"/>
      <c r="AX2259"/>
      <c r="AZ2259" t="str">
        <f t="shared" si="293"/>
        <v/>
      </c>
      <c r="BA2259" t="str">
        <f t="shared" si="294"/>
        <v/>
      </c>
    </row>
    <row r="2260" spans="3:53" ht="13.5">
      <c r="C2260" s="19"/>
      <c r="D2260" s="19"/>
      <c r="AC2260" s="6" t="s">
        <v>3328</v>
      </c>
      <c r="AD2260" s="6" t="s">
        <v>7353</v>
      </c>
      <c r="AE2260" s="155" t="s">
        <v>3009</v>
      </c>
      <c r="AF2260" s="159" t="s">
        <v>8339</v>
      </c>
      <c r="AG2260" s="160" t="s">
        <v>5309</v>
      </c>
      <c r="AH2260" s="194" t="s">
        <v>679</v>
      </c>
      <c r="AI2260" s="6" t="s">
        <v>2069</v>
      </c>
      <c r="AJ2260" s="3" t="s">
        <v>8235</v>
      </c>
      <c r="AK2260" t="s">
        <v>8672</v>
      </c>
      <c r="AV2260"/>
      <c r="AX2260"/>
      <c r="AZ2260" t="str">
        <f t="shared" si="293"/>
        <v/>
      </c>
      <c r="BA2260" t="str">
        <f t="shared" si="294"/>
        <v/>
      </c>
    </row>
    <row r="2261" spans="3:53" ht="13.5">
      <c r="C2261" s="19"/>
      <c r="D2261" s="19"/>
      <c r="AC2261" s="6" t="s">
        <v>3350</v>
      </c>
      <c r="AD2261" s="6" t="s">
        <v>7353</v>
      </c>
      <c r="AE2261" s="155" t="s">
        <v>3010</v>
      </c>
      <c r="AF2261" s="159" t="s">
        <v>8439</v>
      </c>
      <c r="AG2261" s="160" t="s">
        <v>5377</v>
      </c>
      <c r="AH2261" s="194" t="s">
        <v>679</v>
      </c>
      <c r="AI2261" s="6" t="s">
        <v>1740</v>
      </c>
      <c r="AJ2261" s="3" t="s">
        <v>8194</v>
      </c>
      <c r="AK2261" t="s">
        <v>8194</v>
      </c>
      <c r="AV2261"/>
      <c r="AX2261"/>
      <c r="AZ2261" t="str">
        <f t="shared" si="293"/>
        <v/>
      </c>
      <c r="BA2261" t="str">
        <f t="shared" si="294"/>
        <v/>
      </c>
    </row>
    <row r="2262" spans="3:53" ht="13.5">
      <c r="C2262" s="19"/>
      <c r="D2262" s="19"/>
      <c r="AC2262" s="6" t="s">
        <v>1213</v>
      </c>
      <c r="AD2262" s="6" t="s">
        <v>7353</v>
      </c>
      <c r="AE2262" s="155" t="s">
        <v>3011</v>
      </c>
      <c r="AF2262" s="159" t="s">
        <v>8312</v>
      </c>
      <c r="AG2262" s="160" t="s">
        <v>5305</v>
      </c>
      <c r="AH2262" s="194" t="s">
        <v>679</v>
      </c>
      <c r="AI2262" s="6" t="s">
        <v>1741</v>
      </c>
      <c r="AJ2262" s="3" t="s">
        <v>8194</v>
      </c>
      <c r="AK2262" t="s">
        <v>8194</v>
      </c>
      <c r="AV2262"/>
      <c r="AX2262"/>
      <c r="AZ2262" t="str">
        <f t="shared" si="293"/>
        <v/>
      </c>
      <c r="BA2262" t="str">
        <f t="shared" si="294"/>
        <v/>
      </c>
    </row>
    <row r="2263" spans="3:53" ht="13.5">
      <c r="C2263" s="19"/>
      <c r="D2263" s="19"/>
      <c r="AC2263" s="6" t="s">
        <v>2937</v>
      </c>
      <c r="AD2263" s="6" t="s">
        <v>7353</v>
      </c>
      <c r="AE2263" s="155" t="s">
        <v>3012</v>
      </c>
      <c r="AF2263" s="159" t="s">
        <v>8339</v>
      </c>
      <c r="AG2263" s="160" t="s">
        <v>5297</v>
      </c>
      <c r="AH2263" s="194" t="s">
        <v>679</v>
      </c>
      <c r="AI2263" s="6" t="s">
        <v>1802</v>
      </c>
      <c r="AJ2263" s="3" t="s">
        <v>8194</v>
      </c>
      <c r="AK2263" t="s">
        <v>8194</v>
      </c>
      <c r="AV2263"/>
      <c r="AX2263"/>
      <c r="AZ2263" t="str">
        <f t="shared" si="293"/>
        <v/>
      </c>
      <c r="BA2263" t="str">
        <f t="shared" si="294"/>
        <v/>
      </c>
    </row>
    <row r="2264" spans="3:53" ht="13.5">
      <c r="C2264" s="19"/>
      <c r="D2264" s="19"/>
      <c r="AC2264" s="6" t="s">
        <v>2980</v>
      </c>
      <c r="AD2264" s="6" t="s">
        <v>7353</v>
      </c>
      <c r="AE2264" s="155" t="s">
        <v>3013</v>
      </c>
      <c r="AF2264" s="159" t="s">
        <v>8339</v>
      </c>
      <c r="AG2264" s="160" t="s">
        <v>5378</v>
      </c>
      <c r="AH2264" s="194" t="s">
        <v>679</v>
      </c>
      <c r="AI2264" s="6" t="s">
        <v>1815</v>
      </c>
      <c r="AJ2264" s="3" t="s">
        <v>8194</v>
      </c>
      <c r="AK2264" t="s">
        <v>8194</v>
      </c>
      <c r="AV2264"/>
      <c r="AX2264"/>
      <c r="AZ2264" t="str">
        <f t="shared" si="293"/>
        <v/>
      </c>
      <c r="BA2264" t="str">
        <f t="shared" si="294"/>
        <v/>
      </c>
    </row>
    <row r="2265" spans="3:53" ht="13.5">
      <c r="C2265" s="19"/>
      <c r="D2265" s="19"/>
      <c r="AC2265" s="6" t="s">
        <v>3171</v>
      </c>
      <c r="AD2265" s="6" t="s">
        <v>7353</v>
      </c>
      <c r="AE2265" s="155" t="s">
        <v>3014</v>
      </c>
      <c r="AF2265" s="159" t="s">
        <v>8342</v>
      </c>
      <c r="AG2265" s="160" t="s">
        <v>5270</v>
      </c>
      <c r="AH2265" s="194" t="s">
        <v>679</v>
      </c>
      <c r="AI2265" s="6" t="s">
        <v>2013</v>
      </c>
      <c r="AJ2265" s="3" t="s">
        <v>8194</v>
      </c>
      <c r="AK2265" t="s">
        <v>8194</v>
      </c>
      <c r="AV2265"/>
      <c r="AX2265"/>
      <c r="AZ2265" t="str">
        <f t="shared" si="293"/>
        <v/>
      </c>
      <c r="BA2265" t="str">
        <f t="shared" si="294"/>
        <v/>
      </c>
    </row>
    <row r="2266" spans="3:53" ht="13.5">
      <c r="C2266" s="19"/>
      <c r="D2266" s="19"/>
      <c r="AC2266" s="6" t="s">
        <v>3123</v>
      </c>
      <c r="AD2266" s="6" t="s">
        <v>7353</v>
      </c>
      <c r="AE2266" s="155" t="s">
        <v>3015</v>
      </c>
      <c r="AF2266" s="159" t="s">
        <v>8299</v>
      </c>
      <c r="AG2266" s="160" t="s">
        <v>172</v>
      </c>
      <c r="AH2266" s="194" t="s">
        <v>678</v>
      </c>
      <c r="AI2266" s="6" t="s">
        <v>2018</v>
      </c>
      <c r="AJ2266" s="3" t="s">
        <v>8194</v>
      </c>
      <c r="AK2266" t="s">
        <v>8194</v>
      </c>
      <c r="AV2266"/>
      <c r="AX2266"/>
      <c r="AZ2266" t="str">
        <f t="shared" si="293"/>
        <v/>
      </c>
      <c r="BA2266" t="str">
        <f t="shared" si="294"/>
        <v/>
      </c>
    </row>
    <row r="2267" spans="3:53" ht="13.5">
      <c r="C2267" s="19"/>
      <c r="D2267" s="19"/>
      <c r="AC2267" s="6" t="s">
        <v>3439</v>
      </c>
      <c r="AD2267" s="6" t="s">
        <v>7353</v>
      </c>
      <c r="AE2267" s="155" t="s">
        <v>3016</v>
      </c>
      <c r="AF2267" s="159" t="s">
        <v>8339</v>
      </c>
      <c r="AG2267" s="160" t="s">
        <v>1426</v>
      </c>
      <c r="AH2267" s="194" t="s">
        <v>678</v>
      </c>
      <c r="AI2267" s="6" t="s">
        <v>2020</v>
      </c>
      <c r="AJ2267" s="3" t="s">
        <v>8194</v>
      </c>
      <c r="AK2267" t="s">
        <v>8194</v>
      </c>
      <c r="AV2267"/>
      <c r="AX2267"/>
      <c r="AZ2267" t="str">
        <f t="shared" si="293"/>
        <v/>
      </c>
      <c r="BA2267" t="str">
        <f t="shared" si="294"/>
        <v/>
      </c>
    </row>
    <row r="2268" spans="3:53" ht="13.5">
      <c r="C2268" s="19"/>
      <c r="D2268" s="19"/>
      <c r="AC2268" s="6" t="s">
        <v>2932</v>
      </c>
      <c r="AD2268" s="6" t="s">
        <v>7353</v>
      </c>
      <c r="AE2268" s="155" t="s">
        <v>3017</v>
      </c>
      <c r="AF2268" s="159" t="s">
        <v>8312</v>
      </c>
      <c r="AG2268" s="160" t="s">
        <v>1427</v>
      </c>
      <c r="AH2268" s="194" t="s">
        <v>678</v>
      </c>
      <c r="AI2268" s="6" t="s">
        <v>2206</v>
      </c>
      <c r="AJ2268" s="3" t="s">
        <v>8194</v>
      </c>
      <c r="AK2268" t="s">
        <v>8194</v>
      </c>
      <c r="AV2268"/>
      <c r="AX2268"/>
      <c r="AZ2268" t="str">
        <f t="shared" si="293"/>
        <v/>
      </c>
      <c r="BA2268" t="str">
        <f t="shared" si="294"/>
        <v/>
      </c>
    </row>
    <row r="2269" spans="3:53" ht="13.5">
      <c r="C2269" s="19"/>
      <c r="D2269" s="19"/>
      <c r="AC2269" s="6" t="s">
        <v>3031</v>
      </c>
      <c r="AD2269" s="6" t="s">
        <v>7353</v>
      </c>
      <c r="AE2269" s="155" t="s">
        <v>3018</v>
      </c>
      <c r="AF2269" s="159" t="s">
        <v>8339</v>
      </c>
      <c r="AG2269" s="160" t="s">
        <v>173</v>
      </c>
      <c r="AH2269" s="194" t="s">
        <v>678</v>
      </c>
      <c r="AI2269" s="6" t="s">
        <v>2209</v>
      </c>
      <c r="AJ2269" s="3" t="s">
        <v>8194</v>
      </c>
      <c r="AK2269" t="s">
        <v>8194</v>
      </c>
      <c r="AV2269"/>
      <c r="AX2269"/>
      <c r="AZ2269" t="str">
        <f t="shared" si="293"/>
        <v/>
      </c>
      <c r="BA2269" t="str">
        <f t="shared" si="294"/>
        <v/>
      </c>
    </row>
    <row r="2270" spans="3:53" ht="13.5">
      <c r="C2270" s="19"/>
      <c r="D2270" s="19"/>
      <c r="AC2270" s="6" t="s">
        <v>3091</v>
      </c>
      <c r="AD2270" s="6" t="s">
        <v>7353</v>
      </c>
      <c r="AE2270" s="155" t="s">
        <v>3019</v>
      </c>
      <c r="AF2270" s="159" t="s">
        <v>8299</v>
      </c>
      <c r="AG2270" s="160" t="s">
        <v>174</v>
      </c>
      <c r="AH2270" s="194" t="s">
        <v>679</v>
      </c>
      <c r="AI2270" s="6" t="s">
        <v>610</v>
      </c>
      <c r="AJ2270" s="3" t="s">
        <v>8202</v>
      </c>
      <c r="AK2270" t="s">
        <v>8202</v>
      </c>
      <c r="AV2270"/>
      <c r="AX2270"/>
      <c r="AZ2270" t="str">
        <f t="shared" si="293"/>
        <v/>
      </c>
      <c r="BA2270" t="str">
        <f t="shared" si="294"/>
        <v/>
      </c>
    </row>
    <row r="2271" spans="3:53" ht="13.5">
      <c r="C2271" s="19"/>
      <c r="D2271" s="19"/>
      <c r="AC2271" s="6" t="s">
        <v>2919</v>
      </c>
      <c r="AD2271" s="6" t="s">
        <v>7353</v>
      </c>
      <c r="AE2271" s="155" t="s">
        <v>3020</v>
      </c>
      <c r="AF2271" s="159" t="s">
        <v>8339</v>
      </c>
      <c r="AG2271" s="160" t="s">
        <v>1428</v>
      </c>
      <c r="AH2271" s="194" t="s">
        <v>679</v>
      </c>
      <c r="AI2271" s="6" t="s">
        <v>613</v>
      </c>
      <c r="AJ2271" s="3" t="s">
        <v>8202</v>
      </c>
      <c r="AK2271" t="s">
        <v>8202</v>
      </c>
      <c r="AV2271"/>
      <c r="AX2271"/>
      <c r="AZ2271" t="str">
        <f t="shared" si="293"/>
        <v/>
      </c>
      <c r="BA2271" t="str">
        <f t="shared" si="294"/>
        <v/>
      </c>
    </row>
    <row r="2272" spans="3:53" ht="13.5">
      <c r="C2272" s="19"/>
      <c r="D2272" s="19"/>
      <c r="AC2272" s="6" t="s">
        <v>5590</v>
      </c>
      <c r="AD2272" s="6" t="s">
        <v>7353</v>
      </c>
      <c r="AE2272" s="155" t="s">
        <v>3021</v>
      </c>
      <c r="AF2272" s="159" t="s">
        <v>8440</v>
      </c>
      <c r="AG2272" s="160" t="s">
        <v>175</v>
      </c>
      <c r="AH2272" s="194" t="s">
        <v>679</v>
      </c>
      <c r="AI2272" s="6" t="s">
        <v>2503</v>
      </c>
      <c r="AJ2272" s="3" t="s">
        <v>8281</v>
      </c>
      <c r="AK2272" t="s">
        <v>8281</v>
      </c>
      <c r="AV2272"/>
      <c r="AX2272"/>
      <c r="AZ2272" t="str">
        <f t="shared" si="293"/>
        <v/>
      </c>
      <c r="BA2272" t="str">
        <f t="shared" si="294"/>
        <v/>
      </c>
    </row>
    <row r="2273" spans="3:53" ht="13.5">
      <c r="C2273" s="19"/>
      <c r="D2273" s="19"/>
      <c r="AC2273" s="6" t="s">
        <v>5591</v>
      </c>
      <c r="AD2273" s="6" t="s">
        <v>7353</v>
      </c>
      <c r="AE2273" s="155" t="s">
        <v>3022</v>
      </c>
      <c r="AF2273" s="159" t="s">
        <v>8441</v>
      </c>
      <c r="AG2273" s="160" t="s">
        <v>1632</v>
      </c>
      <c r="AH2273" s="194" t="s">
        <v>678</v>
      </c>
      <c r="AI2273" s="6" t="s">
        <v>2606</v>
      </c>
      <c r="AJ2273" s="3" t="s">
        <v>8281</v>
      </c>
      <c r="AK2273" t="s">
        <v>8281</v>
      </c>
      <c r="AV2273"/>
      <c r="AX2273"/>
      <c r="AZ2273" t="str">
        <f t="shared" si="293"/>
        <v/>
      </c>
      <c r="BA2273" t="str">
        <f t="shared" si="294"/>
        <v/>
      </c>
    </row>
    <row r="2274" spans="3:53" ht="13.5">
      <c r="C2274" s="19"/>
      <c r="D2274" s="19"/>
      <c r="AC2274" s="6" t="s">
        <v>3116</v>
      </c>
      <c r="AD2274" s="6" t="s">
        <v>7353</v>
      </c>
      <c r="AE2274" s="155" t="s">
        <v>3023</v>
      </c>
      <c r="AF2274" s="159" t="s">
        <v>8339</v>
      </c>
      <c r="AG2274" s="160" t="s">
        <v>5106</v>
      </c>
      <c r="AH2274" s="194" t="s">
        <v>679</v>
      </c>
      <c r="AI2274" s="6" t="s">
        <v>2624</v>
      </c>
      <c r="AJ2274" s="3" t="s">
        <v>8281</v>
      </c>
      <c r="AK2274" t="s">
        <v>8281</v>
      </c>
      <c r="AV2274"/>
      <c r="AX2274"/>
      <c r="AZ2274" t="str">
        <f t="shared" si="293"/>
        <v/>
      </c>
      <c r="BA2274" t="str">
        <f t="shared" si="294"/>
        <v/>
      </c>
    </row>
    <row r="2275" spans="3:53" ht="13.5">
      <c r="C2275" s="19"/>
      <c r="D2275" s="19"/>
      <c r="AC2275" s="6" t="s">
        <v>3413</v>
      </c>
      <c r="AD2275" s="6" t="s">
        <v>7353</v>
      </c>
      <c r="AE2275" s="155" t="s">
        <v>3024</v>
      </c>
      <c r="AF2275" s="159" t="s">
        <v>8309</v>
      </c>
      <c r="AG2275" s="160" t="s">
        <v>2317</v>
      </c>
      <c r="AH2275" s="194" t="s">
        <v>678</v>
      </c>
      <c r="AI2275" s="6" t="s">
        <v>2682</v>
      </c>
      <c r="AJ2275" s="3" t="s">
        <v>8281</v>
      </c>
      <c r="AK2275" t="s">
        <v>8281</v>
      </c>
      <c r="AV2275"/>
      <c r="AX2275"/>
      <c r="AZ2275" t="str">
        <f t="shared" si="293"/>
        <v/>
      </c>
      <c r="BA2275" t="str">
        <f t="shared" si="294"/>
        <v/>
      </c>
    </row>
    <row r="2276" spans="3:53" ht="13.5">
      <c r="C2276" s="19"/>
      <c r="D2276" s="19"/>
      <c r="AC2276" s="6" t="s">
        <v>1287</v>
      </c>
      <c r="AD2276" s="6" t="s">
        <v>7353</v>
      </c>
      <c r="AE2276" s="155" t="s">
        <v>3025</v>
      </c>
      <c r="AF2276" s="159" t="s">
        <v>8339</v>
      </c>
      <c r="AG2276" s="160" t="s">
        <v>1290</v>
      </c>
      <c r="AH2276" s="194" t="s">
        <v>679</v>
      </c>
      <c r="AI2276" s="6" t="s">
        <v>2683</v>
      </c>
      <c r="AJ2276" s="3" t="s">
        <v>8281</v>
      </c>
      <c r="AK2276" t="s">
        <v>8281</v>
      </c>
      <c r="AV2276"/>
      <c r="AX2276"/>
      <c r="AZ2276" t="str">
        <f t="shared" si="293"/>
        <v/>
      </c>
      <c r="BA2276" t="str">
        <f t="shared" si="294"/>
        <v/>
      </c>
    </row>
    <row r="2277" spans="3:53" ht="13.5">
      <c r="C2277" s="19"/>
      <c r="D2277" s="19"/>
      <c r="AC2277" s="6" t="s">
        <v>5722</v>
      </c>
      <c r="AD2277" s="6" t="s">
        <v>7353</v>
      </c>
      <c r="AE2277" s="155" t="s">
        <v>3026</v>
      </c>
      <c r="AF2277" s="159" t="s">
        <v>8299</v>
      </c>
      <c r="AG2277" s="160" t="s">
        <v>2824</v>
      </c>
      <c r="AH2277" s="194" t="s">
        <v>679</v>
      </c>
      <c r="AI2277" s="6" t="s">
        <v>4065</v>
      </c>
      <c r="AJ2277" s="3" t="s">
        <v>8250</v>
      </c>
      <c r="AK2277" t="s">
        <v>8250</v>
      </c>
      <c r="AV2277"/>
      <c r="AX2277"/>
      <c r="AZ2277" t="str">
        <f t="shared" si="293"/>
        <v/>
      </c>
      <c r="BA2277" t="str">
        <f t="shared" si="294"/>
        <v/>
      </c>
    </row>
    <row r="2278" spans="3:53" ht="13.5">
      <c r="C2278" s="19"/>
      <c r="D2278" s="19"/>
      <c r="AC2278" s="6" t="s">
        <v>3254</v>
      </c>
      <c r="AD2278" s="6" t="s">
        <v>7353</v>
      </c>
      <c r="AE2278" s="155" t="s">
        <v>3027</v>
      </c>
      <c r="AF2278" s="159" t="s">
        <v>8320</v>
      </c>
      <c r="AG2278" s="160" t="s">
        <v>1236</v>
      </c>
      <c r="AH2278" s="194" t="s">
        <v>1314</v>
      </c>
      <c r="AI2278" s="6" t="s">
        <v>1113</v>
      </c>
      <c r="AJ2278" s="3" t="s">
        <v>8250</v>
      </c>
      <c r="AK2278" t="s">
        <v>8250</v>
      </c>
      <c r="AV2278"/>
      <c r="AX2278"/>
      <c r="AZ2278" t="str">
        <f t="shared" si="293"/>
        <v/>
      </c>
      <c r="BA2278" t="str">
        <f t="shared" si="294"/>
        <v/>
      </c>
    </row>
    <row r="2279" spans="3:53" ht="13.5">
      <c r="C2279" s="19"/>
      <c r="D2279" s="19"/>
      <c r="AC2279" s="6" t="s">
        <v>3075</v>
      </c>
      <c r="AD2279" s="6" t="s">
        <v>7353</v>
      </c>
      <c r="AE2279" s="155" t="s">
        <v>3028</v>
      </c>
      <c r="AF2279" s="159" t="s">
        <v>8299</v>
      </c>
      <c r="AG2279" s="160" t="s">
        <v>1238</v>
      </c>
      <c r="AH2279" s="194" t="s">
        <v>679</v>
      </c>
      <c r="AI2279" s="6" t="s">
        <v>4071</v>
      </c>
      <c r="AJ2279" s="3" t="s">
        <v>8250</v>
      </c>
      <c r="AK2279" t="s">
        <v>8250</v>
      </c>
      <c r="AV2279"/>
      <c r="AX2279"/>
      <c r="AZ2279" t="str">
        <f t="shared" si="293"/>
        <v/>
      </c>
      <c r="BA2279" t="str">
        <f t="shared" si="294"/>
        <v/>
      </c>
    </row>
    <row r="2280" spans="3:53" ht="13.5">
      <c r="C2280" s="19"/>
      <c r="D2280" s="19"/>
      <c r="AC2280" s="6" t="s">
        <v>2992</v>
      </c>
      <c r="AD2280" s="6" t="s">
        <v>7353</v>
      </c>
      <c r="AE2280" s="155" t="s">
        <v>3029</v>
      </c>
      <c r="AF2280" s="159" t="s">
        <v>8339</v>
      </c>
      <c r="AG2280" s="160" t="s">
        <v>5074</v>
      </c>
      <c r="AH2280" s="194" t="s">
        <v>679</v>
      </c>
      <c r="AI2280" s="6" t="s">
        <v>4073</v>
      </c>
      <c r="AJ2280" s="3" t="s">
        <v>8233</v>
      </c>
      <c r="AK2280" t="s">
        <v>8233</v>
      </c>
      <c r="AV2280"/>
      <c r="AX2280"/>
      <c r="AZ2280" t="str">
        <f t="shared" si="293"/>
        <v/>
      </c>
      <c r="BA2280" t="str">
        <f t="shared" si="294"/>
        <v/>
      </c>
    </row>
    <row r="2281" spans="3:53" ht="13.5">
      <c r="C2281" s="19"/>
      <c r="D2281" s="19"/>
      <c r="AC2281" s="6" t="s">
        <v>2978</v>
      </c>
      <c r="AD2281" s="6" t="s">
        <v>7353</v>
      </c>
      <c r="AE2281" s="155" t="s">
        <v>3030</v>
      </c>
      <c r="AF2281" s="159" t="s">
        <v>8339</v>
      </c>
      <c r="AG2281" s="160" t="s">
        <v>1240</v>
      </c>
      <c r="AH2281" s="194" t="s">
        <v>1314</v>
      </c>
      <c r="AI2281" s="6" t="s">
        <v>4074</v>
      </c>
      <c r="AJ2281" s="3" t="s">
        <v>8250</v>
      </c>
      <c r="AK2281" t="s">
        <v>8250</v>
      </c>
      <c r="AV2281"/>
      <c r="AX2281"/>
      <c r="AZ2281" t="str">
        <f t="shared" si="293"/>
        <v/>
      </c>
      <c r="BA2281" t="str">
        <f t="shared" si="294"/>
        <v/>
      </c>
    </row>
    <row r="2282" spans="3:53" ht="13.5">
      <c r="C2282" s="19"/>
      <c r="D2282" s="19"/>
      <c r="AC2282" s="6" t="s">
        <v>3143</v>
      </c>
      <c r="AD2282" s="6" t="s">
        <v>7353</v>
      </c>
      <c r="AE2282" s="155" t="s">
        <v>3031</v>
      </c>
      <c r="AF2282" s="159" t="s">
        <v>8345</v>
      </c>
      <c r="AG2282" s="160" t="s">
        <v>2794</v>
      </c>
      <c r="AH2282" s="194" t="s">
        <v>679</v>
      </c>
      <c r="AI2282" s="6" t="s">
        <v>4079</v>
      </c>
      <c r="AJ2282" s="3" t="s">
        <v>8268</v>
      </c>
      <c r="AK2282" t="s">
        <v>8268</v>
      </c>
      <c r="AV2282"/>
      <c r="AX2282"/>
      <c r="AZ2282" t="str">
        <f t="shared" si="293"/>
        <v/>
      </c>
      <c r="BA2282" t="str">
        <f t="shared" si="294"/>
        <v/>
      </c>
    </row>
    <row r="2283" spans="3:53" ht="13.5">
      <c r="C2283" s="19"/>
      <c r="D2283" s="19"/>
      <c r="AC2283" s="6" t="s">
        <v>5387</v>
      </c>
      <c r="AD2283" s="6" t="s">
        <v>7353</v>
      </c>
      <c r="AE2283" s="155" t="s">
        <v>3032</v>
      </c>
      <c r="AF2283" s="159" t="s">
        <v>8339</v>
      </c>
      <c r="AG2283" s="160" t="s">
        <v>3859</v>
      </c>
      <c r="AH2283" s="194" t="s">
        <v>1314</v>
      </c>
      <c r="AI2283" s="6" t="s">
        <v>2504</v>
      </c>
      <c r="AJ2283" s="3" t="s">
        <v>8255</v>
      </c>
      <c r="AK2283" t="s">
        <v>8255</v>
      </c>
      <c r="AV2283"/>
      <c r="AX2283"/>
      <c r="AZ2283" t="str">
        <f t="shared" si="293"/>
        <v/>
      </c>
      <c r="BA2283" t="str">
        <f t="shared" si="294"/>
        <v/>
      </c>
    </row>
    <row r="2284" spans="3:53" ht="13.5">
      <c r="C2284" s="19"/>
      <c r="D2284" s="19"/>
      <c r="AC2284" s="6" t="s">
        <v>3094</v>
      </c>
      <c r="AD2284" s="6" t="s">
        <v>7353</v>
      </c>
      <c r="AE2284" s="155" t="s">
        <v>3033</v>
      </c>
      <c r="AF2284" s="159" t="s">
        <v>8299</v>
      </c>
      <c r="AG2284" s="160" t="s">
        <v>2487</v>
      </c>
      <c r="AH2284" s="194" t="s">
        <v>1314</v>
      </c>
      <c r="AI2284" s="6" t="s">
        <v>2539</v>
      </c>
      <c r="AJ2284" s="3" t="s">
        <v>8255</v>
      </c>
      <c r="AK2284" t="s">
        <v>8255</v>
      </c>
      <c r="AV2284"/>
      <c r="AX2284"/>
      <c r="AZ2284" t="str">
        <f t="shared" si="293"/>
        <v/>
      </c>
      <c r="BA2284" t="str">
        <f t="shared" si="294"/>
        <v/>
      </c>
    </row>
    <row r="2285" spans="3:53" ht="13.5">
      <c r="C2285" s="19"/>
      <c r="D2285" s="19"/>
      <c r="AC2285" s="6" t="s">
        <v>3160</v>
      </c>
      <c r="AD2285" s="6" t="s">
        <v>7353</v>
      </c>
      <c r="AE2285" s="155" t="s">
        <v>3034</v>
      </c>
      <c r="AF2285" s="159" t="s">
        <v>8375</v>
      </c>
      <c r="AG2285" s="160" t="s">
        <v>2535</v>
      </c>
      <c r="AH2285" s="194" t="s">
        <v>1314</v>
      </c>
      <c r="AI2285" s="6" t="s">
        <v>2690</v>
      </c>
      <c r="AJ2285" s="3" t="s">
        <v>8255</v>
      </c>
      <c r="AK2285" t="s">
        <v>8255</v>
      </c>
      <c r="AV2285"/>
      <c r="AX2285"/>
      <c r="AZ2285" t="str">
        <f t="shared" si="293"/>
        <v/>
      </c>
      <c r="BA2285" t="str">
        <f t="shared" si="294"/>
        <v/>
      </c>
    </row>
    <row r="2286" spans="3:53" ht="13.5">
      <c r="C2286" s="19"/>
      <c r="D2286" s="19"/>
      <c r="AC2286" s="6" t="s">
        <v>3330</v>
      </c>
      <c r="AD2286" s="6" t="s">
        <v>7353</v>
      </c>
      <c r="AE2286" s="155" t="s">
        <v>3035</v>
      </c>
      <c r="AF2286" s="159" t="s">
        <v>8442</v>
      </c>
      <c r="AG2286" s="160" t="s">
        <v>2633</v>
      </c>
      <c r="AH2286" s="194" t="s">
        <v>679</v>
      </c>
      <c r="AI2286" s="6" t="s">
        <v>46</v>
      </c>
      <c r="AJ2286" s="3" t="s">
        <v>8261</v>
      </c>
      <c r="AK2286" t="s">
        <v>8261</v>
      </c>
      <c r="AV2286"/>
      <c r="AX2286"/>
      <c r="AZ2286" t="str">
        <f t="shared" si="293"/>
        <v/>
      </c>
      <c r="BA2286" t="str">
        <f t="shared" si="294"/>
        <v/>
      </c>
    </row>
    <row r="2287" spans="3:53" ht="13.5">
      <c r="C2287" s="19"/>
      <c r="D2287" s="19"/>
      <c r="AC2287" s="6" t="s">
        <v>3052</v>
      </c>
      <c r="AD2287" s="6" t="s">
        <v>7353</v>
      </c>
      <c r="AE2287" s="155" t="s">
        <v>3036</v>
      </c>
      <c r="AF2287" s="159" t="s">
        <v>8339</v>
      </c>
      <c r="AG2287" s="160" t="s">
        <v>2634</v>
      </c>
      <c r="AH2287" s="194" t="s">
        <v>1314</v>
      </c>
      <c r="AI2287" s="6" t="s">
        <v>5731</v>
      </c>
      <c r="AJ2287" s="3" t="s">
        <v>8261</v>
      </c>
      <c r="AK2287" t="s">
        <v>8261</v>
      </c>
      <c r="AV2287"/>
      <c r="AX2287"/>
      <c r="AZ2287" t="str">
        <f t="shared" si="293"/>
        <v/>
      </c>
      <c r="BA2287" t="str">
        <f t="shared" si="294"/>
        <v/>
      </c>
    </row>
    <row r="2288" spans="3:53" ht="13.5">
      <c r="C2288" s="19"/>
      <c r="D2288" s="19"/>
      <c r="AC2288" s="6" t="s">
        <v>4428</v>
      </c>
      <c r="AD2288" s="6" t="s">
        <v>7353</v>
      </c>
      <c r="AE2288" s="155" t="s">
        <v>3037</v>
      </c>
      <c r="AF2288" s="159" t="s">
        <v>8342</v>
      </c>
      <c r="AG2288" s="160" t="s">
        <v>2635</v>
      </c>
      <c r="AH2288" s="194" t="s">
        <v>679</v>
      </c>
      <c r="AI2288" s="6" t="s">
        <v>618</v>
      </c>
      <c r="AJ2288" s="3" t="s">
        <v>8224</v>
      </c>
      <c r="AK2288" t="s">
        <v>8224</v>
      </c>
      <c r="AV2288"/>
      <c r="AX2288"/>
      <c r="AZ2288" t="str">
        <f t="shared" si="293"/>
        <v/>
      </c>
      <c r="BA2288" t="str">
        <f t="shared" si="294"/>
        <v/>
      </c>
    </row>
    <row r="2289" spans="3:53" ht="13.5">
      <c r="C2289" s="19"/>
      <c r="D2289" s="19"/>
      <c r="AC2289" s="6" t="s">
        <v>3093</v>
      </c>
      <c r="AD2289" s="6" t="s">
        <v>7353</v>
      </c>
      <c r="AE2289" s="155" t="s">
        <v>3038</v>
      </c>
      <c r="AF2289" s="159" t="s">
        <v>8339</v>
      </c>
      <c r="AG2289" s="160" t="s">
        <v>2638</v>
      </c>
      <c r="AH2289" s="194" t="s">
        <v>1314</v>
      </c>
      <c r="AI2289" s="6" t="s">
        <v>619</v>
      </c>
      <c r="AJ2289" s="3" t="s">
        <v>8224</v>
      </c>
      <c r="AK2289" t="s">
        <v>8224</v>
      </c>
      <c r="AV2289"/>
      <c r="AX2289"/>
      <c r="AZ2289" t="str">
        <f t="shared" si="293"/>
        <v/>
      </c>
      <c r="BA2289" t="str">
        <f t="shared" si="294"/>
        <v/>
      </c>
    </row>
    <row r="2290" spans="3:53" ht="13.5">
      <c r="C2290" s="19"/>
      <c r="D2290" s="19"/>
      <c r="AC2290" s="6" t="s">
        <v>3361</v>
      </c>
      <c r="AD2290" s="6" t="s">
        <v>7353</v>
      </c>
      <c r="AE2290" s="155" t="s">
        <v>3039</v>
      </c>
      <c r="AF2290" s="159" t="s">
        <v>8299</v>
      </c>
      <c r="AG2290" s="160" t="s">
        <v>2814</v>
      </c>
      <c r="AH2290" s="194" t="s">
        <v>1314</v>
      </c>
      <c r="AI2290" s="6" t="s">
        <v>620</v>
      </c>
      <c r="AJ2290" s="3" t="s">
        <v>8224</v>
      </c>
      <c r="AK2290" t="s">
        <v>8224</v>
      </c>
      <c r="AV2290"/>
      <c r="AX2290"/>
      <c r="AZ2290" t="str">
        <f t="shared" si="293"/>
        <v/>
      </c>
      <c r="BA2290" t="str">
        <f t="shared" si="294"/>
        <v/>
      </c>
    </row>
    <row r="2291" spans="3:53" ht="13.5">
      <c r="C2291" s="19"/>
      <c r="D2291" s="19"/>
      <c r="AC2291" s="6" t="s">
        <v>3019</v>
      </c>
      <c r="AD2291" s="6" t="s">
        <v>7353</v>
      </c>
      <c r="AE2291" s="155" t="s">
        <v>3040</v>
      </c>
      <c r="AF2291" s="159" t="s">
        <v>8320</v>
      </c>
      <c r="AG2291" s="160" t="s">
        <v>3860</v>
      </c>
      <c r="AH2291" s="194" t="s">
        <v>1314</v>
      </c>
      <c r="AI2291" s="6" t="s">
        <v>2193</v>
      </c>
      <c r="AJ2291" s="3" t="s">
        <v>8221</v>
      </c>
      <c r="AK2291" t="s">
        <v>8669</v>
      </c>
      <c r="AV2291"/>
      <c r="AX2291"/>
      <c r="AZ2291" t="str">
        <f t="shared" si="293"/>
        <v/>
      </c>
      <c r="BA2291" t="str">
        <f t="shared" si="294"/>
        <v/>
      </c>
    </row>
    <row r="2292" spans="3:53" ht="13.5">
      <c r="C2292" s="19"/>
      <c r="D2292" s="19"/>
      <c r="AC2292" s="6" t="s">
        <v>3192</v>
      </c>
      <c r="AD2292" s="6" t="s">
        <v>7353</v>
      </c>
      <c r="AE2292" s="155" t="s">
        <v>3041</v>
      </c>
      <c r="AF2292" s="159" t="s">
        <v>8297</v>
      </c>
      <c r="AG2292" s="160" t="s">
        <v>3861</v>
      </c>
      <c r="AH2292" s="194" t="s">
        <v>1314</v>
      </c>
      <c r="AI2292" s="6" t="s">
        <v>2567</v>
      </c>
      <c r="AJ2292" s="3" t="s">
        <v>8226</v>
      </c>
      <c r="AK2292" t="s">
        <v>8671</v>
      </c>
      <c r="AV2292"/>
      <c r="AX2292"/>
      <c r="AZ2292" t="str">
        <f t="shared" si="293"/>
        <v/>
      </c>
      <c r="BA2292" t="str">
        <f t="shared" si="294"/>
        <v/>
      </c>
    </row>
    <row r="2293" spans="3:53" ht="13.5">
      <c r="C2293" s="19"/>
      <c r="D2293" s="19"/>
      <c r="AC2293" s="6" t="s">
        <v>3427</v>
      </c>
      <c r="AD2293" s="6" t="s">
        <v>7353</v>
      </c>
      <c r="AE2293" s="155" t="s">
        <v>3042</v>
      </c>
      <c r="AF2293" s="159" t="s">
        <v>8339</v>
      </c>
      <c r="AG2293" s="160" t="s">
        <v>4461</v>
      </c>
      <c r="AH2293" s="194" t="s">
        <v>1314</v>
      </c>
      <c r="AI2293" s="6" t="s">
        <v>2667</v>
      </c>
      <c r="AJ2293" s="3" t="s">
        <v>8226</v>
      </c>
      <c r="AK2293" t="s">
        <v>8671</v>
      </c>
      <c r="AV2293"/>
      <c r="AX2293"/>
      <c r="AZ2293" t="str">
        <f t="shared" si="293"/>
        <v/>
      </c>
      <c r="BA2293" t="str">
        <f t="shared" si="294"/>
        <v/>
      </c>
    </row>
    <row r="2294" spans="3:53" ht="13.5">
      <c r="C2294" s="19"/>
      <c r="D2294" s="19"/>
      <c r="AC2294" s="6" t="s">
        <v>1214</v>
      </c>
      <c r="AD2294" s="6" t="s">
        <v>7353</v>
      </c>
      <c r="AE2294" s="155" t="s">
        <v>3043</v>
      </c>
      <c r="AF2294" s="159" t="s">
        <v>8299</v>
      </c>
      <c r="AG2294" s="160" t="s">
        <v>3862</v>
      </c>
      <c r="AH2294" s="194" t="s">
        <v>679</v>
      </c>
      <c r="AI2294" s="6" t="s">
        <v>5457</v>
      </c>
      <c r="AJ2294" s="3" t="s">
        <v>8226</v>
      </c>
      <c r="AK2294" t="s">
        <v>8671</v>
      </c>
      <c r="AV2294"/>
      <c r="AX2294"/>
      <c r="AZ2294" t="str">
        <f t="shared" si="293"/>
        <v/>
      </c>
      <c r="BA2294" t="str">
        <f t="shared" si="294"/>
        <v/>
      </c>
    </row>
    <row r="2295" spans="3:53" ht="13.5">
      <c r="C2295" s="19"/>
      <c r="D2295" s="19"/>
      <c r="AC2295" s="6" t="s">
        <v>3499</v>
      </c>
      <c r="AD2295" s="6" t="s">
        <v>7426</v>
      </c>
      <c r="AE2295" s="155" t="s">
        <v>3044</v>
      </c>
      <c r="AF2295" s="159" t="s">
        <v>8339</v>
      </c>
      <c r="AG2295" s="160" t="s">
        <v>3863</v>
      </c>
      <c r="AH2295" s="194" t="s">
        <v>679</v>
      </c>
      <c r="AI2295" s="6" t="s">
        <v>4086</v>
      </c>
      <c r="AJ2295" s="3" t="s">
        <v>8214</v>
      </c>
      <c r="AK2295" t="s">
        <v>8214</v>
      </c>
      <c r="AV2295"/>
      <c r="AX2295"/>
      <c r="AZ2295" t="str">
        <f t="shared" si="293"/>
        <v/>
      </c>
      <c r="BA2295" t="str">
        <f t="shared" si="294"/>
        <v/>
      </c>
    </row>
    <row r="2296" spans="3:53" ht="13.5">
      <c r="C2296" s="19"/>
      <c r="D2296" s="19"/>
      <c r="AC2296" s="6" t="s">
        <v>2945</v>
      </c>
      <c r="AD2296" s="6" t="s">
        <v>7353</v>
      </c>
      <c r="AE2296" s="155" t="s">
        <v>3045</v>
      </c>
      <c r="AF2296" s="159" t="s">
        <v>8356</v>
      </c>
      <c r="AG2296" s="160" t="s">
        <v>3864</v>
      </c>
      <c r="AH2296" s="194" t="s">
        <v>679</v>
      </c>
      <c r="AI2296" s="6" t="s">
        <v>6669</v>
      </c>
      <c r="AJ2296" s="3" t="s">
        <v>8202</v>
      </c>
      <c r="AK2296" t="s">
        <v>8202</v>
      </c>
      <c r="AV2296"/>
      <c r="AX2296"/>
      <c r="AZ2296" t="str">
        <f t="shared" si="293"/>
        <v/>
      </c>
      <c r="BA2296" t="str">
        <f t="shared" si="294"/>
        <v/>
      </c>
    </row>
    <row r="2297" spans="3:53" ht="13.5">
      <c r="C2297" s="19"/>
      <c r="D2297" s="19"/>
      <c r="AC2297" s="6" t="s">
        <v>3351</v>
      </c>
      <c r="AD2297" s="6" t="s">
        <v>7353</v>
      </c>
      <c r="AE2297" s="155" t="s">
        <v>3046</v>
      </c>
      <c r="AF2297" s="159" t="s">
        <v>8299</v>
      </c>
      <c r="AG2297" s="160" t="s">
        <v>3865</v>
      </c>
      <c r="AH2297" s="194" t="s">
        <v>679</v>
      </c>
      <c r="AI2297" s="6" t="s">
        <v>862</v>
      </c>
      <c r="AJ2297" s="3" t="s">
        <v>8215</v>
      </c>
      <c r="AK2297" t="s">
        <v>8215</v>
      </c>
      <c r="AV2297"/>
      <c r="AX2297"/>
      <c r="AZ2297" t="str">
        <f t="shared" si="293"/>
        <v/>
      </c>
      <c r="BA2297" t="str">
        <f t="shared" si="294"/>
        <v/>
      </c>
    </row>
    <row r="2298" spans="3:53" ht="13.5">
      <c r="C2298" s="19"/>
      <c r="D2298" s="19"/>
      <c r="AC2298" s="6" t="s">
        <v>4419</v>
      </c>
      <c r="AD2298" s="6" t="s">
        <v>7353</v>
      </c>
      <c r="AE2298" s="155" t="s">
        <v>3047</v>
      </c>
      <c r="AF2298" s="159" t="s">
        <v>8342</v>
      </c>
      <c r="AG2298" s="160" t="s">
        <v>3866</v>
      </c>
      <c r="AH2298" s="194" t="s">
        <v>679</v>
      </c>
      <c r="AI2298" s="6" t="s">
        <v>865</v>
      </c>
      <c r="AJ2298" s="3" t="s">
        <v>8215</v>
      </c>
      <c r="AK2298" t="s">
        <v>8215</v>
      </c>
      <c r="AV2298"/>
      <c r="AX2298"/>
      <c r="AZ2298" t="str">
        <f t="shared" si="293"/>
        <v/>
      </c>
      <c r="BA2298" t="str">
        <f t="shared" si="294"/>
        <v/>
      </c>
    </row>
    <row r="2299" spans="3:53" ht="13.5">
      <c r="C2299" s="19"/>
      <c r="D2299" s="19"/>
      <c r="AC2299" s="6" t="s">
        <v>3484</v>
      </c>
      <c r="AD2299" s="6" t="s">
        <v>7427</v>
      </c>
      <c r="AE2299" s="155" t="s">
        <v>3048</v>
      </c>
      <c r="AF2299" s="159" t="s">
        <v>8299</v>
      </c>
      <c r="AG2299" s="160" t="s">
        <v>3867</v>
      </c>
      <c r="AH2299" s="194" t="s">
        <v>1314</v>
      </c>
      <c r="AI2299" s="6" t="s">
        <v>1744</v>
      </c>
      <c r="AJ2299" s="3" t="s">
        <v>8257</v>
      </c>
      <c r="AK2299" t="s">
        <v>8257</v>
      </c>
      <c r="AV2299"/>
      <c r="AX2299"/>
      <c r="AZ2299" t="str">
        <f t="shared" si="293"/>
        <v/>
      </c>
      <c r="BA2299" t="str">
        <f t="shared" si="294"/>
        <v/>
      </c>
    </row>
    <row r="2300" spans="3:53" ht="13.5">
      <c r="C2300" s="19"/>
      <c r="D2300" s="19"/>
      <c r="AC2300" s="6" t="s">
        <v>3202</v>
      </c>
      <c r="AD2300" s="6" t="s">
        <v>7353</v>
      </c>
      <c r="AE2300" s="155" t="s">
        <v>2830</v>
      </c>
      <c r="AF2300" s="159" t="s">
        <v>8299</v>
      </c>
      <c r="AG2300" s="160" t="s">
        <v>3868</v>
      </c>
      <c r="AH2300" s="194" t="s">
        <v>679</v>
      </c>
      <c r="AI2300" s="6" t="s">
        <v>868</v>
      </c>
      <c r="AJ2300" s="3" t="s">
        <v>8257</v>
      </c>
      <c r="AK2300" t="s">
        <v>8257</v>
      </c>
      <c r="AV2300"/>
      <c r="AX2300"/>
      <c r="AZ2300" t="str">
        <f t="shared" si="293"/>
        <v/>
      </c>
      <c r="BA2300" t="str">
        <f t="shared" si="294"/>
        <v/>
      </c>
    </row>
    <row r="2301" spans="3:53" ht="13.5">
      <c r="C2301" s="19"/>
      <c r="D2301" s="19"/>
      <c r="AC2301" s="6" t="s">
        <v>3331</v>
      </c>
      <c r="AD2301" s="6" t="s">
        <v>7353</v>
      </c>
      <c r="AE2301" s="155" t="s">
        <v>3050</v>
      </c>
      <c r="AF2301" s="159" t="s">
        <v>8299</v>
      </c>
      <c r="AG2301" s="160" t="s">
        <v>1295</v>
      </c>
      <c r="AH2301" s="194" t="s">
        <v>679</v>
      </c>
      <c r="AI2301" s="6" t="s">
        <v>1838</v>
      </c>
      <c r="AJ2301" s="3" t="s">
        <v>8248</v>
      </c>
      <c r="AK2301" t="s">
        <v>8248</v>
      </c>
      <c r="AV2301"/>
      <c r="AX2301"/>
      <c r="AZ2301" t="str">
        <f t="shared" si="293"/>
        <v/>
      </c>
      <c r="BA2301" t="str">
        <f t="shared" si="294"/>
        <v/>
      </c>
    </row>
    <row r="2302" spans="3:53" ht="13.5">
      <c r="C2302" s="19"/>
      <c r="D2302" s="19"/>
      <c r="AC2302" s="6" t="s">
        <v>3200</v>
      </c>
      <c r="AD2302" s="6" t="s">
        <v>7353</v>
      </c>
      <c r="AE2302" s="155" t="s">
        <v>3051</v>
      </c>
      <c r="AF2302" s="159" t="s">
        <v>8299</v>
      </c>
      <c r="AG2302" s="160" t="s">
        <v>3869</v>
      </c>
      <c r="AH2302" s="194" t="s">
        <v>679</v>
      </c>
      <c r="AI2302" s="6" t="s">
        <v>6699</v>
      </c>
      <c r="AJ2302" s="3" t="s">
        <v>8202</v>
      </c>
      <c r="AK2302" t="s">
        <v>8202</v>
      </c>
      <c r="AV2302"/>
      <c r="AX2302"/>
      <c r="AZ2302" t="str">
        <f t="shared" si="293"/>
        <v/>
      </c>
      <c r="BA2302" t="str">
        <f t="shared" si="294"/>
        <v/>
      </c>
    </row>
    <row r="2303" spans="3:53" ht="13.5">
      <c r="C2303" s="19"/>
      <c r="D2303" s="19"/>
      <c r="AC2303" s="6" t="s">
        <v>3195</v>
      </c>
      <c r="AD2303" s="6" t="s">
        <v>7353</v>
      </c>
      <c r="AE2303" s="155" t="s">
        <v>3052</v>
      </c>
      <c r="AF2303" s="159" t="s">
        <v>8339</v>
      </c>
      <c r="AG2303" s="160" t="s">
        <v>3870</v>
      </c>
      <c r="AH2303" s="194" t="s">
        <v>679</v>
      </c>
      <c r="AI2303" s="6" t="s">
        <v>6714</v>
      </c>
      <c r="AJ2303" s="3" t="s">
        <v>8202</v>
      </c>
      <c r="AK2303" t="s">
        <v>8202</v>
      </c>
      <c r="AV2303"/>
      <c r="AX2303"/>
      <c r="AZ2303" t="str">
        <f t="shared" si="293"/>
        <v/>
      </c>
      <c r="BA2303" t="str">
        <f t="shared" si="294"/>
        <v/>
      </c>
    </row>
    <row r="2304" spans="3:53" ht="13.5">
      <c r="C2304" s="19"/>
      <c r="D2304" s="19"/>
      <c r="AC2304" s="6" t="s">
        <v>3308</v>
      </c>
      <c r="AD2304" s="6" t="s">
        <v>7353</v>
      </c>
      <c r="AE2304" s="155" t="s">
        <v>3053</v>
      </c>
      <c r="AF2304" s="159" t="s">
        <v>8299</v>
      </c>
      <c r="AG2304" s="160" t="s">
        <v>3871</v>
      </c>
      <c r="AH2304" s="194" t="s">
        <v>679</v>
      </c>
      <c r="AI2304" s="6" t="s">
        <v>5543</v>
      </c>
      <c r="AJ2304" s="3" t="s">
        <v>8257</v>
      </c>
      <c r="AK2304" t="s">
        <v>8257</v>
      </c>
      <c r="AV2304"/>
      <c r="AX2304"/>
      <c r="AZ2304" t="str">
        <f t="shared" si="293"/>
        <v/>
      </c>
      <c r="BA2304" t="str">
        <f t="shared" si="294"/>
        <v/>
      </c>
    </row>
    <row r="2305" spans="3:53" ht="13.5">
      <c r="C2305" s="19"/>
      <c r="D2305" s="19"/>
      <c r="AC2305" s="6" t="s">
        <v>2989</v>
      </c>
      <c r="AD2305" s="6" t="s">
        <v>7353</v>
      </c>
      <c r="AE2305" s="155" t="s">
        <v>3054</v>
      </c>
      <c r="AF2305" s="159" t="s">
        <v>8339</v>
      </c>
      <c r="AG2305" s="160" t="s">
        <v>3872</v>
      </c>
      <c r="AH2305" s="194" t="s">
        <v>679</v>
      </c>
      <c r="AI2305" s="6" t="s">
        <v>874</v>
      </c>
      <c r="AJ2305" s="3" t="s">
        <v>8215</v>
      </c>
      <c r="AK2305" t="s">
        <v>8215</v>
      </c>
      <c r="AV2305"/>
      <c r="AX2305"/>
      <c r="AZ2305" t="str">
        <f t="shared" si="293"/>
        <v/>
      </c>
      <c r="BA2305" t="str">
        <f t="shared" si="294"/>
        <v/>
      </c>
    </row>
    <row r="2306" spans="3:53" ht="13.5">
      <c r="C2306" s="19"/>
      <c r="D2306" s="19"/>
      <c r="AC2306" s="6" t="s">
        <v>2927</v>
      </c>
      <c r="AD2306" s="6" t="s">
        <v>7353</v>
      </c>
      <c r="AE2306" s="155" t="s">
        <v>3055</v>
      </c>
      <c r="AF2306" s="159" t="s">
        <v>8299</v>
      </c>
      <c r="AG2306" s="160" t="s">
        <v>3873</v>
      </c>
      <c r="AH2306" s="194" t="s">
        <v>679</v>
      </c>
      <c r="AI2306" s="6" t="s">
        <v>882</v>
      </c>
      <c r="AJ2306" s="3" t="s">
        <v>8215</v>
      </c>
      <c r="AK2306" t="s">
        <v>8215</v>
      </c>
      <c r="AV2306"/>
      <c r="AX2306"/>
      <c r="AZ2306" t="str">
        <f t="shared" si="293"/>
        <v/>
      </c>
      <c r="BA2306" t="str">
        <f t="shared" si="294"/>
        <v/>
      </c>
    </row>
    <row r="2307" spans="3:53" ht="13.5">
      <c r="C2307" s="19"/>
      <c r="D2307" s="19"/>
      <c r="AC2307" s="6" t="s">
        <v>3292</v>
      </c>
      <c r="AD2307" s="6" t="s">
        <v>7353</v>
      </c>
      <c r="AE2307" s="155" t="s">
        <v>3056</v>
      </c>
      <c r="AF2307" s="159" t="s">
        <v>8299</v>
      </c>
      <c r="AG2307" s="160" t="s">
        <v>5193</v>
      </c>
      <c r="AH2307" s="194" t="s">
        <v>679</v>
      </c>
      <c r="AI2307" s="6" t="s">
        <v>893</v>
      </c>
      <c r="AJ2307" s="3" t="s">
        <v>8257</v>
      </c>
      <c r="AK2307" t="s">
        <v>8257</v>
      </c>
      <c r="AV2307"/>
      <c r="AX2307"/>
      <c r="AZ2307" t="str">
        <f t="shared" si="293"/>
        <v/>
      </c>
      <c r="BA2307" t="str">
        <f t="shared" si="294"/>
        <v/>
      </c>
    </row>
    <row r="2308" spans="3:53" ht="13.5">
      <c r="C2308" s="19"/>
      <c r="D2308" s="19"/>
      <c r="AC2308" s="6" t="s">
        <v>3250</v>
      </c>
      <c r="AD2308" s="6" t="s">
        <v>7353</v>
      </c>
      <c r="AE2308" s="155" t="s">
        <v>3057</v>
      </c>
      <c r="AF2308" s="159" t="s">
        <v>8358</v>
      </c>
      <c r="AG2308" s="160" t="s">
        <v>5110</v>
      </c>
      <c r="AH2308" s="194" t="s">
        <v>1314</v>
      </c>
      <c r="AI2308" s="6" t="s">
        <v>897</v>
      </c>
      <c r="AJ2308" s="3" t="s">
        <v>8257</v>
      </c>
      <c r="AK2308" t="s">
        <v>8257</v>
      </c>
      <c r="AV2308"/>
      <c r="AX2308"/>
      <c r="AZ2308" t="str">
        <f t="shared" si="293"/>
        <v/>
      </c>
      <c r="BA2308" t="str">
        <f t="shared" si="294"/>
        <v/>
      </c>
    </row>
    <row r="2309" spans="3:53" ht="13.5">
      <c r="C2309" s="19"/>
      <c r="D2309" s="19"/>
      <c r="AC2309" s="6" t="s">
        <v>3243</v>
      </c>
      <c r="AD2309" s="6" t="s">
        <v>7353</v>
      </c>
      <c r="AE2309" s="155" t="s">
        <v>3058</v>
      </c>
      <c r="AF2309" s="159" t="s">
        <v>8339</v>
      </c>
      <c r="AG2309" s="160" t="s">
        <v>1888</v>
      </c>
      <c r="AH2309" s="194" t="s">
        <v>678</v>
      </c>
      <c r="AI2309" s="6" t="s">
        <v>899</v>
      </c>
      <c r="AJ2309" s="3" t="s">
        <v>8215</v>
      </c>
      <c r="AK2309" t="s">
        <v>8215</v>
      </c>
      <c r="AV2309"/>
      <c r="AX2309"/>
      <c r="AZ2309" t="str">
        <f t="shared" si="293"/>
        <v/>
      </c>
      <c r="BA2309" t="str">
        <f t="shared" si="294"/>
        <v/>
      </c>
    </row>
    <row r="2310" spans="3:53" ht="13.5">
      <c r="C2310" s="19"/>
      <c r="D2310" s="19"/>
      <c r="AC2310" s="6" t="s">
        <v>2977</v>
      </c>
      <c r="AD2310" s="6" t="s">
        <v>7353</v>
      </c>
      <c r="AE2310" s="155" t="s">
        <v>3059</v>
      </c>
      <c r="AF2310" s="159" t="s">
        <v>8299</v>
      </c>
      <c r="AG2310" s="160" t="s">
        <v>1889</v>
      </c>
      <c r="AH2310" s="194" t="s">
        <v>678</v>
      </c>
      <c r="AI2310" s="6" t="s">
        <v>900</v>
      </c>
      <c r="AJ2310" s="3" t="s">
        <v>8215</v>
      </c>
      <c r="AK2310" t="s">
        <v>8215</v>
      </c>
      <c r="AV2310"/>
      <c r="AX2310"/>
      <c r="AZ2310" t="str">
        <f t="shared" si="293"/>
        <v/>
      </c>
      <c r="BA2310" t="str">
        <f t="shared" si="294"/>
        <v/>
      </c>
    </row>
    <row r="2311" spans="3:53" ht="13.5">
      <c r="C2311" s="19"/>
      <c r="D2311" s="19"/>
      <c r="AC2311" s="6" t="s">
        <v>4759</v>
      </c>
      <c r="AD2311" s="6" t="s">
        <v>7353</v>
      </c>
      <c r="AE2311" s="155" t="s">
        <v>3060</v>
      </c>
      <c r="AF2311" s="159" t="s">
        <v>8299</v>
      </c>
      <c r="AG2311" s="160" t="s">
        <v>1890</v>
      </c>
      <c r="AH2311" s="194" t="s">
        <v>679</v>
      </c>
      <c r="AI2311" s="6" t="s">
        <v>903</v>
      </c>
      <c r="AJ2311" s="3" t="s">
        <v>8257</v>
      </c>
      <c r="AK2311" t="s">
        <v>8257</v>
      </c>
      <c r="AV2311"/>
      <c r="AX2311"/>
      <c r="AZ2311" t="str">
        <f t="shared" si="293"/>
        <v/>
      </c>
      <c r="BA2311" t="str">
        <f t="shared" si="294"/>
        <v/>
      </c>
    </row>
    <row r="2312" spans="3:53" ht="13.5">
      <c r="C2312" s="19"/>
      <c r="D2312" s="19"/>
      <c r="AC2312" s="6" t="s">
        <v>2920</v>
      </c>
      <c r="AD2312" s="6" t="s">
        <v>7353</v>
      </c>
      <c r="AE2312" s="155" t="s">
        <v>3061</v>
      </c>
      <c r="AF2312" s="159" t="s">
        <v>8357</v>
      </c>
      <c r="AG2312" s="160" t="s">
        <v>1891</v>
      </c>
      <c r="AH2312" s="194" t="s">
        <v>679</v>
      </c>
      <c r="AI2312" s="6" t="s">
        <v>905</v>
      </c>
      <c r="AJ2312" s="3" t="s">
        <v>8215</v>
      </c>
      <c r="AK2312" t="s">
        <v>8215</v>
      </c>
      <c r="AV2312"/>
      <c r="AX2312"/>
      <c r="AZ2312" t="str">
        <f t="shared" si="293"/>
        <v/>
      </c>
      <c r="BA2312" t="str">
        <f t="shared" si="294"/>
        <v/>
      </c>
    </row>
    <row r="2313" spans="3:53" ht="13.5">
      <c r="C2313" s="19"/>
      <c r="D2313" s="19"/>
      <c r="AC2313" s="6" t="s">
        <v>3055</v>
      </c>
      <c r="AD2313" s="6" t="s">
        <v>7353</v>
      </c>
      <c r="AE2313" s="155" t="s">
        <v>3062</v>
      </c>
      <c r="AF2313" s="159" t="s">
        <v>8339</v>
      </c>
      <c r="AG2313" s="160" t="s">
        <v>1923</v>
      </c>
      <c r="AH2313" s="194" t="s">
        <v>679</v>
      </c>
      <c r="AI2313" s="6" t="s">
        <v>916</v>
      </c>
      <c r="AJ2313" s="3" t="s">
        <v>8215</v>
      </c>
      <c r="AK2313" t="s">
        <v>8215</v>
      </c>
      <c r="AV2313"/>
      <c r="AX2313"/>
      <c r="AZ2313" t="str">
        <f t="shared" si="293"/>
        <v/>
      </c>
      <c r="BA2313" t="str">
        <f t="shared" si="294"/>
        <v/>
      </c>
    </row>
    <row r="2314" spans="3:53" ht="13.5">
      <c r="C2314" s="19"/>
      <c r="D2314" s="19"/>
      <c r="AC2314" s="6" t="s">
        <v>5324</v>
      </c>
      <c r="AD2314" s="6" t="s">
        <v>7353</v>
      </c>
      <c r="AE2314" s="155" t="s">
        <v>3063</v>
      </c>
      <c r="AF2314" s="159" t="s">
        <v>8339</v>
      </c>
      <c r="AG2314" s="160" t="s">
        <v>1924</v>
      </c>
      <c r="AH2314" s="194" t="s">
        <v>679</v>
      </c>
      <c r="AI2314" s="6" t="s">
        <v>918</v>
      </c>
      <c r="AJ2314" s="3" t="s">
        <v>8215</v>
      </c>
      <c r="AK2314" t="s">
        <v>8215</v>
      </c>
      <c r="AV2314"/>
      <c r="AX2314"/>
      <c r="AZ2314" t="str">
        <f t="shared" si="293"/>
        <v/>
      </c>
      <c r="BA2314" t="str">
        <f t="shared" si="294"/>
        <v/>
      </c>
    </row>
    <row r="2315" spans="3:53" ht="13.5">
      <c r="C2315" s="19"/>
      <c r="D2315" s="19"/>
      <c r="AC2315" s="6" t="s">
        <v>3169</v>
      </c>
      <c r="AD2315" s="6" t="s">
        <v>7353</v>
      </c>
      <c r="AE2315" s="155" t="s">
        <v>3064</v>
      </c>
      <c r="AF2315" s="159" t="s">
        <v>8299</v>
      </c>
      <c r="AG2315" s="160" t="s">
        <v>1975</v>
      </c>
      <c r="AH2315" s="194" t="s">
        <v>679</v>
      </c>
      <c r="AI2315" s="6" t="s">
        <v>923</v>
      </c>
      <c r="AJ2315" s="3" t="s">
        <v>8215</v>
      </c>
      <c r="AK2315" t="s">
        <v>8215</v>
      </c>
      <c r="AV2315"/>
      <c r="AX2315"/>
      <c r="AZ2315" t="str">
        <f t="shared" si="293"/>
        <v/>
      </c>
      <c r="BA2315" t="str">
        <f t="shared" si="294"/>
        <v/>
      </c>
    </row>
    <row r="2316" spans="3:53" ht="13.5">
      <c r="C2316" s="19"/>
      <c r="D2316" s="19"/>
      <c r="AC2316" s="6" t="s">
        <v>3033</v>
      </c>
      <c r="AD2316" s="6" t="s">
        <v>7353</v>
      </c>
      <c r="AE2316" s="155" t="s">
        <v>3065</v>
      </c>
      <c r="AF2316" s="159" t="s">
        <v>8388</v>
      </c>
      <c r="AG2316" s="160" t="s">
        <v>1976</v>
      </c>
      <c r="AH2316" s="194" t="s">
        <v>679</v>
      </c>
      <c r="AI2316" s="6" t="s">
        <v>925</v>
      </c>
      <c r="AJ2316" s="3" t="s">
        <v>8215</v>
      </c>
      <c r="AK2316" t="s">
        <v>8215</v>
      </c>
      <c r="AV2316"/>
      <c r="AX2316"/>
      <c r="AZ2316" t="str">
        <f t="shared" si="293"/>
        <v/>
      </c>
      <c r="BA2316" t="str">
        <f t="shared" si="294"/>
        <v/>
      </c>
    </row>
    <row r="2317" spans="3:53" ht="13.5">
      <c r="C2317" s="19"/>
      <c r="D2317" s="19"/>
      <c r="AC2317" s="6" t="s">
        <v>3095</v>
      </c>
      <c r="AD2317" s="6" t="s">
        <v>7353</v>
      </c>
      <c r="AE2317" s="155" t="s">
        <v>3066</v>
      </c>
      <c r="AF2317" s="159" t="s">
        <v>8299</v>
      </c>
      <c r="AG2317" s="160" t="s">
        <v>1982</v>
      </c>
      <c r="AH2317" s="194" t="s">
        <v>679</v>
      </c>
      <c r="AI2317" s="6" t="s">
        <v>927</v>
      </c>
      <c r="AJ2317" s="3" t="s">
        <v>8257</v>
      </c>
      <c r="AK2317" t="s">
        <v>8257</v>
      </c>
      <c r="AV2317"/>
      <c r="AX2317"/>
      <c r="AZ2317" t="str">
        <f t="shared" si="293"/>
        <v/>
      </c>
      <c r="BA2317" t="str">
        <f t="shared" si="294"/>
        <v/>
      </c>
    </row>
    <row r="2318" spans="3:53" ht="13.5">
      <c r="C2318" s="19"/>
      <c r="D2318" s="19"/>
      <c r="AC2318" s="6" t="s">
        <v>3242</v>
      </c>
      <c r="AD2318" s="6" t="s">
        <v>7353</v>
      </c>
      <c r="AE2318" s="155" t="s">
        <v>3067</v>
      </c>
      <c r="AF2318" s="159" t="s">
        <v>8339</v>
      </c>
      <c r="AG2318" s="160" t="s">
        <v>1983</v>
      </c>
      <c r="AH2318" s="194" t="s">
        <v>678</v>
      </c>
      <c r="AI2318" s="6" t="s">
        <v>928</v>
      </c>
      <c r="AJ2318" s="3" t="s">
        <v>8257</v>
      </c>
      <c r="AK2318" t="s">
        <v>8257</v>
      </c>
      <c r="AV2318"/>
      <c r="AX2318"/>
      <c r="AZ2318" t="str">
        <f t="shared" si="293"/>
        <v/>
      </c>
      <c r="BA2318" t="str">
        <f t="shared" si="294"/>
        <v/>
      </c>
    </row>
    <row r="2319" spans="3:53" ht="13.5">
      <c r="C2319" s="19"/>
      <c r="D2319" s="19"/>
      <c r="AC2319" s="6" t="s">
        <v>3126</v>
      </c>
      <c r="AD2319" s="6" t="s">
        <v>7353</v>
      </c>
      <c r="AE2319" s="155" t="s">
        <v>3068</v>
      </c>
      <c r="AF2319" s="159" t="s">
        <v>8299</v>
      </c>
      <c r="AG2319" s="160" t="s">
        <v>1984</v>
      </c>
      <c r="AH2319" s="194" t="s">
        <v>679</v>
      </c>
      <c r="AI2319" s="6" t="s">
        <v>680</v>
      </c>
      <c r="AJ2319" s="3" t="s">
        <v>8215</v>
      </c>
      <c r="AK2319" t="s">
        <v>8215</v>
      </c>
      <c r="AV2319"/>
      <c r="AX2319"/>
      <c r="AZ2319" t="str">
        <f t="shared" si="293"/>
        <v/>
      </c>
      <c r="BA2319" t="str">
        <f t="shared" si="294"/>
        <v/>
      </c>
    </row>
    <row r="2320" spans="3:53" ht="13.5">
      <c r="C2320" s="19"/>
      <c r="D2320" s="19"/>
      <c r="AC2320" s="6" t="s">
        <v>4432</v>
      </c>
      <c r="AD2320" s="6" t="s">
        <v>7353</v>
      </c>
      <c r="AE2320" s="155" t="s">
        <v>3069</v>
      </c>
      <c r="AF2320" s="159" t="s">
        <v>8339</v>
      </c>
      <c r="AG2320" s="160" t="s">
        <v>1985</v>
      </c>
      <c r="AH2320" s="194" t="s">
        <v>679</v>
      </c>
      <c r="AI2320" s="6" t="s">
        <v>931</v>
      </c>
      <c r="AJ2320" s="3" t="s">
        <v>8215</v>
      </c>
      <c r="AK2320" t="s">
        <v>8215</v>
      </c>
      <c r="AV2320"/>
      <c r="AX2320"/>
      <c r="AZ2320" t="str">
        <f t="shared" si="293"/>
        <v/>
      </c>
      <c r="BA2320" t="str">
        <f t="shared" si="294"/>
        <v/>
      </c>
    </row>
    <row r="2321" spans="3:53" ht="13.5">
      <c r="C2321" s="19"/>
      <c r="D2321" s="19"/>
      <c r="AC2321" s="6" t="s">
        <v>3344</v>
      </c>
      <c r="AD2321" s="6" t="s">
        <v>7353</v>
      </c>
      <c r="AE2321" s="155" t="s">
        <v>3070</v>
      </c>
      <c r="AF2321" s="159" t="s">
        <v>8443</v>
      </c>
      <c r="AG2321" s="160" t="s">
        <v>1986</v>
      </c>
      <c r="AH2321" s="194" t="s">
        <v>679</v>
      </c>
      <c r="AI2321" s="6" t="s">
        <v>5462</v>
      </c>
      <c r="AJ2321" s="3" t="s">
        <v>8257</v>
      </c>
      <c r="AK2321" t="s">
        <v>8257</v>
      </c>
      <c r="AV2321"/>
      <c r="AX2321"/>
      <c r="AZ2321" t="str">
        <f t="shared" ref="AZ2321:AZ2384" si="295">IF(ISBLANK(AW2321),"",CONCATENATE("(",RIGHT(AW2321,5),"-",TEXT(AX2321,"h:mm;@"),")"))</f>
        <v/>
      </c>
      <c r="BA2321" t="str">
        <f t="shared" ref="BA2321:BA2384" si="296">IF(AV2337=AV2321,"",CONCATENATE(IF(AV2336=AV2321,BA2336,""),IF(AV2335=AV2321,BA2335,""),IF(AV2334=AV2321,BA2334,""),IF(AV2333=AV2321,BA2333,""),IF(AV2332=AV2321,BA2332,""),IF(AV2331=AV2321,BA2331,""),IF(AV2330=AV2321,BA2330,""),IF(AV2329=AV2321,BA2329,""),IF(AV2328=AV2321,BA2328,""),IF(AV2327=AV2321,BA2327,""),IF(AV2326=AV2321,BA2326,""),IF(AV2325=AV2321,BA2325,""),IF(AV2324=AV2321,BA2324,""),IF(AV2323=AV2321,BA2323,""),IF(AV2322=AV2321,BA2322,""),IF(AV2320=AV2321,BA2320,""),BA2321))</f>
        <v/>
      </c>
    </row>
    <row r="2322" spans="3:53" ht="13.5">
      <c r="C2322" s="19"/>
      <c r="D2322" s="19"/>
      <c r="AC2322" s="6" t="s">
        <v>3054</v>
      </c>
      <c r="AD2322" s="6" t="s">
        <v>7353</v>
      </c>
      <c r="AE2322" s="155" t="s">
        <v>3071</v>
      </c>
      <c r="AF2322" s="159" t="s">
        <v>8339</v>
      </c>
      <c r="AG2322" s="160" t="s">
        <v>1987</v>
      </c>
      <c r="AH2322" s="194" t="s">
        <v>679</v>
      </c>
      <c r="AI2322" s="6" t="s">
        <v>625</v>
      </c>
      <c r="AJ2322" s="3" t="s">
        <v>8233</v>
      </c>
      <c r="AK2322" t="s">
        <v>8233</v>
      </c>
      <c r="AV2322"/>
      <c r="AX2322"/>
      <c r="AZ2322" t="str">
        <f t="shared" si="295"/>
        <v/>
      </c>
      <c r="BA2322" t="str">
        <f t="shared" si="296"/>
        <v/>
      </c>
    </row>
    <row r="2323" spans="3:53" ht="13.5">
      <c r="C2323" s="19"/>
      <c r="D2323" s="19"/>
      <c r="AC2323" s="6" t="s">
        <v>3347</v>
      </c>
      <c r="AD2323" s="6" t="s">
        <v>7353</v>
      </c>
      <c r="AE2323" s="155" t="s">
        <v>3072</v>
      </c>
      <c r="AF2323" s="159" t="s">
        <v>8342</v>
      </c>
      <c r="AG2323" s="160" t="s">
        <v>1988</v>
      </c>
      <c r="AH2323" s="194" t="s">
        <v>679</v>
      </c>
      <c r="AI2323" s="6" t="s">
        <v>626</v>
      </c>
      <c r="AJ2323" s="3" t="s">
        <v>8233</v>
      </c>
      <c r="AK2323" t="s">
        <v>8233</v>
      </c>
      <c r="AV2323"/>
      <c r="AX2323"/>
      <c r="AZ2323" t="str">
        <f t="shared" si="295"/>
        <v/>
      </c>
      <c r="BA2323" t="str">
        <f t="shared" si="296"/>
        <v/>
      </c>
    </row>
    <row r="2324" spans="3:53" ht="13.5">
      <c r="C2324" s="19"/>
      <c r="D2324" s="19"/>
      <c r="AC2324" s="6" t="s">
        <v>3161</v>
      </c>
      <c r="AD2324" s="6" t="s">
        <v>7353</v>
      </c>
      <c r="AE2324" s="155" t="s">
        <v>3073</v>
      </c>
      <c r="AF2324" s="159" t="s">
        <v>8339</v>
      </c>
      <c r="AG2324" s="160" t="s">
        <v>1989</v>
      </c>
      <c r="AH2324" s="194" t="s">
        <v>679</v>
      </c>
      <c r="AI2324" s="6" t="s">
        <v>1473</v>
      </c>
      <c r="AJ2324" s="3" t="s">
        <v>8223</v>
      </c>
      <c r="AK2324" t="s">
        <v>8223</v>
      </c>
      <c r="AV2324"/>
      <c r="AX2324"/>
      <c r="AZ2324" t="str">
        <f t="shared" si="295"/>
        <v/>
      </c>
      <c r="BA2324" t="str">
        <f t="shared" si="296"/>
        <v/>
      </c>
    </row>
    <row r="2325" spans="3:53" ht="13.5">
      <c r="C2325" s="19"/>
      <c r="D2325" s="19"/>
      <c r="AC2325" s="6" t="s">
        <v>3110</v>
      </c>
      <c r="AD2325" s="6" t="s">
        <v>7353</v>
      </c>
      <c r="AE2325" s="155" t="s">
        <v>3074</v>
      </c>
      <c r="AF2325" s="159" t="s">
        <v>8339</v>
      </c>
      <c r="AG2325" s="160" t="s">
        <v>4496</v>
      </c>
      <c r="AH2325" s="194" t="s">
        <v>679</v>
      </c>
      <c r="AI2325" s="6" t="s">
        <v>1474</v>
      </c>
      <c r="AJ2325" s="3" t="s">
        <v>8223</v>
      </c>
      <c r="AK2325" t="s">
        <v>8223</v>
      </c>
      <c r="AV2325"/>
      <c r="AX2325"/>
      <c r="AZ2325" t="str">
        <f t="shared" si="295"/>
        <v/>
      </c>
      <c r="BA2325" t="str">
        <f t="shared" si="296"/>
        <v/>
      </c>
    </row>
    <row r="2326" spans="3:53" ht="13.5">
      <c r="C2326" s="19"/>
      <c r="D2326" s="19"/>
      <c r="AC2326" s="6" t="s">
        <v>1288</v>
      </c>
      <c r="AD2326" s="6" t="s">
        <v>7353</v>
      </c>
      <c r="AE2326" s="155" t="s">
        <v>3075</v>
      </c>
      <c r="AF2326" s="159" t="s">
        <v>8339</v>
      </c>
      <c r="AG2326" s="160" t="s">
        <v>5249</v>
      </c>
      <c r="AH2326" s="194" t="s">
        <v>679</v>
      </c>
      <c r="AI2326" s="6" t="s">
        <v>627</v>
      </c>
      <c r="AJ2326" s="3" t="s">
        <v>8233</v>
      </c>
      <c r="AK2326" t="s">
        <v>8233</v>
      </c>
      <c r="AV2326"/>
      <c r="AX2326"/>
      <c r="AZ2326" t="str">
        <f t="shared" si="295"/>
        <v/>
      </c>
      <c r="BA2326" t="str">
        <f t="shared" si="296"/>
        <v/>
      </c>
    </row>
    <row r="2327" spans="3:53" ht="13.5">
      <c r="C2327" s="19"/>
      <c r="D2327" s="19"/>
      <c r="AC2327" s="6" t="s">
        <v>3137</v>
      </c>
      <c r="AD2327" s="6" t="s">
        <v>7353</v>
      </c>
      <c r="AE2327" s="155" t="s">
        <v>3076</v>
      </c>
      <c r="AF2327" s="159" t="s">
        <v>8339</v>
      </c>
      <c r="AG2327" s="160" t="s">
        <v>176</v>
      </c>
      <c r="AH2327" s="194" t="s">
        <v>679</v>
      </c>
      <c r="AI2327" s="6" t="s">
        <v>5792</v>
      </c>
      <c r="AJ2327" s="3" t="s">
        <v>8233</v>
      </c>
      <c r="AK2327" t="s">
        <v>8233</v>
      </c>
      <c r="AV2327"/>
      <c r="AX2327"/>
      <c r="AZ2327" t="str">
        <f t="shared" si="295"/>
        <v/>
      </c>
      <c r="BA2327" t="str">
        <f t="shared" si="296"/>
        <v/>
      </c>
    </row>
    <row r="2328" spans="3:53" ht="13.5">
      <c r="C2328" s="19"/>
      <c r="D2328" s="19"/>
      <c r="AC2328" s="6" t="s">
        <v>3376</v>
      </c>
      <c r="AD2328" s="6" t="s">
        <v>7353</v>
      </c>
      <c r="AE2328" s="155" t="s">
        <v>3077</v>
      </c>
      <c r="AF2328" s="159" t="s">
        <v>8299</v>
      </c>
      <c r="AG2328" s="160" t="s">
        <v>177</v>
      </c>
      <c r="AH2328" s="194" t="s">
        <v>679</v>
      </c>
      <c r="AI2328" s="6" t="s">
        <v>5512</v>
      </c>
      <c r="AJ2328" s="3" t="s">
        <v>8223</v>
      </c>
      <c r="AK2328" t="s">
        <v>8223</v>
      </c>
      <c r="AV2328"/>
      <c r="AX2328"/>
      <c r="AZ2328" t="str">
        <f t="shared" si="295"/>
        <v/>
      </c>
      <c r="BA2328" t="str">
        <f t="shared" si="296"/>
        <v/>
      </c>
    </row>
    <row r="2329" spans="3:53" ht="13.5">
      <c r="C2329" s="19"/>
      <c r="D2329" s="19"/>
      <c r="AC2329" s="6" t="s">
        <v>3051</v>
      </c>
      <c r="AD2329" s="6" t="s">
        <v>7353</v>
      </c>
      <c r="AE2329" s="155" t="s">
        <v>3078</v>
      </c>
      <c r="AF2329" s="159" t="s">
        <v>8299</v>
      </c>
      <c r="AG2329" s="160" t="s">
        <v>1029</v>
      </c>
      <c r="AH2329" s="194" t="s">
        <v>679</v>
      </c>
      <c r="AI2329" s="6" t="s">
        <v>6676</v>
      </c>
      <c r="AJ2329" s="3" t="s">
        <v>8219</v>
      </c>
      <c r="AK2329" t="s">
        <v>8219</v>
      </c>
      <c r="AV2329"/>
      <c r="AX2329"/>
      <c r="AZ2329" t="str">
        <f t="shared" si="295"/>
        <v/>
      </c>
      <c r="BA2329" t="str">
        <f t="shared" si="296"/>
        <v/>
      </c>
    </row>
    <row r="2330" spans="3:53" ht="13.5">
      <c r="C2330" s="19"/>
      <c r="D2330" s="19"/>
      <c r="AC2330" s="6" t="s">
        <v>2939</v>
      </c>
      <c r="AD2330" s="6" t="s">
        <v>7353</v>
      </c>
      <c r="AE2330" s="155" t="s">
        <v>3079</v>
      </c>
      <c r="AF2330" s="159" t="s">
        <v>8312</v>
      </c>
      <c r="AG2330" s="160" t="s">
        <v>1425</v>
      </c>
      <c r="AH2330" s="194" t="s">
        <v>679</v>
      </c>
      <c r="AI2330" s="6" t="s">
        <v>630</v>
      </c>
      <c r="AJ2330" s="3" t="s">
        <v>8202</v>
      </c>
      <c r="AK2330" t="s">
        <v>8202</v>
      </c>
      <c r="AV2330"/>
      <c r="AX2330"/>
      <c r="AZ2330" t="str">
        <f t="shared" si="295"/>
        <v/>
      </c>
      <c r="BA2330" t="str">
        <f t="shared" si="296"/>
        <v/>
      </c>
    </row>
    <row r="2331" spans="3:53" ht="13.5">
      <c r="C2331" s="19"/>
      <c r="D2331" s="19"/>
      <c r="AC2331" s="6" t="s">
        <v>3263</v>
      </c>
      <c r="AD2331" s="6" t="s">
        <v>7353</v>
      </c>
      <c r="AE2331" s="155" t="s">
        <v>3080</v>
      </c>
      <c r="AF2331" s="159" t="s">
        <v>8299</v>
      </c>
      <c r="AG2331" s="160" t="s">
        <v>4457</v>
      </c>
      <c r="AH2331" s="194" t="s">
        <v>679</v>
      </c>
      <c r="AI2331" s="6" t="s">
        <v>2508</v>
      </c>
      <c r="AJ2331" s="3" t="s">
        <v>8251</v>
      </c>
      <c r="AK2331" t="s">
        <v>8251</v>
      </c>
      <c r="AV2331"/>
      <c r="AX2331"/>
      <c r="AZ2331" t="str">
        <f t="shared" si="295"/>
        <v/>
      </c>
      <c r="BA2331" t="str">
        <f t="shared" si="296"/>
        <v/>
      </c>
    </row>
    <row r="2332" spans="3:53" ht="13.5">
      <c r="C2332" s="19"/>
      <c r="D2332" s="19"/>
      <c r="AC2332" s="6" t="s">
        <v>3301</v>
      </c>
      <c r="AD2332" s="6" t="s">
        <v>7353</v>
      </c>
      <c r="AE2332" s="155" t="s">
        <v>3081</v>
      </c>
      <c r="AF2332" s="159" t="s">
        <v>8339</v>
      </c>
      <c r="AG2332" s="160" t="s">
        <v>5379</v>
      </c>
      <c r="AH2332" s="194" t="s">
        <v>679</v>
      </c>
      <c r="AI2332" s="6" t="s">
        <v>2569</v>
      </c>
      <c r="AJ2332" s="3" t="s">
        <v>8251</v>
      </c>
      <c r="AK2332" t="s">
        <v>8251</v>
      </c>
      <c r="AV2332"/>
      <c r="AX2332"/>
      <c r="AZ2332" t="str">
        <f t="shared" si="295"/>
        <v/>
      </c>
      <c r="BA2332" t="str">
        <f t="shared" si="296"/>
        <v/>
      </c>
    </row>
    <row r="2333" spans="3:53" ht="13.5">
      <c r="C2333" s="19"/>
      <c r="D2333" s="19"/>
      <c r="AC2333" s="6" t="s">
        <v>3314</v>
      </c>
      <c r="AD2333" s="6" t="s">
        <v>7353</v>
      </c>
      <c r="AE2333" s="155" t="s">
        <v>3082</v>
      </c>
      <c r="AF2333" s="159" t="s">
        <v>8339</v>
      </c>
      <c r="AG2333" s="160" t="s">
        <v>5380</v>
      </c>
      <c r="AH2333" s="194" t="s">
        <v>679</v>
      </c>
      <c r="AI2333" s="6" t="s">
        <v>2570</v>
      </c>
      <c r="AJ2333" s="3" t="s">
        <v>8251</v>
      </c>
      <c r="AK2333" t="s">
        <v>8251</v>
      </c>
      <c r="AV2333"/>
      <c r="AX2333"/>
      <c r="AZ2333" t="str">
        <f t="shared" si="295"/>
        <v/>
      </c>
      <c r="BA2333" t="str">
        <f t="shared" si="296"/>
        <v/>
      </c>
    </row>
    <row r="2334" spans="3:53" ht="13.5">
      <c r="C2334" s="19"/>
      <c r="D2334" s="19"/>
      <c r="AC2334" s="6" t="s">
        <v>2935</v>
      </c>
      <c r="AD2334" s="6" t="s">
        <v>7353</v>
      </c>
      <c r="AE2334" s="155" t="s">
        <v>3083</v>
      </c>
      <c r="AF2334" s="159" t="s">
        <v>8332</v>
      </c>
      <c r="AG2334" s="160" t="s">
        <v>178</v>
      </c>
      <c r="AH2334" s="194" t="s">
        <v>679</v>
      </c>
      <c r="AI2334" s="6" t="s">
        <v>2755</v>
      </c>
      <c r="AJ2334" s="3" t="s">
        <v>8251</v>
      </c>
      <c r="AK2334" t="s">
        <v>8251</v>
      </c>
      <c r="AV2334"/>
      <c r="AX2334"/>
      <c r="AZ2334" t="str">
        <f t="shared" si="295"/>
        <v/>
      </c>
      <c r="BA2334" t="str">
        <f t="shared" si="296"/>
        <v/>
      </c>
    </row>
    <row r="2335" spans="3:53" ht="13.5">
      <c r="C2335" s="19"/>
      <c r="D2335" s="19"/>
      <c r="AC2335" s="6" t="s">
        <v>2928</v>
      </c>
      <c r="AD2335" s="6" t="s">
        <v>7353</v>
      </c>
      <c r="AE2335" s="155" t="s">
        <v>3084</v>
      </c>
      <c r="AF2335" s="159" t="s">
        <v>8339</v>
      </c>
      <c r="AG2335" s="160" t="s">
        <v>179</v>
      </c>
      <c r="AH2335" s="194" t="s">
        <v>678</v>
      </c>
      <c r="AI2335" s="6" t="s">
        <v>2439</v>
      </c>
      <c r="AJ2335" s="3" t="s">
        <v>8226</v>
      </c>
      <c r="AK2335" t="s">
        <v>8671</v>
      </c>
      <c r="AV2335"/>
      <c r="AX2335"/>
      <c r="AZ2335" t="str">
        <f t="shared" si="295"/>
        <v/>
      </c>
      <c r="BA2335" t="str">
        <f t="shared" si="296"/>
        <v/>
      </c>
    </row>
    <row r="2336" spans="3:53" ht="13.5">
      <c r="C2336" s="19"/>
      <c r="D2336" s="19"/>
      <c r="AC2336" s="6" t="s">
        <v>3117</v>
      </c>
      <c r="AD2336" s="6" t="s">
        <v>7353</v>
      </c>
      <c r="AE2336" s="155" t="s">
        <v>3085</v>
      </c>
      <c r="AF2336" s="159" t="s">
        <v>8342</v>
      </c>
      <c r="AG2336" s="160" t="s">
        <v>4777</v>
      </c>
      <c r="AH2336" s="194" t="s">
        <v>679</v>
      </c>
      <c r="AI2336" s="6" t="s">
        <v>2441</v>
      </c>
      <c r="AJ2336" s="3" t="s">
        <v>8276</v>
      </c>
      <c r="AK2336" t="s">
        <v>8276</v>
      </c>
      <c r="AV2336"/>
      <c r="AX2336"/>
      <c r="AZ2336" t="str">
        <f t="shared" si="295"/>
        <v/>
      </c>
      <c r="BA2336" t="str">
        <f t="shared" si="296"/>
        <v/>
      </c>
    </row>
    <row r="2337" spans="3:53" ht="13.5">
      <c r="C2337" s="19"/>
      <c r="D2337" s="19"/>
      <c r="AC2337" s="6" t="s">
        <v>3229</v>
      </c>
      <c r="AD2337" s="6" t="s">
        <v>7353</v>
      </c>
      <c r="AE2337" s="155" t="s">
        <v>3086</v>
      </c>
      <c r="AF2337" s="159" t="s">
        <v>8339</v>
      </c>
      <c r="AG2337" s="160" t="s">
        <v>5207</v>
      </c>
      <c r="AH2337" s="194" t="s">
        <v>679</v>
      </c>
      <c r="AI2337" s="6" t="s">
        <v>2442</v>
      </c>
      <c r="AJ2337" s="3" t="s">
        <v>8276</v>
      </c>
      <c r="AK2337" t="s">
        <v>8276</v>
      </c>
      <c r="AV2337"/>
      <c r="AX2337"/>
      <c r="AZ2337" t="str">
        <f t="shared" si="295"/>
        <v/>
      </c>
      <c r="BA2337" t="str">
        <f t="shared" si="296"/>
        <v/>
      </c>
    </row>
    <row r="2338" spans="3:53" ht="13.5">
      <c r="C2338" s="19"/>
      <c r="D2338" s="19"/>
      <c r="AC2338" s="6" t="s">
        <v>4784</v>
      </c>
      <c r="AD2338" s="6" t="s">
        <v>7353</v>
      </c>
      <c r="AE2338" s="155" t="s">
        <v>3087</v>
      </c>
      <c r="AF2338" s="159" t="s">
        <v>8444</v>
      </c>
      <c r="AG2338" s="160" t="s">
        <v>3874</v>
      </c>
      <c r="AH2338" s="194" t="s">
        <v>679</v>
      </c>
      <c r="AI2338" s="6" t="s">
        <v>2443</v>
      </c>
      <c r="AJ2338" s="3" t="s">
        <v>8276</v>
      </c>
      <c r="AK2338" t="s">
        <v>8276</v>
      </c>
      <c r="AV2338"/>
      <c r="AX2338"/>
      <c r="AZ2338" t="str">
        <f t="shared" si="295"/>
        <v/>
      </c>
      <c r="BA2338" t="str">
        <f t="shared" si="296"/>
        <v/>
      </c>
    </row>
    <row r="2339" spans="3:53" ht="13.5">
      <c r="C2339" s="19"/>
      <c r="D2339" s="19"/>
      <c r="AC2339" s="6" t="s">
        <v>2358</v>
      </c>
      <c r="AD2339" s="6" t="s">
        <v>7360</v>
      </c>
      <c r="AE2339" s="155" t="s">
        <v>3088</v>
      </c>
      <c r="AF2339" s="159" t="s">
        <v>8299</v>
      </c>
      <c r="AG2339" s="160" t="s">
        <v>3875</v>
      </c>
      <c r="AH2339" s="194" t="s">
        <v>679</v>
      </c>
      <c r="AI2339" s="6" t="s">
        <v>2444</v>
      </c>
      <c r="AJ2339" s="3" t="s">
        <v>8276</v>
      </c>
      <c r="AK2339" t="s">
        <v>8276</v>
      </c>
      <c r="AV2339"/>
      <c r="AX2339"/>
      <c r="AZ2339" t="str">
        <f t="shared" si="295"/>
        <v/>
      </c>
      <c r="BA2339" t="str">
        <f t="shared" si="296"/>
        <v/>
      </c>
    </row>
    <row r="2340" spans="3:53" ht="13.5">
      <c r="C2340" s="19"/>
      <c r="D2340" s="19"/>
      <c r="AC2340" s="6" t="s">
        <v>3139</v>
      </c>
      <c r="AD2340" s="6" t="s">
        <v>7353</v>
      </c>
      <c r="AE2340" s="155" t="s">
        <v>1215</v>
      </c>
      <c r="AF2340" s="159" t="s">
        <v>8339</v>
      </c>
      <c r="AG2340" s="160" t="s">
        <v>3876</v>
      </c>
      <c r="AH2340" s="194" t="s">
        <v>679</v>
      </c>
      <c r="AI2340" s="6" t="s">
        <v>2445</v>
      </c>
      <c r="AJ2340" s="3" t="s">
        <v>8276</v>
      </c>
      <c r="AK2340" t="s">
        <v>8276</v>
      </c>
      <c r="AV2340"/>
      <c r="AX2340"/>
      <c r="AZ2340" t="str">
        <f t="shared" si="295"/>
        <v/>
      </c>
      <c r="BA2340" t="str">
        <f t="shared" si="296"/>
        <v/>
      </c>
    </row>
    <row r="2341" spans="3:53" ht="13.5">
      <c r="C2341" s="19"/>
      <c r="D2341" s="19"/>
      <c r="AC2341" s="6" t="s">
        <v>4745</v>
      </c>
      <c r="AD2341" s="6" t="s">
        <v>7353</v>
      </c>
      <c r="AE2341" s="155" t="s">
        <v>3089</v>
      </c>
      <c r="AF2341" s="159" t="s">
        <v>8339</v>
      </c>
      <c r="AG2341" s="160" t="s">
        <v>3877</v>
      </c>
      <c r="AH2341" s="194" t="s">
        <v>1314</v>
      </c>
      <c r="AI2341" s="6" t="s">
        <v>2447</v>
      </c>
      <c r="AJ2341" s="3" t="s">
        <v>8276</v>
      </c>
      <c r="AK2341" t="s">
        <v>8276</v>
      </c>
      <c r="AV2341"/>
      <c r="AX2341"/>
      <c r="AZ2341" t="str">
        <f t="shared" si="295"/>
        <v/>
      </c>
      <c r="BA2341" t="str">
        <f t="shared" si="296"/>
        <v/>
      </c>
    </row>
    <row r="2342" spans="3:53" ht="13.5">
      <c r="C2342" s="19"/>
      <c r="D2342" s="19"/>
      <c r="AC2342" s="6" t="s">
        <v>3034</v>
      </c>
      <c r="AD2342" s="6" t="s">
        <v>7353</v>
      </c>
      <c r="AE2342" s="155" t="s">
        <v>3090</v>
      </c>
      <c r="AF2342" s="159" t="s">
        <v>8339</v>
      </c>
      <c r="AG2342" s="160" t="s">
        <v>3878</v>
      </c>
      <c r="AH2342" s="194" t="s">
        <v>679</v>
      </c>
      <c r="AI2342" s="6" t="s">
        <v>2449</v>
      </c>
      <c r="AJ2342" s="3" t="s">
        <v>8251</v>
      </c>
      <c r="AK2342" t="s">
        <v>8251</v>
      </c>
      <c r="AV2342"/>
      <c r="AX2342"/>
      <c r="AZ2342" t="str">
        <f t="shared" si="295"/>
        <v/>
      </c>
      <c r="BA2342" t="str">
        <f t="shared" si="296"/>
        <v/>
      </c>
    </row>
    <row r="2343" spans="3:53" ht="13.5">
      <c r="C2343" s="19"/>
      <c r="D2343" s="19"/>
      <c r="AC2343" s="6" t="s">
        <v>3198</v>
      </c>
      <c r="AD2343" s="6" t="s">
        <v>7353</v>
      </c>
      <c r="AE2343" s="155" t="s">
        <v>3091</v>
      </c>
      <c r="AF2343" s="159" t="s">
        <v>8339</v>
      </c>
      <c r="AG2343" s="160" t="s">
        <v>5175</v>
      </c>
      <c r="AH2343" s="194" t="s">
        <v>1314</v>
      </c>
      <c r="AI2343" s="6" t="s">
        <v>2451</v>
      </c>
      <c r="AJ2343" s="3" t="s">
        <v>8276</v>
      </c>
      <c r="AK2343" t="s">
        <v>8276</v>
      </c>
      <c r="AV2343"/>
      <c r="AX2343"/>
      <c r="AZ2343" t="str">
        <f t="shared" si="295"/>
        <v/>
      </c>
      <c r="BA2343" t="str">
        <f t="shared" si="296"/>
        <v/>
      </c>
    </row>
    <row r="2344" spans="3:53" ht="13.5">
      <c r="C2344" s="19"/>
      <c r="D2344" s="19"/>
      <c r="AC2344" s="6" t="s">
        <v>3270</v>
      </c>
      <c r="AD2344" s="6" t="s">
        <v>7353</v>
      </c>
      <c r="AE2344" s="155" t="s">
        <v>3092</v>
      </c>
      <c r="AF2344" s="159" t="s">
        <v>8299</v>
      </c>
      <c r="AG2344" s="160" t="s">
        <v>5125</v>
      </c>
      <c r="AH2344" s="194" t="s">
        <v>679</v>
      </c>
      <c r="AI2344" s="6" t="s">
        <v>2455</v>
      </c>
      <c r="AJ2344" s="3" t="s">
        <v>8276</v>
      </c>
      <c r="AK2344" t="s">
        <v>8276</v>
      </c>
      <c r="AV2344"/>
      <c r="AX2344"/>
      <c r="AZ2344" t="str">
        <f t="shared" si="295"/>
        <v/>
      </c>
      <c r="BA2344" t="str">
        <f t="shared" si="296"/>
        <v/>
      </c>
    </row>
    <row r="2345" spans="3:53" ht="13.5">
      <c r="C2345" s="19"/>
      <c r="D2345" s="19"/>
      <c r="AC2345" s="6" t="s">
        <v>3395</v>
      </c>
      <c r="AD2345" s="6" t="s">
        <v>7353</v>
      </c>
      <c r="AE2345" s="155" t="s">
        <v>3093</v>
      </c>
      <c r="AF2345" s="159" t="s">
        <v>8299</v>
      </c>
      <c r="AG2345" s="160" t="s">
        <v>3879</v>
      </c>
      <c r="AH2345" s="194" t="s">
        <v>679</v>
      </c>
      <c r="AI2345" s="6" t="s">
        <v>2456</v>
      </c>
      <c r="AJ2345" s="3" t="s">
        <v>8276</v>
      </c>
      <c r="AK2345" t="s">
        <v>8276</v>
      </c>
      <c r="AV2345"/>
      <c r="AX2345"/>
      <c r="AZ2345" t="str">
        <f t="shared" si="295"/>
        <v/>
      </c>
      <c r="BA2345" t="str">
        <f t="shared" si="296"/>
        <v/>
      </c>
    </row>
    <row r="2346" spans="3:53" ht="13.5">
      <c r="C2346" s="19"/>
      <c r="D2346" s="19"/>
      <c r="AC2346" s="6" t="s">
        <v>3368</v>
      </c>
      <c r="AD2346" s="6" t="s">
        <v>7353</v>
      </c>
      <c r="AE2346" s="155" t="s">
        <v>3094</v>
      </c>
      <c r="AF2346" s="159" t="s">
        <v>8339</v>
      </c>
      <c r="AG2346" s="160" t="s">
        <v>3880</v>
      </c>
      <c r="AH2346" s="194" t="s">
        <v>679</v>
      </c>
      <c r="AI2346" s="6" t="s">
        <v>2458</v>
      </c>
      <c r="AJ2346" s="3" t="s">
        <v>8276</v>
      </c>
      <c r="AK2346" t="s">
        <v>8276</v>
      </c>
      <c r="AV2346"/>
      <c r="AX2346"/>
      <c r="AZ2346" t="str">
        <f t="shared" si="295"/>
        <v/>
      </c>
      <c r="BA2346" t="str">
        <f t="shared" si="296"/>
        <v/>
      </c>
    </row>
    <row r="2347" spans="3:53" ht="13.5">
      <c r="C2347" s="19"/>
      <c r="D2347" s="19"/>
      <c r="AC2347" s="6" t="s">
        <v>3241</v>
      </c>
      <c r="AD2347" s="6" t="s">
        <v>7353</v>
      </c>
      <c r="AE2347" s="155" t="s">
        <v>3095</v>
      </c>
      <c r="AF2347" s="159" t="s">
        <v>8396</v>
      </c>
      <c r="AG2347" s="160" t="s">
        <v>3881</v>
      </c>
      <c r="AH2347" s="194" t="s">
        <v>679</v>
      </c>
      <c r="AI2347" s="6" t="s">
        <v>2459</v>
      </c>
      <c r="AJ2347" s="3" t="s">
        <v>8251</v>
      </c>
      <c r="AK2347" t="s">
        <v>8251</v>
      </c>
      <c r="AV2347"/>
      <c r="AX2347"/>
      <c r="AZ2347" t="str">
        <f t="shared" si="295"/>
        <v/>
      </c>
      <c r="BA2347" t="str">
        <f t="shared" si="296"/>
        <v/>
      </c>
    </row>
    <row r="2348" spans="3:53" ht="13.5">
      <c r="C2348" s="19"/>
      <c r="D2348" s="19"/>
      <c r="AC2348" s="6" t="s">
        <v>3277</v>
      </c>
      <c r="AD2348" s="6" t="s">
        <v>7353</v>
      </c>
      <c r="AE2348" s="155" t="s">
        <v>3096</v>
      </c>
      <c r="AF2348" s="159" t="s">
        <v>8339</v>
      </c>
      <c r="AG2348" s="160" t="s">
        <v>3882</v>
      </c>
      <c r="AH2348" s="194" t="s">
        <v>1314</v>
      </c>
      <c r="AI2348" s="6" t="s">
        <v>2460</v>
      </c>
      <c r="AJ2348" s="3" t="s">
        <v>8251</v>
      </c>
      <c r="AK2348" t="s">
        <v>8251</v>
      </c>
      <c r="AV2348"/>
      <c r="AX2348"/>
      <c r="AZ2348" t="str">
        <f t="shared" si="295"/>
        <v/>
      </c>
      <c r="BA2348" t="str">
        <f t="shared" si="296"/>
        <v/>
      </c>
    </row>
    <row r="2349" spans="3:53" ht="13.5">
      <c r="C2349" s="19"/>
      <c r="D2349" s="19"/>
      <c r="AC2349" s="6" t="s">
        <v>3180</v>
      </c>
      <c r="AD2349" s="6" t="s">
        <v>7353</v>
      </c>
      <c r="AE2349" s="155" t="s">
        <v>3097</v>
      </c>
      <c r="AF2349" s="159" t="s">
        <v>8299</v>
      </c>
      <c r="AG2349" s="160" t="s">
        <v>3883</v>
      </c>
      <c r="AH2349" s="194" t="s">
        <v>1314</v>
      </c>
      <c r="AI2349" s="6" t="s">
        <v>2462</v>
      </c>
      <c r="AJ2349" s="3" t="s">
        <v>8251</v>
      </c>
      <c r="AK2349" t="s">
        <v>8251</v>
      </c>
      <c r="AV2349"/>
      <c r="AX2349"/>
      <c r="AZ2349" t="str">
        <f t="shared" si="295"/>
        <v/>
      </c>
      <c r="BA2349" t="str">
        <f t="shared" si="296"/>
        <v/>
      </c>
    </row>
    <row r="2350" spans="3:53" ht="13.5">
      <c r="C2350" s="19"/>
      <c r="D2350" s="19"/>
      <c r="AC2350" s="6" t="s">
        <v>4755</v>
      </c>
      <c r="AD2350" s="6" t="s">
        <v>7353</v>
      </c>
      <c r="AE2350" s="155" t="s">
        <v>3098</v>
      </c>
      <c r="AF2350" s="159" t="s">
        <v>8299</v>
      </c>
      <c r="AG2350" s="160" t="s">
        <v>3884</v>
      </c>
      <c r="AH2350" s="194" t="s">
        <v>1314</v>
      </c>
      <c r="AI2350" s="6" t="s">
        <v>2465</v>
      </c>
      <c r="AJ2350" s="3" t="s">
        <v>8276</v>
      </c>
      <c r="AK2350" t="s">
        <v>8276</v>
      </c>
      <c r="AV2350"/>
      <c r="AX2350"/>
      <c r="AZ2350" t="str">
        <f t="shared" si="295"/>
        <v/>
      </c>
      <c r="BA2350" t="str">
        <f t="shared" si="296"/>
        <v/>
      </c>
    </row>
    <row r="2351" spans="3:53" ht="13.5">
      <c r="C2351" s="19"/>
      <c r="D2351" s="19"/>
      <c r="AC2351" s="6" t="s">
        <v>3223</v>
      </c>
      <c r="AD2351" s="6" t="s">
        <v>7353</v>
      </c>
      <c r="AE2351" s="155" t="s">
        <v>3099</v>
      </c>
      <c r="AF2351" s="159" t="s">
        <v>8299</v>
      </c>
      <c r="AG2351" s="160" t="s">
        <v>4482</v>
      </c>
      <c r="AH2351" s="194" t="s">
        <v>1314</v>
      </c>
      <c r="AI2351" s="6" t="s">
        <v>2467</v>
      </c>
      <c r="AJ2351" s="3" t="s">
        <v>8276</v>
      </c>
      <c r="AK2351" t="s">
        <v>8276</v>
      </c>
      <c r="AV2351"/>
      <c r="AX2351"/>
      <c r="AZ2351" t="str">
        <f t="shared" si="295"/>
        <v/>
      </c>
      <c r="BA2351" t="str">
        <f t="shared" si="296"/>
        <v/>
      </c>
    </row>
    <row r="2352" spans="3:53" ht="13.5">
      <c r="C2352" s="19"/>
      <c r="D2352" s="19"/>
      <c r="AC2352" s="6" t="s">
        <v>3450</v>
      </c>
      <c r="AD2352" s="6" t="s">
        <v>7353</v>
      </c>
      <c r="AE2352" s="155" t="s">
        <v>3100</v>
      </c>
      <c r="AF2352" s="159" t="s">
        <v>8299</v>
      </c>
      <c r="AG2352" s="160" t="s">
        <v>4475</v>
      </c>
      <c r="AH2352" s="194" t="s">
        <v>1314</v>
      </c>
      <c r="AI2352" s="6" t="s">
        <v>2468</v>
      </c>
      <c r="AJ2352" s="3" t="s">
        <v>8251</v>
      </c>
      <c r="AK2352" t="s">
        <v>8251</v>
      </c>
      <c r="AV2352"/>
      <c r="AX2352"/>
      <c r="AZ2352" t="str">
        <f t="shared" si="295"/>
        <v/>
      </c>
      <c r="BA2352" t="str">
        <f t="shared" si="296"/>
        <v/>
      </c>
    </row>
    <row r="2353" spans="3:53" ht="13.5">
      <c r="C2353" s="19"/>
      <c r="D2353" s="19"/>
      <c r="AC2353" s="6" t="s">
        <v>2349</v>
      </c>
      <c r="AD2353" s="6" t="s">
        <v>7428</v>
      </c>
      <c r="AE2353" s="155" t="s">
        <v>3101</v>
      </c>
      <c r="AF2353" s="159" t="s">
        <v>8320</v>
      </c>
      <c r="AG2353" s="160" t="s">
        <v>63</v>
      </c>
      <c r="AH2353" s="194" t="s">
        <v>679</v>
      </c>
      <c r="AI2353" s="6" t="s">
        <v>2469</v>
      </c>
      <c r="AJ2353" s="3" t="s">
        <v>8276</v>
      </c>
      <c r="AK2353" t="s">
        <v>8276</v>
      </c>
      <c r="AV2353"/>
      <c r="AX2353"/>
      <c r="AZ2353" t="str">
        <f t="shared" si="295"/>
        <v/>
      </c>
      <c r="BA2353" t="str">
        <f t="shared" si="296"/>
        <v/>
      </c>
    </row>
    <row r="2354" spans="3:53" ht="13.5">
      <c r="C2354" s="19"/>
      <c r="D2354" s="19"/>
      <c r="AC2354" s="6" t="s">
        <v>2933</v>
      </c>
      <c r="AD2354" s="6" t="s">
        <v>7353</v>
      </c>
      <c r="AE2354" s="155" t="s">
        <v>3102</v>
      </c>
      <c r="AF2354" s="159" t="s">
        <v>8445</v>
      </c>
      <c r="AG2354" s="160" t="s">
        <v>64</v>
      </c>
      <c r="AH2354" s="194" t="s">
        <v>679</v>
      </c>
      <c r="AI2354" s="6" t="s">
        <v>5311</v>
      </c>
      <c r="AJ2354" s="3" t="s">
        <v>8226</v>
      </c>
      <c r="AK2354" t="s">
        <v>8671</v>
      </c>
      <c r="AV2354"/>
      <c r="AX2354"/>
      <c r="AZ2354" t="str">
        <f t="shared" si="295"/>
        <v/>
      </c>
      <c r="BA2354" t="str">
        <f t="shared" si="296"/>
        <v/>
      </c>
    </row>
    <row r="2355" spans="3:53" ht="13.5">
      <c r="C2355" s="19"/>
      <c r="D2355" s="19"/>
      <c r="AC2355" s="6" t="s">
        <v>3201</v>
      </c>
      <c r="AD2355" s="6" t="s">
        <v>7353</v>
      </c>
      <c r="AE2355" s="155" t="s">
        <v>3103</v>
      </c>
      <c r="AF2355" s="159" t="s">
        <v>8299</v>
      </c>
      <c r="AG2355" s="160" t="s">
        <v>66</v>
      </c>
      <c r="AH2355" s="194" t="s">
        <v>678</v>
      </c>
      <c r="AI2355" s="6" t="s">
        <v>5323</v>
      </c>
      <c r="AJ2355" s="3" t="s">
        <v>8226</v>
      </c>
      <c r="AK2355" t="s">
        <v>8671</v>
      </c>
      <c r="AV2355"/>
      <c r="AX2355"/>
      <c r="AZ2355" t="str">
        <f t="shared" si="295"/>
        <v/>
      </c>
      <c r="BA2355" t="str">
        <f t="shared" si="296"/>
        <v/>
      </c>
    </row>
    <row r="2356" spans="3:53" ht="13.5">
      <c r="C2356" s="19"/>
      <c r="D2356" s="19"/>
      <c r="AC2356" s="6" t="s">
        <v>3393</v>
      </c>
      <c r="AD2356" s="6" t="s">
        <v>7353</v>
      </c>
      <c r="AE2356" s="155" t="s">
        <v>3104</v>
      </c>
      <c r="AF2356" s="159" t="s">
        <v>8339</v>
      </c>
      <c r="AG2356" s="160" t="s">
        <v>65</v>
      </c>
      <c r="AH2356" s="194" t="s">
        <v>679</v>
      </c>
      <c r="AI2356" s="6" t="s">
        <v>2655</v>
      </c>
      <c r="AJ2356" s="3" t="s">
        <v>8226</v>
      </c>
      <c r="AK2356" t="s">
        <v>8671</v>
      </c>
      <c r="AV2356"/>
      <c r="AX2356"/>
      <c r="AZ2356" t="str">
        <f t="shared" si="295"/>
        <v/>
      </c>
      <c r="BA2356" t="str">
        <f t="shared" si="296"/>
        <v/>
      </c>
    </row>
    <row r="2357" spans="3:53" ht="13.5">
      <c r="C2357" s="19"/>
      <c r="D2357" s="19"/>
      <c r="AC2357" s="6" t="s">
        <v>3238</v>
      </c>
      <c r="AD2357" s="6" t="s">
        <v>7353</v>
      </c>
      <c r="AE2357" s="155" t="s">
        <v>3105</v>
      </c>
      <c r="AF2357" s="159" t="s">
        <v>8339</v>
      </c>
      <c r="AG2357" s="160" t="s">
        <v>5120</v>
      </c>
      <c r="AH2357" s="194" t="s">
        <v>1314</v>
      </c>
      <c r="AI2357" s="6" t="s">
        <v>2656</v>
      </c>
      <c r="AJ2357" s="3" t="s">
        <v>8226</v>
      </c>
      <c r="AK2357" t="s">
        <v>8671</v>
      </c>
      <c r="AV2357"/>
      <c r="AX2357"/>
      <c r="AZ2357" t="str">
        <f t="shared" si="295"/>
        <v/>
      </c>
      <c r="BA2357" t="str">
        <f t="shared" si="296"/>
        <v/>
      </c>
    </row>
    <row r="2358" spans="3:53" ht="13.5">
      <c r="C2358" s="19"/>
      <c r="D2358" s="19"/>
      <c r="AC2358" s="6" t="s">
        <v>3346</v>
      </c>
      <c r="AD2358" s="6" t="s">
        <v>7353</v>
      </c>
      <c r="AE2358" s="155" t="s">
        <v>3106</v>
      </c>
      <c r="AF2358" s="159" t="s">
        <v>8339</v>
      </c>
      <c r="AG2358" s="160" t="s">
        <v>5206</v>
      </c>
      <c r="AH2358" s="194" t="s">
        <v>1314</v>
      </c>
      <c r="AI2358" s="6" t="s">
        <v>2657</v>
      </c>
      <c r="AJ2358" s="3" t="s">
        <v>8226</v>
      </c>
      <c r="AK2358" t="s">
        <v>8671</v>
      </c>
      <c r="AV2358"/>
      <c r="AX2358"/>
      <c r="AZ2358" t="str">
        <f t="shared" si="295"/>
        <v/>
      </c>
      <c r="BA2358" t="str">
        <f t="shared" si="296"/>
        <v/>
      </c>
    </row>
    <row r="2359" spans="3:53" ht="13.5">
      <c r="C2359" s="19"/>
      <c r="D2359" s="19"/>
      <c r="AC2359" s="6" t="s">
        <v>5577</v>
      </c>
      <c r="AD2359" s="6" t="s">
        <v>7353</v>
      </c>
      <c r="AE2359" s="155" t="s">
        <v>3107</v>
      </c>
      <c r="AF2359" s="159" t="s">
        <v>8339</v>
      </c>
      <c r="AG2359" s="160" t="s">
        <v>5201</v>
      </c>
      <c r="AH2359" s="194" t="s">
        <v>1314</v>
      </c>
      <c r="AI2359" s="6" t="s">
        <v>2685</v>
      </c>
      <c r="AJ2359" s="3" t="s">
        <v>8226</v>
      </c>
      <c r="AK2359" t="s">
        <v>8671</v>
      </c>
      <c r="AV2359"/>
      <c r="AX2359"/>
      <c r="AZ2359" t="str">
        <f t="shared" si="295"/>
        <v/>
      </c>
      <c r="BA2359" t="str">
        <f t="shared" si="296"/>
        <v/>
      </c>
    </row>
    <row r="2360" spans="3:53" ht="13.5">
      <c r="C2360" s="19"/>
      <c r="D2360" s="19"/>
      <c r="AC2360" s="6" t="s">
        <v>5578</v>
      </c>
      <c r="AD2360" s="6" t="s">
        <v>7353</v>
      </c>
      <c r="AE2360" s="155" t="s">
        <v>3108</v>
      </c>
      <c r="AF2360" s="159" t="s">
        <v>8339</v>
      </c>
      <c r="AG2360" s="160" t="s">
        <v>5183</v>
      </c>
      <c r="AH2360" s="194" t="s">
        <v>1314</v>
      </c>
      <c r="AI2360" s="6" t="s">
        <v>5625</v>
      </c>
      <c r="AJ2360" s="3" t="s">
        <v>8226</v>
      </c>
      <c r="AK2360" t="s">
        <v>8671</v>
      </c>
      <c r="AV2360"/>
      <c r="AX2360"/>
      <c r="AZ2360" t="str">
        <f t="shared" si="295"/>
        <v/>
      </c>
      <c r="BA2360" t="str">
        <f t="shared" si="296"/>
        <v/>
      </c>
    </row>
    <row r="2361" spans="3:53" ht="13.5">
      <c r="C2361" s="19"/>
      <c r="D2361" s="19"/>
      <c r="AC2361" s="6" t="s">
        <v>5579</v>
      </c>
      <c r="AD2361" s="6" t="s">
        <v>7353</v>
      </c>
      <c r="AE2361" s="155" t="s">
        <v>3109</v>
      </c>
      <c r="AF2361" s="159" t="s">
        <v>8299</v>
      </c>
      <c r="AG2361" s="160" t="s">
        <v>5214</v>
      </c>
      <c r="AH2361" s="194" t="s">
        <v>1314</v>
      </c>
      <c r="AI2361" s="6" t="s">
        <v>2698</v>
      </c>
      <c r="AJ2361" s="3" t="s">
        <v>8276</v>
      </c>
      <c r="AK2361" t="s">
        <v>8276</v>
      </c>
      <c r="AV2361"/>
      <c r="AX2361"/>
      <c r="AZ2361" t="str">
        <f t="shared" si="295"/>
        <v/>
      </c>
      <c r="BA2361" t="str">
        <f t="shared" si="296"/>
        <v/>
      </c>
    </row>
    <row r="2362" spans="3:53" ht="13.5">
      <c r="C2362" s="19"/>
      <c r="D2362" s="19"/>
      <c r="AC2362" s="6" t="s">
        <v>5580</v>
      </c>
      <c r="AD2362" s="6" t="s">
        <v>7353</v>
      </c>
      <c r="AE2362" s="155" t="s">
        <v>3110</v>
      </c>
      <c r="AF2362" s="159" t="s">
        <v>8297</v>
      </c>
      <c r="AG2362" s="160" t="s">
        <v>5381</v>
      </c>
      <c r="AH2362" s="194" t="s">
        <v>679</v>
      </c>
      <c r="AI2362" s="6" t="s">
        <v>2699</v>
      </c>
      <c r="AJ2362" s="3" t="s">
        <v>8251</v>
      </c>
      <c r="AK2362" t="s">
        <v>8251</v>
      </c>
      <c r="AV2362"/>
      <c r="AX2362"/>
      <c r="AZ2362" t="str">
        <f t="shared" si="295"/>
        <v/>
      </c>
      <c r="BA2362" t="str">
        <f t="shared" si="296"/>
        <v/>
      </c>
    </row>
    <row r="2363" spans="3:53" ht="13.5">
      <c r="C2363" s="19"/>
      <c r="D2363" s="19"/>
      <c r="AC2363" s="6" t="s">
        <v>2796</v>
      </c>
      <c r="AD2363" s="6" t="s">
        <v>7429</v>
      </c>
      <c r="AE2363" s="155" t="s">
        <v>3111</v>
      </c>
      <c r="AF2363" s="159" t="s">
        <v>8299</v>
      </c>
      <c r="AG2363" s="160" t="s">
        <v>3458</v>
      </c>
      <c r="AH2363" s="194" t="s">
        <v>679</v>
      </c>
      <c r="AI2363" s="6" t="s">
        <v>2700</v>
      </c>
      <c r="AJ2363" s="3" t="s">
        <v>8276</v>
      </c>
      <c r="AK2363" t="s">
        <v>8276</v>
      </c>
      <c r="AV2363"/>
      <c r="AX2363"/>
      <c r="AZ2363" t="str">
        <f t="shared" si="295"/>
        <v/>
      </c>
      <c r="BA2363" t="str">
        <f t="shared" si="296"/>
        <v/>
      </c>
    </row>
    <row r="2364" spans="3:53" ht="13.5">
      <c r="C2364" s="19"/>
      <c r="D2364" s="19"/>
      <c r="AC2364" s="6" t="s">
        <v>3100</v>
      </c>
      <c r="AD2364" s="6" t="s">
        <v>7353</v>
      </c>
      <c r="AE2364" s="155" t="s">
        <v>3112</v>
      </c>
      <c r="AF2364" s="159" t="s">
        <v>8297</v>
      </c>
      <c r="AG2364" s="160" t="s">
        <v>3459</v>
      </c>
      <c r="AH2364" s="194" t="s">
        <v>4700</v>
      </c>
      <c r="AI2364" s="6" t="s">
        <v>2673</v>
      </c>
      <c r="AJ2364" s="3" t="s">
        <v>8274</v>
      </c>
      <c r="AK2364" t="s">
        <v>8274</v>
      </c>
      <c r="AV2364"/>
      <c r="AX2364"/>
      <c r="AZ2364" t="str">
        <f t="shared" si="295"/>
        <v/>
      </c>
      <c r="BA2364" t="str">
        <f t="shared" si="296"/>
        <v/>
      </c>
    </row>
    <row r="2365" spans="3:53" ht="13.5">
      <c r="C2365" s="19"/>
      <c r="D2365" s="19"/>
      <c r="AC2365" s="6" t="s">
        <v>3375</v>
      </c>
      <c r="AD2365" s="6" t="s">
        <v>7353</v>
      </c>
      <c r="AE2365" s="155" t="s">
        <v>3113</v>
      </c>
      <c r="AF2365" s="159" t="s">
        <v>8299</v>
      </c>
      <c r="AG2365" s="160" t="s">
        <v>3460</v>
      </c>
      <c r="AH2365" s="194" t="s">
        <v>1314</v>
      </c>
      <c r="AI2365" s="6" t="s">
        <v>632</v>
      </c>
      <c r="AJ2365" s="3" t="s">
        <v>8223</v>
      </c>
      <c r="AK2365" t="s">
        <v>8223</v>
      </c>
      <c r="AV2365"/>
      <c r="AX2365"/>
      <c r="AZ2365" t="str">
        <f t="shared" si="295"/>
        <v/>
      </c>
      <c r="BA2365" t="str">
        <f t="shared" si="296"/>
        <v/>
      </c>
    </row>
    <row r="2366" spans="3:53" ht="13.5">
      <c r="C2366" s="19"/>
      <c r="D2366" s="19"/>
      <c r="AC2366" s="6" t="s">
        <v>1228</v>
      </c>
      <c r="AD2366" s="6" t="s">
        <v>7353</v>
      </c>
      <c r="AE2366" s="155" t="s">
        <v>3114</v>
      </c>
      <c r="AF2366" s="159" t="s">
        <v>8299</v>
      </c>
      <c r="AG2366" s="160" t="s">
        <v>3461</v>
      </c>
      <c r="AH2366" s="194" t="s">
        <v>1314</v>
      </c>
      <c r="AI2366" s="6" t="s">
        <v>4089</v>
      </c>
      <c r="AJ2366" s="3" t="s">
        <v>8253</v>
      </c>
      <c r="AK2366" t="s">
        <v>8253</v>
      </c>
      <c r="AV2366"/>
      <c r="AX2366"/>
      <c r="AZ2366" t="str">
        <f t="shared" si="295"/>
        <v/>
      </c>
      <c r="BA2366" t="str">
        <f t="shared" si="296"/>
        <v/>
      </c>
    </row>
    <row r="2367" spans="3:53" ht="13.5">
      <c r="C2367" s="19"/>
      <c r="D2367" s="19"/>
      <c r="AC2367" s="6" t="s">
        <v>3032</v>
      </c>
      <c r="AD2367" s="6" t="s">
        <v>7353</v>
      </c>
      <c r="AE2367" s="155" t="s">
        <v>3115</v>
      </c>
      <c r="AF2367" s="159" t="s">
        <v>8299</v>
      </c>
      <c r="AG2367" s="160" t="s">
        <v>3463</v>
      </c>
      <c r="AH2367" s="194" t="s">
        <v>1314</v>
      </c>
      <c r="AI2367" s="6" t="s">
        <v>4090</v>
      </c>
      <c r="AJ2367" s="3" t="s">
        <v>8253</v>
      </c>
      <c r="AK2367" t="s">
        <v>8253</v>
      </c>
      <c r="AV2367"/>
      <c r="AX2367"/>
      <c r="AZ2367" t="str">
        <f t="shared" si="295"/>
        <v/>
      </c>
      <c r="BA2367" t="str">
        <f t="shared" si="296"/>
        <v/>
      </c>
    </row>
    <row r="2368" spans="3:53" ht="13.5">
      <c r="C2368" s="19"/>
      <c r="D2368" s="19"/>
      <c r="AC2368" s="6" t="s">
        <v>1273</v>
      </c>
      <c r="AD2368" s="6" t="s">
        <v>7353</v>
      </c>
      <c r="AE2368" s="155" t="s">
        <v>3116</v>
      </c>
      <c r="AF2368" s="159" t="s">
        <v>8299</v>
      </c>
      <c r="AG2368" s="160" t="s">
        <v>3464</v>
      </c>
      <c r="AH2368" s="194" t="s">
        <v>4700</v>
      </c>
      <c r="AI2368" s="6" t="s">
        <v>2707</v>
      </c>
      <c r="AJ2368" s="3" t="s">
        <v>8253</v>
      </c>
      <c r="AK2368" t="s">
        <v>8253</v>
      </c>
      <c r="AV2368"/>
      <c r="AX2368"/>
      <c r="AZ2368" t="str">
        <f t="shared" si="295"/>
        <v/>
      </c>
      <c r="BA2368" t="str">
        <f t="shared" si="296"/>
        <v/>
      </c>
    </row>
    <row r="2369" spans="3:53" ht="13.5">
      <c r="C2369" s="19"/>
      <c r="D2369" s="19"/>
      <c r="AC2369" s="6" t="s">
        <v>2991</v>
      </c>
      <c r="AD2369" s="6" t="s">
        <v>7353</v>
      </c>
      <c r="AE2369" s="155" t="s">
        <v>3117</v>
      </c>
      <c r="AF2369" s="159" t="s">
        <v>8299</v>
      </c>
      <c r="AG2369" s="160" t="s">
        <v>3465</v>
      </c>
      <c r="AH2369" s="194" t="s">
        <v>4700</v>
      </c>
      <c r="AI2369" s="6" t="s">
        <v>2708</v>
      </c>
      <c r="AJ2369" s="3" t="s">
        <v>8253</v>
      </c>
      <c r="AK2369" t="s">
        <v>8253</v>
      </c>
      <c r="AV2369"/>
      <c r="AX2369"/>
      <c r="AZ2369" t="str">
        <f t="shared" si="295"/>
        <v/>
      </c>
      <c r="BA2369" t="str">
        <f t="shared" si="296"/>
        <v/>
      </c>
    </row>
    <row r="2370" spans="3:53" ht="13.5">
      <c r="C2370" s="19"/>
      <c r="D2370" s="19"/>
      <c r="AC2370" s="6" t="s">
        <v>3416</v>
      </c>
      <c r="AD2370" s="6" t="s">
        <v>7353</v>
      </c>
      <c r="AE2370" s="155" t="s">
        <v>3118</v>
      </c>
      <c r="AF2370" s="159" t="s">
        <v>8339</v>
      </c>
      <c r="AG2370" s="160" t="s">
        <v>3466</v>
      </c>
      <c r="AH2370" s="194" t="s">
        <v>1314</v>
      </c>
      <c r="AI2370" s="6" t="s">
        <v>4092</v>
      </c>
      <c r="AJ2370" s="3" t="s">
        <v>8250</v>
      </c>
      <c r="AK2370" t="s">
        <v>8250</v>
      </c>
      <c r="AV2370"/>
      <c r="AX2370"/>
      <c r="AZ2370" t="str">
        <f t="shared" si="295"/>
        <v/>
      </c>
      <c r="BA2370" t="str">
        <f t="shared" si="296"/>
        <v/>
      </c>
    </row>
    <row r="2371" spans="3:53" ht="13.5">
      <c r="C2371" s="19"/>
      <c r="D2371" s="19"/>
      <c r="AC2371" s="6" t="s">
        <v>3228</v>
      </c>
      <c r="AD2371" s="6" t="s">
        <v>7353</v>
      </c>
      <c r="AE2371" s="155" t="s">
        <v>3119</v>
      </c>
      <c r="AF2371" s="159" t="s">
        <v>8339</v>
      </c>
      <c r="AG2371" s="160" t="s">
        <v>3467</v>
      </c>
      <c r="AH2371" s="194" t="s">
        <v>4700</v>
      </c>
      <c r="AI2371" s="6" t="s">
        <v>2744</v>
      </c>
      <c r="AJ2371" s="3" t="s">
        <v>8271</v>
      </c>
      <c r="AK2371" t="s">
        <v>8271</v>
      </c>
      <c r="AV2371"/>
      <c r="AX2371"/>
      <c r="AZ2371" t="str">
        <f t="shared" si="295"/>
        <v/>
      </c>
      <c r="BA2371" t="str">
        <f t="shared" si="296"/>
        <v/>
      </c>
    </row>
    <row r="2372" spans="3:53" ht="13.5">
      <c r="C2372" s="19"/>
      <c r="D2372" s="19"/>
      <c r="AC2372" s="6" t="s">
        <v>3073</v>
      </c>
      <c r="AD2372" s="6" t="s">
        <v>7353</v>
      </c>
      <c r="AE2372" s="155" t="s">
        <v>3120</v>
      </c>
      <c r="AF2372" s="159" t="s">
        <v>8339</v>
      </c>
      <c r="AG2372" s="160" t="s">
        <v>3468</v>
      </c>
      <c r="AH2372" s="194" t="s">
        <v>4700</v>
      </c>
      <c r="AI2372" s="6" t="s">
        <v>2625</v>
      </c>
      <c r="AJ2372" s="3" t="s">
        <v>8241</v>
      </c>
      <c r="AK2372" t="s">
        <v>8675</v>
      </c>
      <c r="AV2372"/>
      <c r="AX2372"/>
      <c r="AZ2372" t="str">
        <f t="shared" si="295"/>
        <v/>
      </c>
      <c r="BA2372" t="str">
        <f t="shared" si="296"/>
        <v/>
      </c>
    </row>
    <row r="2373" spans="3:53" ht="13.5">
      <c r="C2373" s="19"/>
      <c r="D2373" s="19"/>
      <c r="AC2373" s="6" t="s">
        <v>3109</v>
      </c>
      <c r="AD2373" s="6" t="s">
        <v>7353</v>
      </c>
      <c r="AE2373" s="155" t="s">
        <v>3121</v>
      </c>
      <c r="AF2373" s="159" t="s">
        <v>8299</v>
      </c>
      <c r="AG2373" s="160" t="s">
        <v>3469</v>
      </c>
      <c r="AH2373" s="194" t="s">
        <v>4700</v>
      </c>
      <c r="AI2373" s="6" t="s">
        <v>2531</v>
      </c>
      <c r="AJ2373" s="3" t="s">
        <v>8271</v>
      </c>
      <c r="AK2373" t="s">
        <v>8271</v>
      </c>
      <c r="AV2373"/>
      <c r="AX2373"/>
      <c r="AZ2373" t="str">
        <f t="shared" si="295"/>
        <v/>
      </c>
      <c r="BA2373" t="str">
        <f t="shared" si="296"/>
        <v/>
      </c>
    </row>
    <row r="2374" spans="3:53" ht="13.5">
      <c r="C2374" s="19"/>
      <c r="D2374" s="19"/>
      <c r="AC2374" s="6" t="s">
        <v>3157</v>
      </c>
      <c r="AD2374" s="6" t="s">
        <v>7353</v>
      </c>
      <c r="AE2374" s="155" t="s">
        <v>3122</v>
      </c>
      <c r="AF2374" s="159" t="s">
        <v>8339</v>
      </c>
      <c r="AG2374" s="160" t="s">
        <v>3470</v>
      </c>
      <c r="AH2374" s="194" t="s">
        <v>1314</v>
      </c>
      <c r="AI2374" s="6" t="s">
        <v>2547</v>
      </c>
      <c r="AJ2374" s="3" t="s">
        <v>8271</v>
      </c>
      <c r="AK2374" t="s">
        <v>8271</v>
      </c>
      <c r="AV2374"/>
      <c r="AX2374"/>
      <c r="AZ2374" t="str">
        <f t="shared" si="295"/>
        <v/>
      </c>
      <c r="BA2374" t="str">
        <f t="shared" si="296"/>
        <v/>
      </c>
    </row>
    <row r="2375" spans="3:53" ht="13.5">
      <c r="C2375" s="19"/>
      <c r="D2375" s="19"/>
      <c r="AC2375" s="6" t="s">
        <v>3119</v>
      </c>
      <c r="AD2375" s="6" t="s">
        <v>7353</v>
      </c>
      <c r="AE2375" s="155" t="s">
        <v>3123</v>
      </c>
      <c r="AF2375" s="159" t="s">
        <v>8299</v>
      </c>
      <c r="AG2375" s="160" t="s">
        <v>3471</v>
      </c>
      <c r="AH2375" s="194" t="s">
        <v>1314</v>
      </c>
      <c r="AI2375" s="6" t="s">
        <v>1803</v>
      </c>
      <c r="AJ2375" s="3" t="s">
        <v>8227</v>
      </c>
      <c r="AK2375" t="s">
        <v>8227</v>
      </c>
      <c r="AV2375"/>
      <c r="AX2375"/>
      <c r="AZ2375" t="str">
        <f t="shared" si="295"/>
        <v/>
      </c>
      <c r="BA2375" t="str">
        <f t="shared" si="296"/>
        <v/>
      </c>
    </row>
    <row r="2376" spans="3:53" ht="13.5">
      <c r="C2376" s="19"/>
      <c r="D2376" s="19"/>
      <c r="AC2376" s="6" t="s">
        <v>3129</v>
      </c>
      <c r="AD2376" s="6" t="s">
        <v>7353</v>
      </c>
      <c r="AE2376" s="155" t="s">
        <v>3124</v>
      </c>
      <c r="AF2376" s="159" t="s">
        <v>8299</v>
      </c>
      <c r="AG2376" s="160" t="s">
        <v>3472</v>
      </c>
      <c r="AH2376" s="194" t="s">
        <v>679</v>
      </c>
      <c r="AI2376" s="6" t="s">
        <v>1892</v>
      </c>
      <c r="AJ2376" s="3" t="s">
        <v>8222</v>
      </c>
      <c r="AK2376" t="s">
        <v>8670</v>
      </c>
      <c r="AV2376"/>
      <c r="AX2376"/>
      <c r="AZ2376" t="str">
        <f t="shared" si="295"/>
        <v/>
      </c>
      <c r="BA2376" t="str">
        <f t="shared" si="296"/>
        <v/>
      </c>
    </row>
    <row r="2377" spans="3:53" ht="13.5">
      <c r="C2377" s="19"/>
      <c r="D2377" s="19"/>
      <c r="AC2377" s="6" t="s">
        <v>3179</v>
      </c>
      <c r="AD2377" s="6" t="s">
        <v>7353</v>
      </c>
      <c r="AE2377" s="155" t="s">
        <v>3125</v>
      </c>
      <c r="AF2377" s="159" t="s">
        <v>8299</v>
      </c>
      <c r="AG2377" s="160" t="s">
        <v>3473</v>
      </c>
      <c r="AH2377" s="194" t="s">
        <v>679</v>
      </c>
      <c r="AI2377" s="6" t="s">
        <v>1893</v>
      </c>
      <c r="AJ2377" s="3" t="s">
        <v>8227</v>
      </c>
      <c r="AK2377" t="s">
        <v>8227</v>
      </c>
      <c r="AV2377"/>
      <c r="AX2377"/>
      <c r="AZ2377" t="str">
        <f t="shared" si="295"/>
        <v/>
      </c>
      <c r="BA2377" t="str">
        <f t="shared" si="296"/>
        <v/>
      </c>
    </row>
    <row r="2378" spans="3:53" ht="13.5">
      <c r="C2378" s="19"/>
      <c r="D2378" s="19"/>
      <c r="AC2378" s="6" t="s">
        <v>3358</v>
      </c>
      <c r="AD2378" s="6" t="s">
        <v>7353</v>
      </c>
      <c r="AE2378" s="155" t="s">
        <v>3126</v>
      </c>
      <c r="AF2378" s="159" t="s">
        <v>8299</v>
      </c>
      <c r="AG2378" s="160" t="s">
        <v>3474</v>
      </c>
      <c r="AH2378" s="194" t="s">
        <v>679</v>
      </c>
      <c r="AI2378" s="6" t="s">
        <v>2073</v>
      </c>
      <c r="AJ2378" s="3" t="s">
        <v>8222</v>
      </c>
      <c r="AK2378" t="s">
        <v>8670</v>
      </c>
      <c r="AV2378"/>
      <c r="AX2378"/>
      <c r="AZ2378" t="str">
        <f t="shared" si="295"/>
        <v/>
      </c>
      <c r="BA2378" t="str">
        <f t="shared" si="296"/>
        <v/>
      </c>
    </row>
    <row r="2379" spans="3:53" ht="13.5">
      <c r="C2379" s="19"/>
      <c r="D2379" s="19"/>
      <c r="AC2379" s="6" t="s">
        <v>3252</v>
      </c>
      <c r="AD2379" s="6" t="s">
        <v>7353</v>
      </c>
      <c r="AE2379" s="155" t="s">
        <v>3127</v>
      </c>
      <c r="AF2379" s="159" t="s">
        <v>8299</v>
      </c>
      <c r="AG2379" s="160" t="s">
        <v>3475</v>
      </c>
      <c r="AH2379" s="194" t="s">
        <v>679</v>
      </c>
      <c r="AI2379" s="6" t="s">
        <v>2155</v>
      </c>
      <c r="AJ2379" s="3" t="s">
        <v>8221</v>
      </c>
      <c r="AK2379" t="s">
        <v>8669</v>
      </c>
      <c r="AV2379"/>
      <c r="AX2379"/>
      <c r="AZ2379" t="str">
        <f t="shared" si="295"/>
        <v/>
      </c>
      <c r="BA2379" t="str">
        <f t="shared" si="296"/>
        <v/>
      </c>
    </row>
    <row r="2380" spans="3:53" ht="13.5">
      <c r="C2380" s="19"/>
      <c r="D2380" s="19"/>
      <c r="AC2380" s="6" t="s">
        <v>2800</v>
      </c>
      <c r="AD2380" s="6" t="s">
        <v>7422</v>
      </c>
      <c r="AE2380" s="155" t="s">
        <v>3128</v>
      </c>
      <c r="AF2380" s="159" t="s">
        <v>8309</v>
      </c>
      <c r="AG2380" s="160" t="s">
        <v>3476</v>
      </c>
      <c r="AH2380" s="194" t="s">
        <v>679</v>
      </c>
      <c r="AI2380" s="6" t="s">
        <v>2370</v>
      </c>
      <c r="AJ2380" s="3" t="s">
        <v>8241</v>
      </c>
      <c r="AK2380" t="s">
        <v>8675</v>
      </c>
      <c r="AV2380"/>
      <c r="AX2380"/>
      <c r="AZ2380" t="str">
        <f t="shared" si="295"/>
        <v/>
      </c>
      <c r="BA2380" t="str">
        <f t="shared" si="296"/>
        <v/>
      </c>
    </row>
    <row r="2381" spans="3:53" ht="13.5">
      <c r="C2381" s="19"/>
      <c r="D2381" s="19"/>
      <c r="AC2381" s="6" t="s">
        <v>3343</v>
      </c>
      <c r="AD2381" s="6" t="s">
        <v>7353</v>
      </c>
      <c r="AE2381" s="155" t="s">
        <v>1216</v>
      </c>
      <c r="AF2381" s="159" t="s">
        <v>8339</v>
      </c>
      <c r="AG2381" s="160" t="s">
        <v>3477</v>
      </c>
      <c r="AH2381" s="194" t="s">
        <v>1314</v>
      </c>
      <c r="AI2381" s="6" t="s">
        <v>2371</v>
      </c>
      <c r="AJ2381" s="3" t="s">
        <v>8277</v>
      </c>
      <c r="AK2381" t="s">
        <v>8277</v>
      </c>
      <c r="AV2381"/>
      <c r="AX2381"/>
      <c r="AZ2381" t="str">
        <f t="shared" si="295"/>
        <v/>
      </c>
      <c r="BA2381" t="str">
        <f t="shared" si="296"/>
        <v/>
      </c>
    </row>
    <row r="2382" spans="3:53" ht="13.5">
      <c r="C2382" s="19"/>
      <c r="D2382" s="19"/>
      <c r="AC2382" s="6" t="s">
        <v>2944</v>
      </c>
      <c r="AD2382" s="6" t="s">
        <v>7353</v>
      </c>
      <c r="AE2382" s="155" t="s">
        <v>3129</v>
      </c>
      <c r="AF2382" s="159" t="s">
        <v>8299</v>
      </c>
      <c r="AG2382" s="160" t="s">
        <v>3478</v>
      </c>
      <c r="AH2382" s="194" t="s">
        <v>679</v>
      </c>
      <c r="AI2382" s="6" t="s">
        <v>2372</v>
      </c>
      <c r="AJ2382" s="3" t="s">
        <v>8277</v>
      </c>
      <c r="AK2382" t="s">
        <v>8277</v>
      </c>
      <c r="AV2382"/>
      <c r="AX2382"/>
      <c r="AZ2382" t="str">
        <f t="shared" si="295"/>
        <v/>
      </c>
      <c r="BA2382" t="str">
        <f t="shared" si="296"/>
        <v/>
      </c>
    </row>
    <row r="2383" spans="3:53" ht="13.5">
      <c r="C2383" s="19"/>
      <c r="D2383" s="19"/>
      <c r="AC2383" s="6" t="s">
        <v>3074</v>
      </c>
      <c r="AD2383" s="6" t="s">
        <v>7353</v>
      </c>
      <c r="AE2383" s="155" t="s">
        <v>3130</v>
      </c>
      <c r="AF2383" s="159" t="s">
        <v>8339</v>
      </c>
      <c r="AG2383" s="160" t="s">
        <v>3479</v>
      </c>
      <c r="AH2383" s="194" t="s">
        <v>679</v>
      </c>
      <c r="AI2383" s="6" t="s">
        <v>2571</v>
      </c>
      <c r="AJ2383" s="3" t="s">
        <v>8277</v>
      </c>
      <c r="AK2383" t="s">
        <v>8277</v>
      </c>
      <c r="AV2383"/>
      <c r="AX2383"/>
      <c r="AZ2383" t="str">
        <f t="shared" si="295"/>
        <v/>
      </c>
      <c r="BA2383" t="str">
        <f t="shared" si="296"/>
        <v/>
      </c>
    </row>
    <row r="2384" spans="3:53" ht="13.5">
      <c r="C2384" s="19"/>
      <c r="D2384" s="19"/>
      <c r="AC2384" s="6" t="s">
        <v>1219</v>
      </c>
      <c r="AD2384" s="6" t="s">
        <v>7353</v>
      </c>
      <c r="AE2384" s="155" t="s">
        <v>3131</v>
      </c>
      <c r="AF2384" s="159" t="s">
        <v>8299</v>
      </c>
      <c r="AG2384" s="160" t="s">
        <v>3480</v>
      </c>
      <c r="AH2384" s="194" t="s">
        <v>679</v>
      </c>
      <c r="AI2384" s="6" t="s">
        <v>2572</v>
      </c>
      <c r="AJ2384" s="3" t="s">
        <v>8277</v>
      </c>
      <c r="AK2384" t="s">
        <v>8277</v>
      </c>
      <c r="AV2384"/>
      <c r="AX2384"/>
      <c r="AZ2384" t="str">
        <f t="shared" si="295"/>
        <v/>
      </c>
      <c r="BA2384" t="str">
        <f t="shared" si="296"/>
        <v/>
      </c>
    </row>
    <row r="2385" spans="3:53" ht="13.5">
      <c r="C2385" s="19"/>
      <c r="D2385" s="19"/>
      <c r="AC2385" s="6" t="s">
        <v>2350</v>
      </c>
      <c r="AD2385" s="6" t="s">
        <v>7430</v>
      </c>
      <c r="AE2385" s="155" t="s">
        <v>3132</v>
      </c>
      <c r="AF2385" s="159" t="s">
        <v>8299</v>
      </c>
      <c r="AG2385" s="160" t="s">
        <v>3481</v>
      </c>
      <c r="AH2385" s="194" t="s">
        <v>679</v>
      </c>
      <c r="AI2385" s="6" t="s">
        <v>2573</v>
      </c>
      <c r="AJ2385" s="3" t="s">
        <v>8277</v>
      </c>
      <c r="AK2385" t="s">
        <v>8277</v>
      </c>
      <c r="AV2385"/>
      <c r="AX2385"/>
      <c r="AZ2385" t="str">
        <f t="shared" ref="AZ2385:AZ2448" si="297">IF(ISBLANK(AW2385),"",CONCATENATE("(",RIGHT(AW2385,5),"-",TEXT(AX2385,"h:mm;@"),")"))</f>
        <v/>
      </c>
      <c r="BA2385" t="str">
        <f t="shared" ref="BA2385:BA2448" si="298">IF(AV2401=AV2385,"",CONCATENATE(IF(AV2400=AV2385,BA2400,""),IF(AV2399=AV2385,BA2399,""),IF(AV2398=AV2385,BA2398,""),IF(AV2397=AV2385,BA2397,""),IF(AV2396=AV2385,BA2396,""),IF(AV2395=AV2385,BA2395,""),IF(AV2394=AV2385,BA2394,""),IF(AV2393=AV2385,BA2393,""),IF(AV2392=AV2385,BA2392,""),IF(AV2391=AV2385,BA2391,""),IF(AV2390=AV2385,BA2390,""),IF(AV2389=AV2385,BA2389,""),IF(AV2388=AV2385,BA2388,""),IF(AV2387=AV2385,BA2387,""),IF(AV2386=AV2385,BA2386,""),IF(AV2384=AV2385,BA2384,""),BA2385))</f>
        <v/>
      </c>
    </row>
    <row r="2386" spans="3:53" ht="13.5">
      <c r="C2386" s="19"/>
      <c r="D2386" s="19"/>
      <c r="AC2386" s="6" t="s">
        <v>3216</v>
      </c>
      <c r="AD2386" s="6" t="s">
        <v>7353</v>
      </c>
      <c r="AE2386" s="155" t="s">
        <v>3133</v>
      </c>
      <c r="AF2386" s="159" t="s">
        <v>8297</v>
      </c>
      <c r="AG2386" s="160" t="s">
        <v>3482</v>
      </c>
      <c r="AH2386" s="194" t="s">
        <v>679</v>
      </c>
      <c r="AI2386" s="6" t="s">
        <v>2609</v>
      </c>
      <c r="AJ2386" s="3" t="s">
        <v>8277</v>
      </c>
      <c r="AK2386" t="s">
        <v>8277</v>
      </c>
      <c r="AV2386"/>
      <c r="AX2386"/>
      <c r="AZ2386" t="str">
        <f t="shared" si="297"/>
        <v/>
      </c>
      <c r="BA2386" t="str">
        <f t="shared" si="298"/>
        <v/>
      </c>
    </row>
    <row r="2387" spans="3:53" ht="13.5">
      <c r="C2387" s="19"/>
      <c r="D2387" s="19"/>
      <c r="AC2387" s="6" t="s">
        <v>2985</v>
      </c>
      <c r="AD2387" s="6" t="s">
        <v>7353</v>
      </c>
      <c r="AE2387" s="155" t="s">
        <v>3134</v>
      </c>
      <c r="AF2387" s="159" t="s">
        <v>8299</v>
      </c>
      <c r="AG2387" s="160" t="s">
        <v>3483</v>
      </c>
      <c r="AH2387" s="194" t="s">
        <v>679</v>
      </c>
      <c r="AI2387" s="6" t="s">
        <v>2780</v>
      </c>
      <c r="AJ2387" s="3" t="s">
        <v>8277</v>
      </c>
      <c r="AK2387" t="s">
        <v>8277</v>
      </c>
      <c r="AV2387"/>
      <c r="AX2387"/>
      <c r="AZ2387" t="str">
        <f t="shared" si="297"/>
        <v/>
      </c>
      <c r="BA2387" t="str">
        <f t="shared" si="298"/>
        <v/>
      </c>
    </row>
    <row r="2388" spans="3:53" ht="13.5">
      <c r="C2388" s="19"/>
      <c r="D2388" s="19"/>
      <c r="AC2388" s="6" t="s">
        <v>3362</v>
      </c>
      <c r="AD2388" s="6" t="s">
        <v>7353</v>
      </c>
      <c r="AE2388" s="155" t="s">
        <v>3135</v>
      </c>
      <c r="AF2388" s="159" t="s">
        <v>8339</v>
      </c>
      <c r="AG2388" s="160" t="s">
        <v>3484</v>
      </c>
      <c r="AH2388" s="194" t="s">
        <v>1314</v>
      </c>
      <c r="AI2388" s="6" t="s">
        <v>1767</v>
      </c>
      <c r="AJ2388" s="3" t="s">
        <v>8231</v>
      </c>
      <c r="AK2388" t="s">
        <v>8238</v>
      </c>
      <c r="AV2388"/>
      <c r="AX2388"/>
      <c r="AZ2388" t="str">
        <f t="shared" si="297"/>
        <v/>
      </c>
      <c r="BA2388" t="str">
        <f t="shared" si="298"/>
        <v/>
      </c>
    </row>
    <row r="2389" spans="3:53" ht="13.5">
      <c r="C2389" s="19"/>
      <c r="D2389" s="19"/>
      <c r="AC2389" s="6" t="s">
        <v>2941</v>
      </c>
      <c r="AD2389" s="6" t="s">
        <v>7353</v>
      </c>
      <c r="AE2389" s="155" t="s">
        <v>3136</v>
      </c>
      <c r="AF2389" s="159" t="s">
        <v>8339</v>
      </c>
      <c r="AG2389" s="160" t="s">
        <v>3485</v>
      </c>
      <c r="AH2389" s="194" t="s">
        <v>679</v>
      </c>
      <c r="AI2389" s="6" t="s">
        <v>1768</v>
      </c>
      <c r="AJ2389" s="3" t="s">
        <v>8217</v>
      </c>
      <c r="AK2389" t="s">
        <v>8668</v>
      </c>
      <c r="AV2389"/>
      <c r="AX2389"/>
      <c r="AZ2389" t="str">
        <f t="shared" si="297"/>
        <v/>
      </c>
      <c r="BA2389" t="str">
        <f t="shared" si="298"/>
        <v/>
      </c>
    </row>
    <row r="2390" spans="3:53" ht="13.5">
      <c r="C2390" s="19"/>
      <c r="D2390" s="19"/>
      <c r="AC2390" s="6" t="s">
        <v>3165</v>
      </c>
      <c r="AD2390" s="6" t="s">
        <v>7353</v>
      </c>
      <c r="AE2390" s="155" t="s">
        <v>3137</v>
      </c>
      <c r="AF2390" s="159" t="s">
        <v>8320</v>
      </c>
      <c r="AG2390" s="160" t="s">
        <v>3487</v>
      </c>
      <c r="AH2390" s="194" t="s">
        <v>1314</v>
      </c>
      <c r="AI2390" s="6" t="s">
        <v>1901</v>
      </c>
      <c r="AJ2390" s="3" t="s">
        <v>8217</v>
      </c>
      <c r="AK2390" t="s">
        <v>8668</v>
      </c>
      <c r="AV2390"/>
      <c r="AX2390"/>
      <c r="AZ2390" t="str">
        <f t="shared" si="297"/>
        <v/>
      </c>
      <c r="BA2390" t="str">
        <f t="shared" si="298"/>
        <v/>
      </c>
    </row>
    <row r="2391" spans="3:53" ht="13.5">
      <c r="C2391" s="19"/>
      <c r="D2391" s="19"/>
      <c r="AC2391" s="6" t="s">
        <v>2979</v>
      </c>
      <c r="AD2391" s="6" t="s">
        <v>7353</v>
      </c>
      <c r="AE2391" s="155" t="s">
        <v>3138</v>
      </c>
      <c r="AF2391" s="159" t="s">
        <v>8299</v>
      </c>
      <c r="AG2391" s="160" t="s">
        <v>4430</v>
      </c>
      <c r="AH2391" s="194" t="s">
        <v>1314</v>
      </c>
      <c r="AI2391" s="6" t="s">
        <v>1902</v>
      </c>
      <c r="AJ2391" s="3" t="s">
        <v>8217</v>
      </c>
      <c r="AK2391" t="s">
        <v>8668</v>
      </c>
      <c r="AV2391"/>
      <c r="AX2391"/>
      <c r="AZ2391" t="str">
        <f t="shared" si="297"/>
        <v/>
      </c>
      <c r="BA2391" t="str">
        <f t="shared" si="298"/>
        <v/>
      </c>
    </row>
    <row r="2392" spans="3:53" ht="13.5">
      <c r="C2392" s="19"/>
      <c r="D2392" s="19"/>
      <c r="AC2392" s="6" t="s">
        <v>3353</v>
      </c>
      <c r="AD2392" s="6" t="s">
        <v>7353</v>
      </c>
      <c r="AE2392" s="155" t="s">
        <v>3139</v>
      </c>
      <c r="AF2392" s="159" t="s">
        <v>8299</v>
      </c>
      <c r="AG2392" s="160" t="s">
        <v>3488</v>
      </c>
      <c r="AH2392" s="194" t="s">
        <v>4700</v>
      </c>
      <c r="AI2392" s="6" t="s">
        <v>1791</v>
      </c>
      <c r="AJ2392" s="3" t="s">
        <v>8194</v>
      </c>
      <c r="AK2392" t="s">
        <v>8194</v>
      </c>
      <c r="AV2392"/>
      <c r="AX2392"/>
      <c r="AZ2392" t="str">
        <f t="shared" si="297"/>
        <v/>
      </c>
      <c r="BA2392" t="str">
        <f t="shared" si="298"/>
        <v/>
      </c>
    </row>
    <row r="2393" spans="3:53" ht="13.5">
      <c r="C2393" s="19"/>
      <c r="D2393" s="19"/>
      <c r="AC2393" s="6" t="s">
        <v>3342</v>
      </c>
      <c r="AD2393" s="6" t="s">
        <v>7353</v>
      </c>
      <c r="AE2393" s="155" t="s">
        <v>3140</v>
      </c>
      <c r="AF2393" s="159" t="s">
        <v>8312</v>
      </c>
      <c r="AG2393" s="160" t="s">
        <v>3489</v>
      </c>
      <c r="AH2393" s="194" t="s">
        <v>1314</v>
      </c>
      <c r="AI2393" s="6" t="s">
        <v>1792</v>
      </c>
      <c r="AJ2393" s="3" t="s">
        <v>8194</v>
      </c>
      <c r="AK2393" t="s">
        <v>8194</v>
      </c>
      <c r="AV2393"/>
      <c r="AX2393"/>
      <c r="AZ2393" t="str">
        <f t="shared" si="297"/>
        <v/>
      </c>
      <c r="BA2393" t="str">
        <f t="shared" si="298"/>
        <v/>
      </c>
    </row>
    <row r="2394" spans="3:53" ht="13.5">
      <c r="C2394" s="19"/>
      <c r="D2394" s="19"/>
      <c r="AC2394" s="6" t="s">
        <v>3101</v>
      </c>
      <c r="AD2394" s="6" t="s">
        <v>7353</v>
      </c>
      <c r="AE2394" s="155" t="s">
        <v>3141</v>
      </c>
      <c r="AF2394" s="159" t="s">
        <v>8339</v>
      </c>
      <c r="AG2394" s="160" t="s">
        <v>3490</v>
      </c>
      <c r="AH2394" s="194" t="s">
        <v>679</v>
      </c>
      <c r="AI2394" s="6" t="s">
        <v>1806</v>
      </c>
      <c r="AJ2394" s="3" t="s">
        <v>8194</v>
      </c>
      <c r="AK2394" t="s">
        <v>8194</v>
      </c>
      <c r="AV2394"/>
      <c r="AX2394"/>
      <c r="AZ2394" t="str">
        <f t="shared" si="297"/>
        <v/>
      </c>
      <c r="BA2394" t="str">
        <f t="shared" si="298"/>
        <v/>
      </c>
    </row>
    <row r="2395" spans="3:53" ht="13.5">
      <c r="C2395" s="19"/>
      <c r="D2395" s="19"/>
      <c r="AC2395" s="6" t="s">
        <v>3885</v>
      </c>
      <c r="AD2395" s="6" t="s">
        <v>7353</v>
      </c>
      <c r="AE2395" s="155" t="s">
        <v>3142</v>
      </c>
      <c r="AF2395" s="159" t="s">
        <v>8299</v>
      </c>
      <c r="AG2395" s="160" t="s">
        <v>3491</v>
      </c>
      <c r="AH2395" s="194" t="s">
        <v>679</v>
      </c>
      <c r="AI2395" s="6" t="s">
        <v>2031</v>
      </c>
      <c r="AJ2395" s="3" t="s">
        <v>8194</v>
      </c>
      <c r="AK2395" t="s">
        <v>8194</v>
      </c>
      <c r="AV2395"/>
      <c r="AX2395"/>
      <c r="AZ2395" t="str">
        <f t="shared" si="297"/>
        <v/>
      </c>
      <c r="BA2395" t="str">
        <f t="shared" si="298"/>
        <v/>
      </c>
    </row>
    <row r="2396" spans="3:53" ht="13.5">
      <c r="C2396" s="19"/>
      <c r="D2396" s="19"/>
      <c r="AC2396" s="6" t="s">
        <v>2990</v>
      </c>
      <c r="AD2396" s="6" t="s">
        <v>7353</v>
      </c>
      <c r="AE2396" s="155" t="s">
        <v>3143</v>
      </c>
      <c r="AF2396" s="159" t="s">
        <v>8299</v>
      </c>
      <c r="AG2396" s="160" t="s">
        <v>3492</v>
      </c>
      <c r="AH2396" s="194" t="s">
        <v>1314</v>
      </c>
      <c r="AI2396" s="6" t="s">
        <v>2236</v>
      </c>
      <c r="AJ2396" s="3" t="s">
        <v>8194</v>
      </c>
      <c r="AK2396" t="s">
        <v>8194</v>
      </c>
      <c r="AV2396"/>
      <c r="AX2396"/>
      <c r="AZ2396" t="str">
        <f t="shared" si="297"/>
        <v/>
      </c>
      <c r="BA2396" t="str">
        <f t="shared" si="298"/>
        <v/>
      </c>
    </row>
    <row r="2397" spans="3:53" ht="13.5">
      <c r="C2397" s="19"/>
      <c r="D2397" s="19"/>
      <c r="AC2397" s="6" t="s">
        <v>3039</v>
      </c>
      <c r="AD2397" s="6" t="s">
        <v>7353</v>
      </c>
      <c r="AE2397" s="155" t="s">
        <v>3144</v>
      </c>
      <c r="AF2397" s="159" t="s">
        <v>8299</v>
      </c>
      <c r="AG2397" s="160" t="s">
        <v>3493</v>
      </c>
      <c r="AH2397" s="194" t="s">
        <v>1314</v>
      </c>
      <c r="AI2397" s="6" t="s">
        <v>2514</v>
      </c>
      <c r="AJ2397" s="3" t="s">
        <v>8274</v>
      </c>
      <c r="AK2397" t="s">
        <v>8274</v>
      </c>
      <c r="AV2397"/>
      <c r="AX2397"/>
      <c r="AZ2397" t="str">
        <f t="shared" si="297"/>
        <v/>
      </c>
      <c r="BA2397" t="str">
        <f t="shared" si="298"/>
        <v/>
      </c>
    </row>
    <row r="2398" spans="3:53" ht="13.5">
      <c r="C2398" s="19"/>
      <c r="D2398" s="19"/>
      <c r="AC2398" s="6" t="s">
        <v>3040</v>
      </c>
      <c r="AD2398" s="6" t="s">
        <v>7353</v>
      </c>
      <c r="AE2398" s="155" t="s">
        <v>3145</v>
      </c>
      <c r="AF2398" s="159" t="s">
        <v>8342</v>
      </c>
      <c r="AG2398" s="160" t="s">
        <v>3494</v>
      </c>
      <c r="AH2398" s="194" t="s">
        <v>1314</v>
      </c>
      <c r="AI2398" s="6" t="s">
        <v>4105</v>
      </c>
      <c r="AJ2398" s="3" t="s">
        <v>8225</v>
      </c>
      <c r="AK2398" t="s">
        <v>8225</v>
      </c>
      <c r="AV2398"/>
      <c r="AX2398"/>
      <c r="AZ2398" t="str">
        <f t="shared" si="297"/>
        <v/>
      </c>
      <c r="BA2398" t="str">
        <f t="shared" si="298"/>
        <v/>
      </c>
    </row>
    <row r="2399" spans="3:53" ht="13.5">
      <c r="C2399" s="19"/>
      <c r="D2399" s="19"/>
      <c r="AC2399" s="6" t="s">
        <v>3399</v>
      </c>
      <c r="AD2399" s="6" t="s">
        <v>7353</v>
      </c>
      <c r="AE2399" s="155" t="s">
        <v>3146</v>
      </c>
      <c r="AF2399" s="159" t="s">
        <v>8342</v>
      </c>
      <c r="AG2399" s="160" t="s">
        <v>3495</v>
      </c>
      <c r="AH2399" s="194" t="s">
        <v>1314</v>
      </c>
      <c r="AI2399" s="6" t="s">
        <v>4109</v>
      </c>
      <c r="AJ2399" s="3" t="s">
        <v>8225</v>
      </c>
      <c r="AK2399" t="s">
        <v>8225</v>
      </c>
      <c r="AV2399"/>
      <c r="AX2399"/>
      <c r="AZ2399" t="str">
        <f t="shared" si="297"/>
        <v/>
      </c>
      <c r="BA2399" t="str">
        <f t="shared" si="298"/>
        <v/>
      </c>
    </row>
    <row r="2400" spans="3:53" ht="13.5">
      <c r="C2400" s="19"/>
      <c r="D2400" s="19"/>
      <c r="AC2400" s="6" t="s">
        <v>3364</v>
      </c>
      <c r="AD2400" s="6" t="s">
        <v>7353</v>
      </c>
      <c r="AE2400" s="155" t="s">
        <v>3147</v>
      </c>
      <c r="AF2400" s="159" t="s">
        <v>8339</v>
      </c>
      <c r="AG2400" s="160" t="s">
        <v>3496</v>
      </c>
      <c r="AH2400" s="194" t="s">
        <v>1314</v>
      </c>
      <c r="AI2400" s="6" t="s">
        <v>4113</v>
      </c>
      <c r="AJ2400" s="3" t="s">
        <v>8225</v>
      </c>
      <c r="AK2400" t="s">
        <v>8225</v>
      </c>
      <c r="AV2400"/>
      <c r="AX2400"/>
      <c r="AZ2400" t="str">
        <f t="shared" si="297"/>
        <v/>
      </c>
      <c r="BA2400" t="str">
        <f t="shared" si="298"/>
        <v/>
      </c>
    </row>
    <row r="2401" spans="3:53" ht="13.5">
      <c r="C2401" s="19"/>
      <c r="D2401" s="19"/>
      <c r="AC2401" s="6" t="s">
        <v>3341</v>
      </c>
      <c r="AD2401" s="6" t="s">
        <v>7353</v>
      </c>
      <c r="AE2401" s="155" t="s">
        <v>3148</v>
      </c>
      <c r="AF2401" s="159" t="s">
        <v>8312</v>
      </c>
      <c r="AG2401" s="160" t="s">
        <v>3497</v>
      </c>
      <c r="AH2401" s="194" t="s">
        <v>1314</v>
      </c>
      <c r="AI2401" s="6" t="s">
        <v>4116</v>
      </c>
      <c r="AJ2401" s="3" t="s">
        <v>8229</v>
      </c>
      <c r="AK2401" t="s">
        <v>8229</v>
      </c>
      <c r="AV2401"/>
      <c r="AX2401"/>
      <c r="AZ2401" t="str">
        <f t="shared" si="297"/>
        <v/>
      </c>
      <c r="BA2401" t="str">
        <f t="shared" si="298"/>
        <v/>
      </c>
    </row>
    <row r="2402" spans="3:53" ht="13.5">
      <c r="C2402" s="19"/>
      <c r="D2402" s="19"/>
      <c r="AC2402" s="6" t="s">
        <v>2940</v>
      </c>
      <c r="AD2402" s="6" t="s">
        <v>7353</v>
      </c>
      <c r="AE2402" s="155" t="s">
        <v>3149</v>
      </c>
      <c r="AF2402" s="159" t="s">
        <v>8299</v>
      </c>
      <c r="AG2402" s="160" t="s">
        <v>3498</v>
      </c>
      <c r="AH2402" s="194" t="s">
        <v>679</v>
      </c>
      <c r="AI2402" s="6" t="s">
        <v>70</v>
      </c>
      <c r="AJ2402" s="3" t="s">
        <v>8225</v>
      </c>
      <c r="AK2402" t="s">
        <v>8225</v>
      </c>
      <c r="AV2402"/>
      <c r="AX2402"/>
      <c r="AZ2402" t="str">
        <f t="shared" si="297"/>
        <v/>
      </c>
      <c r="BA2402" t="str">
        <f t="shared" si="298"/>
        <v/>
      </c>
    </row>
    <row r="2403" spans="3:53" ht="13.5">
      <c r="C2403" s="19"/>
      <c r="D2403" s="19"/>
      <c r="AC2403" s="6" t="s">
        <v>3257</v>
      </c>
      <c r="AD2403" s="6" t="s">
        <v>7353</v>
      </c>
      <c r="AE2403" s="155" t="s">
        <v>3150</v>
      </c>
      <c r="AF2403" s="159" t="s">
        <v>8339</v>
      </c>
      <c r="AG2403" s="160" t="s">
        <v>3499</v>
      </c>
      <c r="AH2403" s="194" t="s">
        <v>1314</v>
      </c>
      <c r="AI2403" s="6" t="s">
        <v>4119</v>
      </c>
      <c r="AJ2403" s="3" t="s">
        <v>8229</v>
      </c>
      <c r="AK2403" t="s">
        <v>8229</v>
      </c>
      <c r="AV2403"/>
      <c r="AX2403"/>
      <c r="AZ2403" t="str">
        <f t="shared" si="297"/>
        <v/>
      </c>
      <c r="BA2403" t="str">
        <f t="shared" si="298"/>
        <v/>
      </c>
    </row>
    <row r="2404" spans="3:53" ht="13.5">
      <c r="C2404" s="19"/>
      <c r="D2404" s="19"/>
      <c r="AC2404" s="6" t="s">
        <v>3363</v>
      </c>
      <c r="AD2404" s="6" t="s">
        <v>7353</v>
      </c>
      <c r="AE2404" s="155" t="s">
        <v>3151</v>
      </c>
      <c r="AF2404" s="159" t="s">
        <v>8342</v>
      </c>
      <c r="AG2404" s="160" t="s">
        <v>4775</v>
      </c>
      <c r="AH2404" s="194" t="s">
        <v>679</v>
      </c>
      <c r="AI2404" s="6" t="s">
        <v>4121</v>
      </c>
      <c r="AJ2404" s="3" t="s">
        <v>8229</v>
      </c>
      <c r="AK2404" t="s">
        <v>8229</v>
      </c>
      <c r="AV2404"/>
      <c r="AX2404"/>
      <c r="AZ2404" t="str">
        <f t="shared" si="297"/>
        <v/>
      </c>
      <c r="BA2404" t="str">
        <f t="shared" si="298"/>
        <v/>
      </c>
    </row>
    <row r="2405" spans="3:53" ht="13.5">
      <c r="C2405" s="19"/>
      <c r="D2405" s="19"/>
      <c r="AC2405" s="6" t="s">
        <v>3231</v>
      </c>
      <c r="AD2405" s="6" t="s">
        <v>7353</v>
      </c>
      <c r="AE2405" s="155" t="s">
        <v>3152</v>
      </c>
      <c r="AF2405" s="159" t="s">
        <v>8339</v>
      </c>
      <c r="AG2405" s="160" t="s">
        <v>3500</v>
      </c>
      <c r="AH2405" s="194" t="s">
        <v>1314</v>
      </c>
      <c r="AI2405" s="6" t="s">
        <v>6711</v>
      </c>
      <c r="AJ2405" s="3" t="s">
        <v>8202</v>
      </c>
      <c r="AK2405" t="s">
        <v>8202</v>
      </c>
      <c r="AV2405"/>
      <c r="AX2405"/>
      <c r="AZ2405" t="str">
        <f t="shared" si="297"/>
        <v/>
      </c>
      <c r="BA2405" t="str">
        <f t="shared" si="298"/>
        <v/>
      </c>
    </row>
    <row r="2406" spans="3:53" ht="13.5">
      <c r="C2406" s="19"/>
      <c r="D2406" s="19"/>
      <c r="AC2406" s="6" t="s">
        <v>3233</v>
      </c>
      <c r="AD2406" s="6" t="s">
        <v>7353</v>
      </c>
      <c r="AE2406" s="155" t="s">
        <v>3153</v>
      </c>
      <c r="AF2406" s="159" t="s">
        <v>8342</v>
      </c>
      <c r="AG2406" s="160" t="s">
        <v>3501</v>
      </c>
      <c r="AH2406" s="194" t="s">
        <v>679</v>
      </c>
      <c r="AI2406" s="6" t="s">
        <v>6710</v>
      </c>
      <c r="AJ2406" s="3" t="s">
        <v>8202</v>
      </c>
      <c r="AK2406" t="s">
        <v>8202</v>
      </c>
      <c r="AV2406"/>
      <c r="AX2406"/>
      <c r="AZ2406" t="str">
        <f t="shared" si="297"/>
        <v/>
      </c>
      <c r="BA2406" t="str">
        <f t="shared" si="298"/>
        <v/>
      </c>
    </row>
    <row r="2407" spans="3:53" ht="13.5">
      <c r="C2407" s="19"/>
      <c r="D2407" s="19"/>
      <c r="AC2407" s="6" t="s">
        <v>3232</v>
      </c>
      <c r="AD2407" s="6" t="s">
        <v>7353</v>
      </c>
      <c r="AE2407" s="155" t="s">
        <v>3154</v>
      </c>
      <c r="AF2407" s="159" t="s">
        <v>8339</v>
      </c>
      <c r="AG2407" s="160" t="s">
        <v>3502</v>
      </c>
      <c r="AH2407" s="194" t="s">
        <v>1314</v>
      </c>
      <c r="AI2407" s="6" t="s">
        <v>4122</v>
      </c>
      <c r="AJ2407" s="3" t="s">
        <v>8229</v>
      </c>
      <c r="AK2407" t="s">
        <v>8229</v>
      </c>
      <c r="AV2407"/>
      <c r="AX2407"/>
      <c r="AZ2407" t="str">
        <f t="shared" si="297"/>
        <v/>
      </c>
      <c r="BA2407" t="str">
        <f t="shared" si="298"/>
        <v/>
      </c>
    </row>
    <row r="2408" spans="3:53" ht="13.5">
      <c r="C2408" s="19"/>
      <c r="D2408" s="19"/>
      <c r="AC2408" s="6" t="s">
        <v>3329</v>
      </c>
      <c r="AD2408" s="6" t="s">
        <v>7353</v>
      </c>
      <c r="AE2408" s="155" t="s">
        <v>3155</v>
      </c>
      <c r="AF2408" s="159" t="s">
        <v>8339</v>
      </c>
      <c r="AG2408" s="160" t="s">
        <v>3503</v>
      </c>
      <c r="AH2408" s="194" t="s">
        <v>1314</v>
      </c>
      <c r="AI2408" s="6" t="s">
        <v>4129</v>
      </c>
      <c r="AJ2408" s="3" t="s">
        <v>8225</v>
      </c>
      <c r="AK2408" t="s">
        <v>8225</v>
      </c>
      <c r="AV2408"/>
      <c r="AX2408"/>
      <c r="AZ2408" t="str">
        <f t="shared" si="297"/>
        <v/>
      </c>
      <c r="BA2408" t="str">
        <f t="shared" si="298"/>
        <v/>
      </c>
    </row>
    <row r="2409" spans="3:53" ht="13.5">
      <c r="C2409" s="19"/>
      <c r="D2409" s="19"/>
      <c r="AC2409" s="6" t="s">
        <v>3339</v>
      </c>
      <c r="AD2409" s="6" t="s">
        <v>7353</v>
      </c>
      <c r="AE2409" s="155" t="s">
        <v>3156</v>
      </c>
      <c r="AF2409" s="159" t="s">
        <v>8339</v>
      </c>
      <c r="AG2409" s="160" t="s">
        <v>3504</v>
      </c>
      <c r="AH2409" s="194" t="s">
        <v>1314</v>
      </c>
      <c r="AI2409" s="6" t="s">
        <v>645</v>
      </c>
      <c r="AJ2409" s="3" t="s">
        <v>8216</v>
      </c>
      <c r="AK2409" t="s">
        <v>8216</v>
      </c>
      <c r="AV2409"/>
      <c r="AX2409"/>
      <c r="AZ2409" t="str">
        <f t="shared" si="297"/>
        <v/>
      </c>
      <c r="BA2409" t="str">
        <f t="shared" si="298"/>
        <v/>
      </c>
    </row>
    <row r="2410" spans="3:53" ht="13.5">
      <c r="C2410" s="19"/>
      <c r="D2410" s="19"/>
      <c r="AC2410" s="6" t="s">
        <v>2984</v>
      </c>
      <c r="AD2410" s="6" t="s">
        <v>7353</v>
      </c>
      <c r="AE2410" s="155" t="s">
        <v>3157</v>
      </c>
      <c r="AF2410" s="159" t="s">
        <v>8299</v>
      </c>
      <c r="AG2410" s="160" t="s">
        <v>3505</v>
      </c>
      <c r="AH2410" s="194" t="s">
        <v>679</v>
      </c>
      <c r="AI2410" s="6" t="s">
        <v>647</v>
      </c>
      <c r="AJ2410" s="3" t="s">
        <v>8216</v>
      </c>
      <c r="AK2410" t="s">
        <v>8216</v>
      </c>
      <c r="AV2410"/>
      <c r="AX2410"/>
      <c r="AZ2410" t="str">
        <f t="shared" si="297"/>
        <v/>
      </c>
      <c r="BA2410" t="str">
        <f t="shared" si="298"/>
        <v/>
      </c>
    </row>
    <row r="2411" spans="3:53" ht="13.5">
      <c r="C2411" s="19"/>
      <c r="D2411" s="19"/>
      <c r="AC2411" s="6" t="s">
        <v>3340</v>
      </c>
      <c r="AD2411" s="6" t="s">
        <v>7353</v>
      </c>
      <c r="AE2411" s="155" t="s">
        <v>3158</v>
      </c>
      <c r="AF2411" s="159" t="s">
        <v>8339</v>
      </c>
      <c r="AG2411" s="160" t="s">
        <v>3506</v>
      </c>
      <c r="AH2411" s="194" t="s">
        <v>679</v>
      </c>
      <c r="AI2411" s="6" t="s">
        <v>649</v>
      </c>
      <c r="AJ2411" s="3" t="s">
        <v>8216</v>
      </c>
      <c r="AK2411" t="s">
        <v>8216</v>
      </c>
      <c r="AV2411"/>
      <c r="AX2411"/>
      <c r="AZ2411" t="str">
        <f t="shared" si="297"/>
        <v/>
      </c>
      <c r="BA2411" t="str">
        <f t="shared" si="298"/>
        <v/>
      </c>
    </row>
    <row r="2412" spans="3:53" ht="13.5">
      <c r="C2412" s="19"/>
      <c r="D2412" s="19"/>
      <c r="AC2412" s="6" t="s">
        <v>2943</v>
      </c>
      <c r="AD2412" s="6" t="s">
        <v>7353</v>
      </c>
      <c r="AE2412" s="155" t="s">
        <v>3159</v>
      </c>
      <c r="AF2412" s="159" t="s">
        <v>8299</v>
      </c>
      <c r="AG2412" s="160" t="s">
        <v>3507</v>
      </c>
      <c r="AH2412" s="194" t="s">
        <v>1314</v>
      </c>
      <c r="AI2412" s="6" t="s">
        <v>651</v>
      </c>
      <c r="AJ2412" s="3" t="s">
        <v>8216</v>
      </c>
      <c r="AK2412" t="s">
        <v>8216</v>
      </c>
      <c r="AV2412"/>
      <c r="AX2412"/>
      <c r="AZ2412" t="str">
        <f t="shared" si="297"/>
        <v/>
      </c>
      <c r="BA2412" t="str">
        <f t="shared" si="298"/>
        <v/>
      </c>
    </row>
    <row r="2413" spans="3:53" ht="13.5">
      <c r="C2413" s="19"/>
      <c r="D2413" s="19"/>
      <c r="AC2413" s="6" t="s">
        <v>3000</v>
      </c>
      <c r="AD2413" s="6" t="s">
        <v>7353</v>
      </c>
      <c r="AE2413" s="155" t="s">
        <v>3160</v>
      </c>
      <c r="AF2413" s="159" t="s">
        <v>8299</v>
      </c>
      <c r="AG2413" s="160" t="s">
        <v>3508</v>
      </c>
      <c r="AH2413" s="194" t="s">
        <v>679</v>
      </c>
      <c r="AI2413" s="6" t="s">
        <v>1123</v>
      </c>
      <c r="AJ2413" s="3" t="s">
        <v>8216</v>
      </c>
      <c r="AK2413" t="s">
        <v>8216</v>
      </c>
      <c r="AV2413"/>
      <c r="AX2413"/>
      <c r="AZ2413" t="str">
        <f t="shared" si="297"/>
        <v/>
      </c>
      <c r="BA2413" t="str">
        <f t="shared" si="298"/>
        <v/>
      </c>
    </row>
    <row r="2414" spans="3:53" ht="13.5">
      <c r="C2414" s="19"/>
      <c r="D2414" s="19"/>
      <c r="AC2414" s="6" t="s">
        <v>5386</v>
      </c>
      <c r="AD2414" s="6" t="s">
        <v>7353</v>
      </c>
      <c r="AE2414" s="155" t="s">
        <v>3161</v>
      </c>
      <c r="AF2414" s="159" t="s">
        <v>8299</v>
      </c>
      <c r="AG2414" s="160" t="s">
        <v>3509</v>
      </c>
      <c r="AH2414" s="194" t="s">
        <v>1314</v>
      </c>
      <c r="AI2414" s="6" t="s">
        <v>39</v>
      </c>
      <c r="AJ2414" s="3" t="s">
        <v>8216</v>
      </c>
      <c r="AK2414" t="s">
        <v>8216</v>
      </c>
      <c r="AV2414"/>
      <c r="AX2414"/>
      <c r="AZ2414" t="str">
        <f t="shared" si="297"/>
        <v/>
      </c>
      <c r="BA2414" t="str">
        <f t="shared" si="298"/>
        <v/>
      </c>
    </row>
    <row r="2415" spans="3:53" ht="13.5">
      <c r="C2415" s="19"/>
      <c r="D2415" s="19"/>
      <c r="AC2415" s="6" t="s">
        <v>3338</v>
      </c>
      <c r="AD2415" s="6" t="s">
        <v>7353</v>
      </c>
      <c r="AE2415" s="155" t="s">
        <v>3162</v>
      </c>
      <c r="AF2415" s="159" t="s">
        <v>8299</v>
      </c>
      <c r="AG2415" s="160" t="s">
        <v>3510</v>
      </c>
      <c r="AH2415" s="194" t="s">
        <v>679</v>
      </c>
      <c r="AI2415" s="6" t="s">
        <v>980</v>
      </c>
      <c r="AJ2415" s="3" t="s">
        <v>8216</v>
      </c>
      <c r="AK2415" t="s">
        <v>8216</v>
      </c>
      <c r="AV2415"/>
      <c r="AX2415"/>
      <c r="AZ2415" t="str">
        <f t="shared" si="297"/>
        <v/>
      </c>
      <c r="BA2415" t="str">
        <f t="shared" si="298"/>
        <v/>
      </c>
    </row>
    <row r="2416" spans="3:53" ht="13.5">
      <c r="C2416" s="19"/>
      <c r="D2416" s="19"/>
      <c r="AC2416" s="6" t="s">
        <v>3336</v>
      </c>
      <c r="AD2416" s="6" t="s">
        <v>7353</v>
      </c>
      <c r="AE2416" s="155" t="s">
        <v>3163</v>
      </c>
      <c r="AF2416" s="159" t="s">
        <v>8339</v>
      </c>
      <c r="AG2416" s="160" t="s">
        <v>3511</v>
      </c>
      <c r="AH2416" s="194" t="s">
        <v>679</v>
      </c>
      <c r="AI2416" s="6" t="s">
        <v>3408</v>
      </c>
      <c r="AJ2416" s="3" t="s">
        <v>8211</v>
      </c>
      <c r="AK2416" t="s">
        <v>8242</v>
      </c>
      <c r="AV2416"/>
      <c r="AX2416"/>
      <c r="AZ2416" t="str">
        <f t="shared" si="297"/>
        <v/>
      </c>
      <c r="BA2416" t="str">
        <f t="shared" si="298"/>
        <v/>
      </c>
    </row>
    <row r="2417" spans="3:53" ht="13.5">
      <c r="C2417" s="19"/>
      <c r="D2417" s="19"/>
      <c r="AC2417" s="6" t="s">
        <v>4793</v>
      </c>
      <c r="AD2417" s="6" t="s">
        <v>7353</v>
      </c>
      <c r="AE2417" s="155" t="s">
        <v>3164</v>
      </c>
      <c r="AF2417" s="159" t="s">
        <v>8299</v>
      </c>
      <c r="AG2417" s="160" t="s">
        <v>3512</v>
      </c>
      <c r="AH2417" s="194" t="s">
        <v>1314</v>
      </c>
      <c r="AI2417" s="6" t="s">
        <v>4135</v>
      </c>
      <c r="AJ2417" s="3" t="s">
        <v>8267</v>
      </c>
      <c r="AK2417" t="s">
        <v>8280</v>
      </c>
      <c r="AV2417"/>
      <c r="AX2417"/>
      <c r="AZ2417" t="str">
        <f t="shared" si="297"/>
        <v/>
      </c>
      <c r="BA2417" t="str">
        <f t="shared" si="298"/>
        <v/>
      </c>
    </row>
    <row r="2418" spans="3:53" ht="13.5">
      <c r="C2418" s="19"/>
      <c r="D2418" s="19"/>
      <c r="AC2418" s="6" t="s">
        <v>1271</v>
      </c>
      <c r="AD2418" s="6" t="s">
        <v>7353</v>
      </c>
      <c r="AE2418" s="155" t="s">
        <v>3165</v>
      </c>
      <c r="AF2418" s="159" t="s">
        <v>8299</v>
      </c>
      <c r="AG2418" s="160" t="s">
        <v>3513</v>
      </c>
      <c r="AH2418" s="194" t="s">
        <v>679</v>
      </c>
      <c r="AI2418" s="6" t="s">
        <v>652</v>
      </c>
      <c r="AJ2418" s="3" t="s">
        <v>8210</v>
      </c>
      <c r="AK2418" t="s">
        <v>8210</v>
      </c>
      <c r="AV2418"/>
      <c r="AX2418"/>
      <c r="AZ2418" t="str">
        <f t="shared" si="297"/>
        <v/>
      </c>
      <c r="BA2418" t="str">
        <f t="shared" si="298"/>
        <v/>
      </c>
    </row>
    <row r="2419" spans="3:53" ht="13.5">
      <c r="C2419" s="19"/>
      <c r="D2419" s="19"/>
      <c r="AC2419" s="6" t="s">
        <v>3236</v>
      </c>
      <c r="AD2419" s="6" t="s">
        <v>7353</v>
      </c>
      <c r="AE2419" s="155" t="s">
        <v>3166</v>
      </c>
      <c r="AF2419" s="159" t="s">
        <v>8299</v>
      </c>
      <c r="AG2419" s="160" t="s">
        <v>3514</v>
      </c>
      <c r="AH2419" s="194" t="s">
        <v>679</v>
      </c>
      <c r="AI2419" s="6" t="s">
        <v>653</v>
      </c>
      <c r="AJ2419" s="3" t="s">
        <v>8210</v>
      </c>
      <c r="AK2419" t="s">
        <v>8210</v>
      </c>
      <c r="AV2419"/>
      <c r="AX2419"/>
      <c r="AZ2419" t="str">
        <f t="shared" si="297"/>
        <v/>
      </c>
      <c r="BA2419" t="str">
        <f t="shared" si="298"/>
        <v/>
      </c>
    </row>
    <row r="2420" spans="3:53" ht="13.5">
      <c r="C2420" s="19"/>
      <c r="D2420" s="19"/>
      <c r="AC2420" s="6" t="s">
        <v>5390</v>
      </c>
      <c r="AD2420" s="6" t="s">
        <v>7353</v>
      </c>
      <c r="AE2420" s="155" t="s">
        <v>3167</v>
      </c>
      <c r="AF2420" s="159" t="s">
        <v>8299</v>
      </c>
      <c r="AG2420" s="160" t="s">
        <v>3515</v>
      </c>
      <c r="AH2420" s="194" t="s">
        <v>679</v>
      </c>
      <c r="AI2420" s="6" t="s">
        <v>655</v>
      </c>
      <c r="AJ2420" s="3" t="s">
        <v>8210</v>
      </c>
      <c r="AK2420" t="s">
        <v>8210</v>
      </c>
      <c r="AV2420"/>
      <c r="AX2420"/>
      <c r="AZ2420" t="str">
        <f t="shared" si="297"/>
        <v/>
      </c>
      <c r="BA2420" t="str">
        <f t="shared" si="298"/>
        <v/>
      </c>
    </row>
    <row r="2421" spans="3:53" ht="13.5">
      <c r="C2421" s="19"/>
      <c r="D2421" s="19"/>
      <c r="AC2421" s="6" t="s">
        <v>2942</v>
      </c>
      <c r="AD2421" s="6" t="s">
        <v>7353</v>
      </c>
      <c r="AE2421" s="155" t="s">
        <v>3168</v>
      </c>
      <c r="AF2421" s="159" t="s">
        <v>8347</v>
      </c>
      <c r="AG2421" s="160" t="s">
        <v>3516</v>
      </c>
      <c r="AH2421" s="194" t="s">
        <v>679</v>
      </c>
      <c r="AI2421" s="6" t="s">
        <v>1124</v>
      </c>
      <c r="AJ2421" s="3" t="s">
        <v>8198</v>
      </c>
      <c r="AK2421" t="s">
        <v>8198</v>
      </c>
      <c r="AV2421"/>
      <c r="AX2421"/>
      <c r="AZ2421" t="str">
        <f t="shared" si="297"/>
        <v/>
      </c>
      <c r="BA2421" t="str">
        <f t="shared" si="298"/>
        <v/>
      </c>
    </row>
    <row r="2422" spans="3:53" ht="13.5">
      <c r="C2422" s="19"/>
      <c r="D2422" s="19"/>
      <c r="AC2422" s="6" t="s">
        <v>3015</v>
      </c>
      <c r="AD2422" s="6" t="s">
        <v>7353</v>
      </c>
      <c r="AE2422" s="155" t="s">
        <v>3169</v>
      </c>
      <c r="AF2422" s="159" t="s">
        <v>8342</v>
      </c>
      <c r="AG2422" s="160" t="s">
        <v>3517</v>
      </c>
      <c r="AH2422" s="194" t="s">
        <v>1314</v>
      </c>
      <c r="AI2422" s="6" t="s">
        <v>656</v>
      </c>
      <c r="AJ2422" s="3" t="s">
        <v>8198</v>
      </c>
      <c r="AK2422" t="s">
        <v>8198</v>
      </c>
      <c r="AV2422"/>
      <c r="AX2422"/>
      <c r="AZ2422" t="str">
        <f t="shared" si="297"/>
        <v/>
      </c>
      <c r="BA2422" t="str">
        <f t="shared" si="298"/>
        <v/>
      </c>
    </row>
    <row r="2423" spans="3:53" ht="13.5">
      <c r="C2423" s="19"/>
      <c r="D2423" s="19"/>
      <c r="AC2423" s="6">
        <v>313508</v>
      </c>
      <c r="AD2423" s="6" t="s">
        <v>7431</v>
      </c>
      <c r="AE2423" s="155" t="s">
        <v>3170</v>
      </c>
      <c r="AF2423" s="159" t="s">
        <v>8339</v>
      </c>
      <c r="AG2423" s="160" t="s">
        <v>3518</v>
      </c>
      <c r="AH2423" s="194" t="s">
        <v>679</v>
      </c>
      <c r="AI2423" s="6" t="s">
        <v>6716</v>
      </c>
      <c r="AJ2423" s="3" t="s">
        <v>8202</v>
      </c>
      <c r="AK2423" t="s">
        <v>8202</v>
      </c>
      <c r="AV2423"/>
      <c r="AX2423"/>
      <c r="AZ2423" t="str">
        <f t="shared" si="297"/>
        <v/>
      </c>
      <c r="BA2423" t="str">
        <f t="shared" si="298"/>
        <v/>
      </c>
    </row>
    <row r="2424" spans="3:53" ht="13.5">
      <c r="C2424" s="19"/>
      <c r="D2424" s="19"/>
      <c r="AC2424" s="6" t="s">
        <v>3212</v>
      </c>
      <c r="AD2424" s="6" t="s">
        <v>7353</v>
      </c>
      <c r="AE2424" s="155" t="s">
        <v>3171</v>
      </c>
      <c r="AF2424" s="159" t="s">
        <v>8299</v>
      </c>
      <c r="AG2424" s="160" t="s">
        <v>3519</v>
      </c>
      <c r="AH2424" s="194" t="s">
        <v>679</v>
      </c>
      <c r="AI2424" s="6" t="s">
        <v>6719</v>
      </c>
      <c r="AJ2424" s="3" t="s">
        <v>8202</v>
      </c>
      <c r="AK2424" t="s">
        <v>8202</v>
      </c>
      <c r="AV2424"/>
      <c r="AX2424"/>
      <c r="AZ2424" t="str">
        <f t="shared" si="297"/>
        <v/>
      </c>
      <c r="BA2424" t="str">
        <f t="shared" si="298"/>
        <v/>
      </c>
    </row>
    <row r="2425" spans="3:53" ht="13.5">
      <c r="C2425" s="19"/>
      <c r="D2425" s="19"/>
      <c r="AC2425" s="6" t="s">
        <v>1220</v>
      </c>
      <c r="AD2425" s="6" t="s">
        <v>7353</v>
      </c>
      <c r="AE2425" s="155" t="s">
        <v>3172</v>
      </c>
      <c r="AF2425" s="159" t="s">
        <v>8299</v>
      </c>
      <c r="AG2425" s="160" t="s">
        <v>4771</v>
      </c>
      <c r="AH2425" s="194" t="s">
        <v>4700</v>
      </c>
      <c r="AI2425" s="6" t="s">
        <v>6715</v>
      </c>
      <c r="AJ2425" s="3" t="s">
        <v>8202</v>
      </c>
      <c r="AK2425" t="s">
        <v>8202</v>
      </c>
      <c r="AV2425"/>
      <c r="AX2425"/>
      <c r="AZ2425" t="str">
        <f t="shared" si="297"/>
        <v/>
      </c>
      <c r="BA2425" t="str">
        <f t="shared" si="298"/>
        <v/>
      </c>
    </row>
    <row r="2426" spans="3:53" ht="13.5">
      <c r="C2426" s="19"/>
      <c r="D2426" s="19"/>
      <c r="AC2426" s="6" t="s">
        <v>3334</v>
      </c>
      <c r="AD2426" s="6" t="s">
        <v>7353</v>
      </c>
      <c r="AE2426" s="155" t="s">
        <v>3173</v>
      </c>
      <c r="AF2426" s="159" t="s">
        <v>8299</v>
      </c>
      <c r="AG2426" s="160" t="s">
        <v>5325</v>
      </c>
      <c r="AH2426" s="194" t="s">
        <v>4700</v>
      </c>
      <c r="AI2426" s="6" t="s">
        <v>6718</v>
      </c>
      <c r="AJ2426" s="3" t="s">
        <v>8210</v>
      </c>
      <c r="AK2426" t="s">
        <v>8210</v>
      </c>
      <c r="AV2426"/>
      <c r="AX2426"/>
      <c r="AZ2426" t="str">
        <f t="shared" si="297"/>
        <v/>
      </c>
      <c r="BA2426" t="str">
        <f t="shared" si="298"/>
        <v/>
      </c>
    </row>
    <row r="2427" spans="3:53" ht="13.5">
      <c r="C2427" s="19"/>
      <c r="D2427" s="19"/>
      <c r="AC2427" s="6" t="s">
        <v>3333</v>
      </c>
      <c r="AD2427" s="6" t="s">
        <v>7353</v>
      </c>
      <c r="AE2427" s="155" t="s">
        <v>3174</v>
      </c>
      <c r="AF2427" s="159" t="s">
        <v>8339</v>
      </c>
      <c r="AG2427" s="160" t="s">
        <v>5324</v>
      </c>
      <c r="AH2427" s="194" t="s">
        <v>4700</v>
      </c>
      <c r="AI2427" s="6" t="s">
        <v>1527</v>
      </c>
      <c r="AJ2427" s="3" t="s">
        <v>8198</v>
      </c>
      <c r="AK2427" t="s">
        <v>8198</v>
      </c>
      <c r="AV2427"/>
      <c r="AX2427"/>
      <c r="AZ2427" t="str">
        <f t="shared" si="297"/>
        <v/>
      </c>
      <c r="BA2427" t="str">
        <f t="shared" si="298"/>
        <v/>
      </c>
    </row>
    <row r="2428" spans="3:53" ht="13.5">
      <c r="C2428" s="19"/>
      <c r="D2428" s="19"/>
      <c r="AC2428" s="6" t="s">
        <v>3234</v>
      </c>
      <c r="AD2428" s="6" t="s">
        <v>7353</v>
      </c>
      <c r="AE2428" s="155" t="s">
        <v>3175</v>
      </c>
      <c r="AF2428" s="159" t="s">
        <v>8299</v>
      </c>
      <c r="AG2428" s="160" t="s">
        <v>5326</v>
      </c>
      <c r="AH2428" s="194" t="s">
        <v>4700</v>
      </c>
      <c r="AI2428" s="6" t="s">
        <v>1621</v>
      </c>
      <c r="AJ2428" s="3" t="s">
        <v>8198</v>
      </c>
      <c r="AK2428" t="s">
        <v>8198</v>
      </c>
      <c r="AV2428"/>
      <c r="AX2428"/>
      <c r="AZ2428" t="str">
        <f t="shared" si="297"/>
        <v/>
      </c>
      <c r="BA2428" t="str">
        <f t="shared" si="298"/>
        <v/>
      </c>
    </row>
    <row r="2429" spans="3:53" ht="13.5">
      <c r="C2429" s="19"/>
      <c r="D2429" s="19"/>
      <c r="AC2429" s="6" t="s">
        <v>3215</v>
      </c>
      <c r="AD2429" s="6" t="s">
        <v>7353</v>
      </c>
      <c r="AE2429" s="155" t="s">
        <v>3176</v>
      </c>
      <c r="AF2429" s="159" t="s">
        <v>8299</v>
      </c>
      <c r="AG2429" s="160" t="s">
        <v>5382</v>
      </c>
      <c r="AH2429" s="194" t="s">
        <v>1314</v>
      </c>
      <c r="AI2429" s="6" t="s">
        <v>668</v>
      </c>
      <c r="AJ2429" s="3" t="s">
        <v>8198</v>
      </c>
      <c r="AK2429" t="s">
        <v>8198</v>
      </c>
      <c r="AV2429"/>
      <c r="AX2429"/>
      <c r="AZ2429" t="str">
        <f t="shared" si="297"/>
        <v/>
      </c>
      <c r="BA2429" t="str">
        <f t="shared" si="298"/>
        <v/>
      </c>
    </row>
    <row r="2430" spans="3:53" ht="13.5">
      <c r="C2430" s="19"/>
      <c r="D2430" s="19"/>
      <c r="AC2430" s="6" t="s">
        <v>3235</v>
      </c>
      <c r="AD2430" s="6" t="s">
        <v>7353</v>
      </c>
      <c r="AE2430" s="155" t="s">
        <v>1217</v>
      </c>
      <c r="AF2430" s="159" t="s">
        <v>8299</v>
      </c>
      <c r="AG2430" s="160" t="s">
        <v>2854</v>
      </c>
      <c r="AH2430" s="194" t="s">
        <v>678</v>
      </c>
      <c r="AI2430" s="6" t="s">
        <v>1626</v>
      </c>
      <c r="AJ2430" s="3" t="s">
        <v>8198</v>
      </c>
      <c r="AK2430" t="s">
        <v>8198</v>
      </c>
      <c r="AV2430"/>
      <c r="AX2430"/>
      <c r="AZ2430" t="str">
        <f t="shared" si="297"/>
        <v/>
      </c>
      <c r="BA2430" t="str">
        <f t="shared" si="298"/>
        <v/>
      </c>
    </row>
    <row r="2431" spans="3:53" ht="13.5">
      <c r="C2431" s="19"/>
      <c r="D2431" s="19"/>
      <c r="AC2431" s="6" t="s">
        <v>3283</v>
      </c>
      <c r="AD2431" s="6" t="s">
        <v>7353</v>
      </c>
      <c r="AE2431" s="155" t="s">
        <v>3177</v>
      </c>
      <c r="AF2431" s="159" t="s">
        <v>8339</v>
      </c>
      <c r="AG2431" s="160" t="s">
        <v>2855</v>
      </c>
      <c r="AH2431" s="194" t="s">
        <v>678</v>
      </c>
      <c r="AI2431" s="6" t="s">
        <v>671</v>
      </c>
      <c r="AJ2431" s="3" t="s">
        <v>8198</v>
      </c>
      <c r="AK2431" t="s">
        <v>8198</v>
      </c>
      <c r="AV2431"/>
      <c r="AX2431"/>
      <c r="AZ2431" t="str">
        <f t="shared" si="297"/>
        <v/>
      </c>
      <c r="BA2431" t="str">
        <f t="shared" si="298"/>
        <v/>
      </c>
    </row>
    <row r="2432" spans="3:53" ht="13.5">
      <c r="C2432" s="19"/>
      <c r="D2432" s="19"/>
      <c r="AC2432" s="6" t="s">
        <v>2988</v>
      </c>
      <c r="AD2432" s="6" t="s">
        <v>7353</v>
      </c>
      <c r="AE2432" s="155" t="s">
        <v>3178</v>
      </c>
      <c r="AF2432" s="159" t="s">
        <v>8366</v>
      </c>
      <c r="AG2432" s="160" t="s">
        <v>2856</v>
      </c>
      <c r="AH2432" s="194" t="s">
        <v>678</v>
      </c>
      <c r="AI2432" s="6" t="s">
        <v>6712</v>
      </c>
      <c r="AJ2432" s="3" t="s">
        <v>8202</v>
      </c>
      <c r="AK2432" t="s">
        <v>8202</v>
      </c>
      <c r="AV2432"/>
      <c r="AX2432"/>
      <c r="AZ2432" t="str">
        <f t="shared" si="297"/>
        <v/>
      </c>
      <c r="BA2432" t="str">
        <f t="shared" si="298"/>
        <v/>
      </c>
    </row>
    <row r="2433" spans="3:53" ht="13.5">
      <c r="C2433" s="19"/>
      <c r="D2433" s="19"/>
      <c r="AC2433" s="6" t="s">
        <v>2946</v>
      </c>
      <c r="AD2433" s="6" t="s">
        <v>7353</v>
      </c>
      <c r="AE2433" s="155" t="s">
        <v>3179</v>
      </c>
      <c r="AF2433" s="159" t="s">
        <v>8299</v>
      </c>
      <c r="AG2433" s="160" t="s">
        <v>2857</v>
      </c>
      <c r="AH2433" s="194" t="s">
        <v>678</v>
      </c>
      <c r="AI2433" s="6">
        <v>625369</v>
      </c>
      <c r="AJ2433" s="3" t="s">
        <v>8210</v>
      </c>
      <c r="AK2433" t="s">
        <v>8210</v>
      </c>
      <c r="AV2433"/>
      <c r="AX2433"/>
      <c r="AZ2433" t="str">
        <f t="shared" si="297"/>
        <v/>
      </c>
      <c r="BA2433" t="str">
        <f t="shared" si="298"/>
        <v/>
      </c>
    </row>
    <row r="2434" spans="3:53" ht="13.5">
      <c r="C2434" s="19"/>
      <c r="D2434" s="19"/>
      <c r="AC2434" s="6" t="s">
        <v>3359</v>
      </c>
      <c r="AD2434" s="6" t="s">
        <v>7353</v>
      </c>
      <c r="AE2434" s="155" t="s">
        <v>3180</v>
      </c>
      <c r="AF2434" s="159" t="s">
        <v>8299</v>
      </c>
      <c r="AG2434" s="160" t="s">
        <v>2858</v>
      </c>
      <c r="AH2434" s="194" t="s">
        <v>678</v>
      </c>
      <c r="AI2434" s="6" t="s">
        <v>60</v>
      </c>
      <c r="AJ2434" s="3" t="s">
        <v>8244</v>
      </c>
      <c r="AK2434" t="s">
        <v>8244</v>
      </c>
      <c r="AV2434"/>
      <c r="AX2434"/>
      <c r="AZ2434" t="str">
        <f t="shared" si="297"/>
        <v/>
      </c>
      <c r="BA2434" t="str">
        <f t="shared" si="298"/>
        <v/>
      </c>
    </row>
    <row r="2435" spans="3:53" ht="13.5">
      <c r="C2435" s="19"/>
      <c r="D2435" s="19"/>
      <c r="AC2435" s="6" t="s">
        <v>3127</v>
      </c>
      <c r="AD2435" s="6" t="s">
        <v>7353</v>
      </c>
      <c r="AE2435" s="155" t="s">
        <v>3181</v>
      </c>
      <c r="AF2435" s="159" t="s">
        <v>8299</v>
      </c>
      <c r="AG2435" s="160" t="s">
        <v>2859</v>
      </c>
      <c r="AH2435" s="194" t="s">
        <v>4700</v>
      </c>
      <c r="AI2435" s="6" t="s">
        <v>2513</v>
      </c>
      <c r="AJ2435" s="3" t="s">
        <v>8271</v>
      </c>
      <c r="AK2435" t="s">
        <v>8271</v>
      </c>
      <c r="AV2435"/>
      <c r="AX2435"/>
      <c r="AZ2435" t="str">
        <f t="shared" si="297"/>
        <v/>
      </c>
      <c r="BA2435" t="str">
        <f t="shared" si="298"/>
        <v/>
      </c>
    </row>
    <row r="2436" spans="3:53" ht="13.5">
      <c r="C2436" s="19"/>
      <c r="D2436" s="19"/>
      <c r="AC2436" s="6" t="s">
        <v>3213</v>
      </c>
      <c r="AD2436" s="6" t="s">
        <v>7353</v>
      </c>
      <c r="AE2436" s="155" t="s">
        <v>3182</v>
      </c>
      <c r="AF2436" s="159" t="s">
        <v>8299</v>
      </c>
      <c r="AG2436" s="160" t="s">
        <v>2860</v>
      </c>
      <c r="AH2436" s="194" t="s">
        <v>678</v>
      </c>
      <c r="AI2436" s="6" t="s">
        <v>2632</v>
      </c>
      <c r="AJ2436" s="3" t="s">
        <v>8271</v>
      </c>
      <c r="AK2436" t="s">
        <v>8271</v>
      </c>
      <c r="AV2436"/>
      <c r="AX2436"/>
      <c r="AZ2436" t="str">
        <f t="shared" si="297"/>
        <v/>
      </c>
      <c r="BA2436" t="str">
        <f t="shared" si="298"/>
        <v/>
      </c>
    </row>
    <row r="2437" spans="3:53" ht="13.5">
      <c r="C2437" s="19"/>
      <c r="D2437" s="19"/>
      <c r="AC2437" s="6" t="s">
        <v>2962</v>
      </c>
      <c r="AD2437" s="6" t="s">
        <v>7353</v>
      </c>
      <c r="AE2437" s="155" t="s">
        <v>3183</v>
      </c>
      <c r="AF2437" s="159" t="s">
        <v>8299</v>
      </c>
      <c r="AG2437" s="160" t="s">
        <v>2861</v>
      </c>
      <c r="AH2437" s="194" t="s">
        <v>678</v>
      </c>
      <c r="AI2437" s="6" t="s">
        <v>2646</v>
      </c>
      <c r="AJ2437" s="3" t="s">
        <v>8271</v>
      </c>
      <c r="AK2437" t="s">
        <v>8271</v>
      </c>
      <c r="AV2437"/>
      <c r="AX2437"/>
      <c r="AZ2437" t="str">
        <f t="shared" si="297"/>
        <v/>
      </c>
      <c r="BA2437" t="str">
        <f t="shared" si="298"/>
        <v/>
      </c>
    </row>
    <row r="2438" spans="3:53" ht="13.5">
      <c r="C2438" s="19"/>
      <c r="D2438" s="19"/>
      <c r="AC2438" s="6" t="s">
        <v>3447</v>
      </c>
      <c r="AD2438" s="6" t="s">
        <v>7353</v>
      </c>
      <c r="AE2438" s="155" t="s">
        <v>3184</v>
      </c>
      <c r="AF2438" s="159" t="s">
        <v>8312</v>
      </c>
      <c r="AG2438" s="160" t="s">
        <v>2862</v>
      </c>
      <c r="AH2438" s="194" t="s">
        <v>678</v>
      </c>
      <c r="AI2438" s="6" t="s">
        <v>2725</v>
      </c>
      <c r="AJ2438" s="3" t="s">
        <v>8271</v>
      </c>
      <c r="AK2438" t="s">
        <v>8271</v>
      </c>
      <c r="AV2438"/>
      <c r="AX2438"/>
      <c r="AZ2438" t="str">
        <f t="shared" si="297"/>
        <v/>
      </c>
      <c r="BA2438" t="str">
        <f t="shared" si="298"/>
        <v/>
      </c>
    </row>
    <row r="2439" spans="3:53" ht="13.5">
      <c r="C2439" s="19"/>
      <c r="D2439" s="19"/>
      <c r="AC2439" s="6" t="s">
        <v>3214</v>
      </c>
      <c r="AD2439" s="6" t="s">
        <v>7353</v>
      </c>
      <c r="AE2439" s="155" t="s">
        <v>3185</v>
      </c>
      <c r="AF2439" s="159" t="s">
        <v>8299</v>
      </c>
      <c r="AG2439" s="160" t="s">
        <v>2863</v>
      </c>
      <c r="AH2439" s="194" t="s">
        <v>678</v>
      </c>
      <c r="AI2439" s="6" t="s">
        <v>81</v>
      </c>
      <c r="AJ2439" s="3" t="s">
        <v>8225</v>
      </c>
      <c r="AK2439" t="s">
        <v>8225</v>
      </c>
      <c r="AV2439"/>
      <c r="AX2439"/>
      <c r="AZ2439" t="str">
        <f t="shared" si="297"/>
        <v/>
      </c>
      <c r="BA2439" t="str">
        <f t="shared" si="298"/>
        <v/>
      </c>
    </row>
    <row r="2440" spans="3:53" ht="13.5">
      <c r="C2440" s="19"/>
      <c r="D2440" s="19"/>
      <c r="AC2440" s="6" t="s">
        <v>3144</v>
      </c>
      <c r="AD2440" s="6" t="s">
        <v>7353</v>
      </c>
      <c r="AE2440" s="155" t="s">
        <v>3186</v>
      </c>
      <c r="AF2440" s="159" t="s">
        <v>8339</v>
      </c>
      <c r="AG2440" s="160" t="s">
        <v>2864</v>
      </c>
      <c r="AH2440" s="194" t="s">
        <v>678</v>
      </c>
      <c r="AI2440" s="6" t="s">
        <v>4136</v>
      </c>
      <c r="AJ2440" s="3" t="s">
        <v>8229</v>
      </c>
      <c r="AK2440" t="s">
        <v>8229</v>
      </c>
      <c r="AV2440"/>
      <c r="AX2440"/>
      <c r="AZ2440" t="str">
        <f t="shared" si="297"/>
        <v/>
      </c>
      <c r="BA2440" t="str">
        <f t="shared" si="298"/>
        <v/>
      </c>
    </row>
    <row r="2441" spans="3:53" ht="13.5">
      <c r="C2441" s="19"/>
      <c r="D2441" s="19"/>
      <c r="AC2441" s="6" t="s">
        <v>3276</v>
      </c>
      <c r="AD2441" s="6" t="s">
        <v>7353</v>
      </c>
      <c r="AE2441" s="155" t="s">
        <v>3187</v>
      </c>
      <c r="AF2441" s="159" t="s">
        <v>8340</v>
      </c>
      <c r="AG2441" s="160" t="s">
        <v>2865</v>
      </c>
      <c r="AH2441" s="194" t="s">
        <v>679</v>
      </c>
      <c r="AI2441" s="6" t="s">
        <v>4137</v>
      </c>
      <c r="AJ2441" s="3" t="s">
        <v>8229</v>
      </c>
      <c r="AK2441" t="s">
        <v>8229</v>
      </c>
      <c r="AV2441"/>
      <c r="AX2441"/>
      <c r="AZ2441" t="str">
        <f t="shared" si="297"/>
        <v/>
      </c>
      <c r="BA2441" t="str">
        <f t="shared" si="298"/>
        <v/>
      </c>
    </row>
    <row r="2442" spans="3:53" ht="13.5">
      <c r="C2442" s="19"/>
      <c r="D2442" s="19"/>
      <c r="AC2442" s="6" t="s">
        <v>3268</v>
      </c>
      <c r="AD2442" s="6" t="s">
        <v>7353</v>
      </c>
      <c r="AE2442" s="155" t="s">
        <v>3188</v>
      </c>
      <c r="AF2442" s="159" t="s">
        <v>8299</v>
      </c>
      <c r="AG2442" s="160" t="s">
        <v>2866</v>
      </c>
      <c r="AH2442" s="194" t="s">
        <v>679</v>
      </c>
      <c r="AI2442" s="6" t="s">
        <v>2510</v>
      </c>
      <c r="AJ2442" s="3" t="s">
        <v>8254</v>
      </c>
      <c r="AK2442" t="s">
        <v>8254</v>
      </c>
      <c r="AV2442"/>
      <c r="AX2442"/>
      <c r="AZ2442" t="str">
        <f t="shared" si="297"/>
        <v/>
      </c>
      <c r="BA2442" t="str">
        <f t="shared" si="298"/>
        <v/>
      </c>
    </row>
    <row r="2443" spans="3:53" ht="13.5">
      <c r="C2443" s="19"/>
      <c r="D2443" s="19"/>
      <c r="AC2443" s="6" t="s">
        <v>3335</v>
      </c>
      <c r="AD2443" s="6" t="s">
        <v>7353</v>
      </c>
      <c r="AE2443" s="155" t="s">
        <v>3189</v>
      </c>
      <c r="AF2443" s="159" t="s">
        <v>8342</v>
      </c>
      <c r="AG2443" s="160" t="s">
        <v>2867</v>
      </c>
      <c r="AH2443" s="194" t="s">
        <v>678</v>
      </c>
      <c r="AI2443" s="6" t="s">
        <v>2511</v>
      </c>
      <c r="AJ2443" s="3" t="s">
        <v>8254</v>
      </c>
      <c r="AK2443" t="s">
        <v>8254</v>
      </c>
      <c r="AV2443"/>
      <c r="AX2443"/>
      <c r="AZ2443" t="str">
        <f t="shared" si="297"/>
        <v/>
      </c>
      <c r="BA2443" t="str">
        <f t="shared" si="298"/>
        <v/>
      </c>
    </row>
    <row r="2444" spans="3:53" ht="13.5">
      <c r="C2444" s="19"/>
      <c r="D2444" s="19"/>
      <c r="AC2444" s="6" t="s">
        <v>3332</v>
      </c>
      <c r="AD2444" s="6" t="s">
        <v>7353</v>
      </c>
      <c r="AE2444" s="155" t="s">
        <v>3190</v>
      </c>
      <c r="AF2444" s="159" t="s">
        <v>8299</v>
      </c>
      <c r="AG2444" s="160" t="s">
        <v>2868</v>
      </c>
      <c r="AH2444" s="194" t="s">
        <v>679</v>
      </c>
      <c r="AI2444" s="6" t="s">
        <v>2512</v>
      </c>
      <c r="AJ2444" s="3" t="s">
        <v>8254</v>
      </c>
      <c r="AK2444" t="s">
        <v>8254</v>
      </c>
      <c r="AV2444"/>
      <c r="AX2444"/>
      <c r="AZ2444" t="str">
        <f t="shared" si="297"/>
        <v/>
      </c>
      <c r="BA2444" t="str">
        <f t="shared" si="298"/>
        <v/>
      </c>
    </row>
    <row r="2445" spans="3:53" ht="13.5">
      <c r="C2445" s="19"/>
      <c r="D2445" s="19"/>
      <c r="AC2445" s="6" t="s">
        <v>4768</v>
      </c>
      <c r="AD2445" s="6" t="s">
        <v>7353</v>
      </c>
      <c r="AE2445" s="155" t="s">
        <v>3191</v>
      </c>
      <c r="AF2445" s="159" t="s">
        <v>8299</v>
      </c>
      <c r="AG2445" s="160" t="s">
        <v>2869</v>
      </c>
      <c r="AH2445" s="194" t="s">
        <v>678</v>
      </c>
      <c r="AI2445" s="6" t="s">
        <v>2711</v>
      </c>
      <c r="AJ2445" s="3" t="s">
        <v>8277</v>
      </c>
      <c r="AK2445" t="s">
        <v>8277</v>
      </c>
      <c r="AV2445"/>
      <c r="AX2445"/>
      <c r="AZ2445" t="str">
        <f t="shared" si="297"/>
        <v/>
      </c>
      <c r="BA2445" t="str">
        <f t="shared" si="298"/>
        <v/>
      </c>
    </row>
    <row r="2446" spans="3:53" ht="13.5">
      <c r="C2446" s="19"/>
      <c r="D2446" s="19"/>
      <c r="AC2446" s="6" t="s">
        <v>2356</v>
      </c>
      <c r="AD2446" s="6" t="s">
        <v>7360</v>
      </c>
      <c r="AE2446" s="155" t="s">
        <v>3192</v>
      </c>
      <c r="AF2446" s="159" t="s">
        <v>8299</v>
      </c>
      <c r="AG2446" s="160" t="s">
        <v>2870</v>
      </c>
      <c r="AH2446" s="194" t="s">
        <v>679</v>
      </c>
      <c r="AI2446" s="6" t="s">
        <v>4138</v>
      </c>
      <c r="AJ2446" s="3" t="s">
        <v>8262</v>
      </c>
      <c r="AK2446" t="s">
        <v>8262</v>
      </c>
      <c r="AV2446"/>
      <c r="AX2446"/>
      <c r="AZ2446" t="str">
        <f t="shared" si="297"/>
        <v/>
      </c>
      <c r="BA2446" t="str">
        <f t="shared" si="298"/>
        <v/>
      </c>
    </row>
    <row r="2447" spans="3:53" ht="13.5">
      <c r="C2447" s="19"/>
      <c r="D2447" s="19"/>
      <c r="AC2447" s="6">
        <v>65275</v>
      </c>
      <c r="AD2447" s="6" t="s">
        <v>7366</v>
      </c>
      <c r="AE2447" s="155" t="s">
        <v>3193</v>
      </c>
      <c r="AF2447" s="159" t="s">
        <v>8299</v>
      </c>
      <c r="AG2447" s="160" t="s">
        <v>2871</v>
      </c>
      <c r="AH2447" s="194" t="s">
        <v>679</v>
      </c>
      <c r="AI2447" s="6" t="s">
        <v>4139</v>
      </c>
      <c r="AJ2447" s="3" t="s">
        <v>8262</v>
      </c>
      <c r="AK2447" t="s">
        <v>8262</v>
      </c>
      <c r="AV2447"/>
      <c r="AX2447"/>
      <c r="AZ2447" t="str">
        <f t="shared" si="297"/>
        <v/>
      </c>
      <c r="BA2447" t="str">
        <f t="shared" si="298"/>
        <v/>
      </c>
    </row>
    <row r="2448" spans="3:53" ht="13.5">
      <c r="C2448" s="19"/>
      <c r="D2448" s="19"/>
      <c r="AC2448" s="6">
        <v>605403</v>
      </c>
      <c r="AD2448" s="6" t="s">
        <v>6741</v>
      </c>
      <c r="AE2448" s="155" t="s">
        <v>3194</v>
      </c>
      <c r="AF2448" s="159" t="s">
        <v>8299</v>
      </c>
      <c r="AG2448" s="160" t="s">
        <v>2872</v>
      </c>
      <c r="AH2448" s="194" t="s">
        <v>678</v>
      </c>
      <c r="AI2448" s="6" t="s">
        <v>4140</v>
      </c>
      <c r="AJ2448" s="3" t="s">
        <v>8262</v>
      </c>
      <c r="AK2448" t="s">
        <v>8262</v>
      </c>
      <c r="AV2448"/>
      <c r="AX2448"/>
      <c r="AZ2448" t="str">
        <f t="shared" si="297"/>
        <v/>
      </c>
      <c r="BA2448" t="str">
        <f t="shared" si="298"/>
        <v/>
      </c>
    </row>
    <row r="2449" spans="3:53" ht="13.5">
      <c r="C2449" s="19"/>
      <c r="D2449" s="19"/>
      <c r="AC2449" s="6" t="s">
        <v>4426</v>
      </c>
      <c r="AD2449" s="6" t="s">
        <v>7353</v>
      </c>
      <c r="AE2449" s="155" t="s">
        <v>3195</v>
      </c>
      <c r="AF2449" s="159" t="s">
        <v>8339</v>
      </c>
      <c r="AG2449" s="160" t="s">
        <v>2873</v>
      </c>
      <c r="AH2449" s="194" t="s">
        <v>678</v>
      </c>
      <c r="AI2449" s="6" t="s">
        <v>4144</v>
      </c>
      <c r="AJ2449" s="3" t="s">
        <v>8270</v>
      </c>
      <c r="AK2449" t="s">
        <v>8270</v>
      </c>
      <c r="AV2449"/>
      <c r="AX2449"/>
      <c r="AZ2449" t="str">
        <f t="shared" ref="AZ2449:AZ2512" si="299">IF(ISBLANK(AW2449),"",CONCATENATE("(",RIGHT(AW2449,5),"-",TEXT(AX2449,"h:mm;@"),")"))</f>
        <v/>
      </c>
      <c r="BA2449" t="str">
        <f t="shared" ref="BA2449:BA2512" si="300">IF(AV2465=AV2449,"",CONCATENATE(IF(AV2464=AV2449,BA2464,""),IF(AV2463=AV2449,BA2463,""),IF(AV2462=AV2449,BA2462,""),IF(AV2461=AV2449,BA2461,""),IF(AV2460=AV2449,BA2460,""),IF(AV2459=AV2449,BA2459,""),IF(AV2458=AV2449,BA2458,""),IF(AV2457=AV2449,BA2457,""),IF(AV2456=AV2449,BA2456,""),IF(AV2455=AV2449,BA2455,""),IF(AV2454=AV2449,BA2454,""),IF(AV2453=AV2449,BA2453,""),IF(AV2452=AV2449,BA2452,""),IF(AV2451=AV2449,BA2451,""),IF(AV2450=AV2449,BA2450,""),IF(AV2448=AV2449,BA2448,""),BA2449))</f>
        <v/>
      </c>
    </row>
    <row r="2450" spans="3:53" ht="13.5">
      <c r="C2450" s="19"/>
      <c r="D2450" s="19"/>
      <c r="AC2450" s="6" t="s">
        <v>3251</v>
      </c>
      <c r="AD2450" s="6" t="s">
        <v>7353</v>
      </c>
      <c r="AE2450" s="155" t="s">
        <v>3196</v>
      </c>
      <c r="AF2450" s="159" t="s">
        <v>8339</v>
      </c>
      <c r="AG2450" s="160" t="s">
        <v>2874</v>
      </c>
      <c r="AH2450" s="194" t="s">
        <v>678</v>
      </c>
      <c r="AI2450" s="6" t="s">
        <v>2376</v>
      </c>
      <c r="AJ2450" s="3" t="s">
        <v>8275</v>
      </c>
      <c r="AK2450" t="s">
        <v>8275</v>
      </c>
      <c r="AV2450"/>
      <c r="AX2450"/>
      <c r="AZ2450" t="str">
        <f t="shared" si="299"/>
        <v/>
      </c>
      <c r="BA2450" t="str">
        <f t="shared" si="300"/>
        <v/>
      </c>
    </row>
    <row r="2451" spans="3:53" ht="13.5">
      <c r="C2451" s="19"/>
      <c r="D2451" s="19"/>
      <c r="AC2451" s="6" t="s">
        <v>5034</v>
      </c>
      <c r="AD2451" s="6" t="s">
        <v>7432</v>
      </c>
      <c r="AE2451" s="155" t="s">
        <v>3197</v>
      </c>
      <c r="AF2451" s="159" t="s">
        <v>8297</v>
      </c>
      <c r="AG2451" s="160" t="s">
        <v>2875</v>
      </c>
      <c r="AH2451" s="194" t="s">
        <v>678</v>
      </c>
      <c r="AI2451" s="6" t="s">
        <v>2377</v>
      </c>
      <c r="AJ2451" s="3" t="s">
        <v>8275</v>
      </c>
      <c r="AK2451" t="s">
        <v>8275</v>
      </c>
      <c r="AV2451"/>
      <c r="AX2451"/>
      <c r="AZ2451" t="str">
        <f t="shared" si="299"/>
        <v/>
      </c>
      <c r="BA2451" t="str">
        <f t="shared" si="300"/>
        <v/>
      </c>
    </row>
    <row r="2452" spans="3:53" ht="13.5">
      <c r="C2452" s="19"/>
      <c r="D2452" s="19"/>
      <c r="AC2452" s="6" t="s">
        <v>2982</v>
      </c>
      <c r="AD2452" s="6" t="s">
        <v>7353</v>
      </c>
      <c r="AE2452" s="155" t="s">
        <v>3198</v>
      </c>
      <c r="AF2452" s="159" t="s">
        <v>8339</v>
      </c>
      <c r="AG2452" s="160" t="s">
        <v>2876</v>
      </c>
      <c r="AH2452" s="194" t="s">
        <v>678</v>
      </c>
      <c r="AI2452" s="6" t="s">
        <v>2378</v>
      </c>
      <c r="AJ2452" s="3" t="s">
        <v>8275</v>
      </c>
      <c r="AK2452" t="s">
        <v>8275</v>
      </c>
      <c r="AV2452"/>
      <c r="AX2452"/>
      <c r="AZ2452" t="str">
        <f t="shared" si="299"/>
        <v/>
      </c>
      <c r="BA2452" t="str">
        <f t="shared" si="300"/>
        <v/>
      </c>
    </row>
    <row r="2453" spans="3:53" ht="13.5">
      <c r="C2453" s="19"/>
      <c r="D2453" s="19"/>
      <c r="AC2453" s="6" t="s">
        <v>3337</v>
      </c>
      <c r="AD2453" s="6" t="s">
        <v>7353</v>
      </c>
      <c r="AE2453" s="155" t="s">
        <v>3199</v>
      </c>
      <c r="AF2453" s="159" t="s">
        <v>8299</v>
      </c>
      <c r="AG2453" s="160" t="s">
        <v>2877</v>
      </c>
      <c r="AH2453" s="194" t="s">
        <v>4700</v>
      </c>
      <c r="AI2453" s="6" t="s">
        <v>2379</v>
      </c>
      <c r="AJ2453" s="3" t="s">
        <v>8275</v>
      </c>
      <c r="AK2453" t="s">
        <v>8275</v>
      </c>
      <c r="AV2453"/>
      <c r="AX2453"/>
      <c r="AZ2453" t="str">
        <f t="shared" si="299"/>
        <v/>
      </c>
      <c r="BA2453" t="str">
        <f t="shared" si="300"/>
        <v/>
      </c>
    </row>
    <row r="2454" spans="3:53" ht="13.5">
      <c r="C2454" s="19"/>
      <c r="D2454" s="19"/>
      <c r="AC2454" s="6" t="s">
        <v>3406</v>
      </c>
      <c r="AD2454" s="6" t="s">
        <v>7433</v>
      </c>
      <c r="AE2454" s="155" t="s">
        <v>3200</v>
      </c>
      <c r="AF2454" s="159" t="s">
        <v>8299</v>
      </c>
      <c r="AG2454" s="160" t="s">
        <v>2878</v>
      </c>
      <c r="AH2454" s="194" t="s">
        <v>678</v>
      </c>
      <c r="AI2454" s="6" t="s">
        <v>2383</v>
      </c>
      <c r="AJ2454" s="3" t="s">
        <v>8275</v>
      </c>
      <c r="AK2454" t="s">
        <v>8275</v>
      </c>
      <c r="AV2454"/>
      <c r="AX2454"/>
      <c r="AZ2454" t="str">
        <f t="shared" si="299"/>
        <v/>
      </c>
      <c r="BA2454" t="str">
        <f t="shared" si="300"/>
        <v/>
      </c>
    </row>
    <row r="2455" spans="3:53" ht="13.5">
      <c r="C2455" s="19"/>
      <c r="D2455" s="19"/>
      <c r="AC2455" s="6" t="s">
        <v>3274</v>
      </c>
      <c r="AD2455" s="6" t="s">
        <v>7434</v>
      </c>
      <c r="AE2455" s="155" t="s">
        <v>3201</v>
      </c>
      <c r="AF2455" s="159" t="s">
        <v>8299</v>
      </c>
      <c r="AG2455" s="160" t="s">
        <v>2879</v>
      </c>
      <c r="AH2455" s="194" t="s">
        <v>679</v>
      </c>
      <c r="AI2455" s="6" t="s">
        <v>2601</v>
      </c>
      <c r="AJ2455" s="3" t="s">
        <v>8275</v>
      </c>
      <c r="AK2455" t="s">
        <v>8275</v>
      </c>
      <c r="AV2455"/>
      <c r="AX2455"/>
      <c r="AZ2455" t="str">
        <f t="shared" si="299"/>
        <v/>
      </c>
      <c r="BA2455" t="str">
        <f t="shared" si="300"/>
        <v/>
      </c>
    </row>
    <row r="2456" spans="3:53" ht="13.5">
      <c r="C2456" s="19"/>
      <c r="D2456" s="19"/>
      <c r="AC2456" s="6" t="s">
        <v>3407</v>
      </c>
      <c r="AD2456" s="6" t="s">
        <v>7433</v>
      </c>
      <c r="AE2456" s="155" t="s">
        <v>3202</v>
      </c>
      <c r="AF2456" s="159" t="s">
        <v>8299</v>
      </c>
      <c r="AG2456" s="160" t="s">
        <v>2880</v>
      </c>
      <c r="AH2456" s="194" t="s">
        <v>678</v>
      </c>
      <c r="AI2456" s="6" t="s">
        <v>2730</v>
      </c>
      <c r="AJ2456" s="3" t="s">
        <v>8275</v>
      </c>
      <c r="AK2456" t="s">
        <v>8275</v>
      </c>
      <c r="AV2456"/>
      <c r="AX2456"/>
      <c r="AZ2456" t="str">
        <f t="shared" si="299"/>
        <v/>
      </c>
      <c r="BA2456" t="str">
        <f t="shared" si="300"/>
        <v/>
      </c>
    </row>
    <row r="2457" spans="3:53" ht="13.5">
      <c r="C2457" s="19"/>
      <c r="D2457" s="19"/>
      <c r="AC2457" s="6" t="s">
        <v>2981</v>
      </c>
      <c r="AD2457" s="6" t="s">
        <v>7353</v>
      </c>
      <c r="AE2457" s="155" t="s">
        <v>3203</v>
      </c>
      <c r="AF2457" s="159" t="s">
        <v>8299</v>
      </c>
      <c r="AG2457" s="160" t="s">
        <v>2881</v>
      </c>
      <c r="AH2457" s="194" t="s">
        <v>678</v>
      </c>
      <c r="AI2457" s="6" t="s">
        <v>2732</v>
      </c>
      <c r="AJ2457" s="3" t="s">
        <v>8275</v>
      </c>
      <c r="AK2457" t="s">
        <v>8275</v>
      </c>
      <c r="AV2457"/>
      <c r="AX2457"/>
      <c r="AZ2457" t="str">
        <f t="shared" si="299"/>
        <v/>
      </c>
      <c r="BA2457" t="str">
        <f t="shared" si="300"/>
        <v/>
      </c>
    </row>
    <row r="2458" spans="3:53" ht="13.5">
      <c r="C2458" s="19"/>
      <c r="D2458" s="19"/>
      <c r="AC2458" s="6" t="s">
        <v>3423</v>
      </c>
      <c r="AD2458" s="6" t="s">
        <v>7353</v>
      </c>
      <c r="AE2458" s="155" t="s">
        <v>3204</v>
      </c>
      <c r="AF2458" s="159" t="s">
        <v>8339</v>
      </c>
      <c r="AG2458" s="160" t="s">
        <v>2882</v>
      </c>
      <c r="AH2458" s="194" t="s">
        <v>679</v>
      </c>
      <c r="AI2458" s="6" t="s">
        <v>2735</v>
      </c>
      <c r="AJ2458" s="3" t="s">
        <v>8275</v>
      </c>
      <c r="AK2458" t="s">
        <v>8275</v>
      </c>
      <c r="AV2458"/>
      <c r="AX2458"/>
      <c r="AZ2458" t="str">
        <f t="shared" si="299"/>
        <v/>
      </c>
      <c r="BA2458" t="str">
        <f t="shared" si="300"/>
        <v/>
      </c>
    </row>
    <row r="2459" spans="3:53" ht="13.5">
      <c r="C2459" s="19"/>
      <c r="D2459" s="19"/>
      <c r="AC2459" s="6" t="s">
        <v>3264</v>
      </c>
      <c r="AD2459" s="6" t="s">
        <v>7353</v>
      </c>
      <c r="AE2459" s="155" t="s">
        <v>3205</v>
      </c>
      <c r="AF2459" s="159" t="s">
        <v>8346</v>
      </c>
      <c r="AG2459" s="160" t="s">
        <v>2883</v>
      </c>
      <c r="AH2459" s="194" t="s">
        <v>678</v>
      </c>
      <c r="AI2459" s="6" t="s">
        <v>4151</v>
      </c>
      <c r="AJ2459" s="3" t="s">
        <v>8214</v>
      </c>
      <c r="AK2459" t="s">
        <v>8214</v>
      </c>
      <c r="AV2459"/>
      <c r="AX2459"/>
      <c r="AZ2459" t="str">
        <f t="shared" si="299"/>
        <v/>
      </c>
      <c r="BA2459" t="str">
        <f t="shared" si="300"/>
        <v/>
      </c>
    </row>
    <row r="2460" spans="3:53" ht="13.5">
      <c r="C2460" s="19"/>
      <c r="D2460" s="19"/>
      <c r="AC2460" s="6" t="s">
        <v>3421</v>
      </c>
      <c r="AD2460" s="6" t="s">
        <v>7353</v>
      </c>
      <c r="AE2460" s="155" t="s">
        <v>3206</v>
      </c>
      <c r="AF2460" s="159" t="s">
        <v>8339</v>
      </c>
      <c r="AG2460" s="160" t="s">
        <v>2884</v>
      </c>
      <c r="AH2460" s="194" t="s">
        <v>678</v>
      </c>
      <c r="AI2460" s="6" t="s">
        <v>4152</v>
      </c>
      <c r="AJ2460" s="3" t="s">
        <v>8214</v>
      </c>
      <c r="AK2460" t="s">
        <v>8214</v>
      </c>
      <c r="AV2460"/>
      <c r="AX2460"/>
      <c r="AZ2460" t="str">
        <f t="shared" si="299"/>
        <v/>
      </c>
      <c r="BA2460" t="str">
        <f t="shared" si="300"/>
        <v/>
      </c>
    </row>
    <row r="2461" spans="3:53" ht="13.5">
      <c r="C2461" s="19"/>
      <c r="D2461" s="19"/>
      <c r="AC2461" s="6" t="s">
        <v>1227</v>
      </c>
      <c r="AD2461" s="6" t="s">
        <v>7353</v>
      </c>
      <c r="AE2461" s="155" t="s">
        <v>3207</v>
      </c>
      <c r="AF2461" s="159" t="s">
        <v>8339</v>
      </c>
      <c r="AG2461" s="160" t="s">
        <v>2885</v>
      </c>
      <c r="AH2461" s="194" t="s">
        <v>678</v>
      </c>
      <c r="AI2461" s="6" t="s">
        <v>4153</v>
      </c>
      <c r="AJ2461" s="3" t="s">
        <v>8214</v>
      </c>
      <c r="AK2461" t="s">
        <v>8214</v>
      </c>
      <c r="AV2461"/>
      <c r="AX2461"/>
      <c r="AZ2461" t="str">
        <f t="shared" si="299"/>
        <v/>
      </c>
      <c r="BA2461" t="str">
        <f t="shared" si="300"/>
        <v/>
      </c>
    </row>
    <row r="2462" spans="3:53" ht="13.5">
      <c r="C2462" s="19"/>
      <c r="D2462" s="19"/>
      <c r="AC2462" s="6" t="s">
        <v>3404</v>
      </c>
      <c r="AD2462" s="6" t="s">
        <v>7433</v>
      </c>
      <c r="AE2462" s="155" t="s">
        <v>3208</v>
      </c>
      <c r="AF2462" s="159" t="s">
        <v>8342</v>
      </c>
      <c r="AG2462" s="160" t="s">
        <v>2886</v>
      </c>
      <c r="AH2462" s="194" t="s">
        <v>678</v>
      </c>
      <c r="AI2462" s="6" t="s">
        <v>4155</v>
      </c>
      <c r="AJ2462" s="3" t="s">
        <v>8214</v>
      </c>
      <c r="AK2462" t="s">
        <v>8214</v>
      </c>
      <c r="AV2462"/>
      <c r="AX2462"/>
      <c r="AZ2462" t="str">
        <f t="shared" si="299"/>
        <v/>
      </c>
      <c r="BA2462" t="str">
        <f t="shared" si="300"/>
        <v/>
      </c>
    </row>
    <row r="2463" spans="3:53" ht="13.5">
      <c r="C2463" s="19"/>
      <c r="D2463" s="19"/>
      <c r="AC2463" s="6" t="s">
        <v>5632</v>
      </c>
      <c r="AD2463" s="6" t="s">
        <v>7353</v>
      </c>
      <c r="AE2463" s="155" t="s">
        <v>3209</v>
      </c>
      <c r="AF2463" s="159" t="s">
        <v>8339</v>
      </c>
      <c r="AG2463" s="160" t="s">
        <v>2887</v>
      </c>
      <c r="AH2463" s="194" t="s">
        <v>678</v>
      </c>
      <c r="AI2463" s="6" t="s">
        <v>4156</v>
      </c>
      <c r="AJ2463" s="3" t="s">
        <v>8214</v>
      </c>
      <c r="AK2463" t="s">
        <v>8214</v>
      </c>
      <c r="AV2463"/>
      <c r="AX2463"/>
      <c r="AZ2463" t="str">
        <f t="shared" si="299"/>
        <v/>
      </c>
      <c r="BA2463" t="str">
        <f t="shared" si="300"/>
        <v/>
      </c>
    </row>
    <row r="2464" spans="3:53" ht="13.5">
      <c r="C2464" s="19"/>
      <c r="D2464" s="19"/>
      <c r="AC2464" s="6">
        <v>605406</v>
      </c>
      <c r="AD2464" s="6" t="s">
        <v>7435</v>
      </c>
      <c r="AE2464" s="155" t="s">
        <v>3210</v>
      </c>
      <c r="AF2464" s="159" t="s">
        <v>8339</v>
      </c>
      <c r="AG2464" s="160" t="s">
        <v>2888</v>
      </c>
      <c r="AH2464" s="194" t="s">
        <v>678</v>
      </c>
      <c r="AI2464" s="6" t="s">
        <v>4157</v>
      </c>
      <c r="AJ2464" s="3" t="s">
        <v>8214</v>
      </c>
      <c r="AK2464" t="s">
        <v>8214</v>
      </c>
      <c r="AV2464"/>
      <c r="AX2464"/>
      <c r="AZ2464" t="str">
        <f t="shared" si="299"/>
        <v/>
      </c>
      <c r="BA2464" t="str">
        <f t="shared" si="300"/>
        <v/>
      </c>
    </row>
    <row r="2465" spans="3:53" ht="13.5">
      <c r="C2465" s="19"/>
      <c r="D2465" s="19"/>
      <c r="AC2465" s="6">
        <v>55272</v>
      </c>
      <c r="AD2465" s="6" t="s">
        <v>7436</v>
      </c>
      <c r="AE2465" s="155" t="s">
        <v>3211</v>
      </c>
      <c r="AF2465" s="159" t="s">
        <v>8339</v>
      </c>
      <c r="AG2465" s="160" t="s">
        <v>2889</v>
      </c>
      <c r="AH2465" s="194" t="s">
        <v>678</v>
      </c>
      <c r="AI2465" s="6" t="s">
        <v>4163</v>
      </c>
      <c r="AJ2465" s="3" t="s">
        <v>8214</v>
      </c>
      <c r="AK2465" t="s">
        <v>8214</v>
      </c>
      <c r="AV2465"/>
      <c r="AX2465"/>
      <c r="AZ2465" t="str">
        <f t="shared" si="299"/>
        <v/>
      </c>
      <c r="BA2465" t="str">
        <f t="shared" si="300"/>
        <v/>
      </c>
    </row>
    <row r="2466" spans="3:53" ht="13.5">
      <c r="C2466" s="19"/>
      <c r="D2466" s="19"/>
      <c r="AC2466" s="6" t="s">
        <v>2334</v>
      </c>
      <c r="AD2466" s="6" t="s">
        <v>7437</v>
      </c>
      <c r="AE2466" s="155" t="s">
        <v>3212</v>
      </c>
      <c r="AF2466" s="159" t="s">
        <v>8347</v>
      </c>
      <c r="AG2466" s="160" t="s">
        <v>2890</v>
      </c>
      <c r="AH2466" s="194" t="s">
        <v>4700</v>
      </c>
      <c r="AI2466" s="6" t="s">
        <v>2613</v>
      </c>
      <c r="AJ2466" s="3" t="s">
        <v>8271</v>
      </c>
      <c r="AK2466" t="s">
        <v>8271</v>
      </c>
      <c r="AV2466"/>
      <c r="AX2466"/>
      <c r="AZ2466" t="str">
        <f t="shared" si="299"/>
        <v/>
      </c>
      <c r="BA2466" t="str">
        <f t="shared" si="300"/>
        <v/>
      </c>
    </row>
    <row r="2467" spans="3:53" ht="13.5">
      <c r="C2467" s="19"/>
      <c r="D2467" s="19"/>
      <c r="AC2467" s="6" t="s">
        <v>2335</v>
      </c>
      <c r="AD2467" s="6" t="s">
        <v>7437</v>
      </c>
      <c r="AE2467" s="155" t="s">
        <v>3213</v>
      </c>
      <c r="AF2467" s="159" t="s">
        <v>8299</v>
      </c>
      <c r="AG2467" s="160" t="s">
        <v>2891</v>
      </c>
      <c r="AH2467" s="194" t="s">
        <v>678</v>
      </c>
      <c r="AI2467" s="6" t="s">
        <v>2739</v>
      </c>
      <c r="AJ2467" s="3" t="s">
        <v>8271</v>
      </c>
      <c r="AK2467" t="s">
        <v>8271</v>
      </c>
      <c r="AV2467"/>
      <c r="AX2467"/>
      <c r="AZ2467" t="str">
        <f t="shared" si="299"/>
        <v/>
      </c>
      <c r="BA2467" t="str">
        <f t="shared" si="300"/>
        <v/>
      </c>
    </row>
    <row r="2468" spans="3:53" ht="13.5">
      <c r="C2468" s="19"/>
      <c r="D2468" s="19"/>
      <c r="AC2468" s="6" t="s">
        <v>2360</v>
      </c>
      <c r="AD2468" s="6" t="s">
        <v>7357</v>
      </c>
      <c r="AE2468" s="155" t="s">
        <v>3214</v>
      </c>
      <c r="AF2468" s="159" t="s">
        <v>8296</v>
      </c>
      <c r="AG2468" s="160" t="s">
        <v>2892</v>
      </c>
      <c r="AH2468" s="194" t="s">
        <v>678</v>
      </c>
      <c r="AI2468" s="6" t="s">
        <v>2626</v>
      </c>
      <c r="AJ2468" s="3" t="s">
        <v>8226</v>
      </c>
      <c r="AK2468" t="s">
        <v>8671</v>
      </c>
      <c r="AV2468"/>
      <c r="AX2468"/>
      <c r="AZ2468" t="str">
        <f t="shared" si="299"/>
        <v/>
      </c>
      <c r="BA2468" t="str">
        <f t="shared" si="300"/>
        <v/>
      </c>
    </row>
    <row r="2469" spans="3:53" ht="13.5">
      <c r="C2469" s="19"/>
      <c r="D2469" s="19"/>
      <c r="AC2469" s="6" t="s">
        <v>5760</v>
      </c>
      <c r="AD2469" s="6" t="s">
        <v>7438</v>
      </c>
      <c r="AE2469" s="155" t="s">
        <v>3215</v>
      </c>
      <c r="AF2469" s="159" t="s">
        <v>8299</v>
      </c>
      <c r="AG2469" s="160" t="s">
        <v>2893</v>
      </c>
      <c r="AH2469" s="194" t="s">
        <v>678</v>
      </c>
      <c r="AI2469" s="6" t="s">
        <v>2627</v>
      </c>
      <c r="AJ2469" s="3" t="s">
        <v>8226</v>
      </c>
      <c r="AK2469" t="s">
        <v>8671</v>
      </c>
      <c r="AV2469"/>
      <c r="AX2469"/>
      <c r="AZ2469" t="str">
        <f t="shared" si="299"/>
        <v/>
      </c>
      <c r="BA2469" t="str">
        <f t="shared" si="300"/>
        <v/>
      </c>
    </row>
    <row r="2470" spans="3:53" ht="13.5">
      <c r="C2470" s="19"/>
      <c r="D2470" s="19"/>
      <c r="AC2470" s="6" t="s">
        <v>2639</v>
      </c>
      <c r="AD2470" s="6" t="s">
        <v>7438</v>
      </c>
      <c r="AE2470" s="155" t="s">
        <v>3216</v>
      </c>
      <c r="AF2470" s="159" t="s">
        <v>8405</v>
      </c>
      <c r="AG2470" s="160" t="s">
        <v>2894</v>
      </c>
      <c r="AH2470" s="194" t="s">
        <v>678</v>
      </c>
      <c r="AI2470" s="6" t="s">
        <v>2628</v>
      </c>
      <c r="AJ2470" s="3" t="s">
        <v>8226</v>
      </c>
      <c r="AK2470" t="s">
        <v>8671</v>
      </c>
      <c r="AV2470"/>
      <c r="AX2470"/>
      <c r="AZ2470" t="str">
        <f t="shared" si="299"/>
        <v/>
      </c>
      <c r="BA2470" t="str">
        <f t="shared" si="300"/>
        <v/>
      </c>
    </row>
    <row r="2471" spans="3:53" ht="13.5">
      <c r="C2471" s="19"/>
      <c r="D2471" s="19"/>
      <c r="AC2471" s="6" t="s">
        <v>1224</v>
      </c>
      <c r="AD2471" s="6" t="s">
        <v>7353</v>
      </c>
      <c r="AE2471" s="155" t="s">
        <v>3217</v>
      </c>
      <c r="AF2471" s="159" t="s">
        <v>8299</v>
      </c>
      <c r="AG2471" s="160" t="s">
        <v>2895</v>
      </c>
      <c r="AH2471" s="194" t="s">
        <v>678</v>
      </c>
      <c r="AI2471" s="6" t="s">
        <v>5623</v>
      </c>
      <c r="AJ2471" s="3" t="s">
        <v>8226</v>
      </c>
      <c r="AK2471" t="s">
        <v>8671</v>
      </c>
      <c r="AV2471"/>
      <c r="AX2471"/>
      <c r="AZ2471" t="str">
        <f t="shared" si="299"/>
        <v/>
      </c>
      <c r="BA2471" t="str">
        <f t="shared" si="300"/>
        <v/>
      </c>
    </row>
    <row r="2472" spans="3:53" ht="13.5">
      <c r="C2472" s="19"/>
      <c r="D2472" s="19"/>
      <c r="AC2472" s="6">
        <v>63855</v>
      </c>
      <c r="AD2472" s="6" t="s">
        <v>7366</v>
      </c>
      <c r="AE2472" s="155" t="s">
        <v>3218</v>
      </c>
      <c r="AF2472" s="159" t="s">
        <v>8299</v>
      </c>
      <c r="AG2472" s="160" t="s">
        <v>2896</v>
      </c>
      <c r="AH2472" s="194" t="s">
        <v>678</v>
      </c>
      <c r="AI2472" s="6" t="s">
        <v>5626</v>
      </c>
      <c r="AJ2472" s="3" t="s">
        <v>8226</v>
      </c>
      <c r="AK2472" t="s">
        <v>8671</v>
      </c>
      <c r="AV2472"/>
      <c r="AX2472"/>
      <c r="AZ2472" t="str">
        <f t="shared" si="299"/>
        <v/>
      </c>
      <c r="BA2472" t="str">
        <f t="shared" si="300"/>
        <v/>
      </c>
    </row>
    <row r="2473" spans="3:53" ht="13.5">
      <c r="C2473" s="19"/>
      <c r="D2473" s="19"/>
      <c r="AC2473" s="6" t="s">
        <v>3405</v>
      </c>
      <c r="AD2473" s="6" t="s">
        <v>7433</v>
      </c>
      <c r="AE2473" s="155" t="s">
        <v>3219</v>
      </c>
      <c r="AF2473" s="159" t="s">
        <v>8339</v>
      </c>
      <c r="AG2473" s="160" t="s">
        <v>2897</v>
      </c>
      <c r="AH2473" s="194" t="s">
        <v>678</v>
      </c>
      <c r="AI2473" s="6" t="s">
        <v>1831</v>
      </c>
      <c r="AJ2473" s="3" t="s">
        <v>8252</v>
      </c>
      <c r="AK2473" t="s">
        <v>8252</v>
      </c>
      <c r="AV2473"/>
      <c r="AX2473"/>
      <c r="AZ2473" t="str">
        <f t="shared" si="299"/>
        <v/>
      </c>
      <c r="BA2473" t="str">
        <f t="shared" si="300"/>
        <v/>
      </c>
    </row>
    <row r="2474" spans="3:53" ht="13.5">
      <c r="C2474" s="19"/>
      <c r="D2474" s="19"/>
      <c r="AC2474" s="6" t="s">
        <v>1266</v>
      </c>
      <c r="AD2474" s="6" t="s">
        <v>7430</v>
      </c>
      <c r="AE2474" s="155" t="s">
        <v>3220</v>
      </c>
      <c r="AF2474" s="159" t="s">
        <v>8299</v>
      </c>
      <c r="AG2474" s="160" t="s">
        <v>2898</v>
      </c>
      <c r="AH2474" s="194" t="s">
        <v>679</v>
      </c>
      <c r="AI2474" s="6" t="s">
        <v>1966</v>
      </c>
      <c r="AJ2474" s="3" t="s">
        <v>8227</v>
      </c>
      <c r="AK2474" t="s">
        <v>8227</v>
      </c>
      <c r="AV2474"/>
      <c r="AX2474"/>
      <c r="AZ2474" t="str">
        <f t="shared" si="299"/>
        <v/>
      </c>
      <c r="BA2474" t="str">
        <f t="shared" si="300"/>
        <v/>
      </c>
    </row>
    <row r="2475" spans="3:53" ht="13.5">
      <c r="C2475" s="19"/>
      <c r="D2475" s="19"/>
      <c r="AC2475" s="6" t="s">
        <v>3402</v>
      </c>
      <c r="AD2475" s="6" t="s">
        <v>7353</v>
      </c>
      <c r="AE2475" s="155" t="s">
        <v>3221</v>
      </c>
      <c r="AF2475" s="159" t="s">
        <v>8299</v>
      </c>
      <c r="AG2475" s="160" t="s">
        <v>2899</v>
      </c>
      <c r="AH2475" s="194" t="s">
        <v>678</v>
      </c>
      <c r="AI2475" s="6" t="s">
        <v>2006</v>
      </c>
      <c r="AJ2475" s="3" t="s">
        <v>8227</v>
      </c>
      <c r="AK2475" t="s">
        <v>8227</v>
      </c>
      <c r="AV2475"/>
      <c r="AX2475"/>
      <c r="AZ2475" t="str">
        <f t="shared" si="299"/>
        <v/>
      </c>
      <c r="BA2475" t="str">
        <f t="shared" si="300"/>
        <v/>
      </c>
    </row>
    <row r="2476" spans="3:53" ht="13.5">
      <c r="C2476" s="19"/>
      <c r="D2476" s="19"/>
      <c r="AC2476" s="6" t="s">
        <v>2798</v>
      </c>
      <c r="AD2476" s="6" t="s">
        <v>6744</v>
      </c>
      <c r="AE2476" s="155" t="s">
        <v>3222</v>
      </c>
      <c r="AF2476" s="159" t="s">
        <v>8339</v>
      </c>
      <c r="AG2476" s="160" t="s">
        <v>2900</v>
      </c>
      <c r="AH2476" s="194" t="s">
        <v>679</v>
      </c>
      <c r="AI2476" s="6" t="s">
        <v>2008</v>
      </c>
      <c r="AJ2476" s="3" t="s">
        <v>8227</v>
      </c>
      <c r="AK2476" t="s">
        <v>8227</v>
      </c>
      <c r="AV2476"/>
      <c r="AX2476"/>
      <c r="AZ2476" t="str">
        <f t="shared" si="299"/>
        <v/>
      </c>
      <c r="BA2476" t="str">
        <f t="shared" si="300"/>
        <v/>
      </c>
    </row>
    <row r="2477" spans="3:53" ht="13.5">
      <c r="C2477" s="19"/>
      <c r="D2477" s="19"/>
      <c r="AC2477" s="6" t="s">
        <v>2345</v>
      </c>
      <c r="AD2477" s="6" t="s">
        <v>7439</v>
      </c>
      <c r="AE2477" s="155" t="s">
        <v>3223</v>
      </c>
      <c r="AF2477" s="159" t="s">
        <v>8299</v>
      </c>
      <c r="AG2477" s="160" t="s">
        <v>2901</v>
      </c>
      <c r="AH2477" s="194" t="s">
        <v>679</v>
      </c>
      <c r="AI2477" s="6" t="s">
        <v>2742</v>
      </c>
      <c r="AJ2477" s="3" t="s">
        <v>8256</v>
      </c>
      <c r="AK2477" t="s">
        <v>8256</v>
      </c>
      <c r="AV2477"/>
      <c r="AX2477"/>
      <c r="AZ2477" t="str">
        <f t="shared" si="299"/>
        <v/>
      </c>
      <c r="BA2477" t="str">
        <f t="shared" si="300"/>
        <v/>
      </c>
    </row>
    <row r="2478" spans="3:53" ht="13.5">
      <c r="C2478" s="19"/>
      <c r="D2478" s="19"/>
      <c r="AC2478" s="6">
        <v>53854</v>
      </c>
      <c r="AD2478" s="6" t="s">
        <v>7436</v>
      </c>
      <c r="AE2478" s="155" t="s">
        <v>3224</v>
      </c>
      <c r="AF2478" s="159" t="s">
        <v>8339</v>
      </c>
      <c r="AG2478" s="160" t="s">
        <v>2902</v>
      </c>
      <c r="AH2478" s="194" t="s">
        <v>678</v>
      </c>
      <c r="AI2478" s="6" t="s">
        <v>1772</v>
      </c>
      <c r="AJ2478" s="3" t="s">
        <v>8194</v>
      </c>
      <c r="AK2478" t="s">
        <v>8194</v>
      </c>
      <c r="AV2478"/>
      <c r="AX2478"/>
      <c r="AZ2478" t="str">
        <f t="shared" si="299"/>
        <v/>
      </c>
      <c r="BA2478" t="str">
        <f t="shared" si="300"/>
        <v/>
      </c>
    </row>
    <row r="2479" spans="3:53" ht="13.5">
      <c r="C2479" s="19"/>
      <c r="D2479" s="19"/>
      <c r="AC2479" s="6" t="s">
        <v>2344</v>
      </c>
      <c r="AD2479" s="6" t="s">
        <v>7431</v>
      </c>
      <c r="AE2479" s="155" t="s">
        <v>3225</v>
      </c>
      <c r="AF2479" s="159" t="s">
        <v>8339</v>
      </c>
      <c r="AG2479" s="160" t="s">
        <v>2903</v>
      </c>
      <c r="AH2479" s="194" t="s">
        <v>679</v>
      </c>
      <c r="AI2479" s="6" t="s">
        <v>1773</v>
      </c>
      <c r="AJ2479" s="3" t="s">
        <v>8194</v>
      </c>
      <c r="AK2479" t="s">
        <v>8194</v>
      </c>
      <c r="AV2479"/>
      <c r="AX2479"/>
      <c r="AZ2479" t="str">
        <f t="shared" si="299"/>
        <v/>
      </c>
      <c r="BA2479" t="str">
        <f t="shared" si="300"/>
        <v/>
      </c>
    </row>
    <row r="2480" spans="3:53" ht="13.5">
      <c r="C2480" s="19"/>
      <c r="D2480" s="19"/>
      <c r="AC2480" s="6">
        <v>605404</v>
      </c>
      <c r="AD2480" s="6" t="s">
        <v>6741</v>
      </c>
      <c r="AE2480" s="155" t="s">
        <v>3226</v>
      </c>
      <c r="AF2480" s="159" t="s">
        <v>8346</v>
      </c>
      <c r="AG2480" s="160" t="s">
        <v>2904</v>
      </c>
      <c r="AH2480" s="194" t="s">
        <v>678</v>
      </c>
      <c r="AI2480" s="6" t="s">
        <v>1774</v>
      </c>
      <c r="AJ2480" s="3" t="s">
        <v>8194</v>
      </c>
      <c r="AK2480" t="s">
        <v>8194</v>
      </c>
      <c r="AV2480"/>
      <c r="AX2480"/>
      <c r="AZ2480" t="str">
        <f t="shared" si="299"/>
        <v/>
      </c>
      <c r="BA2480" t="str">
        <f t="shared" si="300"/>
        <v/>
      </c>
    </row>
    <row r="2481" spans="3:53" ht="13.5">
      <c r="C2481" s="19"/>
      <c r="D2481" s="19"/>
      <c r="AC2481" s="6">
        <v>605405</v>
      </c>
      <c r="AD2481" s="6" t="s">
        <v>7435</v>
      </c>
      <c r="AE2481" s="155" t="s">
        <v>3227</v>
      </c>
      <c r="AF2481" s="159" t="s">
        <v>8340</v>
      </c>
      <c r="AG2481" s="160" t="s">
        <v>2905</v>
      </c>
      <c r="AH2481" s="194" t="s">
        <v>4700</v>
      </c>
      <c r="AI2481" s="6" t="s">
        <v>1795</v>
      </c>
      <c r="AJ2481" s="3" t="s">
        <v>8194</v>
      </c>
      <c r="AK2481" t="s">
        <v>8194</v>
      </c>
      <c r="AV2481"/>
      <c r="AX2481"/>
      <c r="AZ2481" t="str">
        <f t="shared" si="299"/>
        <v/>
      </c>
      <c r="BA2481" t="str">
        <f t="shared" si="300"/>
        <v/>
      </c>
    </row>
    <row r="2482" spans="3:53" ht="13.5">
      <c r="C2482" s="19"/>
      <c r="D2482" s="19"/>
      <c r="AC2482" s="6" t="s">
        <v>5613</v>
      </c>
      <c r="AD2482" s="6" t="s">
        <v>7353</v>
      </c>
      <c r="AE2482" s="155" t="s">
        <v>3228</v>
      </c>
      <c r="AF2482" s="159" t="s">
        <v>8299</v>
      </c>
      <c r="AG2482" s="160" t="s">
        <v>2906</v>
      </c>
      <c r="AH2482" s="194" t="s">
        <v>678</v>
      </c>
      <c r="AI2482" s="6" t="s">
        <v>1824</v>
      </c>
      <c r="AJ2482" s="3" t="s">
        <v>8238</v>
      </c>
      <c r="AK2482" t="s">
        <v>8673</v>
      </c>
      <c r="AV2482"/>
      <c r="AX2482"/>
      <c r="AZ2482" t="str">
        <f t="shared" si="299"/>
        <v/>
      </c>
      <c r="BA2482" t="str">
        <f t="shared" si="300"/>
        <v/>
      </c>
    </row>
    <row r="2483" spans="3:53" ht="13.5">
      <c r="C2483" s="19"/>
      <c r="D2483" s="19"/>
      <c r="AC2483" s="6" t="s">
        <v>2562</v>
      </c>
      <c r="AD2483" s="6" t="s">
        <v>7440</v>
      </c>
      <c r="AE2483" s="155" t="s">
        <v>3229</v>
      </c>
      <c r="AF2483" s="159" t="s">
        <v>8299</v>
      </c>
      <c r="AG2483" s="160" t="s">
        <v>2907</v>
      </c>
      <c r="AH2483" s="194" t="s">
        <v>678</v>
      </c>
      <c r="AI2483" s="6" t="s">
        <v>1844</v>
      </c>
      <c r="AJ2483" s="3" t="s">
        <v>8238</v>
      </c>
      <c r="AK2483" t="s">
        <v>8673</v>
      </c>
      <c r="AV2483"/>
      <c r="AX2483"/>
      <c r="AZ2483" t="str">
        <f t="shared" si="299"/>
        <v/>
      </c>
      <c r="BA2483" t="str">
        <f t="shared" si="300"/>
        <v/>
      </c>
    </row>
    <row r="2484" spans="3:53" ht="13.5">
      <c r="C2484" s="19"/>
      <c r="D2484" s="19"/>
      <c r="AC2484" s="6" t="s">
        <v>2564</v>
      </c>
      <c r="AD2484" s="6" t="s">
        <v>7440</v>
      </c>
      <c r="AE2484" s="155" t="s">
        <v>3230</v>
      </c>
      <c r="AF2484" s="159" t="s">
        <v>8299</v>
      </c>
      <c r="AG2484" s="160" t="s">
        <v>2908</v>
      </c>
      <c r="AH2484" s="194" t="s">
        <v>678</v>
      </c>
      <c r="AI2484" s="6" t="s">
        <v>2075</v>
      </c>
      <c r="AJ2484" s="3" t="s">
        <v>8234</v>
      </c>
      <c r="AK2484" t="s">
        <v>8234</v>
      </c>
      <c r="AV2484"/>
      <c r="AX2484"/>
      <c r="AZ2484" t="str">
        <f t="shared" si="299"/>
        <v/>
      </c>
      <c r="BA2484" t="str">
        <f t="shared" si="300"/>
        <v/>
      </c>
    </row>
    <row r="2485" spans="3:53" ht="13.5">
      <c r="C2485" s="19"/>
      <c r="D2485" s="19"/>
      <c r="AC2485" s="6" t="s">
        <v>2346</v>
      </c>
      <c r="AD2485" s="6" t="s">
        <v>7430</v>
      </c>
      <c r="AE2485" s="155" t="s">
        <v>3231</v>
      </c>
      <c r="AF2485" s="159" t="s">
        <v>8339</v>
      </c>
      <c r="AG2485" s="160" t="s">
        <v>2909</v>
      </c>
      <c r="AH2485" s="194" t="s">
        <v>679</v>
      </c>
      <c r="AI2485" s="6" t="s">
        <v>4164</v>
      </c>
      <c r="AJ2485" s="3" t="s">
        <v>8268</v>
      </c>
      <c r="AK2485" t="s">
        <v>8268</v>
      </c>
      <c r="AV2485"/>
      <c r="AX2485"/>
      <c r="AZ2485" t="str">
        <f t="shared" si="299"/>
        <v/>
      </c>
      <c r="BA2485" t="str">
        <f t="shared" si="300"/>
        <v/>
      </c>
    </row>
    <row r="2486" spans="3:53" ht="13.5">
      <c r="C2486" s="19"/>
      <c r="D2486" s="19"/>
      <c r="AC2486" s="6" t="s">
        <v>2352</v>
      </c>
      <c r="AD2486" s="6" t="s">
        <v>7441</v>
      </c>
      <c r="AE2486" s="155" t="s">
        <v>3232</v>
      </c>
      <c r="AF2486" s="159" t="s">
        <v>8299</v>
      </c>
      <c r="AG2486" s="160" t="s">
        <v>2910</v>
      </c>
      <c r="AH2486" s="194" t="s">
        <v>678</v>
      </c>
      <c r="AI2486" s="6" t="s">
        <v>4165</v>
      </c>
      <c r="AJ2486" s="3" t="s">
        <v>8268</v>
      </c>
      <c r="AK2486" t="s">
        <v>8268</v>
      </c>
      <c r="AV2486"/>
      <c r="AX2486"/>
      <c r="AZ2486" t="str">
        <f t="shared" si="299"/>
        <v/>
      </c>
      <c r="BA2486" t="str">
        <f t="shared" si="300"/>
        <v/>
      </c>
    </row>
    <row r="2487" spans="3:53" ht="13.5">
      <c r="C2487" s="19"/>
      <c r="D2487" s="19"/>
      <c r="AC2487" s="6" t="s">
        <v>2558</v>
      </c>
      <c r="AD2487" s="6" t="s">
        <v>7442</v>
      </c>
      <c r="AE2487" s="155" t="s">
        <v>3233</v>
      </c>
      <c r="AF2487" s="159" t="s">
        <v>8299</v>
      </c>
      <c r="AG2487" s="160" t="s">
        <v>2911</v>
      </c>
      <c r="AH2487" s="194" t="s">
        <v>678</v>
      </c>
      <c r="AI2487" s="6" t="s">
        <v>4166</v>
      </c>
      <c r="AJ2487" s="3" t="s">
        <v>8268</v>
      </c>
      <c r="AK2487" t="s">
        <v>8268</v>
      </c>
      <c r="AV2487"/>
      <c r="AX2487"/>
      <c r="AZ2487" t="str">
        <f t="shared" si="299"/>
        <v/>
      </c>
      <c r="BA2487" t="str">
        <f t="shared" si="300"/>
        <v/>
      </c>
    </row>
    <row r="2488" spans="3:53" ht="13.5">
      <c r="C2488" s="19"/>
      <c r="D2488" s="19"/>
      <c r="AC2488" s="6" t="s">
        <v>2694</v>
      </c>
      <c r="AD2488" s="6" t="s">
        <v>7443</v>
      </c>
      <c r="AE2488" s="155" t="s">
        <v>3234</v>
      </c>
      <c r="AF2488" s="159" t="s">
        <v>8299</v>
      </c>
      <c r="AG2488" s="160" t="s">
        <v>2912</v>
      </c>
      <c r="AH2488" s="194" t="s">
        <v>679</v>
      </c>
      <c r="AI2488" s="6" t="s">
        <v>4168</v>
      </c>
      <c r="AJ2488" s="3" t="s">
        <v>8268</v>
      </c>
      <c r="AK2488" t="s">
        <v>8268</v>
      </c>
      <c r="AV2488"/>
      <c r="AX2488"/>
      <c r="AZ2488" t="str">
        <f t="shared" si="299"/>
        <v/>
      </c>
      <c r="BA2488" t="str">
        <f t="shared" si="300"/>
        <v/>
      </c>
    </row>
    <row r="2489" spans="3:53" ht="13.5">
      <c r="C2489" s="19"/>
      <c r="D2489" s="19"/>
      <c r="AC2489" s="6" t="s">
        <v>2693</v>
      </c>
      <c r="AD2489" s="6" t="s">
        <v>7443</v>
      </c>
      <c r="AE2489" s="155" t="s">
        <v>3235</v>
      </c>
      <c r="AF2489" s="159" t="s">
        <v>8299</v>
      </c>
      <c r="AG2489" s="160" t="s">
        <v>2913</v>
      </c>
      <c r="AH2489" s="194" t="s">
        <v>678</v>
      </c>
      <c r="AI2489" s="6" t="s">
        <v>4169</v>
      </c>
      <c r="AJ2489" s="3" t="s">
        <v>8268</v>
      </c>
      <c r="AK2489" t="s">
        <v>8268</v>
      </c>
      <c r="AV2489"/>
      <c r="AX2489"/>
      <c r="AZ2489" t="str">
        <f t="shared" si="299"/>
        <v/>
      </c>
      <c r="BA2489" t="str">
        <f t="shared" si="300"/>
        <v/>
      </c>
    </row>
    <row r="2490" spans="3:53" ht="13.5">
      <c r="C2490" s="19"/>
      <c r="D2490" s="19"/>
      <c r="AC2490" s="6" t="s">
        <v>2563</v>
      </c>
      <c r="AD2490" s="6" t="s">
        <v>7440</v>
      </c>
      <c r="AE2490" s="155" t="s">
        <v>3236</v>
      </c>
      <c r="AF2490" s="159" t="s">
        <v>8340</v>
      </c>
      <c r="AG2490" s="160" t="s">
        <v>2914</v>
      </c>
      <c r="AH2490" s="194" t="s">
        <v>678</v>
      </c>
      <c r="AI2490" s="6" t="s">
        <v>4170</v>
      </c>
      <c r="AJ2490" s="3" t="s">
        <v>8268</v>
      </c>
      <c r="AK2490" t="s">
        <v>8268</v>
      </c>
      <c r="AV2490"/>
      <c r="AX2490"/>
      <c r="AZ2490" t="str">
        <f t="shared" si="299"/>
        <v/>
      </c>
      <c r="BA2490" t="str">
        <f t="shared" si="300"/>
        <v/>
      </c>
    </row>
    <row r="2491" spans="3:53" ht="13.5">
      <c r="C2491" s="19"/>
      <c r="D2491" s="19"/>
      <c r="AC2491" s="6" t="s">
        <v>1242</v>
      </c>
      <c r="AD2491" s="6" t="s">
        <v>7430</v>
      </c>
      <c r="AE2491" s="155" t="s">
        <v>3237</v>
      </c>
      <c r="AF2491" s="159" t="s">
        <v>8299</v>
      </c>
      <c r="AG2491" s="160" t="s">
        <v>2915</v>
      </c>
      <c r="AH2491" s="194" t="s">
        <v>678</v>
      </c>
      <c r="AI2491" s="6" t="s">
        <v>5319</v>
      </c>
      <c r="AJ2491" s="3" t="s">
        <v>8268</v>
      </c>
      <c r="AK2491" t="s">
        <v>8268</v>
      </c>
      <c r="AV2491"/>
      <c r="AX2491"/>
      <c r="AZ2491" t="str">
        <f t="shared" si="299"/>
        <v/>
      </c>
      <c r="BA2491" t="str">
        <f t="shared" si="300"/>
        <v/>
      </c>
    </row>
    <row r="2492" spans="3:53" ht="13.5">
      <c r="C2492" s="19"/>
      <c r="D2492" s="19"/>
      <c r="AC2492" s="6" t="s">
        <v>2486</v>
      </c>
      <c r="AD2492" s="6" t="s">
        <v>7444</v>
      </c>
      <c r="AE2492" s="155" t="s">
        <v>3238</v>
      </c>
      <c r="AF2492" s="159" t="s">
        <v>8299</v>
      </c>
      <c r="AG2492" s="160" t="s">
        <v>1212</v>
      </c>
      <c r="AH2492" s="194" t="s">
        <v>679</v>
      </c>
      <c r="AI2492" s="6" t="s">
        <v>2324</v>
      </c>
      <c r="AJ2492" s="3" t="s">
        <v>8206</v>
      </c>
      <c r="AK2492" t="s">
        <v>8206</v>
      </c>
      <c r="AV2492"/>
      <c r="AX2492"/>
      <c r="AZ2492" t="str">
        <f t="shared" si="299"/>
        <v/>
      </c>
      <c r="BA2492" t="str">
        <f t="shared" si="300"/>
        <v/>
      </c>
    </row>
    <row r="2493" spans="3:53" ht="13.5">
      <c r="C2493" s="19"/>
      <c r="D2493" s="19"/>
      <c r="AC2493" s="6" t="s">
        <v>3400</v>
      </c>
      <c r="AD2493" s="6" t="s">
        <v>7353</v>
      </c>
      <c r="AE2493" s="155" t="s">
        <v>3239</v>
      </c>
      <c r="AF2493" s="159" t="s">
        <v>8299</v>
      </c>
      <c r="AG2493" s="160" t="s">
        <v>2916</v>
      </c>
      <c r="AH2493" s="194" t="s">
        <v>678</v>
      </c>
      <c r="AI2493" s="6" t="s">
        <v>2347</v>
      </c>
      <c r="AJ2493" s="3" t="s">
        <v>8206</v>
      </c>
      <c r="AK2493" t="s">
        <v>8206</v>
      </c>
      <c r="AV2493"/>
      <c r="AX2493"/>
      <c r="AZ2493" t="str">
        <f t="shared" si="299"/>
        <v/>
      </c>
      <c r="BA2493" t="str">
        <f t="shared" si="300"/>
        <v/>
      </c>
    </row>
    <row r="2494" spans="3:53" ht="13.5">
      <c r="C2494" s="19"/>
      <c r="D2494" s="19"/>
      <c r="AC2494" s="6" t="s">
        <v>2559</v>
      </c>
      <c r="AD2494" s="6" t="s">
        <v>7445</v>
      </c>
      <c r="AE2494" s="155" t="s">
        <v>3240</v>
      </c>
      <c r="AF2494" s="159" t="s">
        <v>8339</v>
      </c>
      <c r="AG2494" s="160" t="s">
        <v>1213</v>
      </c>
      <c r="AH2494" s="194" t="s">
        <v>678</v>
      </c>
      <c r="AI2494" s="6" t="s">
        <v>5621</v>
      </c>
      <c r="AJ2494" s="3" t="s">
        <v>8206</v>
      </c>
      <c r="AK2494" t="s">
        <v>8206</v>
      </c>
      <c r="AV2494"/>
      <c r="AX2494"/>
      <c r="AZ2494" t="str">
        <f t="shared" si="299"/>
        <v/>
      </c>
      <c r="BA2494" t="str">
        <f t="shared" si="300"/>
        <v/>
      </c>
    </row>
    <row r="2495" spans="3:53" ht="13.5">
      <c r="C2495" s="19"/>
      <c r="D2495" s="19"/>
      <c r="AC2495" s="6" t="s">
        <v>4762</v>
      </c>
      <c r="AD2495" s="6" t="s">
        <v>7345</v>
      </c>
      <c r="AE2495" s="155" t="s">
        <v>3241</v>
      </c>
      <c r="AF2495" s="159" t="s">
        <v>8299</v>
      </c>
      <c r="AG2495" s="160" t="s">
        <v>2917</v>
      </c>
      <c r="AH2495" s="194" t="s">
        <v>678</v>
      </c>
      <c r="AI2495" s="6" t="s">
        <v>5483</v>
      </c>
      <c r="AJ2495" s="3" t="s">
        <v>8206</v>
      </c>
      <c r="AK2495" t="s">
        <v>8206</v>
      </c>
      <c r="AV2495"/>
      <c r="AX2495"/>
      <c r="AZ2495" t="str">
        <f t="shared" si="299"/>
        <v/>
      </c>
      <c r="BA2495" t="str">
        <f t="shared" si="300"/>
        <v/>
      </c>
    </row>
    <row r="2496" spans="3:53" ht="13.5">
      <c r="C2496" s="19"/>
      <c r="D2496" s="19"/>
      <c r="AC2496" s="6" t="s">
        <v>3830</v>
      </c>
      <c r="AD2496" s="6" t="s">
        <v>7440</v>
      </c>
      <c r="AE2496" s="155" t="s">
        <v>3242</v>
      </c>
      <c r="AF2496" s="159" t="s">
        <v>8299</v>
      </c>
      <c r="AG2496" s="160" t="s">
        <v>2918</v>
      </c>
      <c r="AH2496" s="194" t="s">
        <v>678</v>
      </c>
      <c r="AI2496" s="6" t="s">
        <v>1770</v>
      </c>
      <c r="AJ2496" s="3" t="s">
        <v>8252</v>
      </c>
      <c r="AK2496" t="s">
        <v>8252</v>
      </c>
      <c r="AV2496"/>
      <c r="AX2496"/>
      <c r="AZ2496" t="str">
        <f t="shared" si="299"/>
        <v/>
      </c>
      <c r="BA2496" t="str">
        <f t="shared" si="300"/>
        <v/>
      </c>
    </row>
    <row r="2497" spans="3:53" ht="13.5">
      <c r="C2497" s="19"/>
      <c r="D2497" s="19"/>
      <c r="AC2497" s="6" t="s">
        <v>2321</v>
      </c>
      <c r="AD2497" s="6" t="s">
        <v>7441</v>
      </c>
      <c r="AE2497" s="155" t="s">
        <v>3243</v>
      </c>
      <c r="AF2497" s="159" t="s">
        <v>8342</v>
      </c>
      <c r="AG2497" s="160" t="s">
        <v>2919</v>
      </c>
      <c r="AH2497" s="194" t="s">
        <v>678</v>
      </c>
      <c r="AI2497" s="6" t="s">
        <v>1771</v>
      </c>
      <c r="AJ2497" s="3" t="s">
        <v>8238</v>
      </c>
      <c r="AK2497" t="s">
        <v>8673</v>
      </c>
      <c r="AV2497"/>
      <c r="AX2497"/>
      <c r="AZ2497" t="str">
        <f t="shared" si="299"/>
        <v/>
      </c>
      <c r="BA2497" t="str">
        <f t="shared" si="300"/>
        <v/>
      </c>
    </row>
    <row r="2498" spans="3:53" ht="13.5">
      <c r="C2498" s="19"/>
      <c r="D2498" s="19"/>
      <c r="AC2498" s="6" t="s">
        <v>2353</v>
      </c>
      <c r="AD2498" s="6" t="s">
        <v>7446</v>
      </c>
      <c r="AE2498" s="155" t="s">
        <v>3244</v>
      </c>
      <c r="AF2498" s="159" t="s">
        <v>8327</v>
      </c>
      <c r="AG2498" s="160" t="s">
        <v>2920</v>
      </c>
      <c r="AH2498" s="194" t="s">
        <v>678</v>
      </c>
      <c r="AI2498" s="6" t="s">
        <v>1796</v>
      </c>
      <c r="AJ2498" s="3" t="s">
        <v>8238</v>
      </c>
      <c r="AK2498" t="s">
        <v>8673</v>
      </c>
      <c r="AV2498"/>
      <c r="AX2498"/>
      <c r="AZ2498" t="str">
        <f t="shared" si="299"/>
        <v/>
      </c>
      <c r="BA2498" t="str">
        <f t="shared" si="300"/>
        <v/>
      </c>
    </row>
    <row r="2499" spans="3:53" ht="13.5">
      <c r="C2499" s="19"/>
      <c r="D2499" s="19"/>
      <c r="AC2499" s="6">
        <v>55271</v>
      </c>
      <c r="AD2499" s="6" t="s">
        <v>7436</v>
      </c>
      <c r="AE2499" s="155" t="s">
        <v>3245</v>
      </c>
      <c r="AF2499" s="159" t="s">
        <v>8339</v>
      </c>
      <c r="AG2499" s="160" t="s">
        <v>2921</v>
      </c>
      <c r="AH2499" s="194" t="s">
        <v>678</v>
      </c>
      <c r="AI2499" s="6" t="s">
        <v>1797</v>
      </c>
      <c r="AJ2499" s="3" t="s">
        <v>8238</v>
      </c>
      <c r="AK2499" t="s">
        <v>8673</v>
      </c>
      <c r="AV2499"/>
      <c r="AX2499"/>
      <c r="AZ2499" t="str">
        <f t="shared" si="299"/>
        <v/>
      </c>
      <c r="BA2499" t="str">
        <f t="shared" si="300"/>
        <v/>
      </c>
    </row>
    <row r="2500" spans="3:53" ht="13.5">
      <c r="C2500" s="19"/>
      <c r="D2500" s="19"/>
      <c r="AC2500" s="6">
        <v>65274</v>
      </c>
      <c r="AD2500" s="6" t="s">
        <v>7366</v>
      </c>
      <c r="AE2500" s="155" t="s">
        <v>3246</v>
      </c>
      <c r="AF2500" s="159" t="s">
        <v>8342</v>
      </c>
      <c r="AG2500" s="160" t="s">
        <v>2922</v>
      </c>
      <c r="AH2500" s="194" t="s">
        <v>678</v>
      </c>
      <c r="AI2500" s="6" t="s">
        <v>1958</v>
      </c>
      <c r="AJ2500" s="3" t="s">
        <v>8252</v>
      </c>
      <c r="AK2500" t="s">
        <v>8252</v>
      </c>
      <c r="AV2500"/>
      <c r="AX2500"/>
      <c r="AZ2500" t="str">
        <f t="shared" si="299"/>
        <v/>
      </c>
      <c r="BA2500" t="str">
        <f t="shared" si="300"/>
        <v/>
      </c>
    </row>
    <row r="2501" spans="3:53" ht="13.5">
      <c r="C2501" s="19"/>
      <c r="D2501" s="19"/>
      <c r="AC2501" s="6" t="s">
        <v>5761</v>
      </c>
      <c r="AD2501" s="6" t="s">
        <v>7440</v>
      </c>
      <c r="AE2501" s="155" t="s">
        <v>3247</v>
      </c>
      <c r="AF2501" s="159" t="s">
        <v>8299</v>
      </c>
      <c r="AG2501" s="160" t="s">
        <v>2923</v>
      </c>
      <c r="AH2501" s="194" t="s">
        <v>678</v>
      </c>
      <c r="AI2501" s="6" t="s">
        <v>2517</v>
      </c>
      <c r="AJ2501" s="3" t="s">
        <v>8256</v>
      </c>
      <c r="AK2501" t="s">
        <v>8256</v>
      </c>
      <c r="AV2501"/>
      <c r="AX2501"/>
      <c r="AZ2501" t="str">
        <f t="shared" si="299"/>
        <v/>
      </c>
      <c r="BA2501" t="str">
        <f t="shared" si="300"/>
        <v/>
      </c>
    </row>
    <row r="2502" spans="3:53" ht="13.5">
      <c r="C2502" s="19"/>
      <c r="D2502" s="19"/>
      <c r="AC2502" s="6" t="s">
        <v>2565</v>
      </c>
      <c r="AD2502" s="6" t="s">
        <v>7440</v>
      </c>
      <c r="AE2502" s="155" t="s">
        <v>3248</v>
      </c>
      <c r="AF2502" s="159" t="s">
        <v>8299</v>
      </c>
      <c r="AG2502" s="160" t="s">
        <v>2924</v>
      </c>
      <c r="AH2502" s="194" t="s">
        <v>678</v>
      </c>
      <c r="AI2502" s="6" t="s">
        <v>2543</v>
      </c>
      <c r="AJ2502" s="3" t="s">
        <v>8256</v>
      </c>
      <c r="AK2502" t="s">
        <v>8256</v>
      </c>
      <c r="AV2502"/>
      <c r="AX2502"/>
      <c r="AZ2502" t="str">
        <f t="shared" si="299"/>
        <v/>
      </c>
      <c r="BA2502" t="str">
        <f t="shared" si="300"/>
        <v/>
      </c>
    </row>
    <row r="2503" spans="3:53" ht="13.5">
      <c r="C2503" s="19"/>
      <c r="D2503" s="19"/>
      <c r="AC2503" s="6">
        <v>55465</v>
      </c>
      <c r="AD2503" s="6" t="s">
        <v>7436</v>
      </c>
      <c r="AE2503" s="155" t="s">
        <v>3249</v>
      </c>
      <c r="AF2503" s="159" t="s">
        <v>8375</v>
      </c>
      <c r="AG2503" s="160" t="s">
        <v>2925</v>
      </c>
      <c r="AH2503" s="194" t="s">
        <v>679</v>
      </c>
      <c r="AI2503" s="6" t="s">
        <v>2680</v>
      </c>
      <c r="AJ2503" s="3" t="s">
        <v>8256</v>
      </c>
      <c r="AK2503" t="s">
        <v>8256</v>
      </c>
      <c r="AV2503"/>
      <c r="AX2503"/>
      <c r="AZ2503" t="str">
        <f t="shared" si="299"/>
        <v/>
      </c>
      <c r="BA2503" t="str">
        <f t="shared" si="300"/>
        <v/>
      </c>
    </row>
    <row r="2504" spans="3:53" ht="13.5">
      <c r="C2504" s="19"/>
      <c r="D2504" s="19"/>
      <c r="AC2504" s="6" t="s">
        <v>3408</v>
      </c>
      <c r="AD2504" s="6" t="s">
        <v>7447</v>
      </c>
      <c r="AE2504" s="155" t="s">
        <v>3250</v>
      </c>
      <c r="AF2504" s="159" t="s">
        <v>8339</v>
      </c>
      <c r="AG2504" s="160" t="s">
        <v>2926</v>
      </c>
      <c r="AH2504" s="194" t="s">
        <v>678</v>
      </c>
      <c r="AI2504" s="6" t="s">
        <v>2554</v>
      </c>
      <c r="AJ2504" s="3" t="s">
        <v>8271</v>
      </c>
      <c r="AK2504" t="s">
        <v>8271</v>
      </c>
      <c r="AV2504"/>
      <c r="AX2504"/>
      <c r="AZ2504" t="str">
        <f t="shared" si="299"/>
        <v/>
      </c>
      <c r="BA2504" t="str">
        <f t="shared" si="300"/>
        <v/>
      </c>
    </row>
    <row r="2505" spans="3:53" ht="13.5">
      <c r="C2505" s="19"/>
      <c r="D2505" s="19"/>
      <c r="AC2505" s="6" t="s">
        <v>5457</v>
      </c>
      <c r="AD2505" s="6" t="s">
        <v>7448</v>
      </c>
      <c r="AE2505" s="155" t="s">
        <v>3251</v>
      </c>
      <c r="AF2505" s="159" t="s">
        <v>8299</v>
      </c>
      <c r="AG2505" s="160" t="s">
        <v>2927</v>
      </c>
      <c r="AH2505" s="194" t="s">
        <v>678</v>
      </c>
      <c r="AI2505" s="6" t="s">
        <v>2040</v>
      </c>
      <c r="AJ2505" s="3" t="s">
        <v>8239</v>
      </c>
      <c r="AK2505" t="s">
        <v>8674</v>
      </c>
      <c r="AV2505"/>
      <c r="AX2505"/>
      <c r="AZ2505" t="str">
        <f t="shared" si="299"/>
        <v/>
      </c>
      <c r="BA2505" t="str">
        <f t="shared" si="300"/>
        <v/>
      </c>
    </row>
    <row r="2506" spans="3:53" ht="13.5">
      <c r="C2506" s="19"/>
      <c r="D2506" s="19"/>
      <c r="AC2506" s="6" t="s">
        <v>2485</v>
      </c>
      <c r="AD2506" s="6" t="s">
        <v>7449</v>
      </c>
      <c r="AE2506" s="155" t="s">
        <v>3252</v>
      </c>
      <c r="AF2506" s="159" t="s">
        <v>8389</v>
      </c>
      <c r="AG2506" s="160" t="s">
        <v>2928</v>
      </c>
      <c r="AH2506" s="194" t="s">
        <v>679</v>
      </c>
      <c r="AI2506" s="6" t="s">
        <v>2042</v>
      </c>
      <c r="AJ2506" s="3" t="s">
        <v>8239</v>
      </c>
      <c r="AK2506" t="s">
        <v>8674</v>
      </c>
      <c r="AV2506"/>
      <c r="AX2506"/>
      <c r="AZ2506" t="str">
        <f t="shared" si="299"/>
        <v/>
      </c>
      <c r="BA2506" t="str">
        <f t="shared" si="300"/>
        <v/>
      </c>
    </row>
    <row r="2507" spans="3:53" ht="13.5">
      <c r="C2507" s="19"/>
      <c r="D2507" s="19"/>
      <c r="AC2507" s="6" t="s">
        <v>2348</v>
      </c>
      <c r="AD2507" s="6" t="s">
        <v>7450</v>
      </c>
      <c r="AE2507" s="155" t="s">
        <v>3253</v>
      </c>
      <c r="AF2507" s="159" t="s">
        <v>8299</v>
      </c>
      <c r="AG2507" s="160" t="s">
        <v>2929</v>
      </c>
      <c r="AH2507" s="194" t="s">
        <v>678</v>
      </c>
      <c r="AI2507" s="6" t="s">
        <v>2043</v>
      </c>
      <c r="AJ2507" s="3" t="s">
        <v>8239</v>
      </c>
      <c r="AK2507" t="s">
        <v>8674</v>
      </c>
      <c r="AV2507"/>
      <c r="AX2507"/>
      <c r="AZ2507" t="str">
        <f t="shared" si="299"/>
        <v/>
      </c>
      <c r="BA2507" t="str">
        <f t="shared" si="300"/>
        <v/>
      </c>
    </row>
    <row r="2508" spans="3:53" ht="13.5">
      <c r="C2508" s="19"/>
      <c r="D2508" s="19"/>
      <c r="AC2508" s="6" t="s">
        <v>2331</v>
      </c>
      <c r="AD2508" s="6" t="s">
        <v>7451</v>
      </c>
      <c r="AE2508" s="155" t="s">
        <v>3254</v>
      </c>
      <c r="AF2508" s="159" t="s">
        <v>8299</v>
      </c>
      <c r="AG2508" s="160" t="s">
        <v>2930</v>
      </c>
      <c r="AH2508" s="194" t="s">
        <v>679</v>
      </c>
      <c r="AI2508" s="6" t="s">
        <v>2045</v>
      </c>
      <c r="AJ2508" s="3" t="s">
        <v>8239</v>
      </c>
      <c r="AK2508" t="s">
        <v>8674</v>
      </c>
      <c r="AV2508"/>
      <c r="AX2508"/>
      <c r="AZ2508" t="str">
        <f t="shared" si="299"/>
        <v/>
      </c>
      <c r="BA2508" t="str">
        <f t="shared" si="300"/>
        <v/>
      </c>
    </row>
    <row r="2509" spans="3:53" ht="13.5">
      <c r="C2509" s="19"/>
      <c r="D2509" s="19"/>
      <c r="AC2509" s="6" t="s">
        <v>2561</v>
      </c>
      <c r="AD2509" s="6" t="s">
        <v>7440</v>
      </c>
      <c r="AE2509" s="155" t="s">
        <v>3255</v>
      </c>
      <c r="AF2509" s="159" t="s">
        <v>8299</v>
      </c>
      <c r="AG2509" s="160" t="s">
        <v>2931</v>
      </c>
      <c r="AH2509" s="194" t="s">
        <v>679</v>
      </c>
      <c r="AI2509" s="6" t="s">
        <v>4173</v>
      </c>
      <c r="AJ2509" s="3" t="s">
        <v>8259</v>
      </c>
      <c r="AK2509" t="s">
        <v>8677</v>
      </c>
      <c r="AV2509"/>
      <c r="AX2509"/>
      <c r="AZ2509" t="str">
        <f t="shared" si="299"/>
        <v/>
      </c>
      <c r="BA2509" t="str">
        <f t="shared" si="300"/>
        <v/>
      </c>
    </row>
    <row r="2510" spans="3:53" ht="13.5">
      <c r="C2510" s="19"/>
      <c r="D2510" s="19"/>
      <c r="AC2510" s="6" t="s">
        <v>2567</v>
      </c>
      <c r="AD2510" s="6" t="s">
        <v>7452</v>
      </c>
      <c r="AE2510" s="155" t="s">
        <v>3256</v>
      </c>
      <c r="AF2510" s="159" t="s">
        <v>8299</v>
      </c>
      <c r="AG2510" s="160" t="s">
        <v>3427</v>
      </c>
      <c r="AH2510" s="194" t="s">
        <v>679</v>
      </c>
      <c r="AI2510" s="6" t="s">
        <v>4174</v>
      </c>
      <c r="AJ2510" s="3" t="s">
        <v>8259</v>
      </c>
      <c r="AK2510" t="s">
        <v>8677</v>
      </c>
      <c r="AV2510"/>
      <c r="AX2510"/>
      <c r="AZ2510" t="str">
        <f t="shared" si="299"/>
        <v/>
      </c>
      <c r="BA2510" t="str">
        <f t="shared" si="300"/>
        <v/>
      </c>
    </row>
    <row r="2511" spans="3:53" ht="13.5">
      <c r="C2511" s="19"/>
      <c r="D2511" s="19"/>
      <c r="AC2511" s="6">
        <v>64598</v>
      </c>
      <c r="AD2511" s="6" t="s">
        <v>7345</v>
      </c>
      <c r="AE2511" s="155" t="s">
        <v>3257</v>
      </c>
      <c r="AF2511" s="159" t="s">
        <v>8299</v>
      </c>
      <c r="AG2511" s="160" t="s">
        <v>2932</v>
      </c>
      <c r="AH2511" s="194" t="s">
        <v>678</v>
      </c>
      <c r="AI2511" s="6" t="s">
        <v>4175</v>
      </c>
      <c r="AJ2511" s="3" t="s">
        <v>8259</v>
      </c>
      <c r="AK2511" t="s">
        <v>8677</v>
      </c>
      <c r="AV2511"/>
      <c r="AX2511"/>
      <c r="AZ2511" t="str">
        <f t="shared" si="299"/>
        <v/>
      </c>
      <c r="BA2511" t="str">
        <f t="shared" si="300"/>
        <v/>
      </c>
    </row>
    <row r="2512" spans="3:53" ht="13.5">
      <c r="C2512" s="19"/>
      <c r="D2512" s="19"/>
      <c r="AC2512" s="6">
        <v>396353</v>
      </c>
      <c r="AD2512" s="6" t="s">
        <v>7453</v>
      </c>
      <c r="AE2512" s="155" t="s">
        <v>3258</v>
      </c>
      <c r="AF2512" s="159" t="s">
        <v>8299</v>
      </c>
      <c r="AG2512" s="160" t="s">
        <v>2933</v>
      </c>
      <c r="AH2512" s="194" t="s">
        <v>678</v>
      </c>
      <c r="AI2512" s="6" t="s">
        <v>4176</v>
      </c>
      <c r="AJ2512" s="3" t="s">
        <v>8259</v>
      </c>
      <c r="AK2512" t="s">
        <v>8677</v>
      </c>
      <c r="AV2512"/>
      <c r="AX2512"/>
      <c r="AZ2512" t="str">
        <f t="shared" si="299"/>
        <v/>
      </c>
      <c r="BA2512" t="str">
        <f t="shared" si="300"/>
        <v/>
      </c>
    </row>
    <row r="2513" spans="3:53" ht="13.5">
      <c r="C2513" s="19"/>
      <c r="D2513" s="19"/>
      <c r="AC2513" s="6">
        <v>55273</v>
      </c>
      <c r="AD2513" s="6" t="s">
        <v>7436</v>
      </c>
      <c r="AE2513" s="155" t="s">
        <v>3259</v>
      </c>
      <c r="AF2513" s="159" t="s">
        <v>8299</v>
      </c>
      <c r="AG2513" s="160" t="s">
        <v>2934</v>
      </c>
      <c r="AH2513" s="194" t="s">
        <v>678</v>
      </c>
      <c r="AI2513" s="6" t="s">
        <v>4177</v>
      </c>
      <c r="AJ2513" s="3" t="s">
        <v>8259</v>
      </c>
      <c r="AK2513" t="s">
        <v>8677</v>
      </c>
      <c r="AV2513"/>
      <c r="AX2513"/>
      <c r="AZ2513" t="str">
        <f t="shared" ref="AZ2513:AZ2576" si="301">IF(ISBLANK(AW2513),"",CONCATENATE("(",RIGHT(AW2513,5),"-",TEXT(AX2513,"h:mm;@"),")"))</f>
        <v/>
      </c>
      <c r="BA2513" t="str">
        <f t="shared" ref="BA2513:BA2576" si="302">IF(AV2529=AV2513,"",CONCATENATE(IF(AV2528=AV2513,BA2528,""),IF(AV2527=AV2513,BA2527,""),IF(AV2526=AV2513,BA2526,""),IF(AV2525=AV2513,BA2525,""),IF(AV2524=AV2513,BA2524,""),IF(AV2523=AV2513,BA2523,""),IF(AV2522=AV2513,BA2522,""),IF(AV2521=AV2513,BA2521,""),IF(AV2520=AV2513,BA2520,""),IF(AV2519=AV2513,BA2519,""),IF(AV2518=AV2513,BA2518,""),IF(AV2517=AV2513,BA2517,""),IF(AV2516=AV2513,BA2516,""),IF(AV2515=AV2513,BA2515,""),IF(AV2514=AV2513,BA2514,""),IF(AV2512=AV2513,BA2512,""),BA2513))</f>
        <v/>
      </c>
    </row>
    <row r="2514" spans="3:53" ht="13.5">
      <c r="C2514" s="19"/>
      <c r="D2514" s="19"/>
      <c r="AC2514" s="6" t="s">
        <v>2568</v>
      </c>
      <c r="AD2514" s="6" t="s">
        <v>7452</v>
      </c>
      <c r="AE2514" s="155" t="s">
        <v>1218</v>
      </c>
      <c r="AF2514" s="159" t="s">
        <v>8299</v>
      </c>
      <c r="AG2514" s="160" t="s">
        <v>2935</v>
      </c>
      <c r="AH2514" s="194" t="s">
        <v>678</v>
      </c>
      <c r="AI2514" s="6" t="s">
        <v>4178</v>
      </c>
      <c r="AJ2514" s="3" t="s">
        <v>8259</v>
      </c>
      <c r="AK2514" t="s">
        <v>8677</v>
      </c>
      <c r="AV2514"/>
      <c r="AX2514"/>
      <c r="AZ2514" t="str">
        <f t="shared" si="301"/>
        <v/>
      </c>
      <c r="BA2514" t="str">
        <f t="shared" si="302"/>
        <v/>
      </c>
    </row>
    <row r="2515" spans="3:53" ht="13.5">
      <c r="C2515" s="19"/>
      <c r="D2515" s="19"/>
      <c r="AC2515" s="6" t="s">
        <v>1267</v>
      </c>
      <c r="AD2515" s="6" t="s">
        <v>7430</v>
      </c>
      <c r="AE2515" s="155" t="s">
        <v>3260</v>
      </c>
      <c r="AF2515" s="159" t="s">
        <v>8299</v>
      </c>
      <c r="AG2515" s="160" t="s">
        <v>2936</v>
      </c>
      <c r="AH2515" s="194" t="s">
        <v>678</v>
      </c>
      <c r="AI2515" s="6" t="s">
        <v>675</v>
      </c>
      <c r="AJ2515" s="3" t="s">
        <v>8219</v>
      </c>
      <c r="AK2515" t="s">
        <v>8219</v>
      </c>
      <c r="AV2515"/>
      <c r="AX2515"/>
      <c r="AZ2515" t="str">
        <f t="shared" si="301"/>
        <v/>
      </c>
      <c r="BA2515" t="str">
        <f t="shared" si="302"/>
        <v/>
      </c>
    </row>
    <row r="2516" spans="3:53" ht="13.5">
      <c r="C2516" s="19"/>
      <c r="D2516" s="19"/>
      <c r="AC2516" s="6" t="s">
        <v>2355</v>
      </c>
      <c r="AD2516" s="6" t="s">
        <v>7441</v>
      </c>
      <c r="AE2516" s="155" t="s">
        <v>3261</v>
      </c>
      <c r="AF2516" s="159" t="s">
        <v>8299</v>
      </c>
      <c r="AG2516" s="160" t="s">
        <v>2937</v>
      </c>
      <c r="AH2516" s="194" t="s">
        <v>678</v>
      </c>
      <c r="AI2516" s="6" t="s">
        <v>1420</v>
      </c>
      <c r="AJ2516" s="3" t="s">
        <v>8210</v>
      </c>
      <c r="AK2516" t="s">
        <v>8210</v>
      </c>
      <c r="AV2516"/>
      <c r="AX2516"/>
      <c r="AZ2516" t="str">
        <f t="shared" si="301"/>
        <v/>
      </c>
      <c r="BA2516" t="str">
        <f t="shared" si="302"/>
        <v/>
      </c>
    </row>
    <row r="2517" spans="3:53" ht="13.5">
      <c r="C2517" s="19"/>
      <c r="D2517" s="19"/>
      <c r="AC2517" s="6" t="s">
        <v>2505</v>
      </c>
      <c r="AD2517" s="6" t="s">
        <v>7452</v>
      </c>
      <c r="AE2517" s="155" t="s">
        <v>3262</v>
      </c>
      <c r="AF2517" s="159" t="s">
        <v>8339</v>
      </c>
      <c r="AG2517" s="160" t="s">
        <v>2938</v>
      </c>
      <c r="AH2517" s="194" t="s">
        <v>678</v>
      </c>
      <c r="AI2517" s="6" t="s">
        <v>677</v>
      </c>
      <c r="AJ2517" s="3" t="s">
        <v>8210</v>
      </c>
      <c r="AK2517" t="s">
        <v>8210</v>
      </c>
      <c r="AV2517"/>
      <c r="AX2517"/>
      <c r="AZ2517" t="str">
        <f t="shared" si="301"/>
        <v/>
      </c>
      <c r="BA2517" t="str">
        <f t="shared" si="302"/>
        <v/>
      </c>
    </row>
    <row r="2518" spans="3:53" ht="13.5">
      <c r="C2518" s="19"/>
      <c r="D2518" s="19"/>
      <c r="AC2518" s="6" t="s">
        <v>2557</v>
      </c>
      <c r="AD2518" s="6" t="s">
        <v>7454</v>
      </c>
      <c r="AE2518" s="155" t="s">
        <v>3263</v>
      </c>
      <c r="AF2518" s="159" t="s">
        <v>8309</v>
      </c>
      <c r="AG2518" s="160" t="s">
        <v>2939</v>
      </c>
      <c r="AH2518" s="194" t="s">
        <v>679</v>
      </c>
      <c r="AI2518" s="6" t="s">
        <v>1430</v>
      </c>
      <c r="AJ2518" s="3" t="s">
        <v>8210</v>
      </c>
      <c r="AK2518" t="s">
        <v>8210</v>
      </c>
      <c r="AV2518"/>
      <c r="AX2518"/>
      <c r="AZ2518" t="str">
        <f t="shared" si="301"/>
        <v/>
      </c>
      <c r="BA2518" t="str">
        <f t="shared" si="302"/>
        <v/>
      </c>
    </row>
    <row r="2519" spans="3:53" ht="13.5">
      <c r="C2519" s="19"/>
      <c r="D2519" s="19"/>
      <c r="AC2519" s="6" t="s">
        <v>2566</v>
      </c>
      <c r="AD2519" s="6" t="s">
        <v>7452</v>
      </c>
      <c r="AE2519" s="155" t="s">
        <v>3264</v>
      </c>
      <c r="AF2519" s="159" t="s">
        <v>8309</v>
      </c>
      <c r="AG2519" s="160" t="s">
        <v>2940</v>
      </c>
      <c r="AH2519" s="194" t="s">
        <v>678</v>
      </c>
      <c r="AI2519" s="6" t="s">
        <v>1479</v>
      </c>
      <c r="AJ2519" s="3" t="s">
        <v>8210</v>
      </c>
      <c r="AK2519" t="s">
        <v>8210</v>
      </c>
      <c r="AV2519"/>
      <c r="AX2519"/>
      <c r="AZ2519" t="str">
        <f t="shared" si="301"/>
        <v/>
      </c>
      <c r="BA2519" t="str">
        <f t="shared" si="302"/>
        <v/>
      </c>
    </row>
    <row r="2520" spans="3:53" ht="13.5">
      <c r="C2520" s="19"/>
      <c r="D2520" s="19"/>
      <c r="AC2520" s="6" t="s">
        <v>2667</v>
      </c>
      <c r="AD2520" s="6" t="s">
        <v>7452</v>
      </c>
      <c r="AE2520" s="155" t="s">
        <v>3265</v>
      </c>
      <c r="AF2520" s="159" t="s">
        <v>8446</v>
      </c>
      <c r="AG2520" s="160" t="s">
        <v>2941</v>
      </c>
      <c r="AH2520" s="194" t="s">
        <v>678</v>
      </c>
      <c r="AI2520" s="6" t="s">
        <v>1481</v>
      </c>
      <c r="AJ2520" s="3" t="s">
        <v>8210</v>
      </c>
      <c r="AK2520" t="s">
        <v>8210</v>
      </c>
      <c r="AV2520"/>
      <c r="AX2520"/>
      <c r="AZ2520" t="str">
        <f t="shared" si="301"/>
        <v/>
      </c>
      <c r="BA2520" t="str">
        <f t="shared" si="302"/>
        <v/>
      </c>
    </row>
    <row r="2521" spans="3:53" ht="13.5">
      <c r="C2521" s="19"/>
      <c r="D2521" s="19"/>
      <c r="AC2521" s="6">
        <v>395674</v>
      </c>
      <c r="AD2521" s="6" t="s">
        <v>7455</v>
      </c>
      <c r="AE2521" s="155" t="s">
        <v>3266</v>
      </c>
      <c r="AF2521" s="159" t="s">
        <v>8447</v>
      </c>
      <c r="AG2521" s="160" t="s">
        <v>2943</v>
      </c>
      <c r="AH2521" s="194" t="s">
        <v>679</v>
      </c>
      <c r="AI2521" s="6" t="s">
        <v>5484</v>
      </c>
      <c r="AJ2521" s="3" t="s">
        <v>8252</v>
      </c>
      <c r="AK2521" t="s">
        <v>8252</v>
      </c>
      <c r="AV2521"/>
      <c r="AX2521"/>
      <c r="AZ2521" t="str">
        <f t="shared" si="301"/>
        <v/>
      </c>
      <c r="BA2521" t="str">
        <f t="shared" si="302"/>
        <v/>
      </c>
    </row>
    <row r="2522" spans="3:53" ht="13.5">
      <c r="C2522" s="19"/>
      <c r="D2522" s="19"/>
      <c r="AC2522" s="6" t="s">
        <v>1241</v>
      </c>
      <c r="AD2522" s="6" t="s">
        <v>6744</v>
      </c>
      <c r="AE2522" s="155" t="s">
        <v>3267</v>
      </c>
      <c r="AF2522" s="159" t="s">
        <v>8448</v>
      </c>
      <c r="AG2522" s="160" t="s">
        <v>2944</v>
      </c>
      <c r="AH2522" s="194" t="s">
        <v>678</v>
      </c>
      <c r="AI2522" s="6" t="s">
        <v>2078</v>
      </c>
      <c r="AJ2522" s="3" t="s">
        <v>8252</v>
      </c>
      <c r="AK2522" t="s">
        <v>8252</v>
      </c>
      <c r="AV2522"/>
      <c r="AX2522"/>
      <c r="AZ2522" t="str">
        <f t="shared" si="301"/>
        <v/>
      </c>
      <c r="BA2522" t="str">
        <f t="shared" si="302"/>
        <v/>
      </c>
    </row>
    <row r="2523" spans="3:53" ht="13.5">
      <c r="C2523" s="19"/>
      <c r="D2523" s="19"/>
      <c r="AC2523" s="6" t="s">
        <v>2330</v>
      </c>
      <c r="AD2523" s="6" t="s">
        <v>7451</v>
      </c>
      <c r="AE2523" s="155" t="s">
        <v>3268</v>
      </c>
      <c r="AF2523" s="159" t="s">
        <v>8299</v>
      </c>
      <c r="AG2523" s="160" t="s">
        <v>2945</v>
      </c>
      <c r="AH2523" s="194" t="s">
        <v>679</v>
      </c>
      <c r="AI2523" s="6" t="s">
        <v>2079</v>
      </c>
      <c r="AJ2523" s="3" t="s">
        <v>8252</v>
      </c>
      <c r="AK2523" t="s">
        <v>8252</v>
      </c>
      <c r="AV2523"/>
      <c r="AX2523"/>
      <c r="AZ2523" t="str">
        <f t="shared" si="301"/>
        <v/>
      </c>
      <c r="BA2523" t="str">
        <f t="shared" si="302"/>
        <v/>
      </c>
    </row>
    <row r="2524" spans="3:53" ht="13.5">
      <c r="C2524" s="19"/>
      <c r="D2524" s="19"/>
      <c r="AC2524" s="6" t="s">
        <v>2795</v>
      </c>
      <c r="AD2524" s="6" t="s">
        <v>6748</v>
      </c>
      <c r="AE2524" s="155" t="s">
        <v>1219</v>
      </c>
      <c r="AF2524" s="159" t="s">
        <v>8299</v>
      </c>
      <c r="AG2524" s="160" t="s">
        <v>2946</v>
      </c>
      <c r="AH2524" s="194" t="s">
        <v>679</v>
      </c>
      <c r="AI2524" s="6" t="s">
        <v>2080</v>
      </c>
      <c r="AJ2524" s="3" t="s">
        <v>8252</v>
      </c>
      <c r="AK2524" t="s">
        <v>8252</v>
      </c>
      <c r="AV2524"/>
      <c r="AX2524"/>
      <c r="AZ2524" t="str">
        <f t="shared" si="301"/>
        <v/>
      </c>
      <c r="BA2524" t="str">
        <f t="shared" si="302"/>
        <v/>
      </c>
    </row>
    <row r="2525" spans="3:53" ht="13.5">
      <c r="C2525" s="19"/>
      <c r="D2525" s="19"/>
      <c r="AC2525" s="6" t="s">
        <v>1263</v>
      </c>
      <c r="AD2525" s="6" t="s">
        <v>7360</v>
      </c>
      <c r="AE2525" s="155" t="s">
        <v>3269</v>
      </c>
      <c r="AF2525" s="159" t="s">
        <v>8339</v>
      </c>
      <c r="AG2525" s="160" t="s">
        <v>2947</v>
      </c>
      <c r="AH2525" s="194" t="s">
        <v>678</v>
      </c>
      <c r="AI2525" s="6" t="s">
        <v>2170</v>
      </c>
      <c r="AJ2525" s="3" t="s">
        <v>8227</v>
      </c>
      <c r="AK2525" t="s">
        <v>8227</v>
      </c>
      <c r="AV2525"/>
      <c r="AX2525"/>
      <c r="AZ2525" t="str">
        <f t="shared" si="301"/>
        <v/>
      </c>
      <c r="BA2525" t="str">
        <f t="shared" si="302"/>
        <v/>
      </c>
    </row>
    <row r="2526" spans="3:53" ht="13.5">
      <c r="C2526" s="19"/>
      <c r="D2526" s="19"/>
      <c r="AC2526" s="6">
        <v>395672</v>
      </c>
      <c r="AD2526" s="6" t="s">
        <v>7456</v>
      </c>
      <c r="AE2526" s="155" t="s">
        <v>3270</v>
      </c>
      <c r="AF2526" s="159" t="s">
        <v>8299</v>
      </c>
      <c r="AG2526" s="160" t="s">
        <v>2948</v>
      </c>
      <c r="AH2526" s="194" t="s">
        <v>679</v>
      </c>
      <c r="AI2526" s="6" t="s">
        <v>2230</v>
      </c>
      <c r="AJ2526" s="3" t="s">
        <v>8234</v>
      </c>
      <c r="AK2526" t="s">
        <v>8234</v>
      </c>
      <c r="AV2526"/>
      <c r="AX2526"/>
      <c r="AZ2526" t="str">
        <f t="shared" si="301"/>
        <v/>
      </c>
      <c r="BA2526" t="str">
        <f t="shared" si="302"/>
        <v/>
      </c>
    </row>
    <row r="2527" spans="3:53" ht="13.5">
      <c r="C2527" s="19"/>
      <c r="D2527" s="19"/>
      <c r="AC2527" s="6" t="s">
        <v>2332</v>
      </c>
      <c r="AD2527" s="6" t="s">
        <v>7451</v>
      </c>
      <c r="AE2527" s="155" t="s">
        <v>3271</v>
      </c>
      <c r="AF2527" s="159" t="s">
        <v>8299</v>
      </c>
      <c r="AG2527" s="160" t="s">
        <v>2949</v>
      </c>
      <c r="AH2527" s="194" t="s">
        <v>4700</v>
      </c>
      <c r="AI2527" s="6" t="s">
        <v>934</v>
      </c>
      <c r="AJ2527" s="3" t="s">
        <v>8234</v>
      </c>
      <c r="AK2527" t="s">
        <v>8234</v>
      </c>
      <c r="AV2527"/>
      <c r="AX2527"/>
      <c r="AZ2527" t="str">
        <f t="shared" si="301"/>
        <v/>
      </c>
      <c r="BA2527" t="str">
        <f t="shared" si="302"/>
        <v/>
      </c>
    </row>
    <row r="2528" spans="3:53" ht="13.5">
      <c r="C2528" s="19"/>
      <c r="D2528" s="19"/>
      <c r="AC2528" s="6" t="s">
        <v>5081</v>
      </c>
      <c r="AD2528" s="6" t="s">
        <v>7457</v>
      </c>
      <c r="AE2528" s="155" t="s">
        <v>3272</v>
      </c>
      <c r="AF2528" s="159" t="s">
        <v>8299</v>
      </c>
      <c r="AG2528" s="160" t="s">
        <v>2950</v>
      </c>
      <c r="AH2528" s="194" t="s">
        <v>678</v>
      </c>
      <c r="AI2528" s="6" t="s">
        <v>2232</v>
      </c>
      <c r="AJ2528" s="3" t="s">
        <v>8213</v>
      </c>
      <c r="AK2528" t="s">
        <v>8213</v>
      </c>
      <c r="AV2528"/>
      <c r="AX2528"/>
      <c r="AZ2528" t="str">
        <f t="shared" si="301"/>
        <v/>
      </c>
      <c r="BA2528" t="str">
        <f t="shared" si="302"/>
        <v/>
      </c>
    </row>
    <row r="2529" spans="3:53" ht="13.5">
      <c r="C2529" s="19"/>
      <c r="D2529" s="19"/>
      <c r="AC2529" s="6">
        <v>395671</v>
      </c>
      <c r="AD2529" s="6" t="s">
        <v>7458</v>
      </c>
      <c r="AE2529" s="155" t="s">
        <v>3273</v>
      </c>
      <c r="AF2529" s="159" t="s">
        <v>8320</v>
      </c>
      <c r="AG2529" s="160" t="s">
        <v>2951</v>
      </c>
      <c r="AH2529" s="194" t="s">
        <v>678</v>
      </c>
      <c r="AI2529" s="6" t="s">
        <v>2235</v>
      </c>
      <c r="AJ2529" s="3" t="s">
        <v>8221</v>
      </c>
      <c r="AK2529" t="s">
        <v>8669</v>
      </c>
      <c r="AV2529"/>
      <c r="AX2529"/>
      <c r="AZ2529" t="str">
        <f t="shared" si="301"/>
        <v/>
      </c>
      <c r="BA2529" t="str">
        <f t="shared" si="302"/>
        <v/>
      </c>
    </row>
    <row r="2530" spans="3:53" ht="13.5">
      <c r="C2530" s="19"/>
      <c r="D2530" s="19"/>
      <c r="AC2530" s="6">
        <v>395673</v>
      </c>
      <c r="AD2530" s="6" t="s">
        <v>7459</v>
      </c>
      <c r="AE2530" s="155" t="s">
        <v>3274</v>
      </c>
      <c r="AF2530" s="159" t="s">
        <v>8299</v>
      </c>
      <c r="AG2530" s="160" t="s">
        <v>2952</v>
      </c>
      <c r="AH2530" s="194" t="s">
        <v>678</v>
      </c>
      <c r="AI2530" s="6" t="s">
        <v>2278</v>
      </c>
      <c r="AJ2530" s="3" t="s">
        <v>8213</v>
      </c>
      <c r="AK2530" t="s">
        <v>8213</v>
      </c>
      <c r="AV2530"/>
      <c r="AX2530"/>
      <c r="AZ2530" t="str">
        <f t="shared" si="301"/>
        <v/>
      </c>
      <c r="BA2530" t="str">
        <f t="shared" si="302"/>
        <v/>
      </c>
    </row>
    <row r="2531" spans="3:53" ht="13.5">
      <c r="C2531" s="19"/>
      <c r="D2531" s="19"/>
      <c r="AC2531" s="6">
        <v>395670</v>
      </c>
      <c r="AD2531" s="6" t="s">
        <v>7460</v>
      </c>
      <c r="AE2531" s="155" t="s">
        <v>3275</v>
      </c>
      <c r="AF2531" s="159" t="s">
        <v>8347</v>
      </c>
      <c r="AG2531" s="160" t="s">
        <v>2953</v>
      </c>
      <c r="AH2531" s="194" t="s">
        <v>678</v>
      </c>
      <c r="AI2531" s="6" t="s">
        <v>4181</v>
      </c>
      <c r="AJ2531" s="3" t="s">
        <v>8253</v>
      </c>
      <c r="AK2531" t="s">
        <v>8253</v>
      </c>
      <c r="AV2531"/>
      <c r="AX2531"/>
      <c r="AZ2531" t="str">
        <f t="shared" si="301"/>
        <v/>
      </c>
      <c r="BA2531" t="str">
        <f t="shared" si="302"/>
        <v/>
      </c>
    </row>
    <row r="2532" spans="3:53" ht="13.5">
      <c r="C2532" s="19"/>
      <c r="D2532" s="19"/>
      <c r="AC2532" s="6" t="s">
        <v>2792</v>
      </c>
      <c r="AD2532" s="6" t="s">
        <v>7429</v>
      </c>
      <c r="AE2532" s="155" t="s">
        <v>3276</v>
      </c>
      <c r="AF2532" s="159" t="s">
        <v>8339</v>
      </c>
      <c r="AG2532" s="160" t="s">
        <v>2954</v>
      </c>
      <c r="AH2532" s="194" t="s">
        <v>679</v>
      </c>
      <c r="AI2532" s="6" t="s">
        <v>4183</v>
      </c>
      <c r="AJ2532" s="3" t="s">
        <v>8253</v>
      </c>
      <c r="AK2532" t="s">
        <v>8253</v>
      </c>
      <c r="AV2532"/>
      <c r="AX2532"/>
      <c r="AZ2532" t="str">
        <f t="shared" si="301"/>
        <v/>
      </c>
      <c r="BA2532" t="str">
        <f t="shared" si="302"/>
        <v/>
      </c>
    </row>
    <row r="2533" spans="3:53" ht="13.5">
      <c r="C2533" s="19"/>
      <c r="D2533" s="19"/>
      <c r="AC2533" s="6">
        <v>55464</v>
      </c>
      <c r="AD2533" s="6" t="s">
        <v>7436</v>
      </c>
      <c r="AE2533" s="155" t="s">
        <v>3277</v>
      </c>
      <c r="AF2533" s="159" t="s">
        <v>8299</v>
      </c>
      <c r="AG2533" s="160" t="s">
        <v>2955</v>
      </c>
      <c r="AH2533" s="194" t="s">
        <v>679</v>
      </c>
      <c r="AI2533" s="6" t="s">
        <v>4184</v>
      </c>
      <c r="AJ2533" s="3" t="s">
        <v>8253</v>
      </c>
      <c r="AK2533" t="s">
        <v>8253</v>
      </c>
      <c r="AV2533"/>
      <c r="AX2533"/>
      <c r="AZ2533" t="str">
        <f t="shared" si="301"/>
        <v/>
      </c>
      <c r="BA2533" t="str">
        <f t="shared" si="302"/>
        <v/>
      </c>
    </row>
    <row r="2534" spans="3:53" ht="13.5">
      <c r="C2534" s="19"/>
      <c r="D2534" s="19"/>
      <c r="AC2534" s="6" t="s">
        <v>5711</v>
      </c>
      <c r="AD2534" s="6" t="s">
        <v>7461</v>
      </c>
      <c r="AE2534" s="155" t="s">
        <v>3278</v>
      </c>
      <c r="AF2534" s="159" t="s">
        <v>8299</v>
      </c>
      <c r="AG2534" s="160" t="s">
        <v>2956</v>
      </c>
      <c r="AH2534" s="194" t="s">
        <v>679</v>
      </c>
      <c r="AI2534" s="6" t="s">
        <v>4186</v>
      </c>
      <c r="AJ2534" s="3" t="s">
        <v>8253</v>
      </c>
      <c r="AK2534" t="s">
        <v>8253</v>
      </c>
      <c r="AV2534"/>
      <c r="AX2534"/>
      <c r="AZ2534" t="str">
        <f t="shared" si="301"/>
        <v/>
      </c>
      <c r="BA2534" t="str">
        <f t="shared" si="302"/>
        <v/>
      </c>
    </row>
    <row r="2535" spans="3:53" ht="13.5">
      <c r="C2535" s="19"/>
      <c r="D2535" s="19"/>
      <c r="AC2535" s="6" t="s">
        <v>2391</v>
      </c>
      <c r="AD2535" s="6" t="s">
        <v>7429</v>
      </c>
      <c r="AE2535" s="155" t="s">
        <v>3279</v>
      </c>
      <c r="AF2535" s="159" t="s">
        <v>8339</v>
      </c>
      <c r="AG2535" s="160" t="s">
        <v>2957</v>
      </c>
      <c r="AH2535" s="194" t="s">
        <v>678</v>
      </c>
      <c r="AI2535" s="6" t="s">
        <v>4187</v>
      </c>
      <c r="AJ2535" s="3" t="s">
        <v>8253</v>
      </c>
      <c r="AK2535" t="s">
        <v>8253</v>
      </c>
      <c r="AV2535"/>
      <c r="AX2535"/>
      <c r="AZ2535" t="str">
        <f t="shared" si="301"/>
        <v/>
      </c>
      <c r="BA2535" t="str">
        <f t="shared" si="302"/>
        <v/>
      </c>
    </row>
    <row r="2536" spans="3:53" ht="13.5">
      <c r="C2536" s="19"/>
      <c r="D2536" s="19"/>
      <c r="AC2536" s="6" t="s">
        <v>2401</v>
      </c>
      <c r="AD2536" s="6" t="s">
        <v>7429</v>
      </c>
      <c r="AE2536" s="155" t="s">
        <v>3280</v>
      </c>
      <c r="AF2536" s="159" t="s">
        <v>8297</v>
      </c>
      <c r="AG2536" s="160" t="s">
        <v>2958</v>
      </c>
      <c r="AH2536" s="194" t="s">
        <v>679</v>
      </c>
      <c r="AI2536" s="6" t="s">
        <v>4191</v>
      </c>
      <c r="AJ2536" s="3" t="s">
        <v>8253</v>
      </c>
      <c r="AK2536" t="s">
        <v>8253</v>
      </c>
      <c r="AV2536"/>
      <c r="AX2536"/>
      <c r="AZ2536" t="str">
        <f t="shared" si="301"/>
        <v/>
      </c>
      <c r="BA2536" t="str">
        <f t="shared" si="302"/>
        <v/>
      </c>
    </row>
    <row r="2537" spans="3:53" ht="13.5">
      <c r="C2537" s="19"/>
      <c r="D2537" s="19"/>
      <c r="AC2537" s="6" t="s">
        <v>2316</v>
      </c>
      <c r="AD2537" s="6" t="s">
        <v>7461</v>
      </c>
      <c r="AE2537" s="155" t="s">
        <v>3281</v>
      </c>
      <c r="AF2537" s="159" t="s">
        <v>8299</v>
      </c>
      <c r="AG2537" s="160" t="s">
        <v>2959</v>
      </c>
      <c r="AH2537" s="194" t="s">
        <v>678</v>
      </c>
      <c r="AI2537" s="6" t="s">
        <v>4194</v>
      </c>
      <c r="AJ2537" s="3" t="s">
        <v>8253</v>
      </c>
      <c r="AK2537" t="s">
        <v>8253</v>
      </c>
      <c r="AV2537"/>
      <c r="AX2537"/>
      <c r="AZ2537" t="str">
        <f t="shared" si="301"/>
        <v/>
      </c>
      <c r="BA2537" t="str">
        <f t="shared" si="302"/>
        <v/>
      </c>
    </row>
    <row r="2538" spans="3:53" ht="13.5">
      <c r="C2538" s="19"/>
      <c r="D2538" s="19"/>
      <c r="AC2538" s="6" t="s">
        <v>2315</v>
      </c>
      <c r="AD2538" s="6" t="s">
        <v>7461</v>
      </c>
      <c r="AE2538" s="155" t="s">
        <v>3282</v>
      </c>
      <c r="AF2538" s="159" t="s">
        <v>8309</v>
      </c>
      <c r="AG2538" s="160" t="s">
        <v>2960</v>
      </c>
      <c r="AH2538" s="194" t="s">
        <v>678</v>
      </c>
      <c r="AI2538" s="6" t="s">
        <v>4195</v>
      </c>
      <c r="AJ2538" s="3" t="s">
        <v>8253</v>
      </c>
      <c r="AK2538" t="s">
        <v>8253</v>
      </c>
      <c r="AV2538"/>
      <c r="AX2538"/>
      <c r="AZ2538" t="str">
        <f t="shared" si="301"/>
        <v/>
      </c>
      <c r="BA2538" t="str">
        <f t="shared" si="302"/>
        <v/>
      </c>
    </row>
    <row r="2539" spans="3:53" ht="13.5">
      <c r="C2539" s="19"/>
      <c r="D2539" s="19"/>
      <c r="AC2539" s="6" t="s">
        <v>2412</v>
      </c>
      <c r="AD2539" s="6" t="s">
        <v>7429</v>
      </c>
      <c r="AE2539" s="155" t="s">
        <v>1221</v>
      </c>
      <c r="AF2539" s="159" t="s">
        <v>8299</v>
      </c>
      <c r="AG2539" s="160" t="s">
        <v>2961</v>
      </c>
      <c r="AH2539" s="194" t="s">
        <v>679</v>
      </c>
      <c r="AI2539" s="6" t="s">
        <v>4198</v>
      </c>
      <c r="AJ2539" s="3" t="s">
        <v>8253</v>
      </c>
      <c r="AK2539" t="s">
        <v>8253</v>
      </c>
      <c r="AV2539"/>
      <c r="AX2539"/>
      <c r="AZ2539" t="str">
        <f t="shared" si="301"/>
        <v/>
      </c>
      <c r="BA2539" t="str">
        <f t="shared" si="302"/>
        <v/>
      </c>
    </row>
    <row r="2540" spans="3:53" ht="13.5">
      <c r="C2540" s="19"/>
      <c r="D2540" s="19"/>
      <c r="AC2540" s="6" t="s">
        <v>2411</v>
      </c>
      <c r="AD2540" s="6" t="s">
        <v>7429</v>
      </c>
      <c r="AE2540" s="155" t="s">
        <v>3283</v>
      </c>
      <c r="AF2540" s="159" t="s">
        <v>8299</v>
      </c>
      <c r="AG2540" s="160" t="s">
        <v>2962</v>
      </c>
      <c r="AH2540" s="194" t="s">
        <v>679</v>
      </c>
      <c r="AI2540" s="6" t="s">
        <v>4200</v>
      </c>
      <c r="AJ2540" s="3" t="s">
        <v>8253</v>
      </c>
      <c r="AK2540" t="s">
        <v>8253</v>
      </c>
      <c r="AV2540"/>
      <c r="AX2540"/>
      <c r="AZ2540" t="str">
        <f t="shared" si="301"/>
        <v/>
      </c>
      <c r="BA2540" t="str">
        <f t="shared" si="302"/>
        <v/>
      </c>
    </row>
    <row r="2541" spans="3:53" ht="13.5">
      <c r="C2541" s="19"/>
      <c r="D2541" s="19"/>
      <c r="AC2541" s="6" t="s">
        <v>3855</v>
      </c>
      <c r="AD2541" s="6" t="s">
        <v>7345</v>
      </c>
      <c r="AE2541" s="155" t="s">
        <v>3284</v>
      </c>
      <c r="AF2541" s="159" t="s">
        <v>8299</v>
      </c>
      <c r="AG2541" s="160" t="s">
        <v>2963</v>
      </c>
      <c r="AH2541" s="194" t="s">
        <v>678</v>
      </c>
      <c r="AI2541" s="6" t="s">
        <v>4202</v>
      </c>
      <c r="AJ2541" s="3" t="s">
        <v>8253</v>
      </c>
      <c r="AK2541" t="s">
        <v>8253</v>
      </c>
      <c r="AV2541"/>
      <c r="AX2541"/>
      <c r="AZ2541" t="str">
        <f t="shared" si="301"/>
        <v/>
      </c>
      <c r="BA2541" t="str">
        <f t="shared" si="302"/>
        <v/>
      </c>
    </row>
    <row r="2542" spans="3:53" ht="13.5">
      <c r="C2542" s="19"/>
      <c r="D2542" s="19"/>
      <c r="AC2542" s="6" t="s">
        <v>2389</v>
      </c>
      <c r="AD2542" s="6" t="s">
        <v>7429</v>
      </c>
      <c r="AE2542" s="155" t="s">
        <v>3285</v>
      </c>
      <c r="AF2542" s="159" t="s">
        <v>8299</v>
      </c>
      <c r="AG2542" s="160" t="s">
        <v>2964</v>
      </c>
      <c r="AH2542" s="194" t="s">
        <v>679</v>
      </c>
      <c r="AI2542" s="6" t="s">
        <v>4203</v>
      </c>
      <c r="AJ2542" s="3" t="s">
        <v>8253</v>
      </c>
      <c r="AK2542" t="s">
        <v>8253</v>
      </c>
      <c r="AV2542"/>
      <c r="AX2542"/>
      <c r="AZ2542" t="str">
        <f t="shared" si="301"/>
        <v/>
      </c>
      <c r="BA2542" t="str">
        <f t="shared" si="302"/>
        <v/>
      </c>
    </row>
    <row r="2543" spans="3:53" ht="13.5">
      <c r="C2543" s="19"/>
      <c r="D2543" s="19"/>
      <c r="AC2543" s="6" t="s">
        <v>2314</v>
      </c>
      <c r="AD2543" s="6" t="s">
        <v>7461</v>
      </c>
      <c r="AE2543" s="155" t="s">
        <v>3286</v>
      </c>
      <c r="AF2543" s="159" t="s">
        <v>8299</v>
      </c>
      <c r="AG2543" s="160" t="s">
        <v>1214</v>
      </c>
      <c r="AH2543" s="194" t="s">
        <v>678</v>
      </c>
      <c r="AI2543" s="6" t="s">
        <v>4206</v>
      </c>
      <c r="AJ2543" s="3" t="s">
        <v>8253</v>
      </c>
      <c r="AK2543" t="s">
        <v>8253</v>
      </c>
      <c r="AV2543"/>
      <c r="AX2543"/>
      <c r="AZ2543" t="str">
        <f t="shared" si="301"/>
        <v/>
      </c>
      <c r="BA2543" t="str">
        <f t="shared" si="302"/>
        <v/>
      </c>
    </row>
    <row r="2544" spans="3:53" ht="13.5">
      <c r="C2544" s="19"/>
      <c r="D2544" s="19"/>
      <c r="AC2544" s="6" t="s">
        <v>2414</v>
      </c>
      <c r="AD2544" s="6" t="s">
        <v>7429</v>
      </c>
      <c r="AE2544" s="155" t="s">
        <v>3287</v>
      </c>
      <c r="AF2544" s="159" t="s">
        <v>8299</v>
      </c>
      <c r="AG2544" s="160" t="s">
        <v>2965</v>
      </c>
      <c r="AH2544" s="194" t="s">
        <v>679</v>
      </c>
      <c r="AI2544" s="6" t="s">
        <v>4207</v>
      </c>
      <c r="AJ2544" s="3" t="s">
        <v>8253</v>
      </c>
      <c r="AK2544" t="s">
        <v>8253</v>
      </c>
      <c r="AV2544"/>
      <c r="AX2544"/>
      <c r="AZ2544" t="str">
        <f t="shared" si="301"/>
        <v/>
      </c>
      <c r="BA2544" t="str">
        <f t="shared" si="302"/>
        <v/>
      </c>
    </row>
    <row r="2545" spans="3:53" ht="13.5">
      <c r="C2545" s="19"/>
      <c r="D2545" s="19"/>
      <c r="AC2545" s="6" t="s">
        <v>2424</v>
      </c>
      <c r="AD2545" s="6" t="s">
        <v>7461</v>
      </c>
      <c r="AE2545" s="155" t="s">
        <v>3288</v>
      </c>
      <c r="AF2545" s="159" t="s">
        <v>8299</v>
      </c>
      <c r="AG2545" s="160" t="s">
        <v>2966</v>
      </c>
      <c r="AH2545" s="194" t="s">
        <v>679</v>
      </c>
      <c r="AI2545" s="6" t="s">
        <v>4208</v>
      </c>
      <c r="AJ2545" s="3" t="s">
        <v>8253</v>
      </c>
      <c r="AK2545" t="s">
        <v>8253</v>
      </c>
      <c r="AV2545"/>
      <c r="AX2545"/>
      <c r="AZ2545" t="str">
        <f t="shared" si="301"/>
        <v/>
      </c>
      <c r="BA2545" t="str">
        <f t="shared" si="302"/>
        <v/>
      </c>
    </row>
    <row r="2546" spans="3:53" ht="13.5">
      <c r="C2546" s="19"/>
      <c r="D2546" s="19"/>
      <c r="AC2546" s="6" t="s">
        <v>2387</v>
      </c>
      <c r="AD2546" s="6" t="s">
        <v>7429</v>
      </c>
      <c r="AE2546" s="155" t="s">
        <v>1222</v>
      </c>
      <c r="AF2546" s="159" t="s">
        <v>8339</v>
      </c>
      <c r="AG2546" s="160" t="s">
        <v>2967</v>
      </c>
      <c r="AH2546" s="194" t="s">
        <v>679</v>
      </c>
      <c r="AI2546" s="6" t="s">
        <v>4210</v>
      </c>
      <c r="AJ2546" s="3" t="s">
        <v>8253</v>
      </c>
      <c r="AK2546" t="s">
        <v>8253</v>
      </c>
      <c r="AV2546"/>
      <c r="AX2546"/>
      <c r="AZ2546" t="str">
        <f t="shared" si="301"/>
        <v/>
      </c>
      <c r="BA2546" t="str">
        <f t="shared" si="302"/>
        <v/>
      </c>
    </row>
    <row r="2547" spans="3:53" ht="13.5">
      <c r="C2547" s="19"/>
      <c r="D2547" s="19"/>
      <c r="AC2547" s="6" t="s">
        <v>2384</v>
      </c>
      <c r="AD2547" s="6" t="s">
        <v>7429</v>
      </c>
      <c r="AE2547" s="155" t="s">
        <v>3289</v>
      </c>
      <c r="AF2547" s="159" t="s">
        <v>8320</v>
      </c>
      <c r="AG2547" s="160" t="s">
        <v>2968</v>
      </c>
      <c r="AH2547" s="194" t="s">
        <v>679</v>
      </c>
      <c r="AI2547" s="6" t="s">
        <v>2781</v>
      </c>
      <c r="AJ2547" s="3" t="s">
        <v>8253</v>
      </c>
      <c r="AK2547" t="s">
        <v>8253</v>
      </c>
      <c r="AV2547"/>
      <c r="AX2547"/>
      <c r="AZ2547" t="str">
        <f t="shared" si="301"/>
        <v/>
      </c>
      <c r="BA2547" t="str">
        <f t="shared" si="302"/>
        <v/>
      </c>
    </row>
    <row r="2548" spans="3:53" ht="13.5">
      <c r="C2548" s="19"/>
      <c r="D2548" s="19"/>
      <c r="AC2548" s="6" t="s">
        <v>2413</v>
      </c>
      <c r="AD2548" s="6" t="s">
        <v>7429</v>
      </c>
      <c r="AE2548" s="155" t="s">
        <v>3290</v>
      </c>
      <c r="AF2548" s="159" t="s">
        <v>8299</v>
      </c>
      <c r="AG2548" s="160" t="s">
        <v>2969</v>
      </c>
      <c r="AH2548" s="194" t="s">
        <v>679</v>
      </c>
      <c r="AI2548" s="6" t="s">
        <v>2782</v>
      </c>
      <c r="AJ2548" s="3" t="s">
        <v>8254</v>
      </c>
      <c r="AK2548" t="s">
        <v>8254</v>
      </c>
      <c r="AV2548"/>
      <c r="AX2548"/>
      <c r="AZ2548" t="str">
        <f t="shared" si="301"/>
        <v/>
      </c>
      <c r="BA2548" t="str">
        <f t="shared" si="302"/>
        <v/>
      </c>
    </row>
    <row r="2549" spans="3:53" ht="13.5">
      <c r="C2549" s="19"/>
      <c r="D2549" s="19"/>
      <c r="AC2549" s="6" t="s">
        <v>2393</v>
      </c>
      <c r="AD2549" s="6" t="s">
        <v>7429</v>
      </c>
      <c r="AE2549" s="155" t="s">
        <v>3291</v>
      </c>
      <c r="AF2549" s="159" t="s">
        <v>8299</v>
      </c>
      <c r="AG2549" s="160" t="s">
        <v>2970</v>
      </c>
      <c r="AH2549" s="194" t="s">
        <v>679</v>
      </c>
      <c r="AI2549" s="6" t="s">
        <v>4211</v>
      </c>
      <c r="AJ2549" s="3" t="s">
        <v>8253</v>
      </c>
      <c r="AK2549" t="s">
        <v>8253</v>
      </c>
      <c r="AV2549"/>
      <c r="AX2549"/>
      <c r="AZ2549" t="str">
        <f t="shared" si="301"/>
        <v/>
      </c>
      <c r="BA2549" t="str">
        <f t="shared" si="302"/>
        <v/>
      </c>
    </row>
    <row r="2550" spans="3:53" ht="13.5">
      <c r="C2550" s="19"/>
      <c r="D2550" s="19"/>
      <c r="AC2550" s="6" t="s">
        <v>2409</v>
      </c>
      <c r="AD2550" s="6" t="s">
        <v>7429</v>
      </c>
      <c r="AE2550" s="155" t="s">
        <v>3292</v>
      </c>
      <c r="AF2550" s="159" t="s">
        <v>8320</v>
      </c>
      <c r="AG2550" s="160" t="s">
        <v>2971</v>
      </c>
      <c r="AH2550" s="194" t="s">
        <v>679</v>
      </c>
      <c r="AI2550" s="6" t="s">
        <v>4212</v>
      </c>
      <c r="AJ2550" s="3" t="s">
        <v>8253</v>
      </c>
      <c r="AK2550" t="s">
        <v>8253</v>
      </c>
      <c r="AV2550"/>
      <c r="AX2550"/>
      <c r="AZ2550" t="str">
        <f t="shared" si="301"/>
        <v/>
      </c>
      <c r="BA2550" t="str">
        <f t="shared" si="302"/>
        <v/>
      </c>
    </row>
    <row r="2551" spans="3:53" ht="13.5">
      <c r="C2551" s="19"/>
      <c r="D2551" s="19"/>
      <c r="AC2551" s="6" t="s">
        <v>2369</v>
      </c>
      <c r="AD2551" s="6" t="s">
        <v>7429</v>
      </c>
      <c r="AE2551" s="155" t="s">
        <v>3293</v>
      </c>
      <c r="AF2551" s="159" t="s">
        <v>8299</v>
      </c>
      <c r="AG2551" s="160" t="s">
        <v>2972</v>
      </c>
      <c r="AH2551" s="194" t="s">
        <v>679</v>
      </c>
      <c r="AI2551" s="6" t="s">
        <v>4215</v>
      </c>
      <c r="AJ2551" s="3" t="s">
        <v>8236</v>
      </c>
      <c r="AK2551" t="s">
        <v>8236</v>
      </c>
      <c r="AV2551"/>
      <c r="AX2551"/>
      <c r="AZ2551" t="str">
        <f t="shared" si="301"/>
        <v/>
      </c>
      <c r="BA2551" t="str">
        <f t="shared" si="302"/>
        <v/>
      </c>
    </row>
    <row r="2552" spans="3:53" ht="13.5">
      <c r="C2552" s="19"/>
      <c r="D2552" s="19"/>
      <c r="AC2552" s="6" t="s">
        <v>5713</v>
      </c>
      <c r="AD2552" s="6" t="s">
        <v>6755</v>
      </c>
      <c r="AE2552" s="155" t="s">
        <v>3294</v>
      </c>
      <c r="AF2552" s="159" t="s">
        <v>8323</v>
      </c>
      <c r="AG2552" s="160" t="s">
        <v>2973</v>
      </c>
      <c r="AH2552" s="194" t="s">
        <v>679</v>
      </c>
      <c r="AI2552" s="6" t="s">
        <v>4218</v>
      </c>
      <c r="AJ2552" s="3" t="s">
        <v>8266</v>
      </c>
      <c r="AK2552" t="s">
        <v>8266</v>
      </c>
      <c r="AV2552"/>
      <c r="AX2552"/>
      <c r="AZ2552" t="str">
        <f t="shared" si="301"/>
        <v/>
      </c>
      <c r="BA2552" t="str">
        <f t="shared" si="302"/>
        <v/>
      </c>
    </row>
    <row r="2553" spans="3:53" ht="13.5">
      <c r="C2553" s="19"/>
      <c r="D2553" s="19"/>
      <c r="AC2553" s="6" t="s">
        <v>2410</v>
      </c>
      <c r="AD2553" s="6" t="s">
        <v>7429</v>
      </c>
      <c r="AE2553" s="155" t="s">
        <v>3295</v>
      </c>
      <c r="AF2553" s="159" t="s">
        <v>8299</v>
      </c>
      <c r="AG2553" s="160" t="s">
        <v>2974</v>
      </c>
      <c r="AH2553" s="194" t="s">
        <v>679</v>
      </c>
      <c r="AI2553" s="6" t="s">
        <v>4219</v>
      </c>
      <c r="AJ2553" s="3" t="s">
        <v>8236</v>
      </c>
      <c r="AK2553" t="s">
        <v>8236</v>
      </c>
      <c r="AV2553"/>
      <c r="AX2553"/>
      <c r="AZ2553" t="str">
        <f t="shared" si="301"/>
        <v/>
      </c>
      <c r="BA2553" t="str">
        <f t="shared" si="302"/>
        <v/>
      </c>
    </row>
    <row r="2554" spans="3:53" ht="13.5">
      <c r="C2554" s="19"/>
      <c r="D2554" s="19"/>
      <c r="AC2554" s="6" t="s">
        <v>4417</v>
      </c>
      <c r="AD2554" s="6" t="s">
        <v>7429</v>
      </c>
      <c r="AE2554" s="155" t="s">
        <v>3296</v>
      </c>
      <c r="AF2554" s="159" t="s">
        <v>8311</v>
      </c>
      <c r="AG2554" s="160" t="s">
        <v>2975</v>
      </c>
      <c r="AH2554" s="194" t="s">
        <v>678</v>
      </c>
      <c r="AI2554" s="6" t="s">
        <v>4224</v>
      </c>
      <c r="AJ2554" s="3" t="s">
        <v>8262</v>
      </c>
      <c r="AK2554" t="s">
        <v>8262</v>
      </c>
      <c r="AV2554"/>
      <c r="AX2554"/>
      <c r="AZ2554" t="str">
        <f t="shared" si="301"/>
        <v/>
      </c>
      <c r="BA2554" t="str">
        <f t="shared" si="302"/>
        <v/>
      </c>
    </row>
    <row r="2555" spans="3:53" ht="13.5">
      <c r="C2555" s="19"/>
      <c r="D2555" s="19"/>
      <c r="AC2555" s="6" t="s">
        <v>2408</v>
      </c>
      <c r="AD2555" s="6" t="s">
        <v>7429</v>
      </c>
      <c r="AE2555" s="155" t="s">
        <v>3297</v>
      </c>
      <c r="AF2555" s="159" t="s">
        <v>8299</v>
      </c>
      <c r="AG2555" s="160" t="s">
        <v>2976</v>
      </c>
      <c r="AH2555" s="194" t="s">
        <v>4700</v>
      </c>
      <c r="AI2555" s="6" t="s">
        <v>4225</v>
      </c>
      <c r="AJ2555" s="3" t="s">
        <v>8253</v>
      </c>
      <c r="AK2555" t="s">
        <v>8253</v>
      </c>
      <c r="AV2555"/>
      <c r="AX2555"/>
      <c r="AZ2555" t="str">
        <f t="shared" si="301"/>
        <v/>
      </c>
      <c r="BA2555" t="str">
        <f t="shared" si="302"/>
        <v/>
      </c>
    </row>
    <row r="2556" spans="3:53" ht="13.5">
      <c r="C2556" s="19"/>
      <c r="D2556" s="19"/>
      <c r="AC2556" s="6" t="s">
        <v>2392</v>
      </c>
      <c r="AD2556" s="6" t="s">
        <v>7429</v>
      </c>
      <c r="AE2556" s="155" t="s">
        <v>3298</v>
      </c>
      <c r="AF2556" s="159" t="s">
        <v>8299</v>
      </c>
      <c r="AG2556" s="160" t="s">
        <v>2977</v>
      </c>
      <c r="AH2556" s="194" t="s">
        <v>679</v>
      </c>
      <c r="AI2556" s="6" t="s">
        <v>4227</v>
      </c>
      <c r="AJ2556" s="3" t="s">
        <v>8253</v>
      </c>
      <c r="AK2556" t="s">
        <v>8253</v>
      </c>
      <c r="AV2556"/>
      <c r="AX2556"/>
      <c r="AZ2556" t="str">
        <f t="shared" si="301"/>
        <v/>
      </c>
      <c r="BA2556" t="str">
        <f t="shared" si="302"/>
        <v/>
      </c>
    </row>
    <row r="2557" spans="3:53" ht="13.5">
      <c r="C2557" s="19"/>
      <c r="D2557" s="19"/>
      <c r="AC2557" s="6" t="s">
        <v>2311</v>
      </c>
      <c r="AD2557" s="6" t="s">
        <v>7429</v>
      </c>
      <c r="AE2557" s="155" t="s">
        <v>3299</v>
      </c>
      <c r="AF2557" s="159" t="s">
        <v>8299</v>
      </c>
      <c r="AG2557" s="160" t="s">
        <v>2978</v>
      </c>
      <c r="AH2557" s="194" t="s">
        <v>679</v>
      </c>
      <c r="AI2557" s="6" t="s">
        <v>4229</v>
      </c>
      <c r="AJ2557" s="3" t="s">
        <v>8253</v>
      </c>
      <c r="AK2557" t="s">
        <v>8253</v>
      </c>
      <c r="AV2557"/>
      <c r="AX2557"/>
      <c r="AZ2557" t="str">
        <f t="shared" si="301"/>
        <v/>
      </c>
      <c r="BA2557" t="str">
        <f t="shared" si="302"/>
        <v/>
      </c>
    </row>
    <row r="2558" spans="3:53" ht="13.5">
      <c r="C2558" s="19"/>
      <c r="D2558" s="19"/>
      <c r="AC2558" s="6" t="s">
        <v>2416</v>
      </c>
      <c r="AD2558" s="6" t="s">
        <v>7429</v>
      </c>
      <c r="AE2558" s="155" t="s">
        <v>3300</v>
      </c>
      <c r="AF2558" s="159" t="s">
        <v>8339</v>
      </c>
      <c r="AG2558" s="160" t="s">
        <v>2979</v>
      </c>
      <c r="AH2558" s="194" t="s">
        <v>679</v>
      </c>
      <c r="AI2558" s="6" t="s">
        <v>4231</v>
      </c>
      <c r="AJ2558" s="3" t="s">
        <v>8253</v>
      </c>
      <c r="AK2558" t="s">
        <v>8253</v>
      </c>
      <c r="AV2558"/>
      <c r="AX2558"/>
      <c r="AZ2558" t="str">
        <f t="shared" si="301"/>
        <v/>
      </c>
      <c r="BA2558" t="str">
        <f t="shared" si="302"/>
        <v/>
      </c>
    </row>
    <row r="2559" spans="3:53" ht="13.5">
      <c r="C2559" s="19"/>
      <c r="D2559" s="19"/>
      <c r="AC2559" s="6" t="s">
        <v>2420</v>
      </c>
      <c r="AD2559" s="6" t="s">
        <v>7429</v>
      </c>
      <c r="AE2559" s="155" t="s">
        <v>1223</v>
      </c>
      <c r="AF2559" s="159" t="s">
        <v>8339</v>
      </c>
      <c r="AG2559" s="160" t="s">
        <v>2980</v>
      </c>
      <c r="AH2559" s="194" t="s">
        <v>678</v>
      </c>
      <c r="AI2559" s="6" t="s">
        <v>4232</v>
      </c>
      <c r="AJ2559" s="3" t="s">
        <v>8253</v>
      </c>
      <c r="AK2559" t="s">
        <v>8253</v>
      </c>
      <c r="AV2559"/>
      <c r="AX2559"/>
      <c r="AZ2559" t="str">
        <f t="shared" si="301"/>
        <v/>
      </c>
      <c r="BA2559" t="str">
        <f t="shared" si="302"/>
        <v/>
      </c>
    </row>
    <row r="2560" spans="3:53" ht="13.5">
      <c r="C2560" s="19"/>
      <c r="D2560" s="19"/>
      <c r="AC2560" s="6" t="s">
        <v>2390</v>
      </c>
      <c r="AD2560" s="6" t="s">
        <v>7429</v>
      </c>
      <c r="AE2560" s="155" t="s">
        <v>3301</v>
      </c>
      <c r="AF2560" s="159" t="s">
        <v>8299</v>
      </c>
      <c r="AG2560" s="160" t="s">
        <v>2981</v>
      </c>
      <c r="AH2560" s="194" t="s">
        <v>679</v>
      </c>
      <c r="AI2560" s="6" t="s">
        <v>4233</v>
      </c>
      <c r="AJ2560" s="3" t="s">
        <v>8253</v>
      </c>
      <c r="AK2560" t="s">
        <v>8253</v>
      </c>
      <c r="AV2560"/>
      <c r="AX2560"/>
      <c r="AZ2560" t="str">
        <f t="shared" si="301"/>
        <v/>
      </c>
      <c r="BA2560" t="str">
        <f t="shared" si="302"/>
        <v/>
      </c>
    </row>
    <row r="2561" spans="3:53" ht="13.5">
      <c r="C2561" s="19"/>
      <c r="D2561" s="19"/>
      <c r="AC2561" s="6" t="s">
        <v>5090</v>
      </c>
      <c r="AD2561" s="6" t="s">
        <v>7462</v>
      </c>
      <c r="AE2561" s="155" t="s">
        <v>3302</v>
      </c>
      <c r="AF2561" s="159" t="s">
        <v>8299</v>
      </c>
      <c r="AG2561" s="160" t="s">
        <v>2982</v>
      </c>
      <c r="AH2561" s="194" t="s">
        <v>679</v>
      </c>
      <c r="AI2561" s="6" t="s">
        <v>4236</v>
      </c>
      <c r="AJ2561" s="3" t="s">
        <v>8269</v>
      </c>
      <c r="AK2561" t="s">
        <v>8269</v>
      </c>
      <c r="AV2561"/>
      <c r="AX2561"/>
      <c r="AZ2561" t="str">
        <f t="shared" si="301"/>
        <v/>
      </c>
      <c r="BA2561" t="str">
        <f t="shared" si="302"/>
        <v/>
      </c>
    </row>
    <row r="2562" spans="3:53" ht="13.5">
      <c r="C2562" s="19"/>
      <c r="D2562" s="19"/>
      <c r="AC2562" s="6" t="s">
        <v>2395</v>
      </c>
      <c r="AD2562" s="6" t="s">
        <v>7429</v>
      </c>
      <c r="AE2562" s="155" t="s">
        <v>3303</v>
      </c>
      <c r="AF2562" s="159" t="s">
        <v>8339</v>
      </c>
      <c r="AG2562" s="160" t="s">
        <v>2983</v>
      </c>
      <c r="AH2562" s="194" t="s">
        <v>678</v>
      </c>
      <c r="AI2562" s="6" t="s">
        <v>4237</v>
      </c>
      <c r="AJ2562" s="3" t="s">
        <v>8253</v>
      </c>
      <c r="AK2562" t="s">
        <v>8253</v>
      </c>
      <c r="AV2562"/>
      <c r="AX2562"/>
      <c r="AZ2562" t="str">
        <f t="shared" si="301"/>
        <v/>
      </c>
      <c r="BA2562" t="str">
        <f t="shared" si="302"/>
        <v/>
      </c>
    </row>
    <row r="2563" spans="3:53" ht="13.5">
      <c r="C2563" s="19"/>
      <c r="D2563" s="19"/>
      <c r="AC2563" s="6" t="s">
        <v>5710</v>
      </c>
      <c r="AD2563" s="6" t="s">
        <v>7429</v>
      </c>
      <c r="AE2563" s="155" t="s">
        <v>3304</v>
      </c>
      <c r="AF2563" s="159" t="s">
        <v>8339</v>
      </c>
      <c r="AG2563" s="160" t="s">
        <v>2984</v>
      </c>
      <c r="AH2563" s="194" t="s">
        <v>679</v>
      </c>
      <c r="AI2563" s="6" t="s">
        <v>4239</v>
      </c>
      <c r="AJ2563" s="3" t="s">
        <v>8253</v>
      </c>
      <c r="AK2563" t="s">
        <v>8253</v>
      </c>
      <c r="AV2563"/>
      <c r="AX2563"/>
      <c r="AZ2563" t="str">
        <f t="shared" si="301"/>
        <v/>
      </c>
      <c r="BA2563" t="str">
        <f t="shared" si="302"/>
        <v/>
      </c>
    </row>
    <row r="2564" spans="3:53" ht="13.5">
      <c r="C2564" s="19"/>
      <c r="D2564" s="19"/>
      <c r="AC2564" s="6" t="s">
        <v>5310</v>
      </c>
      <c r="AD2564" s="6" t="s">
        <v>7463</v>
      </c>
      <c r="AE2564" s="155" t="s">
        <v>3305</v>
      </c>
      <c r="AF2564" s="159" t="s">
        <v>8342</v>
      </c>
      <c r="AG2564" s="160" t="s">
        <v>2985</v>
      </c>
      <c r="AH2564" s="194" t="s">
        <v>679</v>
      </c>
      <c r="AI2564" s="6" t="s">
        <v>4242</v>
      </c>
      <c r="AJ2564" s="3" t="s">
        <v>8278</v>
      </c>
      <c r="AK2564" t="s">
        <v>8278</v>
      </c>
      <c r="AV2564"/>
      <c r="AX2564"/>
      <c r="AZ2564" t="str">
        <f t="shared" si="301"/>
        <v/>
      </c>
      <c r="BA2564" t="str">
        <f t="shared" si="302"/>
        <v/>
      </c>
    </row>
    <row r="2565" spans="3:53" ht="13.5">
      <c r="C2565" s="19"/>
      <c r="D2565" s="19"/>
      <c r="AC2565" s="6" t="s">
        <v>1235</v>
      </c>
      <c r="AD2565" s="6" t="s">
        <v>7429</v>
      </c>
      <c r="AE2565" s="155" t="s">
        <v>3306</v>
      </c>
      <c r="AF2565" s="159" t="s">
        <v>8339</v>
      </c>
      <c r="AG2565" s="160" t="s">
        <v>2986</v>
      </c>
      <c r="AH2565" s="194" t="s">
        <v>679</v>
      </c>
      <c r="AI2565" s="6" t="s">
        <v>4243</v>
      </c>
      <c r="AJ2565" s="3" t="s">
        <v>8278</v>
      </c>
      <c r="AK2565" t="s">
        <v>8278</v>
      </c>
      <c r="AV2565"/>
      <c r="AX2565"/>
      <c r="AZ2565" t="str">
        <f t="shared" si="301"/>
        <v/>
      </c>
      <c r="BA2565" t="str">
        <f t="shared" si="302"/>
        <v/>
      </c>
    </row>
    <row r="2566" spans="3:53" ht="13.5">
      <c r="C2566" s="19"/>
      <c r="D2566" s="19"/>
      <c r="AC2566" s="6" t="s">
        <v>4424</v>
      </c>
      <c r="AD2566" s="6" t="s">
        <v>7429</v>
      </c>
      <c r="AE2566" s="155" t="s">
        <v>3307</v>
      </c>
      <c r="AF2566" s="159" t="s">
        <v>8339</v>
      </c>
      <c r="AG2566" s="160" t="s">
        <v>2987</v>
      </c>
      <c r="AH2566" s="194" t="s">
        <v>679</v>
      </c>
      <c r="AI2566" s="6" t="s">
        <v>4244</v>
      </c>
      <c r="AJ2566" s="3" t="s">
        <v>8278</v>
      </c>
      <c r="AK2566" t="s">
        <v>8278</v>
      </c>
      <c r="AV2566"/>
      <c r="AX2566"/>
      <c r="AZ2566" t="str">
        <f t="shared" si="301"/>
        <v/>
      </c>
      <c r="BA2566" t="str">
        <f t="shared" si="302"/>
        <v/>
      </c>
    </row>
    <row r="2567" spans="3:53" ht="13.5">
      <c r="C2567" s="19"/>
      <c r="D2567" s="19"/>
      <c r="AC2567" s="6" t="s">
        <v>2404</v>
      </c>
      <c r="AD2567" s="6" t="s">
        <v>7429</v>
      </c>
      <c r="AE2567" s="155" t="s">
        <v>3308</v>
      </c>
      <c r="AF2567" s="159" t="s">
        <v>8299</v>
      </c>
      <c r="AG2567" s="160" t="s">
        <v>2988</v>
      </c>
      <c r="AH2567" s="194" t="s">
        <v>679</v>
      </c>
      <c r="AI2567" s="6" t="s">
        <v>5486</v>
      </c>
      <c r="AJ2567" s="3" t="s">
        <v>8278</v>
      </c>
      <c r="AK2567" t="s">
        <v>8278</v>
      </c>
      <c r="AV2567"/>
      <c r="AX2567"/>
      <c r="AZ2567" t="str">
        <f t="shared" si="301"/>
        <v/>
      </c>
      <c r="BA2567" t="str">
        <f t="shared" si="302"/>
        <v/>
      </c>
    </row>
    <row r="2568" spans="3:53" ht="13.5">
      <c r="C2568" s="19"/>
      <c r="D2568" s="19"/>
      <c r="AC2568" s="6" t="s">
        <v>5198</v>
      </c>
      <c r="AD2568" s="6" t="s">
        <v>7429</v>
      </c>
      <c r="AE2568" s="155" t="s">
        <v>3309</v>
      </c>
      <c r="AF2568" s="159" t="s">
        <v>8339</v>
      </c>
      <c r="AG2568" s="160" t="s">
        <v>2989</v>
      </c>
      <c r="AH2568" s="194" t="s">
        <v>678</v>
      </c>
      <c r="AI2568" s="6" t="s">
        <v>2202</v>
      </c>
      <c r="AJ2568" s="3" t="s">
        <v>8221</v>
      </c>
      <c r="AK2568" t="s">
        <v>8669</v>
      </c>
      <c r="AV2568"/>
      <c r="AX2568"/>
      <c r="AZ2568" t="str">
        <f t="shared" si="301"/>
        <v/>
      </c>
      <c r="BA2568" t="str">
        <f t="shared" si="302"/>
        <v/>
      </c>
    </row>
    <row r="2569" spans="3:53" ht="13.5">
      <c r="C2569" s="19"/>
      <c r="D2569" s="19"/>
      <c r="AC2569" s="6" t="s">
        <v>2422</v>
      </c>
      <c r="AD2569" s="6" t="s">
        <v>7429</v>
      </c>
      <c r="AE2569" s="155" t="s">
        <v>3310</v>
      </c>
      <c r="AF2569" s="159" t="s">
        <v>8311</v>
      </c>
      <c r="AG2569" s="160" t="s">
        <v>2990</v>
      </c>
      <c r="AH2569" s="194" t="s">
        <v>679</v>
      </c>
      <c r="AI2569" s="6" t="s">
        <v>2257</v>
      </c>
      <c r="AJ2569" s="3" t="s">
        <v>8221</v>
      </c>
      <c r="AK2569" t="s">
        <v>8669</v>
      </c>
      <c r="AV2569"/>
      <c r="AX2569"/>
      <c r="AZ2569" t="str">
        <f t="shared" si="301"/>
        <v/>
      </c>
      <c r="BA2569" t="str">
        <f t="shared" si="302"/>
        <v/>
      </c>
    </row>
    <row r="2570" spans="3:53" ht="13.5">
      <c r="C2570" s="19"/>
      <c r="D2570" s="19"/>
      <c r="AC2570" s="6" t="s">
        <v>2396</v>
      </c>
      <c r="AD2570" s="6" t="s">
        <v>7429</v>
      </c>
      <c r="AE2570" s="155" t="s">
        <v>3311</v>
      </c>
      <c r="AF2570" s="159" t="s">
        <v>8299</v>
      </c>
      <c r="AG2570" s="160" t="s">
        <v>2991</v>
      </c>
      <c r="AH2570" s="194" t="s">
        <v>678</v>
      </c>
      <c r="AI2570" s="6" t="s">
        <v>3565</v>
      </c>
      <c r="AJ2570" s="3" t="s">
        <v>8214</v>
      </c>
      <c r="AK2570" t="s">
        <v>8214</v>
      </c>
      <c r="AV2570"/>
      <c r="AX2570"/>
      <c r="AZ2570" t="str">
        <f t="shared" si="301"/>
        <v/>
      </c>
      <c r="BA2570" t="str">
        <f t="shared" si="302"/>
        <v/>
      </c>
    </row>
    <row r="2571" spans="3:53" ht="13.5">
      <c r="C2571" s="19"/>
      <c r="D2571" s="19"/>
      <c r="AC2571" s="6" t="s">
        <v>5627</v>
      </c>
      <c r="AD2571" s="6" t="s">
        <v>7429</v>
      </c>
      <c r="AE2571" s="155" t="s">
        <v>3312</v>
      </c>
      <c r="AF2571" s="159" t="s">
        <v>8353</v>
      </c>
      <c r="AG2571" s="160" t="s">
        <v>2992</v>
      </c>
      <c r="AH2571" s="194" t="s">
        <v>678</v>
      </c>
      <c r="AI2571" s="6" t="s">
        <v>49</v>
      </c>
      <c r="AJ2571" s="3" t="s">
        <v>8261</v>
      </c>
      <c r="AK2571" t="s">
        <v>8261</v>
      </c>
      <c r="AV2571"/>
      <c r="AX2571"/>
      <c r="AZ2571" t="str">
        <f t="shared" si="301"/>
        <v/>
      </c>
      <c r="BA2571" t="str">
        <f t="shared" si="302"/>
        <v/>
      </c>
    </row>
    <row r="2572" spans="3:53" ht="13.5">
      <c r="C2572" s="19"/>
      <c r="D2572" s="19"/>
      <c r="AC2572" s="6" t="s">
        <v>2388</v>
      </c>
      <c r="AD2572" s="6" t="s">
        <v>7429</v>
      </c>
      <c r="AE2572" s="155" t="s">
        <v>3313</v>
      </c>
      <c r="AF2572" s="159" t="s">
        <v>8339</v>
      </c>
      <c r="AG2572" s="160" t="s">
        <v>2993</v>
      </c>
      <c r="AH2572" s="194" t="s">
        <v>678</v>
      </c>
      <c r="AI2572" s="6" t="s">
        <v>3681</v>
      </c>
      <c r="AJ2572" s="3" t="s">
        <v>8232</v>
      </c>
      <c r="AK2572" t="s">
        <v>8232</v>
      </c>
      <c r="AV2572"/>
      <c r="AX2572"/>
      <c r="AZ2572" t="str">
        <f t="shared" si="301"/>
        <v/>
      </c>
      <c r="BA2572" t="str">
        <f t="shared" si="302"/>
        <v/>
      </c>
    </row>
    <row r="2573" spans="3:53" ht="13.5">
      <c r="C2573" s="19"/>
      <c r="D2573" s="19"/>
      <c r="AC2573" s="6" t="s">
        <v>2402</v>
      </c>
      <c r="AD2573" s="6" t="s">
        <v>7429</v>
      </c>
      <c r="AE2573" s="155" t="s">
        <v>3314</v>
      </c>
      <c r="AF2573" s="159" t="s">
        <v>8299</v>
      </c>
      <c r="AG2573" s="160" t="s">
        <v>2994</v>
      </c>
      <c r="AH2573" s="194" t="s">
        <v>679</v>
      </c>
      <c r="AI2573" s="6" t="s">
        <v>3682</v>
      </c>
      <c r="AJ2573" s="3" t="s">
        <v>8232</v>
      </c>
      <c r="AK2573" t="s">
        <v>8232</v>
      </c>
      <c r="AV2573"/>
      <c r="AX2573"/>
      <c r="AZ2573" t="str">
        <f t="shared" si="301"/>
        <v/>
      </c>
      <c r="BA2573" t="str">
        <f t="shared" si="302"/>
        <v/>
      </c>
    </row>
    <row r="2574" spans="3:53" ht="13.5">
      <c r="C2574" s="19"/>
      <c r="D2574" s="19"/>
      <c r="AC2574" s="6" t="s">
        <v>2421</v>
      </c>
      <c r="AD2574" s="6" t="s">
        <v>7429</v>
      </c>
      <c r="AE2574" s="155" t="s">
        <v>3315</v>
      </c>
      <c r="AF2574" s="159" t="s">
        <v>8299</v>
      </c>
      <c r="AG2574" s="160" t="s">
        <v>2995</v>
      </c>
      <c r="AH2574" s="194" t="s">
        <v>679</v>
      </c>
      <c r="AI2574" s="6" t="s">
        <v>1649</v>
      </c>
      <c r="AJ2574" s="3" t="s">
        <v>8210</v>
      </c>
      <c r="AK2574" t="s">
        <v>8210</v>
      </c>
      <c r="AV2574"/>
      <c r="AX2574"/>
      <c r="AZ2574" t="str">
        <f t="shared" si="301"/>
        <v/>
      </c>
      <c r="BA2574" t="str">
        <f t="shared" si="302"/>
        <v/>
      </c>
    </row>
    <row r="2575" spans="3:53" ht="13.5">
      <c r="C2575" s="19"/>
      <c r="D2575" s="19"/>
      <c r="AC2575" s="6" t="s">
        <v>2417</v>
      </c>
      <c r="AD2575" s="6" t="s">
        <v>7429</v>
      </c>
      <c r="AE2575" s="155" t="s">
        <v>3316</v>
      </c>
      <c r="AF2575" s="159" t="s">
        <v>8299</v>
      </c>
      <c r="AG2575" s="160" t="s">
        <v>2996</v>
      </c>
      <c r="AH2575" s="194" t="s">
        <v>678</v>
      </c>
      <c r="AI2575" s="6" t="s">
        <v>3743</v>
      </c>
      <c r="AJ2575" s="3" t="s">
        <v>8245</v>
      </c>
      <c r="AK2575" t="s">
        <v>8676</v>
      </c>
      <c r="AV2575"/>
      <c r="AX2575"/>
      <c r="AZ2575" t="str">
        <f t="shared" si="301"/>
        <v/>
      </c>
      <c r="BA2575" t="str">
        <f t="shared" si="302"/>
        <v/>
      </c>
    </row>
    <row r="2576" spans="3:53" ht="13.5">
      <c r="C2576" s="19"/>
      <c r="D2576" s="19"/>
      <c r="AC2576" s="6" t="s">
        <v>2418</v>
      </c>
      <c r="AD2576" s="6" t="s">
        <v>7429</v>
      </c>
      <c r="AE2576" s="155" t="s">
        <v>3317</v>
      </c>
      <c r="AF2576" s="159" t="s">
        <v>8299</v>
      </c>
      <c r="AG2576" s="160" t="s">
        <v>2997</v>
      </c>
      <c r="AH2576" s="194" t="s">
        <v>678</v>
      </c>
      <c r="AI2576" s="6" t="s">
        <v>3757</v>
      </c>
      <c r="AJ2576" s="3" t="s">
        <v>8245</v>
      </c>
      <c r="AK2576" t="s">
        <v>8676</v>
      </c>
      <c r="AV2576"/>
      <c r="AX2576"/>
      <c r="AZ2576" t="str">
        <f t="shared" si="301"/>
        <v/>
      </c>
      <c r="BA2576" t="str">
        <f t="shared" si="302"/>
        <v/>
      </c>
    </row>
    <row r="2577" spans="3:53" ht="13.5">
      <c r="C2577" s="19"/>
      <c r="D2577" s="19"/>
      <c r="AC2577" s="6" t="s">
        <v>2400</v>
      </c>
      <c r="AD2577" s="6" t="s">
        <v>7429</v>
      </c>
      <c r="AE2577" s="155" t="s">
        <v>1224</v>
      </c>
      <c r="AF2577" s="159" t="s">
        <v>8299</v>
      </c>
      <c r="AG2577" s="160" t="s">
        <v>2998</v>
      </c>
      <c r="AH2577" s="194" t="s">
        <v>678</v>
      </c>
      <c r="AI2577" s="6" t="s">
        <v>1543</v>
      </c>
      <c r="AJ2577" s="3" t="s">
        <v>8197</v>
      </c>
      <c r="AK2577" t="s">
        <v>8197</v>
      </c>
      <c r="AV2577"/>
      <c r="AX2577"/>
      <c r="AZ2577" t="str">
        <f t="shared" ref="AZ2577:AZ2640" si="303">IF(ISBLANK(AW2577),"",CONCATENATE("(",RIGHT(AW2577,5),"-",TEXT(AX2577,"h:mm;@"),")"))</f>
        <v/>
      </c>
      <c r="BA2577" t="str">
        <f t="shared" ref="BA2577:BA2640" si="304">IF(AV2593=AV2577,"",CONCATENATE(IF(AV2592=AV2577,BA2592,""),IF(AV2591=AV2577,BA2591,""),IF(AV2590=AV2577,BA2590,""),IF(AV2589=AV2577,BA2589,""),IF(AV2588=AV2577,BA2588,""),IF(AV2587=AV2577,BA2587,""),IF(AV2586=AV2577,BA2586,""),IF(AV2585=AV2577,BA2585,""),IF(AV2584=AV2577,BA2584,""),IF(AV2583=AV2577,BA2583,""),IF(AV2582=AV2577,BA2582,""),IF(AV2581=AV2577,BA2581,""),IF(AV2580=AV2577,BA2580,""),IF(AV2579=AV2577,BA2579,""),IF(AV2578=AV2577,BA2578,""),IF(AV2576=AV2577,BA2576,""),BA2577))</f>
        <v/>
      </c>
    </row>
    <row r="2578" spans="3:53" ht="13.5">
      <c r="C2578" s="19"/>
      <c r="D2578" s="19"/>
      <c r="AC2578" s="6" t="s">
        <v>1234</v>
      </c>
      <c r="AD2578" s="6" t="s">
        <v>7429</v>
      </c>
      <c r="AE2578" s="155" t="s">
        <v>1225</v>
      </c>
      <c r="AF2578" s="159" t="s">
        <v>8299</v>
      </c>
      <c r="AG2578" s="160" t="s">
        <v>2999</v>
      </c>
      <c r="AH2578" s="194" t="s">
        <v>678</v>
      </c>
      <c r="AI2578" s="6" t="s">
        <v>6723</v>
      </c>
      <c r="AJ2578" s="3" t="s">
        <v>8198</v>
      </c>
      <c r="AK2578" t="s">
        <v>8198</v>
      </c>
      <c r="AV2578"/>
      <c r="AX2578"/>
      <c r="AZ2578" t="str">
        <f t="shared" si="303"/>
        <v/>
      </c>
      <c r="BA2578" t="str">
        <f t="shared" si="304"/>
        <v/>
      </c>
    </row>
    <row r="2579" spans="3:53" ht="13.5">
      <c r="C2579" s="19"/>
      <c r="D2579" s="19"/>
      <c r="AC2579" s="6" t="s">
        <v>2423</v>
      </c>
      <c r="AD2579" s="6" t="s">
        <v>7429</v>
      </c>
      <c r="AE2579" s="155" t="s">
        <v>3318</v>
      </c>
      <c r="AF2579" s="159" t="s">
        <v>8299</v>
      </c>
      <c r="AG2579" s="160" t="s">
        <v>3000</v>
      </c>
      <c r="AH2579" s="194" t="s">
        <v>678</v>
      </c>
      <c r="AI2579" s="6" t="s">
        <v>2532</v>
      </c>
      <c r="AJ2579" s="3" t="s">
        <v>8271</v>
      </c>
      <c r="AK2579" t="s">
        <v>8271</v>
      </c>
      <c r="AV2579"/>
      <c r="AX2579"/>
      <c r="AZ2579" t="str">
        <f t="shared" si="303"/>
        <v/>
      </c>
      <c r="BA2579" t="str">
        <f t="shared" si="304"/>
        <v/>
      </c>
    </row>
    <row r="2580" spans="3:53" ht="13.5">
      <c r="C2580" s="19"/>
      <c r="D2580" s="19"/>
      <c r="AC2580" s="6" t="s">
        <v>2385</v>
      </c>
      <c r="AD2580" s="6" t="s">
        <v>7429</v>
      </c>
      <c r="AE2580" s="155" t="s">
        <v>3319</v>
      </c>
      <c r="AF2580" s="159" t="s">
        <v>8299</v>
      </c>
      <c r="AG2580" s="160" t="s">
        <v>3001</v>
      </c>
      <c r="AH2580" s="194" t="s">
        <v>678</v>
      </c>
      <c r="AI2580" s="6" t="s">
        <v>2384</v>
      </c>
      <c r="AJ2580" s="3" t="s">
        <v>8237</v>
      </c>
      <c r="AK2580" t="s">
        <v>8237</v>
      </c>
      <c r="AV2580"/>
      <c r="AX2580"/>
      <c r="AZ2580" t="str">
        <f t="shared" si="303"/>
        <v/>
      </c>
      <c r="BA2580" t="str">
        <f t="shared" si="304"/>
        <v/>
      </c>
    </row>
    <row r="2581" spans="3:53" ht="13.5">
      <c r="C2581" s="19"/>
      <c r="D2581" s="19"/>
      <c r="AC2581" s="6" t="s">
        <v>2394</v>
      </c>
      <c r="AD2581" s="6" t="s">
        <v>7429</v>
      </c>
      <c r="AE2581" s="155" t="s">
        <v>3320</v>
      </c>
      <c r="AF2581" s="159" t="s">
        <v>8309</v>
      </c>
      <c r="AG2581" s="160" t="s">
        <v>3002</v>
      </c>
      <c r="AH2581" s="194" t="s">
        <v>679</v>
      </c>
      <c r="AI2581" s="6" t="s">
        <v>2385</v>
      </c>
      <c r="AJ2581" s="3" t="s">
        <v>8237</v>
      </c>
      <c r="AK2581" t="s">
        <v>8237</v>
      </c>
      <c r="AV2581"/>
      <c r="AX2581"/>
      <c r="AZ2581" t="str">
        <f t="shared" si="303"/>
        <v/>
      </c>
      <c r="BA2581" t="str">
        <f t="shared" si="304"/>
        <v/>
      </c>
    </row>
    <row r="2582" spans="3:53" ht="13.5">
      <c r="C2582" s="19"/>
      <c r="D2582" s="19"/>
      <c r="AC2582" s="6" t="s">
        <v>2313</v>
      </c>
      <c r="AD2582" s="6" t="s">
        <v>7429</v>
      </c>
      <c r="AE2582" s="155" t="s">
        <v>3321</v>
      </c>
      <c r="AF2582" s="159" t="s">
        <v>8339</v>
      </c>
      <c r="AG2582" s="160" t="s">
        <v>3003</v>
      </c>
      <c r="AH2582" s="194" t="s">
        <v>4700</v>
      </c>
      <c r="AI2582" s="6" t="s">
        <v>2387</v>
      </c>
      <c r="AJ2582" s="3" t="s">
        <v>8237</v>
      </c>
      <c r="AK2582" t="s">
        <v>8237</v>
      </c>
      <c r="AV2582"/>
      <c r="AX2582"/>
      <c r="AZ2582" t="str">
        <f t="shared" si="303"/>
        <v/>
      </c>
      <c r="BA2582" t="str">
        <f t="shared" si="304"/>
        <v/>
      </c>
    </row>
    <row r="2583" spans="3:53" ht="13.5">
      <c r="C2583" s="19"/>
      <c r="D2583" s="19"/>
      <c r="AC2583" s="6" t="s">
        <v>2386</v>
      </c>
      <c r="AD2583" s="6" t="s">
        <v>7429</v>
      </c>
      <c r="AE2583" s="155" t="s">
        <v>3322</v>
      </c>
      <c r="AF2583" s="159" t="s">
        <v>8299</v>
      </c>
      <c r="AG2583" s="160" t="s">
        <v>3004</v>
      </c>
      <c r="AH2583" s="194" t="s">
        <v>678</v>
      </c>
      <c r="AI2583" s="6" t="s">
        <v>2389</v>
      </c>
      <c r="AJ2583" s="3" t="s">
        <v>8237</v>
      </c>
      <c r="AK2583" t="s">
        <v>8237</v>
      </c>
      <c r="AV2583"/>
      <c r="AX2583"/>
      <c r="AZ2583" t="str">
        <f t="shared" si="303"/>
        <v/>
      </c>
      <c r="BA2583" t="str">
        <f t="shared" si="304"/>
        <v/>
      </c>
    </row>
    <row r="2584" spans="3:53" ht="13.5">
      <c r="C2584" s="19"/>
      <c r="D2584" s="19"/>
      <c r="AC2584" s="6" t="s">
        <v>2415</v>
      </c>
      <c r="AD2584" s="6" t="s">
        <v>7429</v>
      </c>
      <c r="AE2584" s="155" t="s">
        <v>3323</v>
      </c>
      <c r="AF2584" s="159" t="s">
        <v>8311</v>
      </c>
      <c r="AG2584" s="160" t="s">
        <v>3005</v>
      </c>
      <c r="AH2584" s="194" t="s">
        <v>678</v>
      </c>
      <c r="AI2584" s="6" t="s">
        <v>2390</v>
      </c>
      <c r="AJ2584" s="3" t="s">
        <v>8237</v>
      </c>
      <c r="AK2584" t="s">
        <v>8237</v>
      </c>
      <c r="AV2584"/>
      <c r="AX2584"/>
      <c r="AZ2584" t="str">
        <f t="shared" si="303"/>
        <v/>
      </c>
      <c r="BA2584" t="str">
        <f t="shared" si="304"/>
        <v/>
      </c>
    </row>
    <row r="2585" spans="3:53" ht="13.5">
      <c r="C2585" s="19"/>
      <c r="D2585" s="19"/>
      <c r="AC2585" s="6" t="s">
        <v>2312</v>
      </c>
      <c r="AD2585" s="6" t="s">
        <v>7429</v>
      </c>
      <c r="AE2585" s="155" t="s">
        <v>3324</v>
      </c>
      <c r="AF2585" s="159" t="s">
        <v>8339</v>
      </c>
      <c r="AG2585" s="160" t="s">
        <v>3006</v>
      </c>
      <c r="AH2585" s="194" t="s">
        <v>678</v>
      </c>
      <c r="AI2585" s="6" t="s">
        <v>2391</v>
      </c>
      <c r="AJ2585" s="3" t="s">
        <v>8237</v>
      </c>
      <c r="AK2585" t="s">
        <v>8237</v>
      </c>
      <c r="AV2585"/>
      <c r="AX2585"/>
      <c r="AZ2585" t="str">
        <f t="shared" si="303"/>
        <v/>
      </c>
      <c r="BA2585" t="str">
        <f t="shared" si="304"/>
        <v/>
      </c>
    </row>
    <row r="2586" spans="3:53" ht="13.5">
      <c r="C2586" s="19"/>
      <c r="D2586" s="19"/>
      <c r="AC2586" s="6" t="s">
        <v>2403</v>
      </c>
      <c r="AD2586" s="6" t="s">
        <v>7429</v>
      </c>
      <c r="AE2586" s="155" t="s">
        <v>3325</v>
      </c>
      <c r="AF2586" s="159" t="s">
        <v>8299</v>
      </c>
      <c r="AG2586" s="160" t="s">
        <v>3007</v>
      </c>
      <c r="AH2586" s="194" t="s">
        <v>678</v>
      </c>
      <c r="AI2586" s="6" t="s">
        <v>3862</v>
      </c>
      <c r="AJ2586" s="3" t="s">
        <v>8266</v>
      </c>
      <c r="AK2586" t="s">
        <v>8266</v>
      </c>
      <c r="AV2586"/>
      <c r="AX2586"/>
      <c r="AZ2586" t="str">
        <f t="shared" si="303"/>
        <v/>
      </c>
      <c r="BA2586" t="str">
        <f t="shared" si="304"/>
        <v/>
      </c>
    </row>
    <row r="2587" spans="3:53" ht="13.5">
      <c r="C2587" s="19"/>
      <c r="D2587" s="19"/>
      <c r="AC2587" s="6" t="s">
        <v>2405</v>
      </c>
      <c r="AD2587" s="6" t="s">
        <v>7429</v>
      </c>
      <c r="AE2587" s="155" t="s">
        <v>3326</v>
      </c>
      <c r="AF2587" s="159" t="s">
        <v>8299</v>
      </c>
      <c r="AG2587" s="160" t="s">
        <v>3008</v>
      </c>
      <c r="AH2587" s="194" t="s">
        <v>679</v>
      </c>
      <c r="AI2587" s="6" t="s">
        <v>3864</v>
      </c>
      <c r="AJ2587" s="3" t="s">
        <v>8266</v>
      </c>
      <c r="AK2587" t="s">
        <v>8266</v>
      </c>
      <c r="AV2587"/>
      <c r="AX2587"/>
      <c r="AZ2587" t="str">
        <f t="shared" si="303"/>
        <v/>
      </c>
      <c r="BA2587" t="str">
        <f t="shared" si="304"/>
        <v/>
      </c>
    </row>
    <row r="2588" spans="3:53" ht="13.5">
      <c r="C2588" s="19"/>
      <c r="D2588" s="19"/>
      <c r="AC2588" s="6" t="s">
        <v>2419</v>
      </c>
      <c r="AD2588" s="6" t="s">
        <v>7429</v>
      </c>
      <c r="AE2588" s="155" t="s">
        <v>1226</v>
      </c>
      <c r="AF2588" s="159" t="s">
        <v>8299</v>
      </c>
      <c r="AG2588" s="160" t="s">
        <v>3009</v>
      </c>
      <c r="AH2588" s="194" t="s">
        <v>679</v>
      </c>
      <c r="AI2588" s="6" t="s">
        <v>3879</v>
      </c>
      <c r="AJ2588" s="3" t="s">
        <v>8280</v>
      </c>
      <c r="AK2588" t="s">
        <v>8280</v>
      </c>
      <c r="AV2588"/>
      <c r="AX2588"/>
      <c r="AZ2588" t="str">
        <f t="shared" si="303"/>
        <v/>
      </c>
      <c r="BA2588" t="str">
        <f t="shared" si="304"/>
        <v/>
      </c>
    </row>
    <row r="2589" spans="3:53" ht="13.5">
      <c r="C2589" s="19"/>
      <c r="D2589" s="19"/>
      <c r="AC2589" s="6" t="s">
        <v>2399</v>
      </c>
      <c r="AD2589" s="6" t="s">
        <v>7429</v>
      </c>
      <c r="AE2589" s="155" t="s">
        <v>3327</v>
      </c>
      <c r="AF2589" s="159" t="s">
        <v>8299</v>
      </c>
      <c r="AG2589" s="160" t="s">
        <v>3010</v>
      </c>
      <c r="AH2589" s="194" t="s">
        <v>679</v>
      </c>
      <c r="AI2589" s="6" t="s">
        <v>2525</v>
      </c>
      <c r="AJ2589" s="3" t="s">
        <v>8241</v>
      </c>
      <c r="AK2589" t="s">
        <v>8675</v>
      </c>
      <c r="AV2589"/>
      <c r="AX2589"/>
      <c r="AZ2589" t="str">
        <f t="shared" si="303"/>
        <v/>
      </c>
      <c r="BA2589" t="str">
        <f t="shared" si="304"/>
        <v/>
      </c>
    </row>
    <row r="2590" spans="3:53" ht="13.5">
      <c r="C2590" s="19"/>
      <c r="D2590" s="19"/>
      <c r="AC2590" s="6" t="s">
        <v>2407</v>
      </c>
      <c r="AD2590" s="6" t="s">
        <v>7429</v>
      </c>
      <c r="AE2590" s="155" t="s">
        <v>3328</v>
      </c>
      <c r="AF2590" s="159" t="s">
        <v>8299</v>
      </c>
      <c r="AG2590" s="160" t="s">
        <v>3011</v>
      </c>
      <c r="AH2590" s="194" t="s">
        <v>678</v>
      </c>
      <c r="AI2590" s="6" t="s">
        <v>2493</v>
      </c>
      <c r="AJ2590" s="3" t="s">
        <v>8251</v>
      </c>
      <c r="AK2590" t="s">
        <v>8251</v>
      </c>
      <c r="AV2590"/>
      <c r="AX2590"/>
      <c r="AZ2590" t="str">
        <f t="shared" si="303"/>
        <v/>
      </c>
      <c r="BA2590" t="str">
        <f t="shared" si="304"/>
        <v/>
      </c>
    </row>
    <row r="2591" spans="3:53" ht="13.5">
      <c r="C2591" s="19"/>
      <c r="D2591" s="19"/>
      <c r="AC2591" s="6" t="s">
        <v>4420</v>
      </c>
      <c r="AD2591" s="6" t="s">
        <v>7429</v>
      </c>
      <c r="AE2591" s="155" t="s">
        <v>3329</v>
      </c>
      <c r="AF2591" s="159" t="s">
        <v>8299</v>
      </c>
      <c r="AG2591" s="160" t="s">
        <v>3012</v>
      </c>
      <c r="AH2591" s="194" t="s">
        <v>679</v>
      </c>
      <c r="AI2591" s="6" t="s">
        <v>3923</v>
      </c>
      <c r="AJ2591" s="3" t="s">
        <v>8279</v>
      </c>
      <c r="AK2591" t="s">
        <v>8679</v>
      </c>
      <c r="AV2591"/>
      <c r="AX2591"/>
      <c r="AZ2591" t="str">
        <f t="shared" si="303"/>
        <v/>
      </c>
      <c r="BA2591" t="str">
        <f t="shared" si="304"/>
        <v/>
      </c>
    </row>
    <row r="2592" spans="3:53" ht="13.5">
      <c r="C2592" s="19"/>
      <c r="D2592" s="19"/>
      <c r="AC2592" s="6">
        <v>415681</v>
      </c>
      <c r="AD2592" s="6" t="s">
        <v>7464</v>
      </c>
      <c r="AE2592" s="155" t="s">
        <v>3330</v>
      </c>
      <c r="AF2592" s="159" t="s">
        <v>8299</v>
      </c>
      <c r="AG2592" s="160" t="s">
        <v>3013</v>
      </c>
      <c r="AH2592" s="194" t="s">
        <v>679</v>
      </c>
      <c r="AI2592" s="6" t="s">
        <v>2522</v>
      </c>
      <c r="AJ2592" s="3" t="s">
        <v>8242</v>
      </c>
      <c r="AK2592" t="s">
        <v>8281</v>
      </c>
      <c r="AV2592"/>
      <c r="AX2592"/>
      <c r="AZ2592" t="str">
        <f t="shared" si="303"/>
        <v/>
      </c>
      <c r="BA2592" t="str">
        <f t="shared" si="304"/>
        <v/>
      </c>
    </row>
    <row r="2593" spans="3:53" ht="13.5">
      <c r="C2593" s="19"/>
      <c r="D2593" s="19"/>
      <c r="AC2593" s="6" t="s">
        <v>2742</v>
      </c>
      <c r="AD2593" s="6" t="s">
        <v>7465</v>
      </c>
      <c r="AE2593" s="155" t="s">
        <v>3331</v>
      </c>
      <c r="AF2593" s="159" t="s">
        <v>8299</v>
      </c>
      <c r="AG2593" s="160" t="s">
        <v>3014</v>
      </c>
      <c r="AH2593" s="194" t="s">
        <v>678</v>
      </c>
      <c r="AI2593" s="6" t="s">
        <v>1377</v>
      </c>
      <c r="AJ2593" s="3" t="s">
        <v>8233</v>
      </c>
      <c r="AK2593" t="s">
        <v>8233</v>
      </c>
      <c r="AV2593"/>
      <c r="AX2593"/>
      <c r="AZ2593" t="str">
        <f t="shared" si="303"/>
        <v/>
      </c>
      <c r="BA2593" t="str">
        <f t="shared" si="304"/>
        <v/>
      </c>
    </row>
    <row r="2594" spans="3:53" ht="13.5">
      <c r="C2594" s="19"/>
      <c r="D2594" s="19"/>
      <c r="AC2594" s="6" t="s">
        <v>2406</v>
      </c>
      <c r="AD2594" s="6" t="s">
        <v>7429</v>
      </c>
      <c r="AE2594" s="155" t="s">
        <v>3332</v>
      </c>
      <c r="AF2594" s="159" t="s">
        <v>8299</v>
      </c>
      <c r="AG2594" s="160" t="s">
        <v>3015</v>
      </c>
      <c r="AH2594" s="194" t="s">
        <v>679</v>
      </c>
      <c r="AI2594" s="6" t="s">
        <v>2524</v>
      </c>
      <c r="AJ2594" s="3" t="s">
        <v>8242</v>
      </c>
      <c r="AK2594" t="s">
        <v>8281</v>
      </c>
      <c r="AV2594"/>
      <c r="AX2594"/>
      <c r="AZ2594" t="str">
        <f t="shared" si="303"/>
        <v/>
      </c>
      <c r="BA2594" t="str">
        <f t="shared" si="304"/>
        <v/>
      </c>
    </row>
    <row r="2595" spans="3:53" ht="13.5">
      <c r="C2595" s="19"/>
      <c r="D2595" s="19"/>
      <c r="AC2595" s="6">
        <v>415682</v>
      </c>
      <c r="AD2595" s="6" t="s">
        <v>7466</v>
      </c>
      <c r="AE2595" s="155" t="s">
        <v>3333</v>
      </c>
      <c r="AF2595" s="159" t="s">
        <v>8299</v>
      </c>
      <c r="AG2595" s="160" t="s">
        <v>3016</v>
      </c>
      <c r="AH2595" s="194" t="s">
        <v>679</v>
      </c>
      <c r="AI2595" s="6" t="s">
        <v>1526</v>
      </c>
      <c r="AJ2595" s="3" t="s">
        <v>8223</v>
      </c>
      <c r="AK2595" t="s">
        <v>8223</v>
      </c>
      <c r="AV2595"/>
      <c r="AX2595"/>
      <c r="AZ2595" t="str">
        <f t="shared" si="303"/>
        <v/>
      </c>
      <c r="BA2595" t="str">
        <f t="shared" si="304"/>
        <v/>
      </c>
    </row>
    <row r="2596" spans="3:53" ht="13.5">
      <c r="C2596" s="19"/>
      <c r="D2596" s="19"/>
      <c r="AC2596" s="6" t="s">
        <v>4425</v>
      </c>
      <c r="AD2596" s="6" t="s">
        <v>7429</v>
      </c>
      <c r="AE2596" s="155" t="s">
        <v>3334</v>
      </c>
      <c r="AF2596" s="159" t="s">
        <v>8309</v>
      </c>
      <c r="AG2596" s="160" t="s">
        <v>3017</v>
      </c>
      <c r="AH2596" s="194" t="s">
        <v>679</v>
      </c>
      <c r="AI2596" s="6" t="s">
        <v>4062</v>
      </c>
      <c r="AJ2596" s="3" t="s">
        <v>8250</v>
      </c>
      <c r="AK2596" t="s">
        <v>8250</v>
      </c>
      <c r="AV2596"/>
      <c r="AX2596"/>
      <c r="AZ2596" t="str">
        <f t="shared" si="303"/>
        <v/>
      </c>
      <c r="BA2596" t="str">
        <f t="shared" si="304"/>
        <v/>
      </c>
    </row>
    <row r="2597" spans="3:53" ht="13.5">
      <c r="C2597" s="19"/>
      <c r="D2597" s="19"/>
      <c r="AC2597" s="6" t="s">
        <v>2741</v>
      </c>
      <c r="AD2597" s="6" t="s">
        <v>6748</v>
      </c>
      <c r="AE2597" s="155" t="s">
        <v>3335</v>
      </c>
      <c r="AF2597" s="159" t="s">
        <v>8299</v>
      </c>
      <c r="AG2597" s="160" t="s">
        <v>3018</v>
      </c>
      <c r="AH2597" s="194" t="s">
        <v>679</v>
      </c>
      <c r="AI2597" s="6" t="s">
        <v>1646</v>
      </c>
      <c r="AJ2597" s="3" t="s">
        <v>8223</v>
      </c>
      <c r="AK2597" t="s">
        <v>8223</v>
      </c>
      <c r="AV2597"/>
      <c r="AX2597"/>
      <c r="AZ2597" t="str">
        <f t="shared" si="303"/>
        <v/>
      </c>
      <c r="BA2597" t="str">
        <f t="shared" si="304"/>
        <v/>
      </c>
    </row>
    <row r="2598" spans="3:53" ht="13.5">
      <c r="C2598" s="19"/>
      <c r="D2598" s="19"/>
      <c r="AC2598" s="6">
        <v>976452</v>
      </c>
      <c r="AD2598" s="6" t="s">
        <v>7467</v>
      </c>
      <c r="AE2598" s="155" t="s">
        <v>1227</v>
      </c>
      <c r="AF2598" s="159" t="s">
        <v>8299</v>
      </c>
      <c r="AG2598" s="160" t="s">
        <v>3019</v>
      </c>
      <c r="AH2598" s="194" t="s">
        <v>679</v>
      </c>
      <c r="AI2598" s="6" t="s">
        <v>2426</v>
      </c>
      <c r="AJ2598" s="3" t="s">
        <v>8251</v>
      </c>
      <c r="AK2598" t="s">
        <v>8251</v>
      </c>
      <c r="AV2598"/>
      <c r="AX2598"/>
      <c r="AZ2598" t="str">
        <f t="shared" si="303"/>
        <v/>
      </c>
      <c r="BA2598" t="str">
        <f t="shared" si="304"/>
        <v/>
      </c>
    </row>
    <row r="2599" spans="3:53" ht="13.5">
      <c r="C2599" s="19"/>
      <c r="D2599" s="19"/>
      <c r="AC2599" s="6" t="s">
        <v>2517</v>
      </c>
      <c r="AD2599" s="6" t="s">
        <v>6748</v>
      </c>
      <c r="AE2599" s="155" t="s">
        <v>3336</v>
      </c>
      <c r="AF2599" s="159" t="s">
        <v>8320</v>
      </c>
      <c r="AG2599" s="160" t="s">
        <v>3020</v>
      </c>
      <c r="AH2599" s="194" t="s">
        <v>678</v>
      </c>
      <c r="AI2599" s="6" t="s">
        <v>2428</v>
      </c>
      <c r="AJ2599" s="3" t="s">
        <v>8276</v>
      </c>
      <c r="AK2599" t="s">
        <v>8276</v>
      </c>
      <c r="AV2599"/>
      <c r="AX2599"/>
      <c r="AZ2599" t="str">
        <f t="shared" si="303"/>
        <v/>
      </c>
      <c r="BA2599" t="str">
        <f t="shared" si="304"/>
        <v/>
      </c>
    </row>
    <row r="2600" spans="3:53" ht="13.5">
      <c r="C2600" s="19"/>
      <c r="D2600" s="19"/>
      <c r="AC2600" s="6" t="s">
        <v>2543</v>
      </c>
      <c r="AD2600" s="6" t="s">
        <v>6748</v>
      </c>
      <c r="AE2600" s="155" t="s">
        <v>3337</v>
      </c>
      <c r="AF2600" s="159" t="s">
        <v>8299</v>
      </c>
      <c r="AG2600" s="160" t="s">
        <v>3021</v>
      </c>
      <c r="AH2600" s="194" t="s">
        <v>678</v>
      </c>
      <c r="AI2600" s="6" t="s">
        <v>2432</v>
      </c>
      <c r="AJ2600" s="3" t="s">
        <v>8251</v>
      </c>
      <c r="AK2600" t="s">
        <v>8251</v>
      </c>
      <c r="AV2600"/>
      <c r="AX2600"/>
      <c r="AZ2600" t="str">
        <f t="shared" si="303"/>
        <v/>
      </c>
      <c r="BA2600" t="str">
        <f t="shared" si="304"/>
        <v/>
      </c>
    </row>
    <row r="2601" spans="3:53" ht="13.5">
      <c r="C2601" s="19"/>
      <c r="D2601" s="19"/>
      <c r="AC2601" s="6" t="s">
        <v>4776</v>
      </c>
      <c r="AD2601" s="6" t="s">
        <v>7429</v>
      </c>
      <c r="AE2601" s="155" t="s">
        <v>3338</v>
      </c>
      <c r="AF2601" s="159" t="s">
        <v>8299</v>
      </c>
      <c r="AG2601" s="160" t="s">
        <v>3022</v>
      </c>
      <c r="AH2601" s="194" t="s">
        <v>679</v>
      </c>
      <c r="AI2601" s="6" t="s">
        <v>2433</v>
      </c>
      <c r="AJ2601" s="3" t="s">
        <v>8276</v>
      </c>
      <c r="AK2601" t="s">
        <v>8276</v>
      </c>
      <c r="AV2601"/>
      <c r="AX2601"/>
      <c r="AZ2601" t="str">
        <f t="shared" si="303"/>
        <v/>
      </c>
      <c r="BA2601" t="str">
        <f t="shared" si="304"/>
        <v/>
      </c>
    </row>
    <row r="2602" spans="3:53" ht="13.5">
      <c r="C2602" s="19"/>
      <c r="D2602" s="19"/>
      <c r="AC2602" s="6">
        <v>406390</v>
      </c>
      <c r="AD2602" s="6" t="s">
        <v>6750</v>
      </c>
      <c r="AE2602" s="155" t="s">
        <v>3339</v>
      </c>
      <c r="AF2602" s="159" t="s">
        <v>8299</v>
      </c>
      <c r="AG2602" s="160" t="s">
        <v>3023</v>
      </c>
      <c r="AH2602" s="194" t="s">
        <v>678</v>
      </c>
      <c r="AI2602" s="6" t="s">
        <v>2438</v>
      </c>
      <c r="AJ2602" s="3" t="s">
        <v>8251</v>
      </c>
      <c r="AK2602" t="s">
        <v>8251</v>
      </c>
      <c r="AV2602"/>
      <c r="AX2602"/>
      <c r="AZ2602" t="str">
        <f t="shared" si="303"/>
        <v/>
      </c>
      <c r="BA2602" t="str">
        <f t="shared" si="304"/>
        <v/>
      </c>
    </row>
    <row r="2603" spans="3:53" ht="13.5">
      <c r="C2603" s="19"/>
      <c r="D2603" s="19"/>
      <c r="AC2603" s="6">
        <v>976451</v>
      </c>
      <c r="AD2603" s="6" t="s">
        <v>7467</v>
      </c>
      <c r="AE2603" s="155" t="s">
        <v>3340</v>
      </c>
      <c r="AF2603" s="159" t="s">
        <v>8299</v>
      </c>
      <c r="AG2603" s="160" t="s">
        <v>3024</v>
      </c>
      <c r="AH2603" s="194" t="s">
        <v>678</v>
      </c>
      <c r="AI2603" s="6" t="s">
        <v>2527</v>
      </c>
      <c r="AJ2603" s="3" t="s">
        <v>8241</v>
      </c>
      <c r="AK2603" t="s">
        <v>8675</v>
      </c>
      <c r="AV2603"/>
      <c r="AX2603"/>
      <c r="AZ2603" t="str">
        <f t="shared" si="303"/>
        <v/>
      </c>
      <c r="BA2603" t="str">
        <f t="shared" si="304"/>
        <v/>
      </c>
    </row>
    <row r="2604" spans="3:53" ht="13.5">
      <c r="C2604" s="19"/>
      <c r="D2604" s="19"/>
      <c r="AC2604" s="6" t="s">
        <v>2354</v>
      </c>
      <c r="AD2604" s="6" t="s">
        <v>7468</v>
      </c>
      <c r="AE2604" s="155" t="s">
        <v>3341</v>
      </c>
      <c r="AF2604" s="159" t="s">
        <v>8299</v>
      </c>
      <c r="AG2604" s="160" t="s">
        <v>3025</v>
      </c>
      <c r="AH2604" s="194" t="s">
        <v>678</v>
      </c>
      <c r="AI2604" s="6" t="s">
        <v>4134</v>
      </c>
      <c r="AJ2604" s="3" t="s">
        <v>8267</v>
      </c>
      <c r="AK2604" t="s">
        <v>8280</v>
      </c>
      <c r="AV2604"/>
      <c r="AX2604"/>
      <c r="AZ2604" t="str">
        <f t="shared" si="303"/>
        <v/>
      </c>
      <c r="BA2604" t="str">
        <f t="shared" si="304"/>
        <v/>
      </c>
    </row>
    <row r="2605" spans="3:53" ht="13.5">
      <c r="C2605" s="19"/>
      <c r="D2605" s="19"/>
      <c r="AC2605" s="6">
        <v>415683</v>
      </c>
      <c r="AD2605" s="6" t="s">
        <v>7469</v>
      </c>
      <c r="AE2605" s="155" t="s">
        <v>3342</v>
      </c>
      <c r="AF2605" s="159" t="s">
        <v>8299</v>
      </c>
      <c r="AG2605" s="160" t="s">
        <v>3026</v>
      </c>
      <c r="AH2605" s="194" t="s">
        <v>678</v>
      </c>
      <c r="AI2605" s="6" t="s">
        <v>1560</v>
      </c>
      <c r="AJ2605" s="3" t="s">
        <v>8198</v>
      </c>
      <c r="AK2605" t="s">
        <v>8198</v>
      </c>
      <c r="AV2605"/>
      <c r="AX2605"/>
      <c r="AZ2605" t="str">
        <f t="shared" si="303"/>
        <v/>
      </c>
      <c r="BA2605" t="str">
        <f t="shared" si="304"/>
        <v/>
      </c>
    </row>
    <row r="2606" spans="3:53" ht="13.5">
      <c r="C2606" s="19"/>
      <c r="D2606" s="19"/>
      <c r="AC2606" s="6">
        <v>976449</v>
      </c>
      <c r="AD2606" s="6" t="s">
        <v>7467</v>
      </c>
      <c r="AE2606" s="155" t="s">
        <v>3343</v>
      </c>
      <c r="AF2606" s="159" t="s">
        <v>8342</v>
      </c>
      <c r="AG2606" s="160" t="s">
        <v>3027</v>
      </c>
      <c r="AH2606" s="194" t="s">
        <v>678</v>
      </c>
      <c r="AI2606" s="6" t="s">
        <v>1614</v>
      </c>
      <c r="AJ2606" s="3" t="s">
        <v>8198</v>
      </c>
      <c r="AK2606" t="s">
        <v>8198</v>
      </c>
      <c r="AV2606"/>
      <c r="AX2606"/>
      <c r="AZ2606" t="str">
        <f t="shared" si="303"/>
        <v/>
      </c>
      <c r="BA2606" t="str">
        <f t="shared" si="304"/>
        <v/>
      </c>
    </row>
    <row r="2607" spans="3:53" ht="13.5">
      <c r="C2607" s="19"/>
      <c r="D2607" s="19"/>
      <c r="AC2607" s="6" t="s">
        <v>2695</v>
      </c>
      <c r="AD2607" s="6" t="s">
        <v>6744</v>
      </c>
      <c r="AE2607" s="155" t="s">
        <v>1228</v>
      </c>
      <c r="AF2607" s="159" t="s">
        <v>8299</v>
      </c>
      <c r="AG2607" s="160" t="s">
        <v>3028</v>
      </c>
      <c r="AH2607" s="194" t="s">
        <v>678</v>
      </c>
      <c r="AI2607" s="6" t="s">
        <v>59</v>
      </c>
      <c r="AJ2607" s="3" t="s">
        <v>8244</v>
      </c>
      <c r="AK2607" t="s">
        <v>8244</v>
      </c>
      <c r="AV2607"/>
      <c r="AX2607"/>
      <c r="AZ2607" t="str">
        <f t="shared" si="303"/>
        <v/>
      </c>
      <c r="BA2607" t="str">
        <f t="shared" si="304"/>
        <v/>
      </c>
    </row>
    <row r="2608" spans="3:53" ht="13.5">
      <c r="C2608" s="19"/>
      <c r="D2608" s="19"/>
      <c r="AC2608" s="6" t="s">
        <v>2676</v>
      </c>
      <c r="AD2608" s="6" t="s">
        <v>6755</v>
      </c>
      <c r="AE2608" s="155" t="s">
        <v>3344</v>
      </c>
      <c r="AF2608" s="159" t="s">
        <v>8299</v>
      </c>
      <c r="AG2608" s="160" t="s">
        <v>3029</v>
      </c>
      <c r="AH2608" s="194" t="s">
        <v>678</v>
      </c>
      <c r="AI2608" s="6" t="s">
        <v>2373</v>
      </c>
      <c r="AJ2608" s="3" t="s">
        <v>8275</v>
      </c>
      <c r="AK2608" t="s">
        <v>8275</v>
      </c>
      <c r="AV2608"/>
      <c r="AX2608"/>
      <c r="AZ2608" t="str">
        <f t="shared" si="303"/>
        <v/>
      </c>
      <c r="BA2608" t="str">
        <f t="shared" si="304"/>
        <v/>
      </c>
    </row>
    <row r="2609" spans="3:53" ht="13.5">
      <c r="C2609" s="19"/>
      <c r="D2609" s="19"/>
      <c r="AC2609" s="6" t="s">
        <v>2499</v>
      </c>
      <c r="AD2609" s="6" t="s">
        <v>7470</v>
      </c>
      <c r="AE2609" s="155" t="s">
        <v>3345</v>
      </c>
      <c r="AF2609" s="159" t="s">
        <v>8299</v>
      </c>
      <c r="AG2609" s="160" t="s">
        <v>3030</v>
      </c>
      <c r="AH2609" s="194" t="s">
        <v>4700</v>
      </c>
      <c r="AI2609" s="6" t="s">
        <v>2375</v>
      </c>
      <c r="AJ2609" s="3" t="s">
        <v>8275</v>
      </c>
      <c r="AK2609" t="s">
        <v>8275</v>
      </c>
      <c r="AV2609"/>
      <c r="AX2609"/>
      <c r="AZ2609" t="str">
        <f t="shared" si="303"/>
        <v/>
      </c>
      <c r="BA2609" t="str">
        <f t="shared" si="304"/>
        <v/>
      </c>
    </row>
    <row r="2610" spans="3:53" ht="13.5">
      <c r="C2610" s="19"/>
      <c r="D2610" s="19"/>
      <c r="AC2610" s="6" t="s">
        <v>2498</v>
      </c>
      <c r="AD2610" s="6" t="s">
        <v>7471</v>
      </c>
      <c r="AE2610" s="155" t="s">
        <v>3346</v>
      </c>
      <c r="AF2610" s="159" t="s">
        <v>8299</v>
      </c>
      <c r="AG2610" s="160" t="s">
        <v>3031</v>
      </c>
      <c r="AH2610" s="194" t="s">
        <v>679</v>
      </c>
      <c r="AI2610" s="6" t="s">
        <v>4159</v>
      </c>
      <c r="AJ2610" s="3" t="s">
        <v>8214</v>
      </c>
      <c r="AK2610" t="s">
        <v>8214</v>
      </c>
      <c r="AV2610"/>
      <c r="AX2610"/>
      <c r="AZ2610" t="str">
        <f t="shared" si="303"/>
        <v/>
      </c>
      <c r="BA2610" t="str">
        <f t="shared" si="304"/>
        <v/>
      </c>
    </row>
    <row r="2611" spans="3:53" ht="13.5">
      <c r="C2611" s="19"/>
      <c r="D2611" s="19"/>
      <c r="AC2611" s="6">
        <v>826343</v>
      </c>
      <c r="AD2611" s="6" t="s">
        <v>6754</v>
      </c>
      <c r="AE2611" s="155" t="s">
        <v>3347</v>
      </c>
      <c r="AF2611" s="159" t="s">
        <v>8299</v>
      </c>
      <c r="AG2611" s="160" t="s">
        <v>3032</v>
      </c>
      <c r="AH2611" s="194" t="s">
        <v>679</v>
      </c>
      <c r="AI2611" s="6" t="s">
        <v>4767</v>
      </c>
      <c r="AJ2611" s="3" t="s">
        <v>8255</v>
      </c>
      <c r="AK2611" t="s">
        <v>8255</v>
      </c>
      <c r="AV2611"/>
      <c r="AX2611"/>
      <c r="AZ2611" t="str">
        <f t="shared" si="303"/>
        <v/>
      </c>
      <c r="BA2611" t="str">
        <f t="shared" si="304"/>
        <v/>
      </c>
    </row>
    <row r="2612" spans="3:53" ht="13.5">
      <c r="C2612" s="19"/>
      <c r="D2612" s="19"/>
      <c r="AC2612" s="6" t="s">
        <v>2675</v>
      </c>
      <c r="AD2612" s="6" t="s">
        <v>6755</v>
      </c>
      <c r="AE2612" s="155" t="s">
        <v>3348</v>
      </c>
      <c r="AF2612" s="159" t="s">
        <v>8309</v>
      </c>
      <c r="AG2612" s="160" t="s">
        <v>3033</v>
      </c>
      <c r="AH2612" s="194" t="s">
        <v>679</v>
      </c>
      <c r="AI2612" s="6">
        <v>15251</v>
      </c>
      <c r="AJ2612" s="3" t="s">
        <v>8210</v>
      </c>
      <c r="AK2612" t="s">
        <v>8210</v>
      </c>
      <c r="AV2612"/>
      <c r="AX2612"/>
      <c r="AZ2612" t="str">
        <f t="shared" si="303"/>
        <v/>
      </c>
      <c r="BA2612" t="str">
        <f t="shared" si="304"/>
        <v/>
      </c>
    </row>
    <row r="2613" spans="3:53" ht="13.5">
      <c r="C2613" s="19"/>
      <c r="D2613" s="19"/>
      <c r="AC2613" s="6" t="s">
        <v>2674</v>
      </c>
      <c r="AD2613" s="6" t="s">
        <v>6755</v>
      </c>
      <c r="AE2613" s="155" t="s">
        <v>3349</v>
      </c>
      <c r="AF2613" s="159" t="s">
        <v>8299</v>
      </c>
      <c r="AG2613" s="160" t="s">
        <v>3034</v>
      </c>
      <c r="AH2613" s="194" t="s">
        <v>679</v>
      </c>
      <c r="AI2613" s="6">
        <v>25236</v>
      </c>
      <c r="AJ2613" s="3" t="s">
        <v>8263</v>
      </c>
      <c r="AK2613" t="s">
        <v>8263</v>
      </c>
      <c r="AV2613"/>
      <c r="AX2613"/>
      <c r="AZ2613" t="str">
        <f t="shared" si="303"/>
        <v/>
      </c>
      <c r="BA2613" t="str">
        <f t="shared" si="304"/>
        <v/>
      </c>
    </row>
    <row r="2614" spans="3:53" ht="13.5">
      <c r="C2614" s="19"/>
      <c r="D2614" s="19"/>
      <c r="AC2614" s="6" t="s">
        <v>2497</v>
      </c>
      <c r="AD2614" s="6" t="s">
        <v>7472</v>
      </c>
      <c r="AE2614" s="155" t="s">
        <v>3350</v>
      </c>
      <c r="AF2614" s="159" t="s">
        <v>8339</v>
      </c>
      <c r="AG2614" s="160" t="s">
        <v>3035</v>
      </c>
      <c r="AH2614" s="194" t="s">
        <v>678</v>
      </c>
      <c r="AI2614" s="6">
        <v>25259</v>
      </c>
      <c r="AJ2614" s="3" t="s">
        <v>8227</v>
      </c>
      <c r="AK2614" t="s">
        <v>8227</v>
      </c>
      <c r="AV2614"/>
      <c r="AX2614"/>
      <c r="AZ2614" t="str">
        <f t="shared" si="303"/>
        <v/>
      </c>
      <c r="BA2614" t="str">
        <f t="shared" si="304"/>
        <v/>
      </c>
    </row>
    <row r="2615" spans="3:53" ht="13.5">
      <c r="C2615" s="19"/>
      <c r="D2615" s="19"/>
      <c r="AC2615" s="6">
        <v>826337</v>
      </c>
      <c r="AD2615" s="6" t="s">
        <v>6754</v>
      </c>
      <c r="AE2615" s="155" t="s">
        <v>3351</v>
      </c>
      <c r="AF2615" s="159" t="s">
        <v>8299</v>
      </c>
      <c r="AG2615" s="160" t="s">
        <v>3036</v>
      </c>
      <c r="AH2615" s="194" t="s">
        <v>678</v>
      </c>
      <c r="AI2615" s="6">
        <v>25262</v>
      </c>
      <c r="AJ2615" s="3" t="s">
        <v>8261</v>
      </c>
      <c r="AK2615" t="s">
        <v>8261</v>
      </c>
      <c r="AV2615"/>
      <c r="AX2615"/>
      <c r="AZ2615" t="str">
        <f t="shared" si="303"/>
        <v/>
      </c>
      <c r="BA2615" t="str">
        <f t="shared" si="304"/>
        <v/>
      </c>
    </row>
    <row r="2616" spans="3:53" ht="13.5">
      <c r="C2616" s="19"/>
      <c r="D2616" s="19"/>
      <c r="AC2616" s="6">
        <v>966444</v>
      </c>
      <c r="AD2616" s="6" t="s">
        <v>6752</v>
      </c>
      <c r="AE2616" s="155" t="s">
        <v>1229</v>
      </c>
      <c r="AF2616" s="159" t="s">
        <v>8299</v>
      </c>
      <c r="AG2616" s="160" t="s">
        <v>3037</v>
      </c>
      <c r="AH2616" s="194" t="s">
        <v>678</v>
      </c>
      <c r="AI2616" s="6">
        <v>25337</v>
      </c>
      <c r="AJ2616" s="3" t="s">
        <v>8216</v>
      </c>
      <c r="AK2616" t="s">
        <v>8216</v>
      </c>
      <c r="AV2616"/>
      <c r="AX2616"/>
      <c r="AZ2616" t="str">
        <f t="shared" si="303"/>
        <v/>
      </c>
      <c r="BA2616" t="str">
        <f t="shared" si="304"/>
        <v/>
      </c>
    </row>
    <row r="2617" spans="3:53" ht="13.5">
      <c r="C2617" s="19"/>
      <c r="D2617" s="19"/>
      <c r="AC2617" s="6" t="s">
        <v>3411</v>
      </c>
      <c r="AD2617" s="6" t="s">
        <v>7473</v>
      </c>
      <c r="AE2617" s="155" t="s">
        <v>3352</v>
      </c>
      <c r="AF2617" s="159" t="s">
        <v>8299</v>
      </c>
      <c r="AG2617" s="160" t="s">
        <v>3038</v>
      </c>
      <c r="AH2617" s="194" t="s">
        <v>679</v>
      </c>
      <c r="AI2617" s="6">
        <v>25342</v>
      </c>
      <c r="AJ2617" s="3" t="s">
        <v>8216</v>
      </c>
      <c r="AK2617" t="s">
        <v>8216</v>
      </c>
      <c r="AV2617"/>
      <c r="AX2617"/>
      <c r="AZ2617" t="str">
        <f t="shared" si="303"/>
        <v/>
      </c>
      <c r="BA2617" t="str">
        <f t="shared" si="304"/>
        <v/>
      </c>
    </row>
    <row r="2618" spans="3:53" ht="13.5">
      <c r="C2618" s="19"/>
      <c r="D2618" s="19"/>
      <c r="AC2618" s="6" t="s">
        <v>3410</v>
      </c>
      <c r="AD2618" s="6" t="s">
        <v>7473</v>
      </c>
      <c r="AE2618" s="155" t="s">
        <v>3353</v>
      </c>
      <c r="AF2618" s="159" t="s">
        <v>8299</v>
      </c>
      <c r="AG2618" s="160" t="s">
        <v>3039</v>
      </c>
      <c r="AH2618" s="194" t="s">
        <v>679</v>
      </c>
      <c r="AI2618" s="6">
        <v>34540</v>
      </c>
      <c r="AJ2618" s="3" t="s">
        <v>8252</v>
      </c>
      <c r="AK2618" t="s">
        <v>8252</v>
      </c>
      <c r="AV2618"/>
      <c r="AX2618"/>
      <c r="AZ2618" t="str">
        <f t="shared" si="303"/>
        <v/>
      </c>
      <c r="BA2618" t="str">
        <f t="shared" si="304"/>
        <v/>
      </c>
    </row>
    <row r="2619" spans="3:53" ht="13.5">
      <c r="C2619" s="19"/>
      <c r="D2619" s="19"/>
      <c r="AC2619" s="6" t="s">
        <v>5623</v>
      </c>
      <c r="AD2619" s="6" t="s">
        <v>7474</v>
      </c>
      <c r="AE2619" s="155" t="s">
        <v>3354</v>
      </c>
      <c r="AF2619" s="159" t="s">
        <v>8299</v>
      </c>
      <c r="AG2619" s="160" t="s">
        <v>3040</v>
      </c>
      <c r="AH2619" s="194" t="s">
        <v>679</v>
      </c>
      <c r="AI2619" s="6">
        <v>35268</v>
      </c>
      <c r="AJ2619" s="3" t="s">
        <v>8194</v>
      </c>
      <c r="AK2619" t="s">
        <v>8194</v>
      </c>
      <c r="AV2619"/>
      <c r="AX2619"/>
      <c r="AZ2619" t="str">
        <f t="shared" si="303"/>
        <v/>
      </c>
      <c r="BA2619" t="str">
        <f t="shared" si="304"/>
        <v/>
      </c>
    </row>
    <row r="2620" spans="3:53" ht="13.5">
      <c r="C2620" s="19"/>
      <c r="D2620" s="19"/>
      <c r="AC2620" s="6" t="s">
        <v>5759</v>
      </c>
      <c r="AD2620" s="6" t="s">
        <v>7474</v>
      </c>
      <c r="AE2620" s="155" t="s">
        <v>3355</v>
      </c>
      <c r="AF2620" s="159" t="s">
        <v>8299</v>
      </c>
      <c r="AG2620" s="160" t="s">
        <v>3041</v>
      </c>
      <c r="AH2620" s="194" t="s">
        <v>679</v>
      </c>
      <c r="AI2620" s="6">
        <v>35326</v>
      </c>
      <c r="AJ2620" s="3" t="s">
        <v>8238</v>
      </c>
      <c r="AK2620" t="s">
        <v>8673</v>
      </c>
      <c r="AV2620"/>
      <c r="AX2620"/>
      <c r="AZ2620" t="str">
        <f t="shared" si="303"/>
        <v/>
      </c>
      <c r="BA2620" t="str">
        <f t="shared" si="304"/>
        <v/>
      </c>
    </row>
    <row r="2621" spans="3:53" ht="13.5">
      <c r="C2621" s="19"/>
      <c r="D2621" s="19"/>
      <c r="AC2621" s="6" t="s">
        <v>2577</v>
      </c>
      <c r="AD2621" s="6" t="s">
        <v>7474</v>
      </c>
      <c r="AE2621" s="155" t="s">
        <v>3356</v>
      </c>
      <c r="AF2621" s="159" t="s">
        <v>8299</v>
      </c>
      <c r="AG2621" s="160" t="s">
        <v>3042</v>
      </c>
      <c r="AH2621" s="194" t="s">
        <v>679</v>
      </c>
      <c r="AI2621" s="6">
        <v>43635</v>
      </c>
      <c r="AJ2621" s="3" t="s">
        <v>8261</v>
      </c>
      <c r="AK2621" t="s">
        <v>8261</v>
      </c>
      <c r="AV2621"/>
      <c r="AX2621"/>
      <c r="AZ2621" t="str">
        <f t="shared" si="303"/>
        <v/>
      </c>
      <c r="BA2621" t="str">
        <f t="shared" si="304"/>
        <v/>
      </c>
    </row>
    <row r="2622" spans="3:53" ht="13.5">
      <c r="C2622" s="19"/>
      <c r="D2622" s="19"/>
      <c r="AC2622" s="6" t="s">
        <v>5628</v>
      </c>
      <c r="AD2622" s="6" t="s">
        <v>7474</v>
      </c>
      <c r="AE2622" s="155" t="s">
        <v>3357</v>
      </c>
      <c r="AF2622" s="159" t="s">
        <v>8339</v>
      </c>
      <c r="AG2622" s="160" t="s">
        <v>3043</v>
      </c>
      <c r="AH2622" s="194" t="s">
        <v>678</v>
      </c>
      <c r="AI2622" s="6">
        <v>45238</v>
      </c>
      <c r="AJ2622" s="3" t="s">
        <v>8261</v>
      </c>
      <c r="AK2622" t="s">
        <v>8261</v>
      </c>
      <c r="AV2622"/>
      <c r="AX2622"/>
      <c r="AZ2622" t="str">
        <f t="shared" si="303"/>
        <v/>
      </c>
      <c r="BA2622" t="str">
        <f t="shared" si="304"/>
        <v/>
      </c>
    </row>
    <row r="2623" spans="3:53" ht="13.5">
      <c r="C2623" s="19"/>
      <c r="D2623" s="19"/>
      <c r="AC2623" s="6" t="s">
        <v>2576</v>
      </c>
      <c r="AD2623" s="6" t="s">
        <v>7474</v>
      </c>
      <c r="AE2623" s="167" t="s">
        <v>1231</v>
      </c>
      <c r="AF2623" s="159" t="s">
        <v>8339</v>
      </c>
      <c r="AG2623" s="160" t="s">
        <v>3044</v>
      </c>
      <c r="AH2623" s="194" t="s">
        <v>679</v>
      </c>
      <c r="AI2623" s="6">
        <v>55271</v>
      </c>
      <c r="AJ2623" s="3" t="s">
        <v>8206</v>
      </c>
      <c r="AK2623" t="s">
        <v>8206</v>
      </c>
      <c r="AV2623"/>
      <c r="AX2623"/>
      <c r="AZ2623" t="str">
        <f t="shared" si="303"/>
        <v/>
      </c>
      <c r="BA2623" t="str">
        <f t="shared" si="304"/>
        <v/>
      </c>
    </row>
    <row r="2624" spans="3:53" ht="13.5">
      <c r="C2624" s="19"/>
      <c r="D2624" s="19"/>
      <c r="AC2624" s="6" t="s">
        <v>2521</v>
      </c>
      <c r="AD2624" s="6" t="s">
        <v>7475</v>
      </c>
      <c r="AE2624" s="167" t="s">
        <v>3358</v>
      </c>
      <c r="AF2624" s="159" t="s">
        <v>8309</v>
      </c>
      <c r="AG2624" s="160" t="s">
        <v>3045</v>
      </c>
      <c r="AH2624" s="194" t="s">
        <v>679</v>
      </c>
      <c r="AI2624" s="6">
        <v>55273</v>
      </c>
      <c r="AJ2624" s="3" t="s">
        <v>8237</v>
      </c>
      <c r="AK2624" t="s">
        <v>8237</v>
      </c>
      <c r="AV2624"/>
      <c r="AX2624"/>
      <c r="AZ2624" t="str">
        <f t="shared" si="303"/>
        <v/>
      </c>
      <c r="BA2624" t="str">
        <f t="shared" si="304"/>
        <v/>
      </c>
    </row>
    <row r="2625" spans="3:53" ht="13.5">
      <c r="C2625" s="19"/>
      <c r="D2625" s="19"/>
      <c r="AC2625" s="6" t="s">
        <v>2556</v>
      </c>
      <c r="AD2625" s="6" t="s">
        <v>7476</v>
      </c>
      <c r="AE2625" s="167" t="s">
        <v>3359</v>
      </c>
      <c r="AF2625" s="159" t="s">
        <v>8299</v>
      </c>
      <c r="AG2625" s="160" t="s">
        <v>3046</v>
      </c>
      <c r="AH2625" s="194" t="s">
        <v>678</v>
      </c>
      <c r="AI2625" s="6">
        <v>55464</v>
      </c>
      <c r="AJ2625" s="3" t="s">
        <v>8237</v>
      </c>
      <c r="AK2625" t="s">
        <v>8237</v>
      </c>
      <c r="AV2625"/>
      <c r="AX2625"/>
      <c r="AZ2625" t="str">
        <f t="shared" si="303"/>
        <v/>
      </c>
      <c r="BA2625" t="str">
        <f t="shared" si="304"/>
        <v/>
      </c>
    </row>
    <row r="2626" spans="3:53" ht="13.5">
      <c r="C2626" s="19"/>
      <c r="D2626" s="19"/>
      <c r="AC2626" s="6" t="s">
        <v>2578</v>
      </c>
      <c r="AD2626" s="6" t="s">
        <v>7474</v>
      </c>
      <c r="AE2626" s="155" t="s">
        <v>1232</v>
      </c>
      <c r="AF2626" s="159" t="s">
        <v>8297</v>
      </c>
      <c r="AG2626" s="160" t="s">
        <v>3047</v>
      </c>
      <c r="AH2626" s="194" t="s">
        <v>679</v>
      </c>
      <c r="AI2626" s="6">
        <v>65110</v>
      </c>
      <c r="AJ2626" s="3" t="s">
        <v>8206</v>
      </c>
      <c r="AK2626" t="s">
        <v>8206</v>
      </c>
      <c r="AV2626"/>
      <c r="AX2626"/>
      <c r="AZ2626" t="str">
        <f t="shared" si="303"/>
        <v/>
      </c>
      <c r="BA2626" t="str">
        <f t="shared" si="304"/>
        <v/>
      </c>
    </row>
    <row r="2627" spans="3:53" ht="13.5">
      <c r="C2627" s="19"/>
      <c r="D2627" s="19"/>
      <c r="AC2627" s="6" t="s">
        <v>2520</v>
      </c>
      <c r="AD2627" s="6" t="s">
        <v>7477</v>
      </c>
      <c r="AE2627" s="155" t="s">
        <v>3360</v>
      </c>
      <c r="AF2627" s="159" t="s">
        <v>8299</v>
      </c>
      <c r="AG2627" s="160" t="s">
        <v>3048</v>
      </c>
      <c r="AH2627" s="194" t="s">
        <v>679</v>
      </c>
      <c r="AI2627" s="6">
        <v>65275</v>
      </c>
      <c r="AJ2627" s="3" t="s">
        <v>8206</v>
      </c>
      <c r="AK2627" t="s">
        <v>8206</v>
      </c>
      <c r="AV2627"/>
      <c r="AX2627"/>
      <c r="AZ2627" t="str">
        <f t="shared" si="303"/>
        <v/>
      </c>
      <c r="BA2627" t="str">
        <f t="shared" si="304"/>
        <v/>
      </c>
    </row>
    <row r="2628" spans="3:53" ht="13.5">
      <c r="C2628" s="19"/>
      <c r="D2628" s="19"/>
      <c r="AC2628" s="6" t="s">
        <v>5622</v>
      </c>
      <c r="AD2628" s="6" t="s">
        <v>7474</v>
      </c>
      <c r="AE2628" s="155" t="s">
        <v>3361</v>
      </c>
      <c r="AF2628" s="159" t="s">
        <v>8309</v>
      </c>
      <c r="AG2628" s="160" t="s">
        <v>3049</v>
      </c>
      <c r="AH2628" s="194" t="s">
        <v>679</v>
      </c>
      <c r="AI2628" s="6">
        <v>65329</v>
      </c>
      <c r="AJ2628" s="3" t="s">
        <v>8206</v>
      </c>
      <c r="AK2628" t="s">
        <v>8206</v>
      </c>
      <c r="AV2628"/>
      <c r="AX2628"/>
      <c r="AZ2628" t="str">
        <f t="shared" si="303"/>
        <v/>
      </c>
      <c r="BA2628" t="str">
        <f t="shared" si="304"/>
        <v/>
      </c>
    </row>
    <row r="2629" spans="3:53" ht="13.5">
      <c r="C2629" s="19"/>
      <c r="D2629" s="19"/>
      <c r="AC2629" s="6" t="s">
        <v>2580</v>
      </c>
      <c r="AD2629" s="6" t="s">
        <v>7474</v>
      </c>
      <c r="AE2629" s="155" t="s">
        <v>3362</v>
      </c>
      <c r="AF2629" s="159" t="s">
        <v>8297</v>
      </c>
      <c r="AG2629" s="160" t="s">
        <v>3050</v>
      </c>
      <c r="AH2629" s="194" t="s">
        <v>679</v>
      </c>
      <c r="AI2629" s="6">
        <v>65331</v>
      </c>
      <c r="AJ2629" s="3" t="s">
        <v>8206</v>
      </c>
      <c r="AK2629" t="s">
        <v>8206</v>
      </c>
      <c r="AV2629"/>
      <c r="AX2629"/>
      <c r="AZ2629" t="str">
        <f t="shared" si="303"/>
        <v/>
      </c>
      <c r="BA2629" t="str">
        <f t="shared" si="304"/>
        <v/>
      </c>
    </row>
    <row r="2630" spans="3:53" ht="13.5">
      <c r="C2630" s="19"/>
      <c r="D2630" s="19"/>
      <c r="AC2630" s="6" t="s">
        <v>5626</v>
      </c>
      <c r="AD2630" s="6" t="s">
        <v>7474</v>
      </c>
      <c r="AE2630" s="155" t="s">
        <v>3363</v>
      </c>
      <c r="AF2630" s="159" t="s">
        <v>8299</v>
      </c>
      <c r="AG2630" s="160" t="s">
        <v>3051</v>
      </c>
      <c r="AH2630" s="194" t="s">
        <v>679</v>
      </c>
      <c r="AI2630" s="6">
        <v>75280</v>
      </c>
      <c r="AJ2630" s="3" t="s">
        <v>8216</v>
      </c>
      <c r="AK2630" t="s">
        <v>8216</v>
      </c>
      <c r="AV2630"/>
      <c r="AX2630"/>
      <c r="AZ2630" t="str">
        <f t="shared" si="303"/>
        <v/>
      </c>
      <c r="BA2630" t="str">
        <f t="shared" si="304"/>
        <v/>
      </c>
    </row>
    <row r="2631" spans="3:53" ht="13.5">
      <c r="C2631" s="19"/>
      <c r="D2631" s="19"/>
      <c r="AC2631" s="6" t="s">
        <v>2555</v>
      </c>
      <c r="AD2631" s="6" t="s">
        <v>7478</v>
      </c>
      <c r="AE2631" s="155" t="s">
        <v>3364</v>
      </c>
      <c r="AF2631" s="159" t="s">
        <v>8299</v>
      </c>
      <c r="AG2631" s="160" t="s">
        <v>3052</v>
      </c>
      <c r="AH2631" s="194" t="s">
        <v>678</v>
      </c>
      <c r="AI2631" s="6">
        <v>75281</v>
      </c>
      <c r="AJ2631" s="3" t="s">
        <v>8223</v>
      </c>
      <c r="AK2631" t="s">
        <v>8223</v>
      </c>
      <c r="AV2631"/>
      <c r="AX2631"/>
      <c r="AZ2631" t="str">
        <f t="shared" si="303"/>
        <v/>
      </c>
      <c r="BA2631" t="str">
        <f t="shared" si="304"/>
        <v/>
      </c>
    </row>
    <row r="2632" spans="3:53" ht="13.5">
      <c r="C2632" s="19"/>
      <c r="D2632" s="19"/>
      <c r="AC2632" s="6" t="s">
        <v>5707</v>
      </c>
      <c r="AD2632" s="6" t="s">
        <v>7474</v>
      </c>
      <c r="AE2632" s="155" t="s">
        <v>3365</v>
      </c>
      <c r="AF2632" s="159" t="s">
        <v>8449</v>
      </c>
      <c r="AG2632" s="160" t="s">
        <v>3053</v>
      </c>
      <c r="AH2632" s="194" t="s">
        <v>679</v>
      </c>
      <c r="AI2632" s="6">
        <v>75282</v>
      </c>
      <c r="AJ2632" s="3" t="s">
        <v>8261</v>
      </c>
      <c r="AK2632" t="s">
        <v>8261</v>
      </c>
      <c r="AV2632"/>
      <c r="AX2632"/>
      <c r="AZ2632" t="str">
        <f t="shared" si="303"/>
        <v/>
      </c>
      <c r="BA2632" t="str">
        <f t="shared" si="304"/>
        <v/>
      </c>
    </row>
    <row r="2633" spans="3:53" ht="13.5">
      <c r="C2633" s="19"/>
      <c r="D2633" s="19"/>
      <c r="AC2633" s="6" t="s">
        <v>2778</v>
      </c>
      <c r="AD2633" s="6" t="s">
        <v>7479</v>
      </c>
      <c r="AE2633" s="155" t="s">
        <v>3366</v>
      </c>
      <c r="AF2633" s="159" t="s">
        <v>8347</v>
      </c>
      <c r="AG2633" s="160" t="s">
        <v>3054</v>
      </c>
      <c r="AH2633" s="194" t="s">
        <v>678</v>
      </c>
      <c r="AI2633" s="6">
        <v>75421</v>
      </c>
      <c r="AJ2633" s="3" t="s">
        <v>8261</v>
      </c>
      <c r="AK2633" t="s">
        <v>8261</v>
      </c>
      <c r="AV2633"/>
      <c r="AX2633"/>
      <c r="AZ2633" t="str">
        <f t="shared" si="303"/>
        <v/>
      </c>
      <c r="BA2633" t="str">
        <f t="shared" si="304"/>
        <v/>
      </c>
    </row>
    <row r="2634" spans="3:53" ht="13.5">
      <c r="C2634" s="19"/>
      <c r="D2634" s="19"/>
      <c r="AC2634" s="6" t="s">
        <v>2579</v>
      </c>
      <c r="AD2634" s="6" t="s">
        <v>7474</v>
      </c>
      <c r="AE2634" s="155" t="s">
        <v>3367</v>
      </c>
      <c r="AF2634" s="159" t="s">
        <v>8409</v>
      </c>
      <c r="AG2634" s="160" t="s">
        <v>3055</v>
      </c>
      <c r="AH2634" s="194" t="s">
        <v>678</v>
      </c>
      <c r="AI2634" s="6">
        <v>85608</v>
      </c>
      <c r="AJ2634" s="3" t="s">
        <v>8250</v>
      </c>
      <c r="AK2634" t="s">
        <v>8250</v>
      </c>
      <c r="AV2634"/>
      <c r="AX2634"/>
      <c r="AZ2634" t="str">
        <f t="shared" si="303"/>
        <v/>
      </c>
      <c r="BA2634" t="str">
        <f t="shared" si="304"/>
        <v/>
      </c>
    </row>
    <row r="2635" spans="3:53" ht="13.5">
      <c r="C2635" s="19"/>
      <c r="D2635" s="19"/>
      <c r="AC2635" s="6" t="s">
        <v>2757</v>
      </c>
      <c r="AD2635" s="6" t="s">
        <v>7480</v>
      </c>
      <c r="AE2635" s="155" t="s">
        <v>3368</v>
      </c>
      <c r="AF2635" s="159" t="s">
        <v>8299</v>
      </c>
      <c r="AG2635" s="160" t="s">
        <v>3056</v>
      </c>
      <c r="AH2635" s="194" t="s">
        <v>679</v>
      </c>
      <c r="AI2635" s="6">
        <v>85609</v>
      </c>
      <c r="AJ2635" s="3" t="s">
        <v>8223</v>
      </c>
      <c r="AK2635" t="s">
        <v>8223</v>
      </c>
      <c r="AV2635"/>
      <c r="AX2635"/>
      <c r="AZ2635" t="str">
        <f t="shared" si="303"/>
        <v/>
      </c>
      <c r="BA2635" t="str">
        <f t="shared" si="304"/>
        <v/>
      </c>
    </row>
    <row r="2636" spans="3:53" ht="13.5">
      <c r="C2636" s="19"/>
      <c r="D2636" s="19"/>
      <c r="AC2636" s="6" t="s">
        <v>2758</v>
      </c>
      <c r="AD2636" s="6" t="s">
        <v>7480</v>
      </c>
      <c r="AE2636" s="155" t="s">
        <v>3369</v>
      </c>
      <c r="AF2636" s="159" t="s">
        <v>8440</v>
      </c>
      <c r="AG2636" s="160" t="s">
        <v>3057</v>
      </c>
      <c r="AH2636" s="194" t="s">
        <v>679</v>
      </c>
      <c r="AI2636" s="6">
        <v>85610</v>
      </c>
      <c r="AJ2636" s="3" t="s">
        <v>8223</v>
      </c>
      <c r="AK2636" t="s">
        <v>8223</v>
      </c>
      <c r="AV2636"/>
      <c r="AX2636"/>
      <c r="AZ2636" t="str">
        <f t="shared" si="303"/>
        <v/>
      </c>
      <c r="BA2636" t="str">
        <f t="shared" si="304"/>
        <v/>
      </c>
    </row>
    <row r="2637" spans="3:53" ht="13.5">
      <c r="C2637" s="19"/>
      <c r="D2637" s="19"/>
      <c r="AC2637" s="6" t="s">
        <v>2759</v>
      </c>
      <c r="AD2637" s="6" t="s">
        <v>7480</v>
      </c>
      <c r="AE2637" s="155" t="s">
        <v>1233</v>
      </c>
      <c r="AF2637" s="159" t="s">
        <v>8342</v>
      </c>
      <c r="AG2637" s="160" t="s">
        <v>3058</v>
      </c>
      <c r="AH2637" s="194" t="s">
        <v>679</v>
      </c>
      <c r="AI2637" s="6">
        <v>85612</v>
      </c>
      <c r="AJ2637" s="3" t="s">
        <v>8233</v>
      </c>
      <c r="AK2637" t="s">
        <v>8233</v>
      </c>
      <c r="AV2637"/>
      <c r="AX2637"/>
      <c r="AZ2637" t="str">
        <f t="shared" si="303"/>
        <v/>
      </c>
      <c r="BA2637" t="str">
        <f t="shared" si="304"/>
        <v/>
      </c>
    </row>
    <row r="2638" spans="3:53" ht="13.5">
      <c r="C2638" s="19"/>
      <c r="D2638" s="19"/>
      <c r="AC2638" s="6" t="s">
        <v>2760</v>
      </c>
      <c r="AD2638" s="6" t="s">
        <v>7480</v>
      </c>
      <c r="AE2638" s="155" t="s">
        <v>3370</v>
      </c>
      <c r="AF2638" s="159" t="s">
        <v>8339</v>
      </c>
      <c r="AG2638" s="160" t="s">
        <v>3059</v>
      </c>
      <c r="AH2638" s="194" t="s">
        <v>679</v>
      </c>
      <c r="AI2638" s="6">
        <v>95631</v>
      </c>
      <c r="AJ2638" s="3" t="s">
        <v>8260</v>
      </c>
      <c r="AK2638" t="s">
        <v>8678</v>
      </c>
      <c r="AV2638"/>
      <c r="AX2638"/>
      <c r="AZ2638" t="str">
        <f t="shared" si="303"/>
        <v/>
      </c>
      <c r="BA2638" t="str">
        <f t="shared" si="304"/>
        <v/>
      </c>
    </row>
    <row r="2639" spans="3:53" ht="13.5">
      <c r="C2639" s="19"/>
      <c r="D2639" s="19"/>
      <c r="AC2639" s="6" t="s">
        <v>2763</v>
      </c>
      <c r="AD2639" s="6" t="s">
        <v>7480</v>
      </c>
      <c r="AE2639" s="155" t="s">
        <v>3371</v>
      </c>
      <c r="AF2639" s="159" t="s">
        <v>8339</v>
      </c>
      <c r="AG2639" s="160" t="s">
        <v>3060</v>
      </c>
      <c r="AH2639" s="194" t="s">
        <v>679</v>
      </c>
      <c r="AI2639" s="6">
        <v>95633</v>
      </c>
      <c r="AJ2639" s="3" t="s">
        <v>8279</v>
      </c>
      <c r="AK2639" t="s">
        <v>8679</v>
      </c>
      <c r="AV2639"/>
      <c r="AX2639"/>
      <c r="AZ2639" t="str">
        <f t="shared" si="303"/>
        <v/>
      </c>
      <c r="BA2639" t="str">
        <f t="shared" si="304"/>
        <v/>
      </c>
    </row>
    <row r="2640" spans="3:53" ht="13.5">
      <c r="C2640" s="19"/>
      <c r="D2640" s="19"/>
      <c r="AC2640" s="6" t="s">
        <v>2779</v>
      </c>
      <c r="AD2640" s="6" t="s">
        <v>7481</v>
      </c>
      <c r="AE2640" s="155" t="s">
        <v>3372</v>
      </c>
      <c r="AF2640" s="159" t="s">
        <v>8299</v>
      </c>
      <c r="AG2640" s="160" t="s">
        <v>3061</v>
      </c>
      <c r="AH2640" s="194" t="s">
        <v>679</v>
      </c>
      <c r="AI2640" s="6">
        <v>95634</v>
      </c>
      <c r="AJ2640" s="3" t="s">
        <v>8279</v>
      </c>
      <c r="AK2640" t="s">
        <v>8679</v>
      </c>
      <c r="AV2640"/>
      <c r="AX2640"/>
      <c r="AZ2640" t="str">
        <f t="shared" si="303"/>
        <v/>
      </c>
      <c r="BA2640" t="str">
        <f t="shared" si="304"/>
        <v/>
      </c>
    </row>
    <row r="2641" spans="3:53" ht="13.5">
      <c r="C2641" s="19"/>
      <c r="D2641" s="19"/>
      <c r="AC2641" s="6" t="s">
        <v>2764</v>
      </c>
      <c r="AD2641" s="6" t="s">
        <v>7480</v>
      </c>
      <c r="AE2641" s="155" t="s">
        <v>3373</v>
      </c>
      <c r="AF2641" s="159" t="s">
        <v>8339</v>
      </c>
      <c r="AG2641" s="160" t="s">
        <v>3062</v>
      </c>
      <c r="AH2641" s="194" t="s">
        <v>679</v>
      </c>
      <c r="AI2641" s="6">
        <v>95636</v>
      </c>
      <c r="AJ2641" s="3" t="s">
        <v>8260</v>
      </c>
      <c r="AK2641" t="s">
        <v>8678</v>
      </c>
      <c r="AV2641"/>
      <c r="AX2641"/>
      <c r="AZ2641" t="str">
        <f t="shared" ref="AZ2641:AZ2704" si="305">IF(ISBLANK(AW2641),"",CONCATENATE("(",RIGHT(AW2641,5),"-",TEXT(AX2641,"h:mm;@"),")"))</f>
        <v/>
      </c>
      <c r="BA2641" t="str">
        <f t="shared" ref="BA2641:BA2704" si="306">IF(AV2657=AV2641,"",CONCATENATE(IF(AV2656=AV2641,BA2656,""),IF(AV2655=AV2641,BA2655,""),IF(AV2654=AV2641,BA2654,""),IF(AV2653=AV2641,BA2653,""),IF(AV2652=AV2641,BA2652,""),IF(AV2651=AV2641,BA2651,""),IF(AV2650=AV2641,BA2650,""),IF(AV2649=AV2641,BA2649,""),IF(AV2648=AV2641,BA2648,""),IF(AV2647=AV2641,BA2647,""),IF(AV2646=AV2641,BA2646,""),IF(AV2645=AV2641,BA2645,""),IF(AV2644=AV2641,BA2644,""),IF(AV2643=AV2641,BA2643,""),IF(AV2642=AV2641,BA2642,""),IF(AV2640=AV2641,BA2640,""),BA2641))</f>
        <v/>
      </c>
    </row>
    <row r="2642" spans="3:53" ht="13.5">
      <c r="C2642" s="19"/>
      <c r="D2642" s="19"/>
      <c r="AC2642" s="6" t="s">
        <v>2774</v>
      </c>
      <c r="AD2642" s="6" t="s">
        <v>7482</v>
      </c>
      <c r="AE2642" s="155" t="s">
        <v>3374</v>
      </c>
      <c r="AF2642" s="159" t="s">
        <v>8320</v>
      </c>
      <c r="AG2642" s="160" t="s">
        <v>3063</v>
      </c>
      <c r="AH2642" s="194" t="s">
        <v>679</v>
      </c>
      <c r="AI2642" s="6">
        <v>95637</v>
      </c>
      <c r="AJ2642" s="3" t="s">
        <v>8260</v>
      </c>
      <c r="AK2642" t="s">
        <v>8678</v>
      </c>
      <c r="AV2642"/>
      <c r="AX2642"/>
      <c r="AZ2642" t="str">
        <f t="shared" si="305"/>
        <v/>
      </c>
      <c r="BA2642" t="str">
        <f t="shared" si="306"/>
        <v/>
      </c>
    </row>
    <row r="2643" spans="3:53" ht="13.5">
      <c r="C2643" s="19"/>
      <c r="D2643" s="19"/>
      <c r="AC2643" s="6" t="s">
        <v>2762</v>
      </c>
      <c r="AD2643" s="6" t="s">
        <v>7480</v>
      </c>
      <c r="AE2643" s="155" t="s">
        <v>3375</v>
      </c>
      <c r="AF2643" s="159" t="s">
        <v>8299</v>
      </c>
      <c r="AG2643" s="160" t="s">
        <v>3064</v>
      </c>
      <c r="AH2643" s="194" t="s">
        <v>679</v>
      </c>
      <c r="AI2643" s="6">
        <v>95638</v>
      </c>
      <c r="AJ2643" s="3" t="s">
        <v>8214</v>
      </c>
      <c r="AK2643" t="s">
        <v>8214</v>
      </c>
      <c r="AV2643"/>
      <c r="AX2643"/>
      <c r="AZ2643" t="str">
        <f t="shared" si="305"/>
        <v/>
      </c>
      <c r="BA2643" t="str">
        <f t="shared" si="306"/>
        <v/>
      </c>
    </row>
    <row r="2644" spans="3:53" ht="13.5">
      <c r="C2644" s="19"/>
      <c r="D2644" s="19"/>
      <c r="AC2644" s="6" t="s">
        <v>2761</v>
      </c>
      <c r="AD2644" s="6" t="s">
        <v>7480</v>
      </c>
      <c r="AE2644" s="155" t="s">
        <v>3376</v>
      </c>
      <c r="AF2644" s="159" t="s">
        <v>8299</v>
      </c>
      <c r="AG2644" s="160" t="s">
        <v>3065</v>
      </c>
      <c r="AH2644" s="194" t="s">
        <v>679</v>
      </c>
      <c r="AI2644" s="6">
        <v>105571</v>
      </c>
      <c r="AJ2644" s="3" t="s">
        <v>8280</v>
      </c>
      <c r="AK2644" t="s">
        <v>8280</v>
      </c>
      <c r="AV2644"/>
      <c r="AX2644"/>
      <c r="AZ2644" t="str">
        <f t="shared" si="305"/>
        <v/>
      </c>
      <c r="BA2644" t="str">
        <f t="shared" si="306"/>
        <v/>
      </c>
    </row>
    <row r="2645" spans="3:53" ht="13.5">
      <c r="C2645" s="19"/>
      <c r="D2645" s="19"/>
      <c r="AC2645" s="6" t="s">
        <v>2775</v>
      </c>
      <c r="AD2645" s="6" t="s">
        <v>7483</v>
      </c>
      <c r="AE2645" s="155" t="s">
        <v>3377</v>
      </c>
      <c r="AF2645" s="159" t="s">
        <v>8342</v>
      </c>
      <c r="AG2645" s="160" t="s">
        <v>3066</v>
      </c>
      <c r="AH2645" s="194" t="s">
        <v>679</v>
      </c>
      <c r="AI2645" s="6">
        <v>105572</v>
      </c>
      <c r="AJ2645" s="3" t="s">
        <v>8280</v>
      </c>
      <c r="AK2645" t="s">
        <v>8280</v>
      </c>
      <c r="AV2645"/>
      <c r="AX2645"/>
      <c r="AZ2645" t="str">
        <f t="shared" si="305"/>
        <v/>
      </c>
      <c r="BA2645" t="str">
        <f t="shared" si="306"/>
        <v/>
      </c>
    </row>
    <row r="2646" spans="3:53" ht="13.5">
      <c r="C2646" s="19"/>
      <c r="D2646" s="19"/>
      <c r="AC2646" s="6" t="s">
        <v>2776</v>
      </c>
      <c r="AD2646" s="6" t="s">
        <v>7483</v>
      </c>
      <c r="AE2646" s="155" t="s">
        <v>3378</v>
      </c>
      <c r="AF2646" s="159" t="s">
        <v>8299</v>
      </c>
      <c r="AG2646" s="160" t="s">
        <v>3067</v>
      </c>
      <c r="AH2646" s="194" t="s">
        <v>679</v>
      </c>
      <c r="AI2646" s="6">
        <v>105573</v>
      </c>
      <c r="AJ2646" s="3" t="s">
        <v>8259</v>
      </c>
      <c r="AK2646" t="s">
        <v>8677</v>
      </c>
      <c r="AV2646"/>
      <c r="AX2646"/>
      <c r="AZ2646" t="str">
        <f t="shared" si="305"/>
        <v/>
      </c>
      <c r="BA2646" t="str">
        <f t="shared" si="306"/>
        <v/>
      </c>
    </row>
    <row r="2647" spans="3:53" ht="13.5">
      <c r="C2647" s="19"/>
      <c r="D2647" s="19"/>
      <c r="AC2647" s="6" t="s">
        <v>2628</v>
      </c>
      <c r="AD2647" s="6" t="s">
        <v>7484</v>
      </c>
      <c r="AE2647" s="155" t="s">
        <v>3379</v>
      </c>
      <c r="AF2647" s="159" t="s">
        <v>8299</v>
      </c>
      <c r="AG2647" s="160" t="s">
        <v>3068</v>
      </c>
      <c r="AH2647" s="194" t="s">
        <v>679</v>
      </c>
      <c r="AI2647" s="6">
        <v>105574</v>
      </c>
      <c r="AJ2647" s="3" t="s">
        <v>8259</v>
      </c>
      <c r="AK2647" t="s">
        <v>8677</v>
      </c>
      <c r="AV2647"/>
      <c r="AX2647"/>
      <c r="AZ2647" t="str">
        <f t="shared" si="305"/>
        <v/>
      </c>
      <c r="BA2647" t="str">
        <f t="shared" si="306"/>
        <v/>
      </c>
    </row>
    <row r="2648" spans="3:53" ht="13.5">
      <c r="C2648" s="19"/>
      <c r="D2648" s="19"/>
      <c r="AC2648" s="6" t="s">
        <v>2626</v>
      </c>
      <c r="AD2648" s="6" t="s">
        <v>7484</v>
      </c>
      <c r="AE2648" s="155" t="s">
        <v>3380</v>
      </c>
      <c r="AF2648" s="159" t="s">
        <v>8299</v>
      </c>
      <c r="AG2648" s="160" t="s">
        <v>3069</v>
      </c>
      <c r="AH2648" s="194" t="s">
        <v>679</v>
      </c>
      <c r="AI2648" s="6">
        <v>113598</v>
      </c>
      <c r="AJ2648" s="3" t="s">
        <v>8212</v>
      </c>
      <c r="AK2648" t="s">
        <v>8212</v>
      </c>
      <c r="AV2648"/>
      <c r="AX2648"/>
      <c r="AZ2648" t="str">
        <f t="shared" si="305"/>
        <v/>
      </c>
      <c r="BA2648" t="str">
        <f t="shared" si="306"/>
        <v/>
      </c>
    </row>
    <row r="2649" spans="3:53" ht="13.5">
      <c r="C2649" s="19"/>
      <c r="D2649" s="19"/>
      <c r="AC2649" s="6" t="s">
        <v>2627</v>
      </c>
      <c r="AD2649" s="6" t="s">
        <v>7484</v>
      </c>
      <c r="AE2649" s="155" t="s">
        <v>3381</v>
      </c>
      <c r="AF2649" s="159" t="s">
        <v>8299</v>
      </c>
      <c r="AG2649" s="160" t="s">
        <v>3070</v>
      </c>
      <c r="AH2649" s="194" t="s">
        <v>679</v>
      </c>
      <c r="AI2649" s="6">
        <v>113600</v>
      </c>
      <c r="AJ2649" s="3" t="s">
        <v>8212</v>
      </c>
      <c r="AK2649" t="s">
        <v>8212</v>
      </c>
      <c r="AV2649"/>
      <c r="AX2649"/>
      <c r="AZ2649" t="str">
        <f t="shared" si="305"/>
        <v/>
      </c>
      <c r="BA2649" t="str">
        <f t="shared" si="306"/>
        <v/>
      </c>
    </row>
    <row r="2650" spans="3:53" ht="13.5">
      <c r="C2650" s="19"/>
      <c r="D2650" s="19"/>
      <c r="AC2650" s="6" t="s">
        <v>3409</v>
      </c>
      <c r="AD2650" s="6" t="s">
        <v>7485</v>
      </c>
      <c r="AE2650" s="155" t="s">
        <v>3382</v>
      </c>
      <c r="AF2650" s="159" t="s">
        <v>8339</v>
      </c>
      <c r="AG2650" s="160" t="s">
        <v>3071</v>
      </c>
      <c r="AH2650" s="194" t="s">
        <v>678</v>
      </c>
      <c r="AI2650" s="6">
        <v>113601</v>
      </c>
      <c r="AJ2650" s="3" t="s">
        <v>8233</v>
      </c>
      <c r="AK2650" t="s">
        <v>8233</v>
      </c>
      <c r="AV2650"/>
      <c r="AX2650"/>
      <c r="AZ2650" t="str">
        <f t="shared" si="305"/>
        <v/>
      </c>
      <c r="BA2650" t="str">
        <f t="shared" si="306"/>
        <v/>
      </c>
    </row>
    <row r="2651" spans="3:53" ht="13.5">
      <c r="C2651" s="19"/>
      <c r="D2651" s="19"/>
      <c r="AC2651" s="6" t="s">
        <v>2818</v>
      </c>
      <c r="AD2651" s="6" t="s">
        <v>7486</v>
      </c>
      <c r="AE2651" s="155" t="s">
        <v>3383</v>
      </c>
      <c r="AF2651" s="159" t="s">
        <v>8299</v>
      </c>
      <c r="AG2651" s="160" t="s">
        <v>3072</v>
      </c>
      <c r="AH2651" s="194" t="s">
        <v>679</v>
      </c>
      <c r="AI2651" s="6">
        <v>113602</v>
      </c>
      <c r="AJ2651" s="3" t="s">
        <v>8214</v>
      </c>
      <c r="AK2651" t="s">
        <v>8214</v>
      </c>
      <c r="AV2651"/>
      <c r="AX2651"/>
      <c r="AZ2651" t="str">
        <f t="shared" si="305"/>
        <v/>
      </c>
      <c r="BA2651" t="str">
        <f t="shared" si="306"/>
        <v/>
      </c>
    </row>
    <row r="2652" spans="3:53" ht="13.5">
      <c r="C2652" s="19"/>
      <c r="D2652" s="19"/>
      <c r="AC2652" s="6" t="s">
        <v>2819</v>
      </c>
      <c r="AD2652" s="6" t="s">
        <v>7486</v>
      </c>
      <c r="AE2652" s="155" t="s">
        <v>3384</v>
      </c>
      <c r="AF2652" s="159" t="s">
        <v>8299</v>
      </c>
      <c r="AG2652" s="160" t="s">
        <v>3073</v>
      </c>
      <c r="AH2652" s="194" t="s">
        <v>679</v>
      </c>
      <c r="AI2652" s="6">
        <v>115592</v>
      </c>
      <c r="AJ2652" s="3" t="s">
        <v>8259</v>
      </c>
      <c r="AK2652" t="s">
        <v>8677</v>
      </c>
      <c r="AV2652"/>
      <c r="AX2652"/>
      <c r="AZ2652" t="str">
        <f t="shared" si="305"/>
        <v/>
      </c>
      <c r="BA2652" t="str">
        <f t="shared" si="306"/>
        <v/>
      </c>
    </row>
    <row r="2653" spans="3:53" ht="13.5">
      <c r="C2653" s="19"/>
      <c r="D2653" s="19"/>
      <c r="AC2653" s="6" t="s">
        <v>2817</v>
      </c>
      <c r="AD2653" s="6" t="s">
        <v>7486</v>
      </c>
      <c r="AE2653" s="155" t="s">
        <v>3385</v>
      </c>
      <c r="AF2653" s="159" t="s">
        <v>8339</v>
      </c>
      <c r="AG2653" s="160" t="s">
        <v>3074</v>
      </c>
      <c r="AH2653" s="194" t="s">
        <v>679</v>
      </c>
      <c r="AI2653" s="6">
        <v>115599</v>
      </c>
      <c r="AJ2653" s="3" t="s">
        <v>8233</v>
      </c>
      <c r="AK2653" t="s">
        <v>8233</v>
      </c>
      <c r="AV2653"/>
      <c r="AX2653"/>
      <c r="AZ2653" t="str">
        <f t="shared" si="305"/>
        <v/>
      </c>
      <c r="BA2653" t="str">
        <f t="shared" si="306"/>
        <v/>
      </c>
    </row>
    <row r="2654" spans="3:53" ht="13.5">
      <c r="C2654" s="19"/>
      <c r="D2654" s="19"/>
      <c r="AC2654" s="6">
        <v>816330</v>
      </c>
      <c r="AD2654" s="6" t="s">
        <v>7487</v>
      </c>
      <c r="AE2654" s="155" t="s">
        <v>3386</v>
      </c>
      <c r="AF2654" s="159" t="s">
        <v>8299</v>
      </c>
      <c r="AG2654" s="160" t="s">
        <v>3075</v>
      </c>
      <c r="AH2654" s="194" t="s">
        <v>679</v>
      </c>
      <c r="AI2654" s="6">
        <v>115601</v>
      </c>
      <c r="AJ2654" s="3" t="s">
        <v>8250</v>
      </c>
      <c r="AK2654" t="s">
        <v>8250</v>
      </c>
      <c r="AV2654"/>
      <c r="AX2654"/>
      <c r="AZ2654" t="str">
        <f t="shared" si="305"/>
        <v/>
      </c>
      <c r="BA2654" t="str">
        <f t="shared" si="306"/>
        <v/>
      </c>
    </row>
    <row r="2655" spans="3:53" ht="13.5">
      <c r="C2655" s="19"/>
      <c r="D2655" s="19"/>
      <c r="AC2655" s="6">
        <v>816331</v>
      </c>
      <c r="AD2655" s="6" t="s">
        <v>7487</v>
      </c>
      <c r="AE2655" s="155" t="s">
        <v>3387</v>
      </c>
      <c r="AF2655" s="159" t="s">
        <v>8299</v>
      </c>
      <c r="AG2655" s="160" t="s">
        <v>3076</v>
      </c>
      <c r="AH2655" s="194" t="s">
        <v>679</v>
      </c>
      <c r="AI2655" s="6">
        <v>115603</v>
      </c>
      <c r="AJ2655" s="3" t="s">
        <v>8259</v>
      </c>
      <c r="AK2655" t="s">
        <v>8677</v>
      </c>
      <c r="AV2655"/>
      <c r="AX2655"/>
      <c r="AZ2655" t="str">
        <f t="shared" si="305"/>
        <v/>
      </c>
      <c r="BA2655" t="str">
        <f t="shared" si="306"/>
        <v/>
      </c>
    </row>
    <row r="2656" spans="3:53" ht="13.5">
      <c r="C2656" s="19"/>
      <c r="D2656" s="19"/>
      <c r="AC2656" s="6">
        <v>816558</v>
      </c>
      <c r="AD2656" s="6" t="s">
        <v>7488</v>
      </c>
      <c r="AE2656" s="155" t="s">
        <v>3388</v>
      </c>
      <c r="AF2656" s="159" t="s">
        <v>8299</v>
      </c>
      <c r="AG2656" s="160" t="s">
        <v>3077</v>
      </c>
      <c r="AH2656" s="194" t="s">
        <v>679</v>
      </c>
      <c r="AI2656" s="6">
        <v>115607</v>
      </c>
      <c r="AJ2656" s="3" t="s">
        <v>8212</v>
      </c>
      <c r="AK2656" t="s">
        <v>8212</v>
      </c>
      <c r="AV2656"/>
      <c r="AX2656"/>
      <c r="AZ2656" t="str">
        <f t="shared" si="305"/>
        <v/>
      </c>
      <c r="BA2656" t="str">
        <f t="shared" si="306"/>
        <v/>
      </c>
    </row>
    <row r="2657" spans="3:53" ht="13.5">
      <c r="C2657" s="19"/>
      <c r="D2657" s="19"/>
      <c r="AC2657" s="6" t="s">
        <v>3593</v>
      </c>
      <c r="AD2657" s="6" t="s">
        <v>7489</v>
      </c>
      <c r="AE2657" s="155" t="s">
        <v>3389</v>
      </c>
      <c r="AF2657" s="159" t="s">
        <v>8339</v>
      </c>
      <c r="AG2657" s="160" t="s">
        <v>3078</v>
      </c>
      <c r="AH2657" s="194" t="s">
        <v>679</v>
      </c>
      <c r="AI2657" s="6">
        <v>125622</v>
      </c>
      <c r="AJ2657" s="3" t="s">
        <v>8265</v>
      </c>
      <c r="AK2657" t="s">
        <v>8265</v>
      </c>
      <c r="AV2657"/>
      <c r="AX2657"/>
      <c r="AZ2657" t="str">
        <f t="shared" si="305"/>
        <v/>
      </c>
      <c r="BA2657" t="str">
        <f t="shared" si="306"/>
        <v/>
      </c>
    </row>
    <row r="2658" spans="3:53" ht="13.5">
      <c r="C2658" s="19"/>
      <c r="D2658" s="19"/>
      <c r="AC2658" s="6" t="s">
        <v>4395</v>
      </c>
      <c r="AD2658" s="6" t="s">
        <v>7490</v>
      </c>
      <c r="AE2658" s="155" t="s">
        <v>1271</v>
      </c>
      <c r="AF2658" s="159" t="s">
        <v>8299</v>
      </c>
      <c r="AG2658" s="160" t="s">
        <v>3079</v>
      </c>
      <c r="AH2658" s="194" t="s">
        <v>679</v>
      </c>
      <c r="AI2658" s="6">
        <v>125624</v>
      </c>
      <c r="AJ2658" s="3" t="s">
        <v>8229</v>
      </c>
      <c r="AK2658" t="s">
        <v>8229</v>
      </c>
      <c r="AV2658"/>
      <c r="AX2658"/>
      <c r="AZ2658" t="str">
        <f t="shared" si="305"/>
        <v/>
      </c>
      <c r="BA2658" t="str">
        <f t="shared" si="306"/>
        <v/>
      </c>
    </row>
    <row r="2659" spans="3:53" ht="13.5">
      <c r="C2659" s="19"/>
      <c r="D2659" s="19"/>
      <c r="AC2659" s="6">
        <v>426374</v>
      </c>
      <c r="AD2659" s="6" t="s">
        <v>7491</v>
      </c>
      <c r="AE2659" s="155" t="s">
        <v>1272</v>
      </c>
      <c r="AF2659" s="159" t="s">
        <v>8299</v>
      </c>
      <c r="AG2659" s="160" t="s">
        <v>3080</v>
      </c>
      <c r="AH2659" s="194" t="s">
        <v>679</v>
      </c>
      <c r="AI2659" s="6">
        <v>135504</v>
      </c>
      <c r="AJ2659" s="3" t="s">
        <v>8278</v>
      </c>
      <c r="AK2659" t="s">
        <v>8278</v>
      </c>
      <c r="AV2659"/>
      <c r="AX2659"/>
      <c r="AZ2659" t="str">
        <f t="shared" si="305"/>
        <v/>
      </c>
      <c r="BA2659" t="str">
        <f t="shared" si="306"/>
        <v/>
      </c>
    </row>
    <row r="2660" spans="3:53" ht="13.5">
      <c r="C2660" s="19"/>
      <c r="D2660" s="19"/>
      <c r="AC2660" s="6" t="s">
        <v>4394</v>
      </c>
      <c r="AD2660" s="6" t="s">
        <v>7490</v>
      </c>
      <c r="AE2660" s="155">
        <v>53854</v>
      </c>
      <c r="AF2660" s="159" t="s">
        <v>8299</v>
      </c>
      <c r="AG2660" s="160" t="s">
        <v>3081</v>
      </c>
      <c r="AH2660" s="194" t="s">
        <v>678</v>
      </c>
      <c r="AI2660" s="6">
        <v>135614</v>
      </c>
      <c r="AJ2660" s="3" t="s">
        <v>8280</v>
      </c>
      <c r="AK2660" t="s">
        <v>8280</v>
      </c>
      <c r="AV2660"/>
      <c r="AX2660"/>
      <c r="AZ2660" t="str">
        <f t="shared" si="305"/>
        <v/>
      </c>
      <c r="BA2660" t="str">
        <f t="shared" si="306"/>
        <v/>
      </c>
    </row>
    <row r="2661" spans="3:53" ht="13.5">
      <c r="C2661" s="19"/>
      <c r="D2661" s="19"/>
      <c r="AC2661" s="6" t="s">
        <v>4084</v>
      </c>
      <c r="AD2661" s="6" t="s">
        <v>7492</v>
      </c>
      <c r="AE2661" s="155" t="s">
        <v>1273</v>
      </c>
      <c r="AF2661" s="159" t="s">
        <v>8299</v>
      </c>
      <c r="AG2661" s="160" t="s">
        <v>3082</v>
      </c>
      <c r="AH2661" s="194" t="s">
        <v>679</v>
      </c>
      <c r="AI2661" s="6">
        <v>165818</v>
      </c>
      <c r="AJ2661" s="3" t="s">
        <v>8262</v>
      </c>
      <c r="AK2661" t="s">
        <v>8262</v>
      </c>
      <c r="AV2661"/>
      <c r="AX2661"/>
      <c r="AZ2661" t="str">
        <f t="shared" si="305"/>
        <v/>
      </c>
      <c r="BA2661" t="str">
        <f t="shared" si="306"/>
        <v/>
      </c>
    </row>
    <row r="2662" spans="3:53" ht="13.5">
      <c r="C2662" s="19"/>
      <c r="D2662" s="19"/>
      <c r="AC2662" s="6" t="s">
        <v>4083</v>
      </c>
      <c r="AD2662" s="6" t="s">
        <v>7492</v>
      </c>
      <c r="AE2662" s="155" t="s">
        <v>3391</v>
      </c>
      <c r="AF2662" s="159" t="s">
        <v>8299</v>
      </c>
      <c r="AG2662" s="160" t="s">
        <v>3083</v>
      </c>
      <c r="AH2662" s="194" t="s">
        <v>679</v>
      </c>
      <c r="AI2662" s="6">
        <v>165819</v>
      </c>
      <c r="AJ2662" s="3" t="s">
        <v>8262</v>
      </c>
      <c r="AK2662" t="s">
        <v>8262</v>
      </c>
      <c r="AV2662"/>
      <c r="AX2662"/>
      <c r="AZ2662" t="str">
        <f t="shared" si="305"/>
        <v/>
      </c>
      <c r="BA2662" t="str">
        <f t="shared" si="306"/>
        <v/>
      </c>
    </row>
    <row r="2663" spans="3:53" ht="13.5">
      <c r="C2663" s="19"/>
      <c r="D2663" s="19"/>
      <c r="AC2663" s="6">
        <v>115595</v>
      </c>
      <c r="AD2663" s="6" t="s">
        <v>7493</v>
      </c>
      <c r="AE2663" s="155" t="s">
        <v>3392</v>
      </c>
      <c r="AF2663" s="159" t="s">
        <v>8299</v>
      </c>
      <c r="AG2663" s="160" t="s">
        <v>3084</v>
      </c>
      <c r="AH2663" s="194" t="s">
        <v>678</v>
      </c>
      <c r="AI2663" s="6">
        <v>165821</v>
      </c>
      <c r="AJ2663" s="3" t="s">
        <v>8262</v>
      </c>
      <c r="AK2663" t="s">
        <v>8262</v>
      </c>
      <c r="AV2663"/>
      <c r="AX2663"/>
      <c r="AZ2663" t="str">
        <f t="shared" si="305"/>
        <v/>
      </c>
      <c r="BA2663" t="str">
        <f t="shared" si="306"/>
        <v/>
      </c>
    </row>
    <row r="2664" spans="3:53" ht="13.5">
      <c r="C2664" s="19"/>
      <c r="D2664" s="19"/>
      <c r="AC2664" s="6" t="s">
        <v>4086</v>
      </c>
      <c r="AD2664" s="6" t="s">
        <v>7492</v>
      </c>
      <c r="AE2664" s="155" t="s">
        <v>3393</v>
      </c>
      <c r="AF2664" s="159" t="s">
        <v>8299</v>
      </c>
      <c r="AG2664" s="160" t="s">
        <v>3085</v>
      </c>
      <c r="AH2664" s="194" t="s">
        <v>678</v>
      </c>
      <c r="AI2664" s="6">
        <v>175826</v>
      </c>
      <c r="AJ2664" s="3" t="s">
        <v>8277</v>
      </c>
      <c r="AK2664" t="s">
        <v>8277</v>
      </c>
      <c r="AV2664"/>
      <c r="AX2664"/>
      <c r="AZ2664" t="str">
        <f t="shared" si="305"/>
        <v/>
      </c>
      <c r="BA2664" t="str">
        <f t="shared" si="306"/>
        <v/>
      </c>
    </row>
    <row r="2665" spans="3:53" ht="13.5">
      <c r="C2665" s="19"/>
      <c r="D2665" s="19"/>
      <c r="AC2665" s="6" t="s">
        <v>4085</v>
      </c>
      <c r="AD2665" s="6" t="s">
        <v>7492</v>
      </c>
      <c r="AE2665" s="155" t="s">
        <v>1286</v>
      </c>
      <c r="AF2665" s="159" t="s">
        <v>8299</v>
      </c>
      <c r="AG2665" s="160" t="s">
        <v>3086</v>
      </c>
      <c r="AH2665" s="194" t="s">
        <v>678</v>
      </c>
      <c r="AI2665" s="6">
        <v>195218</v>
      </c>
      <c r="AJ2665" s="3" t="s">
        <v>8230</v>
      </c>
      <c r="AK2665" t="s">
        <v>8230</v>
      </c>
      <c r="AV2665"/>
      <c r="AX2665"/>
      <c r="AZ2665" t="str">
        <f t="shared" si="305"/>
        <v/>
      </c>
      <c r="BA2665" t="str">
        <f t="shared" si="306"/>
        <v/>
      </c>
    </row>
    <row r="2666" spans="3:53" ht="13.5">
      <c r="C2666" s="19"/>
      <c r="D2666" s="19"/>
      <c r="AC2666" s="6" t="s">
        <v>4082</v>
      </c>
      <c r="AD2666" s="6" t="s">
        <v>7492</v>
      </c>
      <c r="AE2666" s="155" t="s">
        <v>1287</v>
      </c>
      <c r="AF2666" s="159" t="s">
        <v>8299</v>
      </c>
      <c r="AG2666" s="160" t="s">
        <v>3087</v>
      </c>
      <c r="AH2666" s="194" t="s">
        <v>678</v>
      </c>
      <c r="AI2666" s="6">
        <v>195221</v>
      </c>
      <c r="AJ2666" s="3" t="s">
        <v>8230</v>
      </c>
      <c r="AK2666" t="s">
        <v>8230</v>
      </c>
      <c r="AV2666"/>
      <c r="AX2666"/>
      <c r="AZ2666" t="str">
        <f t="shared" si="305"/>
        <v/>
      </c>
      <c r="BA2666" t="str">
        <f t="shared" si="306"/>
        <v/>
      </c>
    </row>
    <row r="2667" spans="3:53" ht="15">
      <c r="C2667" s="19"/>
      <c r="D2667" s="19"/>
      <c r="AC2667" s="6">
        <v>115596</v>
      </c>
      <c r="AD2667" s="6" t="s">
        <v>7493</v>
      </c>
      <c r="AE2667" s="168" t="s">
        <v>3394</v>
      </c>
      <c r="AF2667" s="159" t="s">
        <v>8342</v>
      </c>
      <c r="AG2667" s="161" t="s">
        <v>3088</v>
      </c>
      <c r="AH2667" s="194" t="s">
        <v>679</v>
      </c>
      <c r="AI2667" s="6">
        <v>195223</v>
      </c>
      <c r="AJ2667" s="3" t="s">
        <v>8230</v>
      </c>
      <c r="AK2667" t="s">
        <v>8230</v>
      </c>
      <c r="AV2667"/>
      <c r="AX2667"/>
      <c r="AZ2667" t="str">
        <f t="shared" si="305"/>
        <v/>
      </c>
      <c r="BA2667" t="str">
        <f t="shared" si="306"/>
        <v/>
      </c>
    </row>
    <row r="2668" spans="3:53" ht="15">
      <c r="C2668" s="19"/>
      <c r="D2668" s="19"/>
      <c r="AC2668" s="6">
        <v>155814</v>
      </c>
      <c r="AD2668" s="6" t="s">
        <v>7494</v>
      </c>
      <c r="AE2668" s="168" t="s">
        <v>3395</v>
      </c>
      <c r="AF2668" s="159" t="s">
        <v>8299</v>
      </c>
      <c r="AG2668" s="160" t="s">
        <v>1215</v>
      </c>
      <c r="AH2668" s="194" t="s">
        <v>678</v>
      </c>
      <c r="AI2668" s="6" t="s">
        <v>4245</v>
      </c>
      <c r="AJ2668" s="3" t="s">
        <v>8266</v>
      </c>
      <c r="AK2668" t="s">
        <v>8266</v>
      </c>
      <c r="AV2668"/>
      <c r="AX2668"/>
      <c r="AZ2668" t="str">
        <f t="shared" si="305"/>
        <v/>
      </c>
      <c r="BA2668" t="str">
        <f t="shared" si="306"/>
        <v/>
      </c>
    </row>
    <row r="2669" spans="3:53">
      <c r="C2669" s="19"/>
      <c r="D2669" s="19"/>
      <c r="AC2669" s="6" t="s">
        <v>5146</v>
      </c>
      <c r="AD2669" s="6" t="s">
        <v>7492</v>
      </c>
      <c r="AE2669" s="169" t="s">
        <v>3396</v>
      </c>
      <c r="AF2669" s="159" t="s">
        <v>8299</v>
      </c>
      <c r="AG2669" s="160" t="s">
        <v>3089</v>
      </c>
      <c r="AH2669" s="194" t="s">
        <v>679</v>
      </c>
      <c r="AI2669" s="6" t="s">
        <v>4249</v>
      </c>
      <c r="AJ2669" s="3" t="s">
        <v>8266</v>
      </c>
      <c r="AK2669" t="s">
        <v>8266</v>
      </c>
      <c r="AV2669"/>
      <c r="AX2669"/>
      <c r="AZ2669" t="str">
        <f t="shared" si="305"/>
        <v/>
      </c>
      <c r="BA2669" t="str">
        <f t="shared" si="306"/>
        <v/>
      </c>
    </row>
    <row r="2670" spans="3:53">
      <c r="C2670" s="19"/>
      <c r="D2670" s="19"/>
      <c r="AC2670" s="6" t="s">
        <v>3691</v>
      </c>
      <c r="AD2670" s="6" t="s">
        <v>7495</v>
      </c>
      <c r="AE2670" s="169" t="s">
        <v>3397</v>
      </c>
      <c r="AF2670" s="159" t="s">
        <v>8339</v>
      </c>
      <c r="AG2670" s="160" t="s">
        <v>3090</v>
      </c>
      <c r="AH2670" s="194" t="s">
        <v>679</v>
      </c>
      <c r="AI2670" s="6" t="s">
        <v>4251</v>
      </c>
      <c r="AJ2670" s="3" t="s">
        <v>8266</v>
      </c>
      <c r="AK2670" t="s">
        <v>8266</v>
      </c>
      <c r="AV2670"/>
      <c r="AX2670"/>
      <c r="AZ2670" t="str">
        <f t="shared" si="305"/>
        <v/>
      </c>
      <c r="BA2670" t="str">
        <f t="shared" si="306"/>
        <v/>
      </c>
    </row>
    <row r="2671" spans="3:53">
      <c r="C2671" s="19"/>
      <c r="D2671" s="19"/>
      <c r="AC2671" s="6" t="s">
        <v>84</v>
      </c>
      <c r="AD2671" s="6" t="s">
        <v>7495</v>
      </c>
      <c r="AE2671" s="169" t="s">
        <v>3398</v>
      </c>
      <c r="AF2671" s="159" t="s">
        <v>8411</v>
      </c>
      <c r="AG2671" s="160" t="s">
        <v>3091</v>
      </c>
      <c r="AH2671" s="194" t="s">
        <v>678</v>
      </c>
      <c r="AI2671" s="6" t="s">
        <v>4252</v>
      </c>
      <c r="AJ2671" s="3" t="s">
        <v>8266</v>
      </c>
      <c r="AK2671" t="s">
        <v>8266</v>
      </c>
      <c r="AV2671"/>
      <c r="AX2671"/>
      <c r="AZ2671" t="str">
        <f t="shared" si="305"/>
        <v/>
      </c>
      <c r="BA2671" t="str">
        <f t="shared" si="306"/>
        <v/>
      </c>
    </row>
    <row r="2672" spans="3:53">
      <c r="C2672" s="19"/>
      <c r="D2672" s="19"/>
      <c r="AC2672" s="6" t="s">
        <v>3690</v>
      </c>
      <c r="AD2672" s="6" t="s">
        <v>7495</v>
      </c>
      <c r="AE2672" s="169" t="s">
        <v>3399</v>
      </c>
      <c r="AF2672" s="159" t="s">
        <v>8299</v>
      </c>
      <c r="AG2672" s="160" t="s">
        <v>3092</v>
      </c>
      <c r="AH2672" s="194" t="s">
        <v>679</v>
      </c>
      <c r="AI2672" s="6" t="s">
        <v>4253</v>
      </c>
      <c r="AJ2672" s="3" t="s">
        <v>8266</v>
      </c>
      <c r="AK2672" t="s">
        <v>8266</v>
      </c>
      <c r="AV2672"/>
      <c r="AX2672"/>
      <c r="AZ2672" t="str">
        <f t="shared" si="305"/>
        <v/>
      </c>
      <c r="BA2672" t="str">
        <f t="shared" si="306"/>
        <v/>
      </c>
    </row>
    <row r="2673" spans="3:53" ht="13.5">
      <c r="C2673" s="19"/>
      <c r="D2673" s="19"/>
      <c r="AC2673" s="6">
        <v>115597</v>
      </c>
      <c r="AD2673" s="6" t="s">
        <v>7493</v>
      </c>
      <c r="AE2673" s="170" t="s">
        <v>3400</v>
      </c>
      <c r="AF2673" s="159" t="s">
        <v>8299</v>
      </c>
      <c r="AG2673" s="160" t="s">
        <v>3093</v>
      </c>
      <c r="AH2673" s="194" t="s">
        <v>679</v>
      </c>
      <c r="AI2673" s="6" t="s">
        <v>113</v>
      </c>
      <c r="AJ2673" s="3" t="s">
        <v>8223</v>
      </c>
      <c r="AK2673" t="s">
        <v>8223</v>
      </c>
      <c r="AV2673"/>
      <c r="AX2673"/>
      <c r="AZ2673" t="str">
        <f t="shared" si="305"/>
        <v/>
      </c>
      <c r="BA2673" t="str">
        <f t="shared" si="306"/>
        <v/>
      </c>
    </row>
    <row r="2674" spans="3:53" ht="13.5">
      <c r="C2674" s="19"/>
      <c r="D2674" s="19"/>
      <c r="AC2674" s="6" t="s">
        <v>3658</v>
      </c>
      <c r="AD2674" s="6" t="s">
        <v>7496</v>
      </c>
      <c r="AE2674" s="170" t="s">
        <v>3401</v>
      </c>
      <c r="AF2674" s="159" t="s">
        <v>8299</v>
      </c>
      <c r="AG2674" s="160" t="s">
        <v>3094</v>
      </c>
      <c r="AH2674" s="194" t="s">
        <v>679</v>
      </c>
      <c r="AI2674" s="6" t="s">
        <v>116</v>
      </c>
      <c r="AJ2674" s="3" t="s">
        <v>8233</v>
      </c>
      <c r="AK2674" t="s">
        <v>8233</v>
      </c>
      <c r="AV2674"/>
      <c r="AX2674"/>
      <c r="AZ2674" t="str">
        <f t="shared" si="305"/>
        <v/>
      </c>
      <c r="BA2674" t="str">
        <f t="shared" si="306"/>
        <v/>
      </c>
    </row>
    <row r="2675" spans="3:53" ht="13.5">
      <c r="C2675" s="19"/>
      <c r="D2675" s="19"/>
      <c r="AC2675" s="6" t="s">
        <v>3692</v>
      </c>
      <c r="AD2675" s="6" t="s">
        <v>7495</v>
      </c>
      <c r="AE2675" s="170" t="s">
        <v>3402</v>
      </c>
      <c r="AF2675" s="159" t="s">
        <v>8320</v>
      </c>
      <c r="AG2675" s="160" t="s">
        <v>3095</v>
      </c>
      <c r="AH2675" s="194" t="s">
        <v>679</v>
      </c>
      <c r="AI2675" s="6" t="s">
        <v>4266</v>
      </c>
      <c r="AJ2675" s="3" t="s">
        <v>8261</v>
      </c>
      <c r="AK2675" t="s">
        <v>8261</v>
      </c>
      <c r="AV2675"/>
      <c r="AX2675"/>
      <c r="AZ2675" t="str">
        <f t="shared" si="305"/>
        <v/>
      </c>
      <c r="BA2675" t="str">
        <f t="shared" si="306"/>
        <v/>
      </c>
    </row>
    <row r="2676" spans="3:53" ht="13.5">
      <c r="C2676" s="19"/>
      <c r="D2676" s="19"/>
      <c r="AC2676" s="6">
        <v>806333</v>
      </c>
      <c r="AD2676" s="6" t="s">
        <v>7497</v>
      </c>
      <c r="AE2676" s="170" t="s">
        <v>3403</v>
      </c>
      <c r="AF2676" s="159" t="s">
        <v>8299</v>
      </c>
      <c r="AG2676" s="160" t="s">
        <v>3096</v>
      </c>
      <c r="AH2676" s="194" t="s">
        <v>679</v>
      </c>
      <c r="AI2676" s="6" t="s">
        <v>4270</v>
      </c>
      <c r="AJ2676" s="3" t="s">
        <v>8225</v>
      </c>
      <c r="AK2676" t="s">
        <v>8225</v>
      </c>
      <c r="AV2676"/>
      <c r="AX2676"/>
      <c r="AZ2676" t="str">
        <f t="shared" si="305"/>
        <v/>
      </c>
      <c r="BA2676" t="str">
        <f t="shared" si="306"/>
        <v/>
      </c>
    </row>
    <row r="2677" spans="3:53" ht="13.5">
      <c r="C2677" s="19"/>
      <c r="D2677" s="19"/>
      <c r="AC2677" s="6">
        <v>155813</v>
      </c>
      <c r="AD2677" s="6" t="s">
        <v>7494</v>
      </c>
      <c r="AE2677" s="170" t="s">
        <v>3404</v>
      </c>
      <c r="AF2677" s="159" t="s">
        <v>8297</v>
      </c>
      <c r="AG2677" s="160" t="s">
        <v>3097</v>
      </c>
      <c r="AH2677" s="194" t="s">
        <v>679</v>
      </c>
      <c r="AI2677" s="6" t="s">
        <v>4271</v>
      </c>
      <c r="AJ2677" s="3" t="s">
        <v>8225</v>
      </c>
      <c r="AK2677" t="s">
        <v>8225</v>
      </c>
      <c r="AV2677"/>
      <c r="AX2677"/>
      <c r="AZ2677" t="str">
        <f t="shared" si="305"/>
        <v/>
      </c>
      <c r="BA2677" t="str">
        <f t="shared" si="306"/>
        <v/>
      </c>
    </row>
    <row r="2678" spans="3:53" ht="13.5">
      <c r="C2678" s="19"/>
      <c r="D2678" s="19"/>
      <c r="AC2678" s="6">
        <v>113602</v>
      </c>
      <c r="AD2678" s="6" t="s">
        <v>7498</v>
      </c>
      <c r="AE2678" s="170" t="s">
        <v>3405</v>
      </c>
      <c r="AF2678" s="159" t="s">
        <v>8299</v>
      </c>
      <c r="AG2678" s="160" t="s">
        <v>3098</v>
      </c>
      <c r="AH2678" s="194" t="s">
        <v>679</v>
      </c>
      <c r="AI2678" s="6" t="s">
        <v>118</v>
      </c>
      <c r="AJ2678" s="3" t="s">
        <v>8223</v>
      </c>
      <c r="AK2678" t="s">
        <v>8223</v>
      </c>
      <c r="AV2678"/>
      <c r="AX2678"/>
      <c r="AZ2678" t="str">
        <f t="shared" si="305"/>
        <v/>
      </c>
      <c r="BA2678" t="str">
        <f t="shared" si="306"/>
        <v/>
      </c>
    </row>
    <row r="2679" spans="3:53" ht="13.5">
      <c r="C2679" s="19"/>
      <c r="D2679" s="19"/>
      <c r="AC2679" s="6" t="s">
        <v>6638</v>
      </c>
      <c r="AD2679" s="6" t="s">
        <v>7496</v>
      </c>
      <c r="AE2679" s="170" t="s">
        <v>3406</v>
      </c>
      <c r="AF2679" s="159" t="s">
        <v>8299</v>
      </c>
      <c r="AG2679" s="160" t="s">
        <v>3099</v>
      </c>
      <c r="AH2679" s="194" t="s">
        <v>679</v>
      </c>
      <c r="AI2679" s="6" t="s">
        <v>4272</v>
      </c>
      <c r="AJ2679" s="3" t="s">
        <v>8250</v>
      </c>
      <c r="AK2679" t="s">
        <v>8250</v>
      </c>
      <c r="AV2679"/>
      <c r="AX2679"/>
      <c r="AZ2679" t="str">
        <f t="shared" si="305"/>
        <v/>
      </c>
      <c r="BA2679" t="str">
        <f t="shared" si="306"/>
        <v/>
      </c>
    </row>
    <row r="2680" spans="3:53" ht="13.5">
      <c r="C2680" s="19"/>
      <c r="D2680" s="19"/>
      <c r="AC2680" s="6" t="s">
        <v>3657</v>
      </c>
      <c r="AD2680" s="6" t="s">
        <v>7496</v>
      </c>
      <c r="AE2680" s="170" t="s">
        <v>3407</v>
      </c>
      <c r="AF2680" s="159" t="s">
        <v>8299</v>
      </c>
      <c r="AG2680" s="160" t="s">
        <v>3100</v>
      </c>
      <c r="AH2680" s="194" t="s">
        <v>679</v>
      </c>
      <c r="AI2680" s="6" t="s">
        <v>4275</v>
      </c>
      <c r="AJ2680" s="3" t="s">
        <v>8253</v>
      </c>
      <c r="AK2680" t="s">
        <v>8253</v>
      </c>
      <c r="AV2680"/>
      <c r="AX2680"/>
      <c r="AZ2680" t="str">
        <f t="shared" si="305"/>
        <v/>
      </c>
      <c r="BA2680" t="str">
        <f t="shared" si="306"/>
        <v/>
      </c>
    </row>
    <row r="2681" spans="3:53" ht="13.5">
      <c r="C2681" s="19"/>
      <c r="D2681" s="19"/>
      <c r="AC2681" s="6" t="s">
        <v>3652</v>
      </c>
      <c r="AD2681" s="6" t="s">
        <v>7496</v>
      </c>
      <c r="AE2681" s="170">
        <v>55271</v>
      </c>
      <c r="AF2681" s="159" t="s">
        <v>8309</v>
      </c>
      <c r="AG2681" s="160" t="s">
        <v>3101</v>
      </c>
      <c r="AH2681" s="194" t="s">
        <v>679</v>
      </c>
      <c r="AI2681" s="6" t="s">
        <v>4276</v>
      </c>
      <c r="AJ2681" s="3" t="s">
        <v>8253</v>
      </c>
      <c r="AK2681" t="s">
        <v>8253</v>
      </c>
      <c r="AV2681"/>
      <c r="AX2681"/>
      <c r="AZ2681" t="str">
        <f t="shared" si="305"/>
        <v/>
      </c>
      <c r="BA2681" t="str">
        <f t="shared" si="306"/>
        <v/>
      </c>
    </row>
    <row r="2682" spans="3:53" ht="13.5">
      <c r="C2682" s="19"/>
      <c r="D2682" s="19"/>
      <c r="AC2682" s="6" t="s">
        <v>3649</v>
      </c>
      <c r="AD2682" s="6" t="s">
        <v>7496</v>
      </c>
      <c r="AE2682" s="170">
        <v>55272</v>
      </c>
      <c r="AF2682" s="159" t="s">
        <v>8320</v>
      </c>
      <c r="AG2682" s="160" t="s">
        <v>3102</v>
      </c>
      <c r="AH2682" s="194" t="s">
        <v>678</v>
      </c>
      <c r="AI2682" s="6" t="s">
        <v>4278</v>
      </c>
      <c r="AJ2682" s="3" t="s">
        <v>8253</v>
      </c>
      <c r="AK2682" t="s">
        <v>8253</v>
      </c>
      <c r="AV2682"/>
      <c r="AX2682"/>
      <c r="AZ2682" t="str">
        <f t="shared" si="305"/>
        <v/>
      </c>
      <c r="BA2682" t="str">
        <f t="shared" si="306"/>
        <v/>
      </c>
    </row>
    <row r="2683" spans="3:53" ht="13.5">
      <c r="C2683" s="19"/>
      <c r="D2683" s="19"/>
      <c r="AC2683" s="6" t="s">
        <v>3651</v>
      </c>
      <c r="AD2683" s="6" t="s">
        <v>7496</v>
      </c>
      <c r="AE2683" s="170">
        <v>605403</v>
      </c>
      <c r="AF2683" s="159" t="s">
        <v>8311</v>
      </c>
      <c r="AG2683" s="160" t="s">
        <v>3103</v>
      </c>
      <c r="AH2683" s="194" t="s">
        <v>678</v>
      </c>
      <c r="AI2683" s="6" t="s">
        <v>4282</v>
      </c>
      <c r="AJ2683" s="3" t="s">
        <v>8232</v>
      </c>
      <c r="AK2683" t="s">
        <v>8232</v>
      </c>
      <c r="AV2683"/>
      <c r="AX2683"/>
      <c r="AZ2683" t="str">
        <f t="shared" si="305"/>
        <v/>
      </c>
      <c r="BA2683" t="str">
        <f t="shared" si="306"/>
        <v/>
      </c>
    </row>
    <row r="2684" spans="3:53" ht="13.5">
      <c r="C2684" s="19"/>
      <c r="D2684" s="19"/>
      <c r="AC2684" s="6" t="s">
        <v>3650</v>
      </c>
      <c r="AD2684" s="6" t="s">
        <v>7496</v>
      </c>
      <c r="AE2684" s="170">
        <v>605404</v>
      </c>
      <c r="AF2684" s="159" t="s">
        <v>8299</v>
      </c>
      <c r="AG2684" s="160" t="s">
        <v>3104</v>
      </c>
      <c r="AH2684" s="194" t="s">
        <v>678</v>
      </c>
      <c r="AI2684" s="6" t="s">
        <v>4286</v>
      </c>
      <c r="AJ2684" s="3" t="s">
        <v>8253</v>
      </c>
      <c r="AK2684" t="s">
        <v>8253</v>
      </c>
      <c r="AV2684"/>
      <c r="AX2684"/>
      <c r="AZ2684" t="str">
        <f t="shared" si="305"/>
        <v/>
      </c>
      <c r="BA2684" t="str">
        <f t="shared" si="306"/>
        <v/>
      </c>
    </row>
    <row r="2685" spans="3:53" ht="13.5">
      <c r="C2685" s="19"/>
      <c r="D2685" s="19"/>
      <c r="AC2685" s="6" t="s">
        <v>3653</v>
      </c>
      <c r="AD2685" s="6" t="s">
        <v>7496</v>
      </c>
      <c r="AE2685" s="170">
        <v>605405</v>
      </c>
      <c r="AF2685" s="159" t="s">
        <v>8299</v>
      </c>
      <c r="AG2685" s="160" t="s">
        <v>3105</v>
      </c>
      <c r="AH2685" s="194" t="s">
        <v>678</v>
      </c>
      <c r="AI2685" s="6" t="s">
        <v>4287</v>
      </c>
      <c r="AJ2685" s="3" t="s">
        <v>8253</v>
      </c>
      <c r="AK2685" t="s">
        <v>8253</v>
      </c>
      <c r="AV2685"/>
      <c r="AX2685"/>
      <c r="AZ2685" t="str">
        <f t="shared" si="305"/>
        <v/>
      </c>
      <c r="BA2685" t="str">
        <f t="shared" si="306"/>
        <v/>
      </c>
    </row>
    <row r="2686" spans="3:53" ht="13.5">
      <c r="C2686" s="19"/>
      <c r="D2686" s="19"/>
      <c r="AC2686" s="6" t="s">
        <v>5458</v>
      </c>
      <c r="AD2686" s="6" t="s">
        <v>7492</v>
      </c>
      <c r="AE2686" s="170">
        <v>605406</v>
      </c>
      <c r="AF2686" s="159" t="s">
        <v>8299</v>
      </c>
      <c r="AG2686" s="160" t="s">
        <v>3106</v>
      </c>
      <c r="AH2686" s="194" t="s">
        <v>679</v>
      </c>
      <c r="AI2686" s="6" t="s">
        <v>4288</v>
      </c>
      <c r="AJ2686" s="3" t="s">
        <v>8253</v>
      </c>
      <c r="AK2686" t="s">
        <v>8253</v>
      </c>
      <c r="AV2686"/>
      <c r="AX2686"/>
      <c r="AZ2686" t="str">
        <f t="shared" si="305"/>
        <v/>
      </c>
      <c r="BA2686" t="str">
        <f t="shared" si="306"/>
        <v/>
      </c>
    </row>
    <row r="2687" spans="3:53" ht="13.5">
      <c r="C2687" s="19"/>
      <c r="D2687" s="19"/>
      <c r="AC2687" s="6">
        <v>145628</v>
      </c>
      <c r="AD2687" s="6" t="s">
        <v>7499</v>
      </c>
      <c r="AE2687" s="170" t="s">
        <v>3408</v>
      </c>
      <c r="AF2687" s="159" t="s">
        <v>8299</v>
      </c>
      <c r="AG2687" s="160" t="s">
        <v>3107</v>
      </c>
      <c r="AH2687" s="194" t="s">
        <v>4700</v>
      </c>
      <c r="AI2687" s="6" t="s">
        <v>4290</v>
      </c>
      <c r="AJ2687" s="3" t="s">
        <v>8253</v>
      </c>
      <c r="AK2687" t="s">
        <v>8253</v>
      </c>
      <c r="AV2687"/>
      <c r="AX2687"/>
      <c r="AZ2687" t="str">
        <f t="shared" si="305"/>
        <v/>
      </c>
      <c r="BA2687" t="str">
        <f t="shared" si="306"/>
        <v/>
      </c>
    </row>
    <row r="2688" spans="3:53" ht="13.5">
      <c r="C2688" s="19"/>
      <c r="D2688" s="19"/>
      <c r="AC2688" s="6">
        <v>115598</v>
      </c>
      <c r="AD2688" s="6" t="s">
        <v>7500</v>
      </c>
      <c r="AE2688" s="170" t="s">
        <v>3409</v>
      </c>
      <c r="AF2688" s="159" t="s">
        <v>8299</v>
      </c>
      <c r="AG2688" s="160" t="s">
        <v>3108</v>
      </c>
      <c r="AH2688" s="194" t="s">
        <v>679</v>
      </c>
      <c r="AI2688" s="6" t="s">
        <v>4293</v>
      </c>
      <c r="AJ2688" s="3" t="s">
        <v>8230</v>
      </c>
      <c r="AK2688" t="s">
        <v>8230</v>
      </c>
      <c r="AV2688"/>
      <c r="AX2688"/>
      <c r="AZ2688" t="str">
        <f t="shared" si="305"/>
        <v/>
      </c>
      <c r="BA2688" t="str">
        <f t="shared" si="306"/>
        <v/>
      </c>
    </row>
    <row r="2689" spans="3:53" ht="13.5">
      <c r="C2689" s="19"/>
      <c r="D2689" s="19"/>
      <c r="AC2689" s="6" t="s">
        <v>3654</v>
      </c>
      <c r="AD2689" s="6" t="s">
        <v>7496</v>
      </c>
      <c r="AE2689" s="170" t="s">
        <v>3410</v>
      </c>
      <c r="AF2689" s="159" t="s">
        <v>8299</v>
      </c>
      <c r="AG2689" s="160" t="s">
        <v>3109</v>
      </c>
      <c r="AH2689" s="194" t="s">
        <v>679</v>
      </c>
      <c r="AI2689" s="6" t="s">
        <v>1128</v>
      </c>
      <c r="AJ2689" s="3" t="s">
        <v>8261</v>
      </c>
      <c r="AK2689" t="s">
        <v>8261</v>
      </c>
      <c r="AV2689"/>
      <c r="AX2689"/>
      <c r="AZ2689" t="str">
        <f t="shared" si="305"/>
        <v/>
      </c>
      <c r="BA2689" t="str">
        <f t="shared" si="306"/>
        <v/>
      </c>
    </row>
    <row r="2690" spans="3:53" ht="13.5">
      <c r="C2690" s="19"/>
      <c r="D2690" s="19"/>
      <c r="AC2690" s="6">
        <v>95637</v>
      </c>
      <c r="AD2690" s="6" t="s">
        <v>7501</v>
      </c>
      <c r="AE2690" s="170" t="s">
        <v>3411</v>
      </c>
      <c r="AF2690" s="159" t="s">
        <v>8299</v>
      </c>
      <c r="AG2690" s="160" t="s">
        <v>3110</v>
      </c>
      <c r="AH2690" s="194" t="s">
        <v>679</v>
      </c>
      <c r="AI2690" s="6" t="s">
        <v>119</v>
      </c>
      <c r="AJ2690" s="3" t="s">
        <v>8216</v>
      </c>
      <c r="AK2690" t="s">
        <v>8216</v>
      </c>
      <c r="AV2690"/>
      <c r="AX2690"/>
      <c r="AZ2690" t="str">
        <f t="shared" si="305"/>
        <v/>
      </c>
      <c r="BA2690" t="str">
        <f t="shared" si="306"/>
        <v/>
      </c>
    </row>
    <row r="2691" spans="3:53" ht="13.5">
      <c r="C2691" s="19"/>
      <c r="D2691" s="19"/>
      <c r="AC2691" s="6" t="s">
        <v>3689</v>
      </c>
      <c r="AD2691" s="6" t="s">
        <v>7502</v>
      </c>
      <c r="AE2691" s="170" t="s">
        <v>3412</v>
      </c>
      <c r="AF2691" s="159" t="s">
        <v>8299</v>
      </c>
      <c r="AG2691" s="161" t="s">
        <v>3111</v>
      </c>
      <c r="AH2691" s="194" t="s">
        <v>679</v>
      </c>
      <c r="AI2691" s="6" t="s">
        <v>120</v>
      </c>
      <c r="AJ2691" s="3" t="s">
        <v>8216</v>
      </c>
      <c r="AK2691" t="s">
        <v>8216</v>
      </c>
      <c r="AV2691"/>
      <c r="AX2691"/>
      <c r="AZ2691" t="str">
        <f t="shared" si="305"/>
        <v/>
      </c>
      <c r="BA2691" t="str">
        <f t="shared" si="306"/>
        <v/>
      </c>
    </row>
    <row r="2692" spans="3:53" ht="13.5">
      <c r="C2692" s="19"/>
      <c r="D2692" s="19"/>
      <c r="AC2692" s="6" t="s">
        <v>3688</v>
      </c>
      <c r="AD2692" s="6" t="s">
        <v>7502</v>
      </c>
      <c r="AE2692" s="170" t="s">
        <v>3413</v>
      </c>
      <c r="AF2692" s="159" t="s">
        <v>8299</v>
      </c>
      <c r="AG2692" s="160" t="s">
        <v>3112</v>
      </c>
      <c r="AH2692" s="194" t="s">
        <v>679</v>
      </c>
      <c r="AI2692" s="6" t="s">
        <v>1129</v>
      </c>
      <c r="AJ2692" s="3" t="s">
        <v>8261</v>
      </c>
      <c r="AK2692" t="s">
        <v>8261</v>
      </c>
      <c r="AV2692"/>
      <c r="AX2692"/>
      <c r="AZ2692" t="str">
        <f t="shared" si="305"/>
        <v/>
      </c>
      <c r="BA2692" t="str">
        <f t="shared" si="306"/>
        <v/>
      </c>
    </row>
    <row r="2693" spans="3:53" ht="13.5">
      <c r="C2693" s="19"/>
      <c r="D2693" s="19"/>
      <c r="AC2693" s="6">
        <v>155812</v>
      </c>
      <c r="AD2693" s="6" t="s">
        <v>7494</v>
      </c>
      <c r="AE2693" s="170" t="s">
        <v>3414</v>
      </c>
      <c r="AF2693" s="159" t="s">
        <v>8299</v>
      </c>
      <c r="AG2693" s="160" t="s">
        <v>3113</v>
      </c>
      <c r="AH2693" s="194" t="s">
        <v>679</v>
      </c>
      <c r="AI2693" s="6" t="s">
        <v>1130</v>
      </c>
      <c r="AJ2693" s="3" t="s">
        <v>8261</v>
      </c>
      <c r="AK2693" t="s">
        <v>8261</v>
      </c>
      <c r="AV2693"/>
      <c r="AX2693"/>
      <c r="AZ2693" t="str">
        <f t="shared" si="305"/>
        <v/>
      </c>
      <c r="BA2693" t="str">
        <f t="shared" si="306"/>
        <v/>
      </c>
    </row>
    <row r="2694" spans="3:53" ht="13.5">
      <c r="C2694" s="19"/>
      <c r="D2694" s="19"/>
      <c r="AC2694" s="6" t="s">
        <v>3655</v>
      </c>
      <c r="AD2694" s="6" t="s">
        <v>7503</v>
      </c>
      <c r="AE2694" s="170" t="s">
        <v>3415</v>
      </c>
      <c r="AF2694" s="159" t="s">
        <v>8339</v>
      </c>
      <c r="AG2694" s="160" t="s">
        <v>3114</v>
      </c>
      <c r="AH2694" s="194" t="s">
        <v>679</v>
      </c>
      <c r="AI2694" s="6" t="s">
        <v>4294</v>
      </c>
      <c r="AJ2694" s="3" t="s">
        <v>8261</v>
      </c>
      <c r="AK2694" t="s">
        <v>8261</v>
      </c>
      <c r="AV2694"/>
      <c r="AX2694"/>
      <c r="AZ2694" t="str">
        <f t="shared" si="305"/>
        <v/>
      </c>
      <c r="BA2694" t="str">
        <f t="shared" si="306"/>
        <v/>
      </c>
    </row>
    <row r="2695" spans="3:53" ht="13.5">
      <c r="C2695" s="19"/>
      <c r="D2695" s="19"/>
      <c r="AC2695" s="6" t="s">
        <v>5481</v>
      </c>
      <c r="AD2695" s="6" t="s">
        <v>7504</v>
      </c>
      <c r="AE2695" s="170" t="s">
        <v>3416</v>
      </c>
      <c r="AF2695" s="159" t="s">
        <v>8299</v>
      </c>
      <c r="AG2695" s="160" t="s">
        <v>3115</v>
      </c>
      <c r="AH2695" s="194" t="s">
        <v>679</v>
      </c>
      <c r="AI2695" s="6" t="s">
        <v>4295</v>
      </c>
      <c r="AJ2695" s="3" t="s">
        <v>8244</v>
      </c>
      <c r="AK2695" t="s">
        <v>8244</v>
      </c>
      <c r="AV2695"/>
      <c r="AX2695"/>
      <c r="AZ2695" t="str">
        <f t="shared" si="305"/>
        <v/>
      </c>
      <c r="BA2695" t="str">
        <f t="shared" si="306"/>
        <v/>
      </c>
    </row>
    <row r="2696" spans="3:53" ht="13.5">
      <c r="C2696" s="19"/>
      <c r="D2696" s="19"/>
      <c r="AC2696" s="6" t="s">
        <v>5487</v>
      </c>
      <c r="AD2696" s="6" t="s">
        <v>7492</v>
      </c>
      <c r="AE2696" s="170" t="s">
        <v>3417</v>
      </c>
      <c r="AF2696" s="159" t="s">
        <v>8299</v>
      </c>
      <c r="AG2696" s="160" t="s">
        <v>3116</v>
      </c>
      <c r="AH2696" s="194" t="s">
        <v>678</v>
      </c>
      <c r="AI2696" s="6" t="s">
        <v>1132</v>
      </c>
      <c r="AJ2696" s="3" t="s">
        <v>8218</v>
      </c>
      <c r="AK2696" t="s">
        <v>8218</v>
      </c>
      <c r="AV2696"/>
      <c r="AX2696"/>
      <c r="AZ2696" t="str">
        <f t="shared" si="305"/>
        <v/>
      </c>
      <c r="BA2696" t="str">
        <f t="shared" si="306"/>
        <v/>
      </c>
    </row>
    <row r="2697" spans="3:53" ht="13.5">
      <c r="C2697" s="19"/>
      <c r="D2697" s="19"/>
      <c r="AC2697" s="6" t="s">
        <v>4274</v>
      </c>
      <c r="AD2697" s="6" t="s">
        <v>7505</v>
      </c>
      <c r="AE2697" s="170" t="s">
        <v>3418</v>
      </c>
      <c r="AF2697" s="159" t="s">
        <v>8299</v>
      </c>
      <c r="AG2697" s="160" t="s">
        <v>3117</v>
      </c>
      <c r="AH2697" s="194" t="s">
        <v>678</v>
      </c>
      <c r="AI2697" s="6" t="s">
        <v>4301</v>
      </c>
      <c r="AJ2697" s="3" t="s">
        <v>8266</v>
      </c>
      <c r="AK2697" t="s">
        <v>8266</v>
      </c>
      <c r="AV2697"/>
      <c r="AX2697"/>
      <c r="AZ2697" t="str">
        <f t="shared" si="305"/>
        <v/>
      </c>
      <c r="BA2697" t="str">
        <f t="shared" si="306"/>
        <v/>
      </c>
    </row>
    <row r="2698" spans="3:53" ht="13.5">
      <c r="C2698" s="19"/>
      <c r="D2698" s="19"/>
      <c r="AC2698" s="6" t="s">
        <v>4327</v>
      </c>
      <c r="AD2698" s="6" t="s">
        <v>7506</v>
      </c>
      <c r="AE2698" s="170" t="s">
        <v>3419</v>
      </c>
      <c r="AF2698" s="159" t="s">
        <v>8299</v>
      </c>
      <c r="AG2698" s="160" t="s">
        <v>3118</v>
      </c>
      <c r="AH2698" s="194" t="s">
        <v>678</v>
      </c>
      <c r="AI2698" s="6" t="s">
        <v>1496</v>
      </c>
      <c r="AJ2698" s="3" t="s">
        <v>8197</v>
      </c>
      <c r="AK2698" t="s">
        <v>8197</v>
      </c>
      <c r="AV2698"/>
      <c r="AX2698"/>
      <c r="AZ2698" t="str">
        <f t="shared" si="305"/>
        <v/>
      </c>
      <c r="BA2698" t="str">
        <f t="shared" si="306"/>
        <v/>
      </c>
    </row>
    <row r="2699" spans="3:53" ht="13.5">
      <c r="C2699" s="19"/>
      <c r="D2699" s="19"/>
      <c r="AC2699" s="6">
        <v>113599</v>
      </c>
      <c r="AD2699" s="6" t="s">
        <v>7500</v>
      </c>
      <c r="AE2699" s="170" t="s">
        <v>3420</v>
      </c>
      <c r="AF2699" s="159" t="s">
        <v>8299</v>
      </c>
      <c r="AG2699" s="160" t="s">
        <v>3119</v>
      </c>
      <c r="AH2699" s="194" t="s">
        <v>679</v>
      </c>
      <c r="AI2699" s="6" t="s">
        <v>1497</v>
      </c>
      <c r="AJ2699" s="3" t="s">
        <v>8219</v>
      </c>
      <c r="AK2699" t="s">
        <v>8219</v>
      </c>
      <c r="AV2699"/>
      <c r="AX2699"/>
      <c r="AZ2699" t="str">
        <f t="shared" si="305"/>
        <v/>
      </c>
      <c r="BA2699" t="str">
        <f t="shared" si="306"/>
        <v/>
      </c>
    </row>
    <row r="2700" spans="3:53" ht="13.5">
      <c r="C2700" s="19"/>
      <c r="D2700" s="19"/>
      <c r="AC2700" s="6">
        <v>95638</v>
      </c>
      <c r="AD2700" s="6" t="s">
        <v>7501</v>
      </c>
      <c r="AE2700" s="170" t="s">
        <v>3421</v>
      </c>
      <c r="AF2700" s="159" t="s">
        <v>8299</v>
      </c>
      <c r="AG2700" s="160" t="s">
        <v>3120</v>
      </c>
      <c r="AH2700" s="194" t="s">
        <v>679</v>
      </c>
      <c r="AI2700" s="6" t="s">
        <v>1498</v>
      </c>
      <c r="AJ2700" s="3" t="s">
        <v>8219</v>
      </c>
      <c r="AK2700" t="s">
        <v>8219</v>
      </c>
      <c r="AV2700"/>
      <c r="AX2700"/>
      <c r="AZ2700" t="str">
        <f t="shared" si="305"/>
        <v/>
      </c>
      <c r="BA2700" t="str">
        <f t="shared" si="306"/>
        <v/>
      </c>
    </row>
    <row r="2701" spans="3:53" ht="13.5">
      <c r="C2701" s="19"/>
      <c r="D2701" s="19"/>
      <c r="AC2701" s="6" t="s">
        <v>3659</v>
      </c>
      <c r="AD2701" s="6" t="s">
        <v>7503</v>
      </c>
      <c r="AE2701" s="170" t="s">
        <v>3422</v>
      </c>
      <c r="AF2701" s="159" t="s">
        <v>8339</v>
      </c>
      <c r="AG2701" s="160" t="s">
        <v>3121</v>
      </c>
      <c r="AH2701" s="194" t="s">
        <v>678</v>
      </c>
      <c r="AI2701" s="6" t="s">
        <v>1499</v>
      </c>
      <c r="AJ2701" s="3" t="s">
        <v>8219</v>
      </c>
      <c r="AK2701" t="s">
        <v>8219</v>
      </c>
      <c r="AV2701"/>
      <c r="AX2701"/>
      <c r="AZ2701" t="str">
        <f t="shared" si="305"/>
        <v/>
      </c>
      <c r="BA2701" t="str">
        <f t="shared" si="306"/>
        <v/>
      </c>
    </row>
    <row r="2702" spans="3:53" ht="13.5">
      <c r="C2702" s="19"/>
      <c r="D2702" s="19"/>
      <c r="AC2702" s="6">
        <v>365583</v>
      </c>
      <c r="AD2702" s="6" t="s">
        <v>7507</v>
      </c>
      <c r="AE2702" s="170" t="s">
        <v>1288</v>
      </c>
      <c r="AF2702" s="159" t="s">
        <v>8299</v>
      </c>
      <c r="AG2702" s="160" t="s">
        <v>3122</v>
      </c>
      <c r="AH2702" s="194" t="s">
        <v>678</v>
      </c>
      <c r="AI2702" s="6" t="s">
        <v>121</v>
      </c>
      <c r="AJ2702" s="3" t="s">
        <v>8219</v>
      </c>
      <c r="AK2702" t="s">
        <v>8219</v>
      </c>
      <c r="AV2702"/>
      <c r="AX2702"/>
      <c r="AZ2702" t="str">
        <f t="shared" si="305"/>
        <v/>
      </c>
      <c r="BA2702" t="str">
        <f t="shared" si="306"/>
        <v/>
      </c>
    </row>
    <row r="2703" spans="3:53" ht="13.5">
      <c r="C2703" s="19"/>
      <c r="D2703" s="19"/>
      <c r="AC2703" s="6" t="s">
        <v>4152</v>
      </c>
      <c r="AD2703" s="6" t="s">
        <v>7504</v>
      </c>
      <c r="AE2703" s="170" t="s">
        <v>3423</v>
      </c>
      <c r="AF2703" s="159" t="s">
        <v>8339</v>
      </c>
      <c r="AG2703" s="160" t="s">
        <v>3123</v>
      </c>
      <c r="AH2703" s="194" t="s">
        <v>679</v>
      </c>
      <c r="AI2703" s="6" t="s">
        <v>1134</v>
      </c>
      <c r="AJ2703" s="3" t="s">
        <v>8219</v>
      </c>
      <c r="AK2703" t="s">
        <v>8219</v>
      </c>
      <c r="AV2703"/>
      <c r="AX2703"/>
      <c r="AZ2703" t="str">
        <f t="shared" si="305"/>
        <v/>
      </c>
      <c r="BA2703" t="str">
        <f t="shared" si="306"/>
        <v/>
      </c>
    </row>
    <row r="2704" spans="3:53" ht="13.5">
      <c r="C2704" s="19"/>
      <c r="D2704" s="19"/>
      <c r="AC2704" s="6" t="s">
        <v>4326</v>
      </c>
      <c r="AD2704" s="6" t="s">
        <v>7506</v>
      </c>
      <c r="AE2704" s="170" t="s">
        <v>3424</v>
      </c>
      <c r="AF2704" s="159" t="s">
        <v>8299</v>
      </c>
      <c r="AG2704" s="160" t="s">
        <v>3124</v>
      </c>
      <c r="AH2704" s="194" t="s">
        <v>679</v>
      </c>
      <c r="AI2704" s="6" t="s">
        <v>1500</v>
      </c>
      <c r="AJ2704" s="3" t="s">
        <v>8202</v>
      </c>
      <c r="AK2704" t="s">
        <v>8202</v>
      </c>
      <c r="AV2704"/>
      <c r="AX2704"/>
      <c r="AZ2704" t="str">
        <f t="shared" si="305"/>
        <v/>
      </c>
      <c r="BA2704" t="str">
        <f t="shared" si="306"/>
        <v/>
      </c>
    </row>
    <row r="2705" spans="3:53" ht="13.5">
      <c r="C2705" s="19"/>
      <c r="D2705" s="19"/>
      <c r="AC2705" s="6" t="s">
        <v>5096</v>
      </c>
      <c r="AD2705" s="6" t="s">
        <v>7504</v>
      </c>
      <c r="AE2705" s="170" t="s">
        <v>1213</v>
      </c>
      <c r="AF2705" s="159" t="s">
        <v>8339</v>
      </c>
      <c r="AG2705" s="160" t="s">
        <v>3125</v>
      </c>
      <c r="AH2705" s="194" t="s">
        <v>679</v>
      </c>
      <c r="AI2705" s="6" t="s">
        <v>1501</v>
      </c>
      <c r="AJ2705" s="3" t="s">
        <v>8224</v>
      </c>
      <c r="AK2705" t="s">
        <v>8224</v>
      </c>
      <c r="AV2705"/>
      <c r="AX2705"/>
      <c r="AZ2705" t="str">
        <f t="shared" ref="AZ2705:AZ2768" si="307">IF(ISBLANK(AW2705),"",CONCATENATE("(",RIGHT(AW2705,5),"-",TEXT(AX2705,"h:mm;@"),")"))</f>
        <v/>
      </c>
      <c r="BA2705" t="str">
        <f t="shared" ref="BA2705:BA2768" si="308">IF(AV2721=AV2705,"",CONCATENATE(IF(AV2720=AV2705,BA2720,""),IF(AV2719=AV2705,BA2719,""),IF(AV2718=AV2705,BA2718,""),IF(AV2717=AV2705,BA2717,""),IF(AV2716=AV2705,BA2716,""),IF(AV2715=AV2705,BA2715,""),IF(AV2714=AV2705,BA2714,""),IF(AV2713=AV2705,BA2713,""),IF(AV2712=AV2705,BA2712,""),IF(AV2711=AV2705,BA2711,""),IF(AV2710=AV2705,BA2710,""),IF(AV2709=AV2705,BA2709,""),IF(AV2708=AV2705,BA2708,""),IF(AV2707=AV2705,BA2707,""),IF(AV2706=AV2705,BA2706,""),IF(AV2704=AV2705,BA2704,""),BA2705))</f>
        <v/>
      </c>
    </row>
    <row r="2706" spans="3:53" ht="13.5">
      <c r="C2706" s="19"/>
      <c r="D2706" s="19"/>
      <c r="AC2706" s="6" t="s">
        <v>4163</v>
      </c>
      <c r="AD2706" s="6" t="s">
        <v>7504</v>
      </c>
      <c r="AE2706" s="170" t="s">
        <v>3425</v>
      </c>
      <c r="AF2706" s="159" t="s">
        <v>8299</v>
      </c>
      <c r="AG2706" s="160" t="s">
        <v>3126</v>
      </c>
      <c r="AH2706" s="194" t="s">
        <v>679</v>
      </c>
      <c r="AI2706" s="6" t="s">
        <v>1502</v>
      </c>
      <c r="AJ2706" s="3" t="s">
        <v>8219</v>
      </c>
      <c r="AK2706" t="s">
        <v>8219</v>
      </c>
      <c r="AV2706"/>
      <c r="AX2706"/>
      <c r="AZ2706" t="str">
        <f t="shared" si="307"/>
        <v/>
      </c>
      <c r="BA2706" t="str">
        <f t="shared" si="308"/>
        <v/>
      </c>
    </row>
    <row r="2707" spans="3:53" ht="13.5">
      <c r="C2707" s="19"/>
      <c r="D2707" s="19"/>
      <c r="AC2707" s="6" t="s">
        <v>4157</v>
      </c>
      <c r="AD2707" s="6" t="s">
        <v>7504</v>
      </c>
      <c r="AE2707" s="170" t="s">
        <v>3426</v>
      </c>
      <c r="AF2707" s="159" t="s">
        <v>8299</v>
      </c>
      <c r="AG2707" s="160" t="s">
        <v>3127</v>
      </c>
      <c r="AH2707" s="194" t="s">
        <v>679</v>
      </c>
      <c r="AI2707" s="6" t="s">
        <v>1135</v>
      </c>
      <c r="AJ2707" s="3" t="s">
        <v>8219</v>
      </c>
      <c r="AK2707" t="s">
        <v>8219</v>
      </c>
      <c r="AV2707"/>
      <c r="AX2707"/>
      <c r="AZ2707" t="str">
        <f t="shared" si="307"/>
        <v/>
      </c>
      <c r="BA2707" t="str">
        <f t="shared" si="308"/>
        <v/>
      </c>
    </row>
    <row r="2708" spans="3:53" ht="13.5">
      <c r="C2708" s="19"/>
      <c r="D2708" s="19"/>
      <c r="AC2708" s="6" t="s">
        <v>4155</v>
      </c>
      <c r="AD2708" s="6" t="s">
        <v>7504</v>
      </c>
      <c r="AE2708" s="170" t="s">
        <v>3427</v>
      </c>
      <c r="AF2708" s="159" t="s">
        <v>8339</v>
      </c>
      <c r="AG2708" s="160" t="s">
        <v>3128</v>
      </c>
      <c r="AH2708" s="194" t="s">
        <v>679</v>
      </c>
      <c r="AI2708" s="6" t="s">
        <v>124</v>
      </c>
      <c r="AJ2708" s="3" t="s">
        <v>8224</v>
      </c>
      <c r="AK2708" t="s">
        <v>8224</v>
      </c>
      <c r="AV2708"/>
      <c r="AX2708"/>
      <c r="AZ2708" t="str">
        <f t="shared" si="307"/>
        <v/>
      </c>
      <c r="BA2708" t="str">
        <f t="shared" si="308"/>
        <v/>
      </c>
    </row>
    <row r="2709" spans="3:53" ht="13.5">
      <c r="C2709" s="19"/>
      <c r="D2709" s="19"/>
      <c r="AC2709" s="6" t="s">
        <v>4156</v>
      </c>
      <c r="AD2709" s="6" t="s">
        <v>7504</v>
      </c>
      <c r="AE2709" s="170" t="s">
        <v>3428</v>
      </c>
      <c r="AF2709" s="159" t="s">
        <v>8342</v>
      </c>
      <c r="AG2709" s="160" t="s">
        <v>1216</v>
      </c>
      <c r="AH2709" s="194" t="s">
        <v>678</v>
      </c>
      <c r="AI2709" s="6" t="s">
        <v>4306</v>
      </c>
      <c r="AJ2709" s="3" t="s">
        <v>8199</v>
      </c>
      <c r="AK2709" t="s">
        <v>8199</v>
      </c>
      <c r="AV2709"/>
      <c r="AX2709"/>
      <c r="AZ2709" t="str">
        <f t="shared" si="307"/>
        <v/>
      </c>
      <c r="BA2709" t="str">
        <f t="shared" si="308"/>
        <v/>
      </c>
    </row>
    <row r="2710" spans="3:53" ht="13.5">
      <c r="C2710" s="19"/>
      <c r="D2710" s="19"/>
      <c r="AC2710" s="6" t="s">
        <v>4148</v>
      </c>
      <c r="AD2710" s="6" t="s">
        <v>7504</v>
      </c>
      <c r="AE2710" s="170" t="s">
        <v>3429</v>
      </c>
      <c r="AF2710" s="159" t="s">
        <v>8299</v>
      </c>
      <c r="AG2710" s="160" t="s">
        <v>3129</v>
      </c>
      <c r="AH2710" s="194" t="s">
        <v>679</v>
      </c>
      <c r="AI2710" s="6" t="s">
        <v>4307</v>
      </c>
      <c r="AJ2710" s="3" t="s">
        <v>8199</v>
      </c>
      <c r="AK2710" t="s">
        <v>8199</v>
      </c>
      <c r="AV2710"/>
      <c r="AX2710"/>
      <c r="AZ2710" t="str">
        <f t="shared" si="307"/>
        <v/>
      </c>
      <c r="BA2710" t="str">
        <f t="shared" si="308"/>
        <v/>
      </c>
    </row>
    <row r="2711" spans="3:53" ht="13.5">
      <c r="C2711" s="19"/>
      <c r="D2711" s="19"/>
      <c r="AC2711" s="6" t="s">
        <v>4151</v>
      </c>
      <c r="AD2711" s="6" t="s">
        <v>7504</v>
      </c>
      <c r="AE2711" s="170" t="s">
        <v>3430</v>
      </c>
      <c r="AF2711" s="159" t="s">
        <v>8299</v>
      </c>
      <c r="AG2711" s="160" t="s">
        <v>3130</v>
      </c>
      <c r="AH2711" s="194" t="s">
        <v>678</v>
      </c>
      <c r="AI2711" s="6" t="s">
        <v>1142</v>
      </c>
      <c r="AJ2711" s="3" t="s">
        <v>8229</v>
      </c>
      <c r="AK2711" t="s">
        <v>8229</v>
      </c>
      <c r="AV2711"/>
      <c r="AX2711"/>
      <c r="AZ2711" t="str">
        <f t="shared" si="307"/>
        <v/>
      </c>
      <c r="BA2711" t="str">
        <f t="shared" si="308"/>
        <v/>
      </c>
    </row>
    <row r="2712" spans="3:53" ht="13.5">
      <c r="C2712" s="19"/>
      <c r="D2712" s="19"/>
      <c r="AC2712" s="6" t="s">
        <v>5452</v>
      </c>
      <c r="AD2712" s="6" t="s">
        <v>7508</v>
      </c>
      <c r="AE2712" s="170" t="s">
        <v>3431</v>
      </c>
      <c r="AF2712" s="159" t="s">
        <v>8339</v>
      </c>
      <c r="AG2712" s="160" t="s">
        <v>3131</v>
      </c>
      <c r="AH2712" s="194" t="s">
        <v>679</v>
      </c>
      <c r="AI2712" s="6" t="s">
        <v>4313</v>
      </c>
      <c r="AJ2712" s="3" t="s">
        <v>8229</v>
      </c>
      <c r="AK2712" t="s">
        <v>8229</v>
      </c>
      <c r="AV2712"/>
      <c r="AX2712"/>
      <c r="AZ2712" t="str">
        <f t="shared" si="307"/>
        <v/>
      </c>
      <c r="BA2712" t="str">
        <f t="shared" si="308"/>
        <v/>
      </c>
    </row>
    <row r="2713" spans="3:53" ht="13.5">
      <c r="C2713" s="19"/>
      <c r="D2713" s="19"/>
      <c r="AC2713" s="6" t="s">
        <v>4158</v>
      </c>
      <c r="AD2713" s="6" t="s">
        <v>7504</v>
      </c>
      <c r="AE2713" s="170" t="s">
        <v>3432</v>
      </c>
      <c r="AF2713" s="159" t="s">
        <v>8299</v>
      </c>
      <c r="AG2713" s="160" t="s">
        <v>3132</v>
      </c>
      <c r="AH2713" s="194" t="s">
        <v>679</v>
      </c>
      <c r="AI2713" s="6" t="s">
        <v>1145</v>
      </c>
      <c r="AJ2713" s="3" t="s">
        <v>8225</v>
      </c>
      <c r="AK2713" t="s">
        <v>8225</v>
      </c>
      <c r="AV2713"/>
      <c r="AX2713"/>
      <c r="AZ2713" t="str">
        <f t="shared" si="307"/>
        <v/>
      </c>
      <c r="BA2713" t="str">
        <f t="shared" si="308"/>
        <v/>
      </c>
    </row>
    <row r="2714" spans="3:53" ht="13.5">
      <c r="C2714" s="19"/>
      <c r="D2714" s="19"/>
      <c r="AC2714" s="6" t="s">
        <v>5451</v>
      </c>
      <c r="AD2714" s="6" t="s">
        <v>7508</v>
      </c>
      <c r="AE2714" s="170" t="s">
        <v>3433</v>
      </c>
      <c r="AF2714" s="159" t="s">
        <v>8299</v>
      </c>
      <c r="AG2714" s="160" t="s">
        <v>3133</v>
      </c>
      <c r="AH2714" s="194" t="s">
        <v>679</v>
      </c>
      <c r="AI2714" s="6" t="s">
        <v>4319</v>
      </c>
      <c r="AJ2714" s="3" t="s">
        <v>8230</v>
      </c>
      <c r="AK2714" t="s">
        <v>8230</v>
      </c>
      <c r="AV2714"/>
      <c r="AX2714"/>
      <c r="AZ2714" t="str">
        <f t="shared" si="307"/>
        <v/>
      </c>
      <c r="BA2714" t="str">
        <f t="shared" si="308"/>
        <v/>
      </c>
    </row>
    <row r="2715" spans="3:53" ht="13.5">
      <c r="C2715" s="19"/>
      <c r="D2715" s="19"/>
      <c r="AC2715" s="6" t="s">
        <v>4162</v>
      </c>
      <c r="AD2715" s="6" t="s">
        <v>7504</v>
      </c>
      <c r="AE2715" s="170" t="s">
        <v>3434</v>
      </c>
      <c r="AF2715" s="159" t="s">
        <v>8299</v>
      </c>
      <c r="AG2715" s="160" t="s">
        <v>3134</v>
      </c>
      <c r="AH2715" s="194" t="s">
        <v>679</v>
      </c>
      <c r="AI2715" s="6" t="s">
        <v>4323</v>
      </c>
      <c r="AJ2715" s="3" t="s">
        <v>8230</v>
      </c>
      <c r="AK2715" t="s">
        <v>8230</v>
      </c>
      <c r="AV2715"/>
      <c r="AX2715"/>
      <c r="AZ2715" t="str">
        <f t="shared" si="307"/>
        <v/>
      </c>
      <c r="BA2715" t="str">
        <f t="shared" si="308"/>
        <v/>
      </c>
    </row>
    <row r="2716" spans="3:53" ht="13.5">
      <c r="C2716" s="19"/>
      <c r="D2716" s="19"/>
      <c r="AC2716" s="6" t="s">
        <v>4147</v>
      </c>
      <c r="AD2716" s="6" t="s">
        <v>7504</v>
      </c>
      <c r="AE2716" s="170" t="s">
        <v>3435</v>
      </c>
      <c r="AF2716" s="159" t="s">
        <v>8299</v>
      </c>
      <c r="AG2716" s="160" t="s">
        <v>3135</v>
      </c>
      <c r="AH2716" s="194" t="s">
        <v>678</v>
      </c>
      <c r="AI2716" s="6" t="s">
        <v>127</v>
      </c>
      <c r="AJ2716" s="3" t="s">
        <v>8202</v>
      </c>
      <c r="AK2716" t="s">
        <v>8202</v>
      </c>
      <c r="AV2716"/>
      <c r="AX2716"/>
      <c r="AZ2716" t="str">
        <f t="shared" si="307"/>
        <v/>
      </c>
      <c r="BA2716" t="str">
        <f t="shared" si="308"/>
        <v/>
      </c>
    </row>
    <row r="2717" spans="3:53" ht="13.5">
      <c r="C2717" s="19"/>
      <c r="D2717" s="19"/>
      <c r="AC2717" s="6" t="s">
        <v>4487</v>
      </c>
      <c r="AD2717" s="6" t="s">
        <v>7504</v>
      </c>
      <c r="AE2717" s="170" t="s">
        <v>3436</v>
      </c>
      <c r="AF2717" s="159" t="s">
        <v>8299</v>
      </c>
      <c r="AG2717" s="160" t="s">
        <v>3136</v>
      </c>
      <c r="AH2717" s="194" t="s">
        <v>678</v>
      </c>
      <c r="AI2717" s="6">
        <v>203888</v>
      </c>
      <c r="AJ2717" s="3" t="s">
        <v>8266</v>
      </c>
      <c r="AK2717" t="s">
        <v>8266</v>
      </c>
      <c r="AV2717"/>
      <c r="AX2717"/>
      <c r="AZ2717" t="str">
        <f t="shared" si="307"/>
        <v/>
      </c>
      <c r="BA2717" t="str">
        <f t="shared" si="308"/>
        <v/>
      </c>
    </row>
    <row r="2718" spans="3:53" ht="13.5">
      <c r="C2718" s="19"/>
      <c r="D2718" s="19"/>
      <c r="AC2718" s="6" t="s">
        <v>3687</v>
      </c>
      <c r="AD2718" s="6" t="s">
        <v>7509</v>
      </c>
      <c r="AE2718" s="170" t="s">
        <v>3437</v>
      </c>
      <c r="AF2718" s="159" t="s">
        <v>8299</v>
      </c>
      <c r="AG2718" s="160" t="s">
        <v>3137</v>
      </c>
      <c r="AH2718" s="194" t="s">
        <v>678</v>
      </c>
      <c r="AI2718" s="6">
        <v>203889</v>
      </c>
      <c r="AJ2718" s="3" t="s">
        <v>8244</v>
      </c>
      <c r="AK2718" t="s">
        <v>8244</v>
      </c>
      <c r="AV2718"/>
      <c r="AX2718"/>
      <c r="AZ2718" t="str">
        <f t="shared" si="307"/>
        <v/>
      </c>
      <c r="BA2718" t="str">
        <f t="shared" si="308"/>
        <v/>
      </c>
    </row>
    <row r="2719" spans="3:53" ht="13.5">
      <c r="C2719" s="19"/>
      <c r="D2719" s="19"/>
      <c r="AC2719" s="6" t="s">
        <v>4149</v>
      </c>
      <c r="AD2719" s="6" t="s">
        <v>7504</v>
      </c>
      <c r="AE2719" s="170" t="s">
        <v>3438</v>
      </c>
      <c r="AF2719" s="159" t="s">
        <v>8299</v>
      </c>
      <c r="AG2719" s="160" t="s">
        <v>3138</v>
      </c>
      <c r="AH2719" s="194" t="s">
        <v>679</v>
      </c>
      <c r="AI2719" s="6">
        <v>205589</v>
      </c>
      <c r="AJ2719" s="3" t="s">
        <v>8266</v>
      </c>
      <c r="AK2719" t="s">
        <v>8266</v>
      </c>
      <c r="AV2719"/>
      <c r="AX2719"/>
      <c r="AZ2719" t="str">
        <f t="shared" si="307"/>
        <v/>
      </c>
      <c r="BA2719" t="str">
        <f t="shared" si="308"/>
        <v/>
      </c>
    </row>
    <row r="2720" spans="3:53" ht="13.5">
      <c r="C2720" s="19"/>
      <c r="D2720" s="19"/>
      <c r="AC2720" s="6" t="s">
        <v>4146</v>
      </c>
      <c r="AD2720" s="6" t="s">
        <v>7504</v>
      </c>
      <c r="AE2720" s="170" t="s">
        <v>3439</v>
      </c>
      <c r="AF2720" s="159" t="s">
        <v>8299</v>
      </c>
      <c r="AG2720" s="160" t="s">
        <v>3139</v>
      </c>
      <c r="AH2720" s="194" t="s">
        <v>679</v>
      </c>
      <c r="AI2720" s="6">
        <v>205590</v>
      </c>
      <c r="AJ2720" s="3" t="s">
        <v>8266</v>
      </c>
      <c r="AK2720" t="s">
        <v>8266</v>
      </c>
      <c r="AV2720"/>
      <c r="AX2720"/>
      <c r="AZ2720" t="str">
        <f t="shared" si="307"/>
        <v/>
      </c>
      <c r="BA2720" t="str">
        <f t="shared" si="308"/>
        <v/>
      </c>
    </row>
    <row r="2721" spans="3:53" ht="13.5">
      <c r="C2721" s="19"/>
      <c r="D2721" s="19"/>
      <c r="AC2721" s="6" t="s">
        <v>3686</v>
      </c>
      <c r="AD2721" s="6" t="s">
        <v>7509</v>
      </c>
      <c r="AE2721" s="170" t="s">
        <v>3440</v>
      </c>
      <c r="AF2721" s="159" t="s">
        <v>8299</v>
      </c>
      <c r="AG2721" s="160" t="s">
        <v>3140</v>
      </c>
      <c r="AH2721" s="194" t="s">
        <v>678</v>
      </c>
      <c r="AI2721" s="6">
        <v>215582</v>
      </c>
      <c r="AJ2721" s="3" t="s">
        <v>8244</v>
      </c>
      <c r="AK2721" t="s">
        <v>8244</v>
      </c>
      <c r="AV2721"/>
      <c r="AX2721"/>
      <c r="AZ2721" t="str">
        <f t="shared" si="307"/>
        <v/>
      </c>
      <c r="BA2721" t="str">
        <f t="shared" si="308"/>
        <v/>
      </c>
    </row>
    <row r="2722" spans="3:53" ht="13.5">
      <c r="C2722" s="19"/>
      <c r="D2722" s="19"/>
      <c r="AC2722" s="6" t="s">
        <v>1127</v>
      </c>
      <c r="AD2722" s="6" t="s">
        <v>7504</v>
      </c>
      <c r="AE2722" s="170" t="s">
        <v>3441</v>
      </c>
      <c r="AF2722" s="159" t="s">
        <v>8299</v>
      </c>
      <c r="AG2722" s="160" t="s">
        <v>3141</v>
      </c>
      <c r="AH2722" s="194" t="s">
        <v>678</v>
      </c>
      <c r="AI2722" s="6">
        <v>243418</v>
      </c>
      <c r="AJ2722" s="3" t="s">
        <v>8255</v>
      </c>
      <c r="AK2722" t="s">
        <v>8255</v>
      </c>
      <c r="AV2722"/>
      <c r="AX2722"/>
      <c r="AZ2722" t="str">
        <f t="shared" si="307"/>
        <v/>
      </c>
      <c r="BA2722" t="str">
        <f t="shared" si="308"/>
        <v/>
      </c>
    </row>
    <row r="2723" spans="3:53" ht="13.5">
      <c r="C2723" s="19"/>
      <c r="D2723" s="19"/>
      <c r="AC2723" s="6" t="s">
        <v>4159</v>
      </c>
      <c r="AD2723" s="6" t="s">
        <v>7504</v>
      </c>
      <c r="AE2723" s="170" t="s">
        <v>3442</v>
      </c>
      <c r="AF2723" s="159" t="s">
        <v>8339</v>
      </c>
      <c r="AG2723" s="161" t="s">
        <v>3142</v>
      </c>
      <c r="AH2723" s="194" t="s">
        <v>679</v>
      </c>
      <c r="AI2723" s="6">
        <v>244881</v>
      </c>
      <c r="AJ2723" s="3" t="s">
        <v>8241</v>
      </c>
      <c r="AK2723" t="s">
        <v>8675</v>
      </c>
      <c r="AV2723"/>
      <c r="AX2723"/>
      <c r="AZ2723" t="str">
        <f t="shared" si="307"/>
        <v/>
      </c>
      <c r="BA2723" t="str">
        <f t="shared" si="308"/>
        <v/>
      </c>
    </row>
    <row r="2724" spans="3:53" ht="13.5">
      <c r="C2724" s="19"/>
      <c r="D2724" s="19"/>
      <c r="AC2724" s="6" t="s">
        <v>4160</v>
      </c>
      <c r="AD2724" s="6" t="s">
        <v>7504</v>
      </c>
      <c r="AE2724" s="170" t="s">
        <v>3443</v>
      </c>
      <c r="AF2724" s="159" t="s">
        <v>8339</v>
      </c>
      <c r="AG2724" s="160" t="s">
        <v>3143</v>
      </c>
      <c r="AH2724" s="194" t="s">
        <v>679</v>
      </c>
      <c r="AI2724" s="6">
        <v>245210</v>
      </c>
      <c r="AJ2724" s="3" t="s">
        <v>8254</v>
      </c>
      <c r="AK2724" t="s">
        <v>8254</v>
      </c>
      <c r="AV2724"/>
      <c r="AX2724"/>
      <c r="AZ2724" t="str">
        <f t="shared" si="307"/>
        <v/>
      </c>
      <c r="BA2724" t="str">
        <f t="shared" si="308"/>
        <v/>
      </c>
    </row>
    <row r="2725" spans="3:53" ht="13.5">
      <c r="C2725" s="19"/>
      <c r="D2725" s="19"/>
      <c r="AC2725" s="6" t="s">
        <v>3694</v>
      </c>
      <c r="AD2725" s="6" t="s">
        <v>7509</v>
      </c>
      <c r="AE2725" s="170" t="s">
        <v>3444</v>
      </c>
      <c r="AF2725" s="159" t="s">
        <v>8339</v>
      </c>
      <c r="AG2725" s="160" t="s">
        <v>3144</v>
      </c>
      <c r="AH2725" s="194" t="s">
        <v>679</v>
      </c>
      <c r="AI2725" s="6">
        <v>245214</v>
      </c>
      <c r="AJ2725" s="3" t="s">
        <v>8241</v>
      </c>
      <c r="AK2725" t="s">
        <v>8675</v>
      </c>
      <c r="AV2725"/>
      <c r="AX2725"/>
      <c r="AZ2725" t="str">
        <f t="shared" si="307"/>
        <v/>
      </c>
      <c r="BA2725" t="str">
        <f t="shared" si="308"/>
        <v/>
      </c>
    </row>
    <row r="2726" spans="3:53" ht="13.5">
      <c r="C2726" s="19"/>
      <c r="D2726" s="19"/>
      <c r="AC2726" s="6" t="s">
        <v>3693</v>
      </c>
      <c r="AD2726" s="6" t="s">
        <v>7509</v>
      </c>
      <c r="AE2726" s="170" t="s">
        <v>3445</v>
      </c>
      <c r="AF2726" s="159" t="s">
        <v>8299</v>
      </c>
      <c r="AG2726" s="160" t="s">
        <v>3145</v>
      </c>
      <c r="AH2726" s="194" t="s">
        <v>679</v>
      </c>
      <c r="AI2726" s="6">
        <v>245216</v>
      </c>
      <c r="AJ2726" s="3" t="s">
        <v>8255</v>
      </c>
      <c r="AK2726" t="s">
        <v>8255</v>
      </c>
      <c r="AV2726"/>
      <c r="AX2726"/>
      <c r="AZ2726" t="str">
        <f t="shared" si="307"/>
        <v/>
      </c>
      <c r="BA2726" t="str">
        <f t="shared" si="308"/>
        <v/>
      </c>
    </row>
    <row r="2727" spans="3:53" ht="13.5">
      <c r="C2727" s="19"/>
      <c r="D2727" s="19"/>
      <c r="AC2727" s="6" t="s">
        <v>4161</v>
      </c>
      <c r="AD2727" s="6" t="s">
        <v>7504</v>
      </c>
      <c r="AE2727" s="170" t="s">
        <v>3446</v>
      </c>
      <c r="AF2727" s="159" t="s">
        <v>8299</v>
      </c>
      <c r="AG2727" s="160" t="s">
        <v>3146</v>
      </c>
      <c r="AH2727" s="194" t="s">
        <v>678</v>
      </c>
      <c r="AI2727" s="6">
        <v>245249</v>
      </c>
      <c r="AJ2727" s="3" t="s">
        <v>8277</v>
      </c>
      <c r="AK2727" t="s">
        <v>8277</v>
      </c>
      <c r="AV2727"/>
      <c r="AX2727"/>
      <c r="AZ2727" t="str">
        <f t="shared" si="307"/>
        <v/>
      </c>
      <c r="BA2727" t="str">
        <f t="shared" si="308"/>
        <v/>
      </c>
    </row>
    <row r="2728" spans="3:53" ht="13.5">
      <c r="C2728" s="19"/>
      <c r="D2728" s="19"/>
      <c r="AC2728" s="6" t="s">
        <v>3685</v>
      </c>
      <c r="AD2728" s="6" t="s">
        <v>7509</v>
      </c>
      <c r="AE2728" s="170" t="s">
        <v>3447</v>
      </c>
      <c r="AF2728" s="159" t="s">
        <v>8299</v>
      </c>
      <c r="AG2728" s="160" t="s">
        <v>3147</v>
      </c>
      <c r="AH2728" s="194" t="s">
        <v>678</v>
      </c>
      <c r="AI2728" s="6">
        <v>245285</v>
      </c>
      <c r="AJ2728" s="3" t="s">
        <v>8277</v>
      </c>
      <c r="AK2728" t="s">
        <v>8277</v>
      </c>
      <c r="AV2728"/>
      <c r="AX2728"/>
      <c r="AZ2728" t="str">
        <f t="shared" si="307"/>
        <v/>
      </c>
      <c r="BA2728" t="str">
        <f t="shared" si="308"/>
        <v/>
      </c>
    </row>
    <row r="2729" spans="3:53" ht="13.5">
      <c r="C2729" s="19"/>
      <c r="D2729" s="19"/>
      <c r="AC2729" s="6" t="s">
        <v>4150</v>
      </c>
      <c r="AD2729" s="6" t="s">
        <v>7504</v>
      </c>
      <c r="AE2729" s="170" t="s">
        <v>3448</v>
      </c>
      <c r="AF2729" s="159" t="s">
        <v>8339</v>
      </c>
      <c r="AG2729" s="160" t="s">
        <v>3148</v>
      </c>
      <c r="AH2729" s="194" t="s">
        <v>679</v>
      </c>
      <c r="AI2729" s="6">
        <v>246836</v>
      </c>
      <c r="AJ2729" s="3" t="s">
        <v>8275</v>
      </c>
      <c r="AK2729" t="s">
        <v>8275</v>
      </c>
      <c r="AV2729"/>
      <c r="AX2729"/>
      <c r="AZ2729" t="str">
        <f t="shared" si="307"/>
        <v/>
      </c>
      <c r="BA2729" t="str">
        <f t="shared" si="308"/>
        <v/>
      </c>
    </row>
    <row r="2730" spans="3:53" ht="13.5">
      <c r="C2730" s="19"/>
      <c r="D2730" s="19"/>
      <c r="AC2730" s="6" t="s">
        <v>1289</v>
      </c>
      <c r="AD2730" s="6" t="s">
        <v>7504</v>
      </c>
      <c r="AE2730" s="170" t="s">
        <v>3449</v>
      </c>
      <c r="AF2730" s="159" t="s">
        <v>8299</v>
      </c>
      <c r="AG2730" s="160" t="s">
        <v>3149</v>
      </c>
      <c r="AH2730" s="194" t="s">
        <v>679</v>
      </c>
      <c r="AI2730" s="6">
        <v>255313</v>
      </c>
      <c r="AJ2730" s="3" t="s">
        <v>8234</v>
      </c>
      <c r="AK2730" t="s">
        <v>8234</v>
      </c>
      <c r="AV2730"/>
      <c r="AX2730"/>
      <c r="AZ2730" t="str">
        <f t="shared" si="307"/>
        <v/>
      </c>
      <c r="BA2730" t="str">
        <f t="shared" si="308"/>
        <v/>
      </c>
    </row>
    <row r="2731" spans="3:53" ht="13.5">
      <c r="C2731" s="19"/>
      <c r="D2731" s="19"/>
      <c r="AC2731" s="6" t="s">
        <v>4154</v>
      </c>
      <c r="AD2731" s="6" t="s">
        <v>7504</v>
      </c>
      <c r="AE2731" s="170" t="s">
        <v>3574</v>
      </c>
      <c r="AF2731" s="159" t="s">
        <v>8299</v>
      </c>
      <c r="AG2731" s="160" t="s">
        <v>3150</v>
      </c>
      <c r="AH2731" s="194" t="s">
        <v>678</v>
      </c>
      <c r="AI2731" s="6">
        <v>255314</v>
      </c>
      <c r="AJ2731" s="3" t="s">
        <v>8234</v>
      </c>
      <c r="AK2731" t="s">
        <v>8234</v>
      </c>
      <c r="AV2731"/>
      <c r="AX2731"/>
      <c r="AZ2731" t="str">
        <f t="shared" si="307"/>
        <v/>
      </c>
      <c r="BA2731" t="str">
        <f t="shared" si="308"/>
        <v/>
      </c>
    </row>
    <row r="2732" spans="3:53" ht="13.5">
      <c r="C2732" s="19"/>
      <c r="D2732" s="19"/>
      <c r="AC2732" s="6">
        <v>285291</v>
      </c>
      <c r="AD2732" s="6" t="s">
        <v>7510</v>
      </c>
      <c r="AE2732" s="170" t="s">
        <v>4415</v>
      </c>
      <c r="AF2732" s="159" t="s">
        <v>8299</v>
      </c>
      <c r="AG2732" s="160" t="s">
        <v>3151</v>
      </c>
      <c r="AH2732" s="194" t="s">
        <v>678</v>
      </c>
      <c r="AI2732" s="6">
        <v>255315</v>
      </c>
      <c r="AJ2732" s="3" t="s">
        <v>8234</v>
      </c>
      <c r="AK2732" t="s">
        <v>8234</v>
      </c>
      <c r="AV2732"/>
      <c r="AX2732"/>
      <c r="AZ2732" t="str">
        <f t="shared" si="307"/>
        <v/>
      </c>
      <c r="BA2732" t="str">
        <f t="shared" si="308"/>
        <v/>
      </c>
    </row>
    <row r="2733" spans="3:53" ht="13.5">
      <c r="C2733" s="19"/>
      <c r="D2733" s="19"/>
      <c r="AC2733" s="6" t="s">
        <v>83</v>
      </c>
      <c r="AD2733" s="6" t="s">
        <v>7504</v>
      </c>
      <c r="AE2733" s="170" t="s">
        <v>3450</v>
      </c>
      <c r="AF2733" s="159" t="s">
        <v>8299</v>
      </c>
      <c r="AG2733" s="160" t="s">
        <v>3152</v>
      </c>
      <c r="AH2733" s="194" t="s">
        <v>679</v>
      </c>
      <c r="AI2733" s="6">
        <v>255316</v>
      </c>
      <c r="AJ2733" s="3" t="s">
        <v>8234</v>
      </c>
      <c r="AK2733" t="s">
        <v>8234</v>
      </c>
      <c r="AV2733"/>
      <c r="AX2733"/>
      <c r="AZ2733" t="str">
        <f t="shared" si="307"/>
        <v/>
      </c>
      <c r="BA2733" t="str">
        <f t="shared" si="308"/>
        <v/>
      </c>
    </row>
    <row r="2734" spans="3:53" ht="13.5">
      <c r="C2734" s="19"/>
      <c r="D2734" s="19"/>
      <c r="AC2734" s="6" t="s">
        <v>4153</v>
      </c>
      <c r="AD2734" s="6" t="s">
        <v>7504</v>
      </c>
      <c r="AE2734" s="170" t="s">
        <v>3451</v>
      </c>
      <c r="AF2734" s="159" t="s">
        <v>8339</v>
      </c>
      <c r="AG2734" s="160" t="s">
        <v>3153</v>
      </c>
      <c r="AH2734" s="194" t="s">
        <v>678</v>
      </c>
      <c r="AI2734" s="6">
        <v>255317</v>
      </c>
      <c r="AJ2734" s="3" t="s">
        <v>8234</v>
      </c>
      <c r="AK2734" t="s">
        <v>8234</v>
      </c>
      <c r="AV2734"/>
      <c r="AX2734"/>
      <c r="AZ2734" t="str">
        <f t="shared" si="307"/>
        <v/>
      </c>
      <c r="BA2734" t="str">
        <f t="shared" si="308"/>
        <v/>
      </c>
    </row>
    <row r="2735" spans="3:53" ht="13.5">
      <c r="C2735" s="19"/>
      <c r="D2735" s="19"/>
      <c r="AC2735" s="6" t="s">
        <v>5041</v>
      </c>
      <c r="AD2735" s="6" t="s">
        <v>7504</v>
      </c>
      <c r="AE2735" s="170" t="s">
        <v>1220</v>
      </c>
      <c r="AF2735" s="159" t="s">
        <v>8299</v>
      </c>
      <c r="AG2735" s="160" t="s">
        <v>3154</v>
      </c>
      <c r="AH2735" s="194" t="s">
        <v>678</v>
      </c>
      <c r="AI2735" s="6">
        <v>265287</v>
      </c>
      <c r="AJ2735" s="3" t="s">
        <v>8233</v>
      </c>
      <c r="AK2735" t="s">
        <v>8233</v>
      </c>
      <c r="AV2735"/>
      <c r="AX2735"/>
      <c r="AZ2735" t="str">
        <f t="shared" si="307"/>
        <v/>
      </c>
      <c r="BA2735" t="str">
        <f t="shared" si="308"/>
        <v/>
      </c>
    </row>
    <row r="2736" spans="3:53" ht="13.5">
      <c r="C2736" s="19"/>
      <c r="D2736" s="19"/>
      <c r="AC2736" s="6" t="s">
        <v>5450</v>
      </c>
      <c r="AD2736" s="6" t="s">
        <v>7492</v>
      </c>
      <c r="AE2736" s="170" t="s">
        <v>3453</v>
      </c>
      <c r="AF2736" s="159" t="s">
        <v>8299</v>
      </c>
      <c r="AG2736" s="160" t="s">
        <v>5383</v>
      </c>
      <c r="AH2736" s="194" t="s">
        <v>678</v>
      </c>
      <c r="AI2736" s="6">
        <v>265288</v>
      </c>
      <c r="AJ2736" s="3" t="s">
        <v>8233</v>
      </c>
      <c r="AK2736" t="s">
        <v>8233</v>
      </c>
      <c r="AV2736"/>
      <c r="AX2736"/>
      <c r="AZ2736" t="str">
        <f t="shared" si="307"/>
        <v/>
      </c>
      <c r="BA2736" t="str">
        <f t="shared" si="308"/>
        <v/>
      </c>
    </row>
    <row r="2737" spans="3:53" ht="13.5">
      <c r="C2737" s="19"/>
      <c r="D2737" s="19"/>
      <c r="AC2737" s="6" t="s">
        <v>4325</v>
      </c>
      <c r="AD2737" s="6" t="s">
        <v>7506</v>
      </c>
      <c r="AE2737" s="170" t="s">
        <v>3454</v>
      </c>
      <c r="AF2737" s="159" t="s">
        <v>8299</v>
      </c>
      <c r="AG2737" s="160" t="s">
        <v>3155</v>
      </c>
      <c r="AH2737" s="194" t="s">
        <v>678</v>
      </c>
      <c r="AI2737" s="6">
        <v>273707</v>
      </c>
      <c r="AJ2737" s="3" t="s">
        <v>8244</v>
      </c>
      <c r="AK2737" t="s">
        <v>8244</v>
      </c>
      <c r="AV2737"/>
      <c r="AX2737"/>
      <c r="AZ2737" t="str">
        <f t="shared" si="307"/>
        <v/>
      </c>
      <c r="BA2737" t="str">
        <f t="shared" si="308"/>
        <v/>
      </c>
    </row>
    <row r="2738" spans="3:53" ht="13.5">
      <c r="C2738" s="19"/>
      <c r="D2738" s="19"/>
      <c r="AC2738" s="6">
        <v>285418</v>
      </c>
      <c r="AD2738" s="6" t="s">
        <v>7510</v>
      </c>
      <c r="AE2738" s="170" t="s">
        <v>3455</v>
      </c>
      <c r="AF2738" s="159" t="s">
        <v>8299</v>
      </c>
      <c r="AG2738" s="160" t="s">
        <v>3156</v>
      </c>
      <c r="AH2738" s="194" t="s">
        <v>678</v>
      </c>
      <c r="AI2738" s="6">
        <v>275289</v>
      </c>
      <c r="AJ2738" s="3" t="s">
        <v>8250</v>
      </c>
      <c r="AK2738" t="s">
        <v>8250</v>
      </c>
      <c r="AV2738"/>
      <c r="AX2738"/>
      <c r="AZ2738" t="str">
        <f t="shared" si="307"/>
        <v/>
      </c>
      <c r="BA2738" t="str">
        <f t="shared" si="308"/>
        <v/>
      </c>
    </row>
    <row r="2739" spans="3:53" ht="13.5">
      <c r="C2739" s="19"/>
      <c r="D2739" s="19"/>
      <c r="AC2739" s="6">
        <v>115600</v>
      </c>
      <c r="AD2739" s="6" t="s">
        <v>7500</v>
      </c>
      <c r="AE2739" s="170" t="s">
        <v>3456</v>
      </c>
      <c r="AF2739" s="159" t="s">
        <v>8299</v>
      </c>
      <c r="AG2739" s="160" t="s">
        <v>3157</v>
      </c>
      <c r="AH2739" s="194" t="s">
        <v>679</v>
      </c>
      <c r="AI2739" s="6">
        <v>293591</v>
      </c>
      <c r="AJ2739" s="3" t="s">
        <v>8225</v>
      </c>
      <c r="AK2739" t="s">
        <v>8225</v>
      </c>
      <c r="AV2739"/>
      <c r="AX2739"/>
      <c r="AZ2739" t="str">
        <f t="shared" si="307"/>
        <v/>
      </c>
      <c r="BA2739" t="str">
        <f t="shared" si="308"/>
        <v/>
      </c>
    </row>
    <row r="2740" spans="3:53" ht="13.5">
      <c r="C2740" s="19"/>
      <c r="D2740" s="19"/>
      <c r="AC2740" s="6" t="s">
        <v>4075</v>
      </c>
      <c r="AD2740" s="6" t="s">
        <v>7511</v>
      </c>
      <c r="AE2740" s="170" t="s">
        <v>3457</v>
      </c>
      <c r="AF2740" s="159" t="s">
        <v>8299</v>
      </c>
      <c r="AG2740" s="160" t="s">
        <v>3158</v>
      </c>
      <c r="AH2740" s="194" t="s">
        <v>678</v>
      </c>
      <c r="AI2740" s="6">
        <v>293698</v>
      </c>
      <c r="AJ2740" s="3" t="s">
        <v>8225</v>
      </c>
      <c r="AK2740" t="s">
        <v>8225</v>
      </c>
      <c r="AV2740"/>
      <c r="AX2740"/>
      <c r="AZ2740" t="str">
        <f t="shared" si="307"/>
        <v/>
      </c>
      <c r="BA2740" t="str">
        <f t="shared" si="308"/>
        <v/>
      </c>
    </row>
    <row r="2741" spans="3:53" ht="13.5">
      <c r="C2741" s="19"/>
      <c r="D2741" s="19"/>
      <c r="AC2741" s="6" t="s">
        <v>3915</v>
      </c>
      <c r="AD2741" s="6" t="s">
        <v>7512</v>
      </c>
      <c r="AE2741" s="170" t="s">
        <v>3458</v>
      </c>
      <c r="AF2741" s="159" t="s">
        <v>8299</v>
      </c>
      <c r="AG2741" s="160" t="s">
        <v>3159</v>
      </c>
      <c r="AH2741" s="194" t="s">
        <v>679</v>
      </c>
      <c r="AI2741" s="6">
        <v>295246</v>
      </c>
      <c r="AJ2741" s="3" t="s">
        <v>8216</v>
      </c>
      <c r="AK2741" t="s">
        <v>8216</v>
      </c>
      <c r="AV2741"/>
      <c r="AX2741"/>
      <c r="AZ2741" t="str">
        <f t="shared" si="307"/>
        <v/>
      </c>
      <c r="BA2741" t="str">
        <f t="shared" si="308"/>
        <v/>
      </c>
    </row>
    <row r="2742" spans="3:53" ht="13.5">
      <c r="C2742" s="19"/>
      <c r="D2742" s="19"/>
      <c r="AC2742" s="6" t="s">
        <v>3919</v>
      </c>
      <c r="AD2742" s="6" t="s">
        <v>7512</v>
      </c>
      <c r="AE2742" s="170" t="s">
        <v>3459</v>
      </c>
      <c r="AF2742" s="159" t="s">
        <v>8339</v>
      </c>
      <c r="AG2742" s="160" t="s">
        <v>3160</v>
      </c>
      <c r="AH2742" s="194" t="s">
        <v>679</v>
      </c>
      <c r="AI2742" s="6">
        <v>295247</v>
      </c>
      <c r="AJ2742" s="3" t="s">
        <v>8261</v>
      </c>
      <c r="AK2742" t="s">
        <v>8261</v>
      </c>
      <c r="AV2742"/>
      <c r="AX2742"/>
      <c r="AZ2742" t="str">
        <f t="shared" si="307"/>
        <v/>
      </c>
      <c r="BA2742" t="str">
        <f t="shared" si="308"/>
        <v/>
      </c>
    </row>
    <row r="2743" spans="3:53" ht="13.5">
      <c r="C2743" s="19"/>
      <c r="D2743" s="19"/>
      <c r="AC2743" s="6" t="s">
        <v>3918</v>
      </c>
      <c r="AD2743" s="6" t="s">
        <v>7512</v>
      </c>
      <c r="AE2743" s="170" t="s">
        <v>3460</v>
      </c>
      <c r="AF2743" s="159" t="s">
        <v>8299</v>
      </c>
      <c r="AG2743" s="160" t="s">
        <v>3161</v>
      </c>
      <c r="AH2743" s="194" t="s">
        <v>679</v>
      </c>
      <c r="AI2743" s="6">
        <v>295293</v>
      </c>
      <c r="AJ2743" s="3" t="s">
        <v>8216</v>
      </c>
      <c r="AK2743" t="s">
        <v>8216</v>
      </c>
      <c r="AV2743"/>
      <c r="AX2743"/>
      <c r="AZ2743" t="str">
        <f t="shared" si="307"/>
        <v/>
      </c>
      <c r="BA2743" t="str">
        <f t="shared" si="308"/>
        <v/>
      </c>
    </row>
    <row r="2744" spans="3:53" ht="13.5">
      <c r="C2744" s="19"/>
      <c r="D2744" s="19"/>
      <c r="AC2744" s="6" t="s">
        <v>3916</v>
      </c>
      <c r="AD2744" s="6" t="s">
        <v>7512</v>
      </c>
      <c r="AE2744" s="170" t="s">
        <v>3461</v>
      </c>
      <c r="AF2744" s="159" t="s">
        <v>8339</v>
      </c>
      <c r="AG2744" s="160" t="s">
        <v>3451</v>
      </c>
      <c r="AH2744" s="194" t="s">
        <v>678</v>
      </c>
      <c r="AI2744" s="6">
        <v>295295</v>
      </c>
      <c r="AJ2744" s="3" t="s">
        <v>8225</v>
      </c>
      <c r="AK2744" t="s">
        <v>8225</v>
      </c>
      <c r="AV2744"/>
      <c r="AX2744"/>
      <c r="AZ2744" t="str">
        <f t="shared" si="307"/>
        <v/>
      </c>
      <c r="BA2744" t="str">
        <f t="shared" si="308"/>
        <v/>
      </c>
    </row>
    <row r="2745" spans="3:53" ht="13.5">
      <c r="AC2745" s="6" t="s">
        <v>3917</v>
      </c>
      <c r="AD2745" s="6" t="s">
        <v>7512</v>
      </c>
      <c r="AE2745" s="170" t="s">
        <v>3462</v>
      </c>
      <c r="AF2745" s="159" t="s">
        <v>8299</v>
      </c>
      <c r="AG2745" s="160" t="s">
        <v>3162</v>
      </c>
      <c r="AH2745" s="194" t="s">
        <v>679</v>
      </c>
      <c r="AI2745" s="6" t="s">
        <v>1147</v>
      </c>
      <c r="AJ2745" s="3" t="s">
        <v>8224</v>
      </c>
      <c r="AK2745" t="s">
        <v>8224</v>
      </c>
      <c r="AV2745"/>
      <c r="AX2745"/>
      <c r="AZ2745" t="str">
        <f t="shared" si="307"/>
        <v/>
      </c>
      <c r="BA2745" t="str">
        <f t="shared" si="308"/>
        <v/>
      </c>
    </row>
    <row r="2746" spans="3:53" ht="13.5">
      <c r="AC2746" s="6" t="s">
        <v>1206</v>
      </c>
      <c r="AD2746" s="6" t="s">
        <v>7513</v>
      </c>
      <c r="AE2746" s="170" t="s">
        <v>3463</v>
      </c>
      <c r="AF2746" s="159" t="s">
        <v>8299</v>
      </c>
      <c r="AG2746" s="160" t="s">
        <v>3163</v>
      </c>
      <c r="AH2746" s="194" t="s">
        <v>678</v>
      </c>
      <c r="AI2746" s="6" t="s">
        <v>1148</v>
      </c>
      <c r="AJ2746" s="3" t="s">
        <v>8233</v>
      </c>
      <c r="AK2746" t="s">
        <v>8233</v>
      </c>
      <c r="AV2746"/>
      <c r="AX2746"/>
      <c r="AZ2746" t="str">
        <f t="shared" si="307"/>
        <v/>
      </c>
      <c r="BA2746" t="str">
        <f t="shared" si="308"/>
        <v/>
      </c>
    </row>
    <row r="2747" spans="3:53" ht="13.5">
      <c r="AC2747" s="6" t="s">
        <v>4063</v>
      </c>
      <c r="AD2747" s="6" t="s">
        <v>7508</v>
      </c>
      <c r="AE2747" s="170" t="s">
        <v>3464</v>
      </c>
      <c r="AF2747" s="159" t="s">
        <v>8339</v>
      </c>
      <c r="AG2747" s="160" t="s">
        <v>3164</v>
      </c>
      <c r="AH2747" s="194" t="s">
        <v>679</v>
      </c>
      <c r="AI2747" s="6" t="s">
        <v>4337</v>
      </c>
      <c r="AJ2747" s="3" t="s">
        <v>8236</v>
      </c>
      <c r="AK2747" t="s">
        <v>8236</v>
      </c>
      <c r="AV2747"/>
      <c r="AX2747"/>
      <c r="AZ2747" t="str">
        <f t="shared" si="307"/>
        <v/>
      </c>
      <c r="BA2747" t="str">
        <f t="shared" si="308"/>
        <v/>
      </c>
    </row>
    <row r="2748" spans="3:53" ht="13.5">
      <c r="AC2748" s="6" t="s">
        <v>5454</v>
      </c>
      <c r="AD2748" s="6" t="s">
        <v>7508</v>
      </c>
      <c r="AE2748" s="170" t="s">
        <v>3466</v>
      </c>
      <c r="AF2748" s="159" t="s">
        <v>8339</v>
      </c>
      <c r="AG2748" s="160" t="s">
        <v>3165</v>
      </c>
      <c r="AH2748" s="194" t="s">
        <v>679</v>
      </c>
      <c r="AI2748" s="6" t="s">
        <v>4339</v>
      </c>
      <c r="AJ2748" s="3" t="s">
        <v>8225</v>
      </c>
      <c r="AK2748" t="s">
        <v>8225</v>
      </c>
      <c r="AV2748"/>
      <c r="AX2748"/>
      <c r="AZ2748" t="str">
        <f t="shared" si="307"/>
        <v/>
      </c>
      <c r="BA2748" t="str">
        <f t="shared" si="308"/>
        <v/>
      </c>
    </row>
    <row r="2749" spans="3:53" ht="13.5">
      <c r="AC2749" s="6" t="s">
        <v>3846</v>
      </c>
      <c r="AD2749" s="6" t="s">
        <v>7513</v>
      </c>
      <c r="AE2749" s="170" t="s">
        <v>3467</v>
      </c>
      <c r="AF2749" s="159" t="s">
        <v>8339</v>
      </c>
      <c r="AG2749" s="160" t="s">
        <v>3166</v>
      </c>
      <c r="AH2749" s="194" t="s">
        <v>679</v>
      </c>
      <c r="AI2749" s="6" t="s">
        <v>1149</v>
      </c>
      <c r="AJ2749" s="3" t="s">
        <v>8225</v>
      </c>
      <c r="AK2749" t="s">
        <v>8225</v>
      </c>
      <c r="AV2749"/>
      <c r="AX2749"/>
      <c r="AZ2749" t="str">
        <f t="shared" si="307"/>
        <v/>
      </c>
      <c r="BA2749" t="str">
        <f t="shared" si="308"/>
        <v/>
      </c>
    </row>
    <row r="2750" spans="3:53" ht="13.5">
      <c r="AC2750" s="6" t="s">
        <v>5730</v>
      </c>
      <c r="AD2750" s="6" t="s">
        <v>7508</v>
      </c>
      <c r="AE2750" s="170" t="s">
        <v>3468</v>
      </c>
      <c r="AF2750" s="159" t="s">
        <v>8339</v>
      </c>
      <c r="AG2750" s="160" t="s">
        <v>3167</v>
      </c>
      <c r="AH2750" s="194" t="s">
        <v>678</v>
      </c>
      <c r="AI2750" s="6" t="s">
        <v>4340</v>
      </c>
      <c r="AJ2750" s="3" t="s">
        <v>8229</v>
      </c>
      <c r="AK2750" t="s">
        <v>8229</v>
      </c>
      <c r="AV2750"/>
      <c r="AX2750"/>
      <c r="AZ2750" t="str">
        <f t="shared" si="307"/>
        <v/>
      </c>
      <c r="BA2750" t="str">
        <f t="shared" si="308"/>
        <v/>
      </c>
    </row>
    <row r="2751" spans="3:53" ht="13.5">
      <c r="AC2751" s="6" t="s">
        <v>4390</v>
      </c>
      <c r="AD2751" s="6" t="s">
        <v>7514</v>
      </c>
      <c r="AE2751" s="170" t="s">
        <v>3469</v>
      </c>
      <c r="AF2751" s="159" t="s">
        <v>8339</v>
      </c>
      <c r="AG2751" s="160" t="s">
        <v>3168</v>
      </c>
      <c r="AH2751" s="194" t="s">
        <v>679</v>
      </c>
      <c r="AI2751" s="6" t="s">
        <v>1511</v>
      </c>
      <c r="AJ2751" s="3" t="s">
        <v>8210</v>
      </c>
      <c r="AK2751" t="s">
        <v>8210</v>
      </c>
      <c r="AV2751"/>
      <c r="AX2751"/>
      <c r="AZ2751" t="str">
        <f t="shared" si="307"/>
        <v/>
      </c>
      <c r="BA2751" t="str">
        <f t="shared" si="308"/>
        <v/>
      </c>
    </row>
    <row r="2752" spans="3:53" ht="13.5">
      <c r="AC2752" s="6" t="s">
        <v>5112</v>
      </c>
      <c r="AD2752" s="6" t="s">
        <v>7515</v>
      </c>
      <c r="AE2752" s="170" t="s">
        <v>3470</v>
      </c>
      <c r="AF2752" s="159" t="s">
        <v>8339</v>
      </c>
      <c r="AG2752" s="160" t="s">
        <v>3169</v>
      </c>
      <c r="AH2752" s="194" t="s">
        <v>679</v>
      </c>
      <c r="AI2752" s="6" t="s">
        <v>1512</v>
      </c>
      <c r="AJ2752" s="3" t="s">
        <v>8210</v>
      </c>
      <c r="AK2752" t="s">
        <v>8210</v>
      </c>
      <c r="AV2752"/>
      <c r="AX2752"/>
      <c r="AZ2752" t="str">
        <f t="shared" si="307"/>
        <v/>
      </c>
      <c r="BA2752" t="str">
        <f t="shared" si="308"/>
        <v/>
      </c>
    </row>
    <row r="2753" spans="29:53" ht="13.5">
      <c r="AC2753" s="6" t="s">
        <v>4273</v>
      </c>
      <c r="AD2753" s="6" t="s">
        <v>7516</v>
      </c>
      <c r="AE2753" s="170" t="s">
        <v>3471</v>
      </c>
      <c r="AF2753" s="159" t="s">
        <v>8299</v>
      </c>
      <c r="AG2753" s="160" t="s">
        <v>3170</v>
      </c>
      <c r="AH2753" s="194" t="s">
        <v>679</v>
      </c>
      <c r="AI2753" s="6" t="s">
        <v>1514</v>
      </c>
      <c r="AJ2753" s="3" t="s">
        <v>8219</v>
      </c>
      <c r="AK2753" t="s">
        <v>8219</v>
      </c>
      <c r="AV2753"/>
      <c r="AX2753"/>
      <c r="AZ2753" t="str">
        <f t="shared" si="307"/>
        <v/>
      </c>
      <c r="BA2753" t="str">
        <f t="shared" si="308"/>
        <v/>
      </c>
    </row>
    <row r="2754" spans="29:53" ht="13.5">
      <c r="AC2754" s="6" t="s">
        <v>131</v>
      </c>
      <c r="AD2754" s="6" t="s">
        <v>7517</v>
      </c>
      <c r="AE2754" s="170" t="s">
        <v>3472</v>
      </c>
      <c r="AF2754" s="159" t="s">
        <v>8299</v>
      </c>
      <c r="AG2754" s="160" t="s">
        <v>3171</v>
      </c>
      <c r="AH2754" s="194" t="s">
        <v>679</v>
      </c>
      <c r="AI2754" s="6" t="s">
        <v>1515</v>
      </c>
      <c r="AJ2754" s="3" t="s">
        <v>8210</v>
      </c>
      <c r="AK2754" t="s">
        <v>8210</v>
      </c>
      <c r="AV2754"/>
      <c r="AX2754"/>
      <c r="AZ2754" t="str">
        <f t="shared" si="307"/>
        <v/>
      </c>
      <c r="BA2754" t="str">
        <f t="shared" si="308"/>
        <v/>
      </c>
    </row>
    <row r="2755" spans="29:53" ht="13.5">
      <c r="AC2755" s="6" t="s">
        <v>4324</v>
      </c>
      <c r="AD2755" s="6" t="s">
        <v>7506</v>
      </c>
      <c r="AE2755" s="170" t="s">
        <v>3473</v>
      </c>
      <c r="AF2755" s="159" t="s">
        <v>8299</v>
      </c>
      <c r="AG2755" s="160" t="s">
        <v>3172</v>
      </c>
      <c r="AH2755" s="194" t="s">
        <v>679</v>
      </c>
      <c r="AI2755" s="6" t="s">
        <v>2087</v>
      </c>
      <c r="AJ2755" s="3" t="s">
        <v>8235</v>
      </c>
      <c r="AK2755" t="s">
        <v>8672</v>
      </c>
      <c r="AV2755"/>
      <c r="AX2755"/>
      <c r="AZ2755" t="str">
        <f t="shared" si="307"/>
        <v/>
      </c>
      <c r="BA2755" t="str">
        <f t="shared" si="308"/>
        <v/>
      </c>
    </row>
    <row r="2756" spans="29:53" ht="13.5">
      <c r="AC2756" s="6" t="s">
        <v>5205</v>
      </c>
      <c r="AD2756" s="6" t="s">
        <v>7504</v>
      </c>
      <c r="AE2756" s="170" t="s">
        <v>3474</v>
      </c>
      <c r="AF2756" s="159" t="s">
        <v>8299</v>
      </c>
      <c r="AG2756" s="160" t="s">
        <v>3173</v>
      </c>
      <c r="AH2756" s="194" t="s">
        <v>678</v>
      </c>
      <c r="AI2756" s="6" t="s">
        <v>2088</v>
      </c>
      <c r="AJ2756" s="3" t="s">
        <v>8235</v>
      </c>
      <c r="AK2756" t="s">
        <v>8672</v>
      </c>
      <c r="AV2756"/>
      <c r="AX2756"/>
      <c r="AZ2756" t="str">
        <f t="shared" si="307"/>
        <v/>
      </c>
      <c r="BA2756" t="str">
        <f t="shared" si="308"/>
        <v/>
      </c>
    </row>
    <row r="2757" spans="29:53" ht="13.5">
      <c r="AC2757" s="6" t="s">
        <v>5136</v>
      </c>
      <c r="AD2757" s="6" t="s">
        <v>7504</v>
      </c>
      <c r="AE2757" s="170" t="s">
        <v>3475</v>
      </c>
      <c r="AF2757" s="159" t="s">
        <v>8299</v>
      </c>
      <c r="AG2757" s="160" t="s">
        <v>3174</v>
      </c>
      <c r="AH2757" s="194" t="s">
        <v>678</v>
      </c>
      <c r="AI2757" s="6" t="s">
        <v>2090</v>
      </c>
      <c r="AJ2757" s="3" t="s">
        <v>8235</v>
      </c>
      <c r="AK2757" t="s">
        <v>8672</v>
      </c>
      <c r="AV2757"/>
      <c r="AX2757"/>
      <c r="AZ2757" t="str">
        <f t="shared" si="307"/>
        <v/>
      </c>
      <c r="BA2757" t="str">
        <f t="shared" si="308"/>
        <v/>
      </c>
    </row>
    <row r="2758" spans="29:53" ht="13.5">
      <c r="AC2758" s="6" t="s">
        <v>5536</v>
      </c>
      <c r="AD2758" s="6" t="s">
        <v>7508</v>
      </c>
      <c r="AE2758" s="170" t="s">
        <v>3476</v>
      </c>
      <c r="AF2758" s="159" t="s">
        <v>8299</v>
      </c>
      <c r="AG2758" s="160" t="s">
        <v>3175</v>
      </c>
      <c r="AH2758" s="194" t="s">
        <v>679</v>
      </c>
      <c r="AI2758" s="6" t="s">
        <v>2272</v>
      </c>
      <c r="AJ2758" s="3" t="s">
        <v>8232</v>
      </c>
      <c r="AK2758" t="s">
        <v>8232</v>
      </c>
      <c r="AV2758"/>
      <c r="AX2758"/>
      <c r="AZ2758" t="str">
        <f t="shared" si="307"/>
        <v/>
      </c>
      <c r="BA2758" t="str">
        <f t="shared" si="308"/>
        <v/>
      </c>
    </row>
    <row r="2759" spans="29:53" ht="13.5">
      <c r="AC2759" s="6" t="s">
        <v>4074</v>
      </c>
      <c r="AD2759" s="6" t="s">
        <v>7508</v>
      </c>
      <c r="AE2759" s="170" t="s">
        <v>3477</v>
      </c>
      <c r="AF2759" s="159" t="s">
        <v>8299</v>
      </c>
      <c r="AG2759" s="160" t="s">
        <v>3176</v>
      </c>
      <c r="AH2759" s="194" t="s">
        <v>679</v>
      </c>
      <c r="AI2759" s="6" t="s">
        <v>2091</v>
      </c>
      <c r="AJ2759" s="3" t="s">
        <v>8213</v>
      </c>
      <c r="AK2759" t="s">
        <v>8213</v>
      </c>
      <c r="AV2759"/>
      <c r="AX2759"/>
      <c r="AZ2759" t="str">
        <f t="shared" si="307"/>
        <v/>
      </c>
      <c r="BA2759" t="str">
        <f t="shared" si="308"/>
        <v/>
      </c>
    </row>
    <row r="2760" spans="29:53" ht="13.5">
      <c r="AC2760" s="6" t="s">
        <v>1113</v>
      </c>
      <c r="AD2760" s="6" t="s">
        <v>7508</v>
      </c>
      <c r="AE2760" s="170" t="s">
        <v>3478</v>
      </c>
      <c r="AF2760" s="159" t="s">
        <v>8299</v>
      </c>
      <c r="AG2760" s="160" t="s">
        <v>1217</v>
      </c>
      <c r="AH2760" s="194" t="s">
        <v>679</v>
      </c>
      <c r="AI2760" s="6" t="s">
        <v>4342</v>
      </c>
      <c r="AJ2760" s="3" t="s">
        <v>8213</v>
      </c>
      <c r="AK2760" t="s">
        <v>8213</v>
      </c>
      <c r="AV2760"/>
      <c r="AX2760"/>
      <c r="AZ2760" t="str">
        <f t="shared" si="307"/>
        <v/>
      </c>
      <c r="BA2760" t="str">
        <f t="shared" si="308"/>
        <v/>
      </c>
    </row>
    <row r="2761" spans="29:53" ht="13.5">
      <c r="AC2761" s="6">
        <v>206416</v>
      </c>
      <c r="AD2761" s="6" t="s">
        <v>7507</v>
      </c>
      <c r="AE2761" s="170" t="s">
        <v>3479</v>
      </c>
      <c r="AF2761" s="159" t="s">
        <v>8299</v>
      </c>
      <c r="AG2761" s="160" t="s">
        <v>3177</v>
      </c>
      <c r="AH2761" s="194" t="s">
        <v>678</v>
      </c>
      <c r="AI2761" s="6" t="s">
        <v>4343</v>
      </c>
      <c r="AJ2761" s="3" t="s">
        <v>8213</v>
      </c>
      <c r="AK2761" t="s">
        <v>8213</v>
      </c>
      <c r="AV2761"/>
      <c r="AX2761"/>
      <c r="AZ2761" t="str">
        <f t="shared" si="307"/>
        <v/>
      </c>
      <c r="BA2761" t="str">
        <f t="shared" si="308"/>
        <v/>
      </c>
    </row>
    <row r="2762" spans="29:53" ht="13.5">
      <c r="AC2762" s="6" t="s">
        <v>4071</v>
      </c>
      <c r="AD2762" s="6" t="s">
        <v>7508</v>
      </c>
      <c r="AE2762" s="170" t="s">
        <v>3480</v>
      </c>
      <c r="AF2762" s="159" t="s">
        <v>8299</v>
      </c>
      <c r="AG2762" s="160" t="s">
        <v>3178</v>
      </c>
      <c r="AH2762" s="194" t="s">
        <v>678</v>
      </c>
      <c r="AI2762" s="6" t="s">
        <v>4344</v>
      </c>
      <c r="AJ2762" s="3" t="s">
        <v>8213</v>
      </c>
      <c r="AK2762" t="s">
        <v>8213</v>
      </c>
      <c r="AV2762"/>
      <c r="AX2762"/>
      <c r="AZ2762" t="str">
        <f t="shared" si="307"/>
        <v/>
      </c>
      <c r="BA2762" t="str">
        <f t="shared" si="308"/>
        <v/>
      </c>
    </row>
    <row r="2763" spans="29:53" ht="13.5">
      <c r="AC2763" s="6" t="s">
        <v>4065</v>
      </c>
      <c r="AD2763" s="6" t="s">
        <v>7508</v>
      </c>
      <c r="AE2763" s="170" t="s">
        <v>3481</v>
      </c>
      <c r="AF2763" s="159" t="s">
        <v>8299</v>
      </c>
      <c r="AG2763" s="160" t="s">
        <v>3179</v>
      </c>
      <c r="AH2763" s="194" t="s">
        <v>679</v>
      </c>
      <c r="AI2763" s="6" t="s">
        <v>4345</v>
      </c>
      <c r="AJ2763" s="3" t="s">
        <v>8213</v>
      </c>
      <c r="AK2763" t="s">
        <v>8213</v>
      </c>
      <c r="AV2763"/>
      <c r="AX2763"/>
      <c r="AZ2763" t="str">
        <f t="shared" si="307"/>
        <v/>
      </c>
      <c r="BA2763" t="str">
        <f t="shared" si="308"/>
        <v/>
      </c>
    </row>
    <row r="2764" spans="29:53" ht="13.5">
      <c r="AC2764" s="6" t="s">
        <v>4072</v>
      </c>
      <c r="AD2764" s="6" t="s">
        <v>7508</v>
      </c>
      <c r="AE2764" s="170" t="s">
        <v>3482</v>
      </c>
      <c r="AF2764" s="159" t="s">
        <v>8299</v>
      </c>
      <c r="AG2764" s="160" t="s">
        <v>3180</v>
      </c>
      <c r="AH2764" s="194" t="s">
        <v>679</v>
      </c>
      <c r="AI2764" s="6" t="s">
        <v>4346</v>
      </c>
      <c r="AJ2764" s="3" t="s">
        <v>8213</v>
      </c>
      <c r="AK2764" t="s">
        <v>8213</v>
      </c>
      <c r="AV2764"/>
      <c r="AX2764"/>
      <c r="AZ2764" t="str">
        <f t="shared" si="307"/>
        <v/>
      </c>
      <c r="BA2764" t="str">
        <f t="shared" si="308"/>
        <v/>
      </c>
    </row>
    <row r="2765" spans="29:53" ht="13.5">
      <c r="AC2765" s="6">
        <v>115601</v>
      </c>
      <c r="AD2765" s="6" t="s">
        <v>7500</v>
      </c>
      <c r="AE2765" s="170" t="s">
        <v>3483</v>
      </c>
      <c r="AF2765" s="159" t="s">
        <v>8299</v>
      </c>
      <c r="AG2765" s="160" t="s">
        <v>3181</v>
      </c>
      <c r="AH2765" s="194" t="s">
        <v>679</v>
      </c>
      <c r="AI2765" s="6" t="s">
        <v>2094</v>
      </c>
      <c r="AJ2765" s="3" t="s">
        <v>8213</v>
      </c>
      <c r="AK2765" t="s">
        <v>8213</v>
      </c>
      <c r="AV2765"/>
      <c r="AX2765"/>
      <c r="AZ2765" t="str">
        <f t="shared" si="307"/>
        <v/>
      </c>
      <c r="BA2765" t="str">
        <f t="shared" si="308"/>
        <v/>
      </c>
    </row>
    <row r="2766" spans="29:53" ht="13.5">
      <c r="AC2766" s="6" t="s">
        <v>4067</v>
      </c>
      <c r="AD2766" s="6" t="s">
        <v>7508</v>
      </c>
      <c r="AE2766" s="170" t="s">
        <v>3484</v>
      </c>
      <c r="AF2766" s="159" t="s">
        <v>8299</v>
      </c>
      <c r="AG2766" s="160" t="s">
        <v>3182</v>
      </c>
      <c r="AH2766" s="194" t="s">
        <v>679</v>
      </c>
      <c r="AI2766" s="6" t="s">
        <v>2100</v>
      </c>
      <c r="AJ2766" s="3" t="s">
        <v>8213</v>
      </c>
      <c r="AK2766" t="s">
        <v>8213</v>
      </c>
      <c r="AV2766"/>
      <c r="AX2766"/>
      <c r="AZ2766" t="str">
        <f t="shared" si="307"/>
        <v/>
      </c>
      <c r="BA2766" t="str">
        <f t="shared" si="308"/>
        <v/>
      </c>
    </row>
    <row r="2767" spans="29:53" ht="13.5">
      <c r="AC2767" s="6" t="s">
        <v>4064</v>
      </c>
      <c r="AD2767" s="6" t="s">
        <v>7508</v>
      </c>
      <c r="AE2767" s="170" t="s">
        <v>3485</v>
      </c>
      <c r="AF2767" s="159" t="s">
        <v>8299</v>
      </c>
      <c r="AG2767" s="160" t="s">
        <v>3448</v>
      </c>
      <c r="AH2767" s="194" t="s">
        <v>678</v>
      </c>
      <c r="AI2767" s="6" t="s">
        <v>2102</v>
      </c>
      <c r="AJ2767" s="3" t="s">
        <v>8235</v>
      </c>
      <c r="AK2767" t="s">
        <v>8672</v>
      </c>
      <c r="AV2767"/>
      <c r="AX2767"/>
      <c r="AZ2767" t="str">
        <f t="shared" si="307"/>
        <v/>
      </c>
      <c r="BA2767" t="str">
        <f t="shared" si="308"/>
        <v/>
      </c>
    </row>
    <row r="2768" spans="29:53" ht="13.5">
      <c r="AC2768" s="6" t="s">
        <v>4070</v>
      </c>
      <c r="AD2768" s="6" t="s">
        <v>7508</v>
      </c>
      <c r="AE2768" s="170" t="s">
        <v>3486</v>
      </c>
      <c r="AF2768" s="159" t="s">
        <v>8299</v>
      </c>
      <c r="AG2768" s="160" t="s">
        <v>3183</v>
      </c>
      <c r="AH2768" s="194" t="s">
        <v>679</v>
      </c>
      <c r="AI2768" s="6" t="s">
        <v>2103</v>
      </c>
      <c r="AJ2768" s="3" t="s">
        <v>8235</v>
      </c>
      <c r="AK2768" t="s">
        <v>8672</v>
      </c>
      <c r="AV2768"/>
      <c r="AX2768"/>
      <c r="AZ2768" t="str">
        <f t="shared" si="307"/>
        <v/>
      </c>
      <c r="BA2768" t="str">
        <f t="shared" si="308"/>
        <v/>
      </c>
    </row>
    <row r="2769" spans="29:53" ht="13.5">
      <c r="AC2769" s="6" t="s">
        <v>4073</v>
      </c>
      <c r="AD2769" s="6" t="s">
        <v>7508</v>
      </c>
      <c r="AE2769" s="170" t="s">
        <v>3487</v>
      </c>
      <c r="AF2769" s="159" t="s">
        <v>8299</v>
      </c>
      <c r="AG2769" s="160" t="s">
        <v>3184</v>
      </c>
      <c r="AH2769" s="194" t="s">
        <v>678</v>
      </c>
      <c r="AI2769" s="6" t="s">
        <v>2105</v>
      </c>
      <c r="AJ2769" s="3" t="s">
        <v>8227</v>
      </c>
      <c r="AK2769" t="s">
        <v>8227</v>
      </c>
      <c r="AV2769"/>
      <c r="AX2769"/>
      <c r="AZ2769" t="str">
        <f t="shared" ref="AZ2769:AZ2832" si="309">IF(ISBLANK(AW2769),"",CONCATENATE("(",RIGHT(AW2769,5),"-",TEXT(AX2769,"h:mm;@"),")"))</f>
        <v/>
      </c>
      <c r="BA2769" t="str">
        <f t="shared" ref="BA2769:BA2832" si="310">IF(AV2785=AV2769,"",CONCATENATE(IF(AV2784=AV2769,BA2784,""),IF(AV2783=AV2769,BA2783,""),IF(AV2782=AV2769,BA2782,""),IF(AV2781=AV2769,BA2781,""),IF(AV2780=AV2769,BA2780,""),IF(AV2779=AV2769,BA2779,""),IF(AV2778=AV2769,BA2778,""),IF(AV2777=AV2769,BA2777,""),IF(AV2776=AV2769,BA2776,""),IF(AV2775=AV2769,BA2775,""),IF(AV2774=AV2769,BA2774,""),IF(AV2773=AV2769,BA2773,""),IF(AV2772=AV2769,BA2772,""),IF(AV2771=AV2769,BA2771,""),IF(AV2770=AV2769,BA2770,""),IF(AV2768=AV2769,BA2768,""),BA2769))</f>
        <v/>
      </c>
    </row>
    <row r="2770" spans="29:53" ht="13.5">
      <c r="AC2770" s="6" t="s">
        <v>4061</v>
      </c>
      <c r="AD2770" s="6" t="s">
        <v>7508</v>
      </c>
      <c r="AE2770" s="170" t="s">
        <v>3488</v>
      </c>
      <c r="AF2770" s="159" t="s">
        <v>8339</v>
      </c>
      <c r="AG2770" s="160" t="s">
        <v>3185</v>
      </c>
      <c r="AH2770" s="194" t="s">
        <v>679</v>
      </c>
      <c r="AI2770" s="6" t="s">
        <v>1727</v>
      </c>
      <c r="AJ2770" s="3" t="s">
        <v>8227</v>
      </c>
      <c r="AK2770" t="s">
        <v>8227</v>
      </c>
      <c r="AV2770"/>
      <c r="AX2770"/>
      <c r="AZ2770" t="str">
        <f t="shared" si="309"/>
        <v/>
      </c>
      <c r="BA2770" t="str">
        <f t="shared" si="310"/>
        <v/>
      </c>
    </row>
    <row r="2771" spans="29:53" ht="13.5">
      <c r="AC2771" s="6" t="s">
        <v>1112</v>
      </c>
      <c r="AD2771" s="6" t="s">
        <v>7508</v>
      </c>
      <c r="AE2771" s="170" t="s">
        <v>3489</v>
      </c>
      <c r="AF2771" s="159" t="s">
        <v>8299</v>
      </c>
      <c r="AG2771" s="160" t="s">
        <v>3186</v>
      </c>
      <c r="AH2771" s="194" t="s">
        <v>678</v>
      </c>
      <c r="AI2771" s="6" t="s">
        <v>1728</v>
      </c>
      <c r="AJ2771" s="3" t="s">
        <v>8252</v>
      </c>
      <c r="AK2771" t="s">
        <v>8252</v>
      </c>
      <c r="AV2771"/>
      <c r="AX2771"/>
      <c r="AZ2771" t="str">
        <f t="shared" si="309"/>
        <v/>
      </c>
      <c r="BA2771" t="str">
        <f t="shared" si="310"/>
        <v/>
      </c>
    </row>
    <row r="2772" spans="29:53" ht="13.5">
      <c r="AC2772" s="6" t="s">
        <v>4066</v>
      </c>
      <c r="AD2772" s="6" t="s">
        <v>7508</v>
      </c>
      <c r="AE2772" s="170" t="s">
        <v>3490</v>
      </c>
      <c r="AF2772" s="159" t="s">
        <v>8299</v>
      </c>
      <c r="AG2772" s="160" t="s">
        <v>3187</v>
      </c>
      <c r="AH2772" s="194" t="s">
        <v>679</v>
      </c>
      <c r="AI2772" s="6" t="s">
        <v>1729</v>
      </c>
      <c r="AJ2772" s="3" t="s">
        <v>8252</v>
      </c>
      <c r="AK2772" t="s">
        <v>8252</v>
      </c>
      <c r="AV2772"/>
      <c r="AX2772"/>
      <c r="AZ2772" t="str">
        <f t="shared" si="309"/>
        <v/>
      </c>
      <c r="BA2772" t="str">
        <f t="shared" si="310"/>
        <v/>
      </c>
    </row>
    <row r="2773" spans="29:53" ht="13.5">
      <c r="AC2773" s="6" t="s">
        <v>4069</v>
      </c>
      <c r="AD2773" s="6" t="s">
        <v>7508</v>
      </c>
      <c r="AE2773" s="170" t="s">
        <v>3491</v>
      </c>
      <c r="AF2773" s="159" t="s">
        <v>8299</v>
      </c>
      <c r="AG2773" s="160" t="s">
        <v>3188</v>
      </c>
      <c r="AH2773" s="194" t="s">
        <v>679</v>
      </c>
      <c r="AI2773" s="6" t="s">
        <v>2111</v>
      </c>
      <c r="AJ2773" s="3" t="s">
        <v>8252</v>
      </c>
      <c r="AK2773" t="s">
        <v>8252</v>
      </c>
      <c r="AV2773"/>
      <c r="AX2773"/>
      <c r="AZ2773" t="str">
        <f t="shared" si="309"/>
        <v/>
      </c>
      <c r="BA2773" t="str">
        <f t="shared" si="310"/>
        <v/>
      </c>
    </row>
    <row r="2774" spans="29:53" ht="13.5">
      <c r="AC2774" s="6" t="s">
        <v>1114</v>
      </c>
      <c r="AD2774" s="6" t="s">
        <v>7508</v>
      </c>
      <c r="AE2774" s="170" t="s">
        <v>3492</v>
      </c>
      <c r="AF2774" s="159" t="s">
        <v>8299</v>
      </c>
      <c r="AG2774" s="160" t="s">
        <v>3189</v>
      </c>
      <c r="AH2774" s="194" t="s">
        <v>679</v>
      </c>
      <c r="AI2774" s="6" t="s">
        <v>2112</v>
      </c>
      <c r="AJ2774" s="3" t="s">
        <v>8252</v>
      </c>
      <c r="AK2774" t="s">
        <v>8252</v>
      </c>
      <c r="AV2774"/>
      <c r="AX2774"/>
      <c r="AZ2774" t="str">
        <f t="shared" si="309"/>
        <v/>
      </c>
      <c r="BA2774" t="str">
        <f t="shared" si="310"/>
        <v/>
      </c>
    </row>
    <row r="2775" spans="29:53" ht="13.5">
      <c r="AC2775" s="6" t="s">
        <v>5051</v>
      </c>
      <c r="AD2775" s="6" t="s">
        <v>7508</v>
      </c>
      <c r="AE2775" s="170" t="s">
        <v>3493</v>
      </c>
      <c r="AF2775" s="159" t="s">
        <v>8299</v>
      </c>
      <c r="AG2775" s="160" t="s">
        <v>3190</v>
      </c>
      <c r="AH2775" s="194" t="s">
        <v>679</v>
      </c>
      <c r="AI2775" s="6" t="s">
        <v>2116</v>
      </c>
      <c r="AJ2775" s="3" t="s">
        <v>8194</v>
      </c>
      <c r="AK2775" t="s">
        <v>8194</v>
      </c>
      <c r="AV2775"/>
      <c r="AX2775"/>
      <c r="AZ2775" t="str">
        <f t="shared" si="309"/>
        <v/>
      </c>
      <c r="BA2775" t="str">
        <f t="shared" si="310"/>
        <v/>
      </c>
    </row>
    <row r="2776" spans="29:53" ht="13.5">
      <c r="AC2776" s="6" t="s">
        <v>4062</v>
      </c>
      <c r="AD2776" s="6" t="s">
        <v>7508</v>
      </c>
      <c r="AE2776" s="170" t="s">
        <v>3494</v>
      </c>
      <c r="AF2776" s="159" t="s">
        <v>8299</v>
      </c>
      <c r="AG2776" s="160" t="s">
        <v>3191</v>
      </c>
      <c r="AH2776" s="194" t="s">
        <v>679</v>
      </c>
      <c r="AI2776" s="6" t="s">
        <v>2117</v>
      </c>
      <c r="AJ2776" s="3" t="s">
        <v>8194</v>
      </c>
      <c r="AK2776" t="s">
        <v>8194</v>
      </c>
      <c r="AV2776"/>
      <c r="AX2776"/>
      <c r="AZ2776" t="str">
        <f t="shared" si="309"/>
        <v/>
      </c>
      <c r="BA2776" t="str">
        <f t="shared" si="310"/>
        <v/>
      </c>
    </row>
    <row r="2777" spans="29:53" ht="13.5">
      <c r="AC2777" s="6" t="s">
        <v>117</v>
      </c>
      <c r="AD2777" s="6" t="s">
        <v>7518</v>
      </c>
      <c r="AE2777" s="170" t="s">
        <v>3495</v>
      </c>
      <c r="AF2777" s="159" t="s">
        <v>8299</v>
      </c>
      <c r="AG2777" s="160" t="s">
        <v>3192</v>
      </c>
      <c r="AH2777" s="194" t="s">
        <v>679</v>
      </c>
      <c r="AI2777" s="6" t="s">
        <v>1505</v>
      </c>
      <c r="AJ2777" s="3" t="s">
        <v>8224</v>
      </c>
      <c r="AK2777" t="s">
        <v>8224</v>
      </c>
      <c r="AV2777"/>
      <c r="AX2777"/>
      <c r="AZ2777" t="str">
        <f t="shared" si="309"/>
        <v/>
      </c>
      <c r="BA2777" t="str">
        <f t="shared" si="310"/>
        <v/>
      </c>
    </row>
    <row r="2778" spans="29:53" ht="13.5">
      <c r="AC2778" s="6" t="s">
        <v>1210</v>
      </c>
      <c r="AD2778" s="6" t="s">
        <v>7508</v>
      </c>
      <c r="AE2778" s="170" t="s">
        <v>3496</v>
      </c>
      <c r="AF2778" s="159" t="s">
        <v>8299</v>
      </c>
      <c r="AG2778" s="160" t="s">
        <v>3193</v>
      </c>
      <c r="AH2778" s="194" t="s">
        <v>679</v>
      </c>
      <c r="AI2778" s="6" t="s">
        <v>1658</v>
      </c>
      <c r="AJ2778" s="3" t="s">
        <v>8224</v>
      </c>
      <c r="AK2778" t="s">
        <v>8224</v>
      </c>
      <c r="AV2778"/>
      <c r="AX2778"/>
      <c r="AZ2778" t="str">
        <f t="shared" si="309"/>
        <v/>
      </c>
      <c r="BA2778" t="str">
        <f t="shared" si="310"/>
        <v/>
      </c>
    </row>
    <row r="2779" spans="29:53" ht="13.5">
      <c r="AC2779" s="6" t="s">
        <v>5129</v>
      </c>
      <c r="AD2779" s="6" t="s">
        <v>7512</v>
      </c>
      <c r="AE2779" s="170" t="s">
        <v>3497</v>
      </c>
      <c r="AF2779" s="159" t="s">
        <v>8299</v>
      </c>
      <c r="AG2779" s="160" t="s">
        <v>3194</v>
      </c>
      <c r="AH2779" s="194" t="s">
        <v>679</v>
      </c>
      <c r="AI2779" s="6" t="s">
        <v>4358</v>
      </c>
      <c r="AJ2779" s="3" t="s">
        <v>8243</v>
      </c>
      <c r="AK2779" t="s">
        <v>8243</v>
      </c>
      <c r="AV2779"/>
      <c r="AX2779"/>
      <c r="AZ2779" t="str">
        <f t="shared" si="309"/>
        <v/>
      </c>
      <c r="BA2779" t="str">
        <f t="shared" si="310"/>
        <v/>
      </c>
    </row>
    <row r="2780" spans="29:53" ht="13.5">
      <c r="AC2780" s="6" t="s">
        <v>4068</v>
      </c>
      <c r="AD2780" s="6" t="s">
        <v>7508</v>
      </c>
      <c r="AE2780" s="170" t="s">
        <v>3498</v>
      </c>
      <c r="AF2780" s="159" t="s">
        <v>8299</v>
      </c>
      <c r="AG2780" s="160" t="s">
        <v>3195</v>
      </c>
      <c r="AH2780" s="194" t="s">
        <v>678</v>
      </c>
      <c r="AI2780" s="6" t="s">
        <v>2268</v>
      </c>
      <c r="AJ2780" s="3" t="s">
        <v>8243</v>
      </c>
      <c r="AK2780" t="s">
        <v>8243</v>
      </c>
      <c r="AV2780"/>
      <c r="AX2780"/>
      <c r="AZ2780" t="str">
        <f t="shared" si="309"/>
        <v/>
      </c>
      <c r="BA2780" t="str">
        <f t="shared" si="310"/>
        <v/>
      </c>
    </row>
    <row r="2781" spans="29:53" ht="13.5">
      <c r="AC2781" s="6" t="s">
        <v>5531</v>
      </c>
      <c r="AD2781" s="6" t="s">
        <v>7508</v>
      </c>
      <c r="AE2781" s="170" t="s">
        <v>3499</v>
      </c>
      <c r="AF2781" s="159" t="s">
        <v>8299</v>
      </c>
      <c r="AG2781" s="160" t="s">
        <v>3196</v>
      </c>
      <c r="AH2781" s="194" t="s">
        <v>678</v>
      </c>
      <c r="AI2781" s="6" t="s">
        <v>2267</v>
      </c>
      <c r="AJ2781" s="3" t="s">
        <v>8243</v>
      </c>
      <c r="AK2781" t="s">
        <v>8243</v>
      </c>
      <c r="AV2781"/>
      <c r="AX2781"/>
      <c r="AZ2781" t="str">
        <f t="shared" si="309"/>
        <v/>
      </c>
      <c r="BA2781" t="str">
        <f t="shared" si="310"/>
        <v/>
      </c>
    </row>
    <row r="2782" spans="29:53" ht="13.5">
      <c r="AC2782" s="6" t="s">
        <v>4093</v>
      </c>
      <c r="AD2782" s="6" t="s">
        <v>7519</v>
      </c>
      <c r="AE2782" s="170" t="s">
        <v>3500</v>
      </c>
      <c r="AF2782" s="159" t="s">
        <v>8299</v>
      </c>
      <c r="AG2782" s="160" t="s">
        <v>3197</v>
      </c>
      <c r="AH2782" s="194" t="s">
        <v>679</v>
      </c>
      <c r="AI2782" s="6" t="s">
        <v>2273</v>
      </c>
      <c r="AJ2782" s="3" t="s">
        <v>8243</v>
      </c>
      <c r="AK2782" t="s">
        <v>8243</v>
      </c>
      <c r="AV2782"/>
      <c r="AX2782"/>
      <c r="AZ2782" t="str">
        <f t="shared" si="309"/>
        <v/>
      </c>
      <c r="BA2782" t="str">
        <f t="shared" si="310"/>
        <v/>
      </c>
    </row>
    <row r="2783" spans="29:53" ht="13.5">
      <c r="AC2783" s="6" t="s">
        <v>3920</v>
      </c>
      <c r="AD2783" s="6" t="s">
        <v>7520</v>
      </c>
      <c r="AE2783" s="170" t="s">
        <v>3501</v>
      </c>
      <c r="AF2783" s="159" t="s">
        <v>8299</v>
      </c>
      <c r="AG2783" s="160" t="s">
        <v>3198</v>
      </c>
      <c r="AH2783" s="194" t="s">
        <v>678</v>
      </c>
      <c r="AI2783" s="6">
        <v>305298</v>
      </c>
      <c r="AJ2783" s="3" t="s">
        <v>8207</v>
      </c>
      <c r="AK2783" t="s">
        <v>8207</v>
      </c>
      <c r="AV2783"/>
      <c r="AX2783"/>
      <c r="AZ2783" t="str">
        <f t="shared" si="309"/>
        <v/>
      </c>
      <c r="BA2783" t="str">
        <f t="shared" si="310"/>
        <v/>
      </c>
    </row>
    <row r="2784" spans="29:53" ht="13.5">
      <c r="AC2784" s="6" t="s">
        <v>5128</v>
      </c>
      <c r="AD2784" s="6" t="s">
        <v>7521</v>
      </c>
      <c r="AE2784" s="170" t="s">
        <v>3502</v>
      </c>
      <c r="AF2784" s="159" t="s">
        <v>8299</v>
      </c>
      <c r="AG2784" s="160" t="s">
        <v>3199</v>
      </c>
      <c r="AH2784" s="194" t="s">
        <v>679</v>
      </c>
      <c r="AI2784" s="6">
        <v>305407</v>
      </c>
      <c r="AJ2784" s="3" t="s">
        <v>8219</v>
      </c>
      <c r="AK2784" t="s">
        <v>8219</v>
      </c>
      <c r="AV2784"/>
      <c r="AX2784"/>
      <c r="AZ2784" t="str">
        <f t="shared" si="309"/>
        <v/>
      </c>
      <c r="BA2784" t="str">
        <f t="shared" si="310"/>
        <v/>
      </c>
    </row>
    <row r="2785" spans="29:53" ht="13.5">
      <c r="AC2785" s="6" t="s">
        <v>4272</v>
      </c>
      <c r="AD2785" s="6" t="s">
        <v>7516</v>
      </c>
      <c r="AE2785" s="170" t="s">
        <v>3503</v>
      </c>
      <c r="AF2785" s="159" t="s">
        <v>8299</v>
      </c>
      <c r="AG2785" s="160" t="s">
        <v>3200</v>
      </c>
      <c r="AH2785" s="194" t="s">
        <v>679</v>
      </c>
      <c r="AI2785" s="6">
        <v>305408</v>
      </c>
      <c r="AJ2785" s="3" t="s">
        <v>8216</v>
      </c>
      <c r="AK2785" t="s">
        <v>8216</v>
      </c>
      <c r="AV2785"/>
      <c r="AX2785"/>
      <c r="AZ2785" t="str">
        <f t="shared" si="309"/>
        <v/>
      </c>
      <c r="BA2785" t="str">
        <f t="shared" si="310"/>
        <v/>
      </c>
    </row>
    <row r="2786" spans="29:53" ht="13.5">
      <c r="AC2786" s="6">
        <v>85608</v>
      </c>
      <c r="AD2786" s="6" t="s">
        <v>7522</v>
      </c>
      <c r="AE2786" s="170" t="s">
        <v>3504</v>
      </c>
      <c r="AF2786" s="159" t="s">
        <v>8299</v>
      </c>
      <c r="AG2786" s="161" t="s">
        <v>3201</v>
      </c>
      <c r="AH2786" s="194" t="s">
        <v>679</v>
      </c>
      <c r="AI2786" s="6">
        <v>313556</v>
      </c>
      <c r="AJ2786" s="3" t="s">
        <v>8219</v>
      </c>
      <c r="AK2786" t="s">
        <v>8219</v>
      </c>
      <c r="AV2786"/>
      <c r="AX2786"/>
      <c r="AZ2786" t="str">
        <f t="shared" si="309"/>
        <v/>
      </c>
      <c r="BA2786" t="str">
        <f t="shared" si="310"/>
        <v/>
      </c>
    </row>
    <row r="2787" spans="29:53" ht="13.5">
      <c r="AC2787" s="6" t="s">
        <v>4094</v>
      </c>
      <c r="AD2787" s="6" t="s">
        <v>7519</v>
      </c>
      <c r="AE2787" s="170" t="s">
        <v>3505</v>
      </c>
      <c r="AF2787" s="159" t="s">
        <v>8299</v>
      </c>
      <c r="AG2787" s="160" t="s">
        <v>3202</v>
      </c>
      <c r="AH2787" s="194" t="s">
        <v>679</v>
      </c>
      <c r="AI2787" s="6">
        <v>315318</v>
      </c>
      <c r="AJ2787" s="3" t="s">
        <v>8199</v>
      </c>
      <c r="AK2787" t="s">
        <v>8199</v>
      </c>
      <c r="AV2787"/>
      <c r="AX2787"/>
      <c r="AZ2787" t="str">
        <f t="shared" si="309"/>
        <v/>
      </c>
      <c r="BA2787" t="str">
        <f t="shared" si="310"/>
        <v/>
      </c>
    </row>
    <row r="2788" spans="29:53" ht="13.5">
      <c r="AC2788" s="6" t="s">
        <v>5467</v>
      </c>
      <c r="AD2788" s="6" t="s">
        <v>7504</v>
      </c>
      <c r="AE2788" s="170" t="s">
        <v>3506</v>
      </c>
      <c r="AF2788" s="159" t="s">
        <v>8299</v>
      </c>
      <c r="AG2788" s="160" t="s">
        <v>3203</v>
      </c>
      <c r="AH2788" s="194" t="s">
        <v>679</v>
      </c>
      <c r="AI2788" s="6">
        <v>315322</v>
      </c>
      <c r="AJ2788" s="3" t="s">
        <v>8219</v>
      </c>
      <c r="AK2788" t="s">
        <v>8219</v>
      </c>
      <c r="AV2788"/>
      <c r="AX2788"/>
      <c r="AZ2788" t="str">
        <f t="shared" si="309"/>
        <v/>
      </c>
      <c r="BA2788" t="str">
        <f t="shared" si="310"/>
        <v/>
      </c>
    </row>
    <row r="2789" spans="29:53" ht="13.5">
      <c r="AC2789" s="6">
        <v>113601</v>
      </c>
      <c r="AD2789" s="6" t="s">
        <v>7500</v>
      </c>
      <c r="AE2789" s="170" t="s">
        <v>3507</v>
      </c>
      <c r="AF2789" s="159" t="s">
        <v>8299</v>
      </c>
      <c r="AG2789" s="160" t="s">
        <v>3204</v>
      </c>
      <c r="AH2789" s="194" t="s">
        <v>679</v>
      </c>
      <c r="AI2789" s="6">
        <v>315323</v>
      </c>
      <c r="AJ2789" s="3" t="s">
        <v>8219</v>
      </c>
      <c r="AK2789" t="s">
        <v>8219</v>
      </c>
      <c r="AV2789"/>
      <c r="AX2789"/>
      <c r="AZ2789" t="str">
        <f t="shared" si="309"/>
        <v/>
      </c>
      <c r="BA2789" t="str">
        <f t="shared" si="310"/>
        <v/>
      </c>
    </row>
    <row r="2790" spans="29:53" ht="13.5">
      <c r="AC2790" s="6" t="s">
        <v>1431</v>
      </c>
      <c r="AD2790" s="6" t="s">
        <v>7523</v>
      </c>
      <c r="AE2790" s="170" t="s">
        <v>3508</v>
      </c>
      <c r="AF2790" s="159" t="s">
        <v>8299</v>
      </c>
      <c r="AG2790" s="160" t="s">
        <v>3205</v>
      </c>
      <c r="AH2790" s="194" t="s">
        <v>679</v>
      </c>
      <c r="AI2790" s="6">
        <v>315346</v>
      </c>
      <c r="AJ2790" s="3" t="s">
        <v>8261</v>
      </c>
      <c r="AK2790" t="s">
        <v>8261</v>
      </c>
      <c r="AV2790"/>
      <c r="AX2790"/>
      <c r="AZ2790" t="str">
        <f t="shared" si="309"/>
        <v/>
      </c>
      <c r="BA2790" t="str">
        <f t="shared" si="310"/>
        <v/>
      </c>
    </row>
    <row r="2791" spans="29:53" ht="13.5">
      <c r="AC2791" s="6" t="s">
        <v>4095</v>
      </c>
      <c r="AD2791" s="6" t="s">
        <v>7519</v>
      </c>
      <c r="AE2791" s="170" t="s">
        <v>3509</v>
      </c>
      <c r="AF2791" s="159" t="s">
        <v>8299</v>
      </c>
      <c r="AG2791" s="160" t="s">
        <v>3206</v>
      </c>
      <c r="AH2791" s="194" t="s">
        <v>679</v>
      </c>
      <c r="AI2791" s="6">
        <v>315347</v>
      </c>
      <c r="AJ2791" s="3" t="s">
        <v>8261</v>
      </c>
      <c r="AK2791" t="s">
        <v>8261</v>
      </c>
      <c r="AV2791"/>
      <c r="AX2791"/>
      <c r="AZ2791" t="str">
        <f t="shared" si="309"/>
        <v/>
      </c>
      <c r="BA2791" t="str">
        <f t="shared" si="310"/>
        <v/>
      </c>
    </row>
    <row r="2792" spans="29:53" ht="13.5">
      <c r="AC2792" s="6">
        <v>115599</v>
      </c>
      <c r="AD2792" s="6" t="s">
        <v>7500</v>
      </c>
      <c r="AE2792" s="170" t="s">
        <v>3510</v>
      </c>
      <c r="AF2792" s="159" t="s">
        <v>8299</v>
      </c>
      <c r="AG2792" s="160" t="s">
        <v>3207</v>
      </c>
      <c r="AH2792" s="194" t="s">
        <v>679</v>
      </c>
      <c r="AI2792" s="6">
        <v>315348</v>
      </c>
      <c r="AJ2792" s="3" t="s">
        <v>8219</v>
      </c>
      <c r="AK2792" t="s">
        <v>8219</v>
      </c>
      <c r="AV2792"/>
      <c r="AX2792"/>
      <c r="AZ2792" t="str">
        <f t="shared" si="309"/>
        <v/>
      </c>
      <c r="BA2792" t="str">
        <f t="shared" si="310"/>
        <v/>
      </c>
    </row>
    <row r="2793" spans="29:53" ht="13.5">
      <c r="AC2793" s="6" t="s">
        <v>4092</v>
      </c>
      <c r="AD2793" s="6" t="s">
        <v>7519</v>
      </c>
      <c r="AE2793" s="170" t="s">
        <v>3511</v>
      </c>
      <c r="AF2793" s="159" t="s">
        <v>8299</v>
      </c>
      <c r="AG2793" s="160" t="s">
        <v>3208</v>
      </c>
      <c r="AH2793" s="194" t="s">
        <v>4700</v>
      </c>
      <c r="AI2793" s="6">
        <v>325299</v>
      </c>
      <c r="AJ2793" s="3" t="s">
        <v>8210</v>
      </c>
      <c r="AK2793" t="s">
        <v>8210</v>
      </c>
      <c r="AV2793"/>
      <c r="AX2793"/>
      <c r="AZ2793" t="str">
        <f t="shared" si="309"/>
        <v/>
      </c>
      <c r="BA2793" t="str">
        <f t="shared" si="310"/>
        <v/>
      </c>
    </row>
    <row r="2794" spans="29:53" ht="13.5">
      <c r="AC2794" s="6">
        <v>275243</v>
      </c>
      <c r="AD2794" s="6" t="s">
        <v>7524</v>
      </c>
      <c r="AE2794" s="170" t="s">
        <v>3512</v>
      </c>
      <c r="AF2794" s="159" t="s">
        <v>8299</v>
      </c>
      <c r="AG2794" s="160" t="s">
        <v>3209</v>
      </c>
      <c r="AH2794" s="194" t="s">
        <v>678</v>
      </c>
      <c r="AI2794" s="6">
        <v>335302</v>
      </c>
      <c r="AJ2794" s="3" t="s">
        <v>8224</v>
      </c>
      <c r="AK2794" t="s">
        <v>8224</v>
      </c>
      <c r="AV2794"/>
      <c r="AX2794"/>
      <c r="AZ2794" t="str">
        <f t="shared" si="309"/>
        <v/>
      </c>
      <c r="BA2794" t="str">
        <f t="shared" si="310"/>
        <v/>
      </c>
    </row>
    <row r="2795" spans="29:53" ht="13.5">
      <c r="AC2795" s="6" t="s">
        <v>4379</v>
      </c>
      <c r="AD2795" s="6" t="s">
        <v>7525</v>
      </c>
      <c r="AE2795" s="170" t="s">
        <v>3513</v>
      </c>
      <c r="AF2795" s="159" t="s">
        <v>8299</v>
      </c>
      <c r="AG2795" s="160" t="s">
        <v>3210</v>
      </c>
      <c r="AH2795" s="194" t="s">
        <v>679</v>
      </c>
      <c r="AI2795" s="6">
        <v>335303</v>
      </c>
      <c r="AJ2795" s="3" t="s">
        <v>8224</v>
      </c>
      <c r="AK2795" t="s">
        <v>8224</v>
      </c>
      <c r="AV2795"/>
      <c r="AX2795"/>
      <c r="AZ2795" t="str">
        <f t="shared" si="309"/>
        <v/>
      </c>
      <c r="BA2795" t="str">
        <f t="shared" si="310"/>
        <v/>
      </c>
    </row>
    <row r="2796" spans="29:53" ht="13.5">
      <c r="AC2796" s="6" t="s">
        <v>1001</v>
      </c>
      <c r="AD2796" s="6" t="s">
        <v>7526</v>
      </c>
      <c r="AE2796" s="170" t="s">
        <v>3514</v>
      </c>
      <c r="AF2796" s="159" t="s">
        <v>8299</v>
      </c>
      <c r="AG2796" s="160" t="s">
        <v>3211</v>
      </c>
      <c r="AH2796" s="194" t="s">
        <v>678</v>
      </c>
      <c r="AI2796" s="6">
        <v>335410</v>
      </c>
      <c r="AJ2796" s="3" t="s">
        <v>8224</v>
      </c>
      <c r="AK2796" t="s">
        <v>8224</v>
      </c>
      <c r="AV2796"/>
      <c r="AX2796"/>
      <c r="AZ2796" t="str">
        <f t="shared" si="309"/>
        <v/>
      </c>
      <c r="BA2796" t="str">
        <f t="shared" si="310"/>
        <v/>
      </c>
    </row>
    <row r="2797" spans="29:53" ht="13.5">
      <c r="AC2797" s="6" t="s">
        <v>4378</v>
      </c>
      <c r="AD2797" s="6" t="s">
        <v>7525</v>
      </c>
      <c r="AE2797" s="170" t="s">
        <v>3515</v>
      </c>
      <c r="AF2797" s="159" t="s">
        <v>8299</v>
      </c>
      <c r="AG2797" s="160" t="s">
        <v>3212</v>
      </c>
      <c r="AH2797" s="194" t="s">
        <v>679</v>
      </c>
      <c r="AI2797" s="6">
        <v>335411</v>
      </c>
      <c r="AJ2797" s="3" t="s">
        <v>8224</v>
      </c>
      <c r="AK2797" t="s">
        <v>8224</v>
      </c>
      <c r="AV2797"/>
      <c r="AX2797"/>
      <c r="AZ2797" t="str">
        <f t="shared" si="309"/>
        <v/>
      </c>
      <c r="BA2797" t="str">
        <f t="shared" si="310"/>
        <v/>
      </c>
    </row>
    <row r="2798" spans="29:53" ht="13.5">
      <c r="AC2798" s="6">
        <v>113600</v>
      </c>
      <c r="AD2798" s="6" t="s">
        <v>7500</v>
      </c>
      <c r="AE2798" s="170" t="s">
        <v>3516</v>
      </c>
      <c r="AF2798" s="159" t="s">
        <v>8299</v>
      </c>
      <c r="AG2798" s="160" t="s">
        <v>3213</v>
      </c>
      <c r="AH2798" s="194" t="s">
        <v>679</v>
      </c>
      <c r="AI2798" s="6">
        <v>335412</v>
      </c>
      <c r="AJ2798" s="3" t="s">
        <v>8224</v>
      </c>
      <c r="AK2798" t="s">
        <v>8224</v>
      </c>
      <c r="AV2798"/>
      <c r="AX2798"/>
      <c r="AZ2798" t="str">
        <f t="shared" si="309"/>
        <v/>
      </c>
      <c r="BA2798" t="str">
        <f t="shared" si="310"/>
        <v/>
      </c>
    </row>
    <row r="2799" spans="29:53" ht="13.5">
      <c r="AC2799" s="6" t="s">
        <v>116</v>
      </c>
      <c r="AD2799" s="6" t="s">
        <v>7518</v>
      </c>
      <c r="AE2799" s="170" t="s">
        <v>3517</v>
      </c>
      <c r="AF2799" s="159" t="s">
        <v>8299</v>
      </c>
      <c r="AG2799" s="160" t="s">
        <v>3214</v>
      </c>
      <c r="AH2799" s="194" t="s">
        <v>679</v>
      </c>
      <c r="AI2799" s="6">
        <v>345240</v>
      </c>
      <c r="AJ2799" s="3" t="s">
        <v>8253</v>
      </c>
      <c r="AK2799" t="s">
        <v>8253</v>
      </c>
      <c r="AV2799"/>
      <c r="AX2799"/>
      <c r="AZ2799" t="str">
        <f t="shared" si="309"/>
        <v/>
      </c>
      <c r="BA2799" t="str">
        <f t="shared" si="310"/>
        <v/>
      </c>
    </row>
    <row r="2800" spans="29:53" ht="13.5">
      <c r="AC2800" s="6" t="s">
        <v>118</v>
      </c>
      <c r="AD2800" s="6" t="s">
        <v>7516</v>
      </c>
      <c r="AE2800" s="170" t="s">
        <v>3518</v>
      </c>
      <c r="AF2800" s="159" t="s">
        <v>8299</v>
      </c>
      <c r="AG2800" s="160" t="s">
        <v>3215</v>
      </c>
      <c r="AH2800" s="194" t="s">
        <v>679</v>
      </c>
      <c r="AI2800" s="6">
        <v>345304</v>
      </c>
      <c r="AJ2800" s="3" t="s">
        <v>8269</v>
      </c>
      <c r="AK2800" t="s">
        <v>8269</v>
      </c>
      <c r="AV2800"/>
      <c r="AX2800"/>
      <c r="AZ2800" t="str">
        <f t="shared" si="309"/>
        <v/>
      </c>
      <c r="BA2800" t="str">
        <f t="shared" si="310"/>
        <v/>
      </c>
    </row>
    <row r="2801" spans="29:53" ht="13.5">
      <c r="AC2801" s="6" t="s">
        <v>6639</v>
      </c>
      <c r="AD2801" s="6" t="s">
        <v>7522</v>
      </c>
      <c r="AE2801" s="170" t="s">
        <v>3519</v>
      </c>
      <c r="AF2801" s="159" t="s">
        <v>8299</v>
      </c>
      <c r="AG2801" s="160" t="s">
        <v>3216</v>
      </c>
      <c r="AH2801" s="194" t="s">
        <v>678</v>
      </c>
      <c r="AI2801" s="6">
        <v>345305</v>
      </c>
      <c r="AJ2801" s="3" t="s">
        <v>8269</v>
      </c>
      <c r="AK2801" t="s">
        <v>8269</v>
      </c>
      <c r="AV2801"/>
      <c r="AX2801"/>
      <c r="AZ2801" t="str">
        <f t="shared" si="309"/>
        <v/>
      </c>
      <c r="BA2801" t="str">
        <f t="shared" si="310"/>
        <v/>
      </c>
    </row>
    <row r="2802" spans="29:53" ht="13.5">
      <c r="AC2802" s="6" t="s">
        <v>5268</v>
      </c>
      <c r="AD2802" s="6" t="s">
        <v>7512</v>
      </c>
      <c r="AE2802" s="170" t="s">
        <v>3897</v>
      </c>
      <c r="AF2802" s="159" t="s">
        <v>8299</v>
      </c>
      <c r="AG2802" s="160" t="s">
        <v>3415</v>
      </c>
      <c r="AH2802" s="194" t="s">
        <v>678</v>
      </c>
      <c r="AI2802" s="6">
        <v>345306</v>
      </c>
      <c r="AJ2802" s="3" t="s">
        <v>8253</v>
      </c>
      <c r="AK2802" t="s">
        <v>8253</v>
      </c>
      <c r="AV2802"/>
      <c r="AX2802"/>
      <c r="AZ2802" t="str">
        <f t="shared" si="309"/>
        <v/>
      </c>
      <c r="BA2802" t="str">
        <f t="shared" si="310"/>
        <v/>
      </c>
    </row>
    <row r="2803" spans="29:53" ht="13.5">
      <c r="AC2803" s="6" t="s">
        <v>5093</v>
      </c>
      <c r="AD2803" s="6" t="s">
        <v>7527</v>
      </c>
      <c r="AE2803" s="170" t="s">
        <v>3892</v>
      </c>
      <c r="AF2803" s="159" t="s">
        <v>8339</v>
      </c>
      <c r="AG2803" s="160" t="s">
        <v>3217</v>
      </c>
      <c r="AH2803" s="194" t="s">
        <v>679</v>
      </c>
      <c r="AI2803" s="6">
        <v>355307</v>
      </c>
      <c r="AJ2803" s="3" t="s">
        <v>8238</v>
      </c>
      <c r="AK2803" t="s">
        <v>8673</v>
      </c>
      <c r="AV2803"/>
      <c r="AX2803"/>
      <c r="AZ2803" t="str">
        <f t="shared" si="309"/>
        <v/>
      </c>
      <c r="BA2803" t="str">
        <f t="shared" si="310"/>
        <v/>
      </c>
    </row>
    <row r="2804" spans="29:53" ht="13.5">
      <c r="AC2804" s="6" t="s">
        <v>4462</v>
      </c>
      <c r="AD2804" s="6" t="s">
        <v>7528</v>
      </c>
      <c r="AE2804" s="170" t="s">
        <v>4171</v>
      </c>
      <c r="AF2804" s="159" t="s">
        <v>8299</v>
      </c>
      <c r="AG2804" s="160" t="s">
        <v>3218</v>
      </c>
      <c r="AH2804" s="194" t="s">
        <v>679</v>
      </c>
      <c r="AI2804" s="6">
        <v>355308</v>
      </c>
      <c r="AJ2804" s="3" t="s">
        <v>8238</v>
      </c>
      <c r="AK2804" t="s">
        <v>8673</v>
      </c>
      <c r="AV2804"/>
      <c r="AX2804"/>
      <c r="AZ2804" t="str">
        <f t="shared" si="309"/>
        <v/>
      </c>
      <c r="BA2804" t="str">
        <f t="shared" si="310"/>
        <v/>
      </c>
    </row>
    <row r="2805" spans="29:53" ht="13.5">
      <c r="AC2805" s="6">
        <v>275289</v>
      </c>
      <c r="AD2805" s="6" t="s">
        <v>7524</v>
      </c>
      <c r="AE2805" s="170" t="s">
        <v>3520</v>
      </c>
      <c r="AF2805" s="159" t="s">
        <v>8450</v>
      </c>
      <c r="AG2805" s="160" t="s">
        <v>3219</v>
      </c>
      <c r="AH2805" s="194" t="s">
        <v>679</v>
      </c>
      <c r="AI2805" s="6">
        <v>365585</v>
      </c>
      <c r="AJ2805" s="3" t="s">
        <v>8268</v>
      </c>
      <c r="AK2805" t="s">
        <v>8268</v>
      </c>
      <c r="AV2805"/>
      <c r="AX2805"/>
      <c r="AZ2805" t="str">
        <f t="shared" si="309"/>
        <v/>
      </c>
      <c r="BA2805" t="str">
        <f t="shared" si="310"/>
        <v/>
      </c>
    </row>
    <row r="2806" spans="29:53" ht="13.5">
      <c r="AC2806" s="6" t="s">
        <v>5179</v>
      </c>
      <c r="AD2806" s="6" t="s">
        <v>7529</v>
      </c>
      <c r="AE2806" s="170" t="s">
        <v>3521</v>
      </c>
      <c r="AF2806" s="159" t="s">
        <v>8299</v>
      </c>
      <c r="AG2806" s="160" t="s">
        <v>3220</v>
      </c>
      <c r="AH2806" s="194" t="s">
        <v>679</v>
      </c>
      <c r="AI2806" s="6">
        <v>365586</v>
      </c>
      <c r="AJ2806" s="3" t="s">
        <v>8268</v>
      </c>
      <c r="AK2806" t="s">
        <v>8268</v>
      </c>
      <c r="AV2806"/>
      <c r="AX2806"/>
      <c r="AZ2806" t="str">
        <f t="shared" si="309"/>
        <v/>
      </c>
      <c r="BA2806" t="str">
        <f t="shared" si="310"/>
        <v/>
      </c>
    </row>
    <row r="2807" spans="29:53" ht="13.5">
      <c r="AC2807" s="6" t="s">
        <v>4380</v>
      </c>
      <c r="AD2807" s="6" t="s">
        <v>7525</v>
      </c>
      <c r="AE2807" s="170" t="s">
        <v>3522</v>
      </c>
      <c r="AF2807" s="159" t="s">
        <v>8299</v>
      </c>
      <c r="AG2807" s="160" t="s">
        <v>3221</v>
      </c>
      <c r="AH2807" s="194" t="s">
        <v>679</v>
      </c>
      <c r="AI2807" s="6">
        <v>375606</v>
      </c>
      <c r="AJ2807" s="3" t="s">
        <v>8270</v>
      </c>
      <c r="AK2807" t="s">
        <v>8270</v>
      </c>
      <c r="AV2807"/>
      <c r="AX2807"/>
      <c r="AZ2807" t="str">
        <f t="shared" si="309"/>
        <v/>
      </c>
      <c r="BA2807" t="str">
        <f t="shared" si="310"/>
        <v/>
      </c>
    </row>
    <row r="2808" spans="29:53" ht="13.5">
      <c r="AC2808" s="6">
        <v>85609</v>
      </c>
      <c r="AD2808" s="6" t="s">
        <v>7522</v>
      </c>
      <c r="AE2808" s="170" t="s">
        <v>3523</v>
      </c>
      <c r="AF2808" s="159" t="s">
        <v>8309</v>
      </c>
      <c r="AG2808" s="160" t="s">
        <v>3222</v>
      </c>
      <c r="AH2808" s="194" t="s">
        <v>678</v>
      </c>
      <c r="AI2808" s="6">
        <v>385654</v>
      </c>
      <c r="AJ2808" s="3" t="s">
        <v>8255</v>
      </c>
      <c r="AK2808" t="s">
        <v>8255</v>
      </c>
      <c r="AV2808"/>
      <c r="AX2808"/>
      <c r="AZ2808" t="str">
        <f t="shared" si="309"/>
        <v/>
      </c>
      <c r="BA2808" t="str">
        <f t="shared" si="310"/>
        <v/>
      </c>
    </row>
    <row r="2809" spans="29:53" ht="13.5">
      <c r="AC2809" s="6">
        <v>275244</v>
      </c>
      <c r="AD2809" s="6" t="s">
        <v>7524</v>
      </c>
      <c r="AE2809" s="170" t="s">
        <v>3524</v>
      </c>
      <c r="AF2809" s="159" t="s">
        <v>8321</v>
      </c>
      <c r="AG2809" s="160" t="s">
        <v>3223</v>
      </c>
      <c r="AH2809" s="194" t="s">
        <v>679</v>
      </c>
      <c r="AI2809" s="6">
        <v>385662</v>
      </c>
      <c r="AJ2809" s="3" t="s">
        <v>8274</v>
      </c>
      <c r="AK2809" t="s">
        <v>8274</v>
      </c>
      <c r="AV2809"/>
      <c r="AX2809"/>
      <c r="AZ2809" t="str">
        <f t="shared" si="309"/>
        <v/>
      </c>
      <c r="BA2809" t="str">
        <f t="shared" si="310"/>
        <v/>
      </c>
    </row>
    <row r="2810" spans="29:53" ht="13.5">
      <c r="AC2810" s="6">
        <v>115605</v>
      </c>
      <c r="AD2810" s="6" t="s">
        <v>7500</v>
      </c>
      <c r="AE2810" s="170" t="s">
        <v>3526</v>
      </c>
      <c r="AF2810" s="159" t="s">
        <v>8311</v>
      </c>
      <c r="AG2810" s="160" t="s">
        <v>3224</v>
      </c>
      <c r="AH2810" s="194" t="s">
        <v>678</v>
      </c>
      <c r="AI2810" s="6">
        <v>385663</v>
      </c>
      <c r="AJ2810" s="3" t="s">
        <v>8242</v>
      </c>
      <c r="AK2810" t="s">
        <v>8281</v>
      </c>
      <c r="AV2810"/>
      <c r="AX2810"/>
      <c r="AZ2810" t="str">
        <f t="shared" si="309"/>
        <v/>
      </c>
      <c r="BA2810" t="str">
        <f t="shared" si="310"/>
        <v/>
      </c>
    </row>
    <row r="2811" spans="29:53" ht="13.5">
      <c r="AC2811" s="6" t="s">
        <v>5453</v>
      </c>
      <c r="AD2811" s="6" t="s">
        <v>7508</v>
      </c>
      <c r="AE2811" s="170" t="s">
        <v>3527</v>
      </c>
      <c r="AF2811" s="159" t="s">
        <v>8320</v>
      </c>
      <c r="AG2811" s="160" t="s">
        <v>3225</v>
      </c>
      <c r="AH2811" s="194" t="s">
        <v>679</v>
      </c>
      <c r="AI2811" s="6">
        <v>395670</v>
      </c>
      <c r="AJ2811" s="3" t="s">
        <v>8226</v>
      </c>
      <c r="AK2811" t="s">
        <v>8671</v>
      </c>
      <c r="AV2811"/>
      <c r="AX2811"/>
      <c r="AZ2811" t="str">
        <f t="shared" si="309"/>
        <v/>
      </c>
      <c r="BA2811" t="str">
        <f t="shared" si="310"/>
        <v/>
      </c>
    </row>
    <row r="2812" spans="29:53" ht="13.5">
      <c r="AC2812" s="6">
        <v>271932</v>
      </c>
      <c r="AD2812" s="6" t="s">
        <v>7530</v>
      </c>
      <c r="AE2812" s="170" t="s">
        <v>3528</v>
      </c>
      <c r="AF2812" s="159" t="s">
        <v>8299</v>
      </c>
      <c r="AG2812" s="160" t="s">
        <v>3226</v>
      </c>
      <c r="AH2812" s="194" t="s">
        <v>678</v>
      </c>
      <c r="AI2812" s="6">
        <v>395671</v>
      </c>
      <c r="AJ2812" s="3" t="s">
        <v>8226</v>
      </c>
      <c r="AK2812" t="s">
        <v>8671</v>
      </c>
      <c r="AV2812"/>
      <c r="AX2812"/>
      <c r="AZ2812" t="str">
        <f t="shared" si="309"/>
        <v/>
      </c>
      <c r="BA2812" t="str">
        <f t="shared" si="310"/>
        <v/>
      </c>
    </row>
    <row r="2813" spans="29:53" ht="13.5">
      <c r="AC2813" s="6" t="s">
        <v>4770</v>
      </c>
      <c r="AD2813" s="6" t="s">
        <v>7508</v>
      </c>
      <c r="AE2813" s="170" t="s">
        <v>3529</v>
      </c>
      <c r="AF2813" s="159" t="s">
        <v>8309</v>
      </c>
      <c r="AG2813" s="160" t="s">
        <v>3227</v>
      </c>
      <c r="AH2813" s="194" t="s">
        <v>679</v>
      </c>
      <c r="AI2813" s="6">
        <v>395672</v>
      </c>
      <c r="AJ2813" s="3" t="s">
        <v>8226</v>
      </c>
      <c r="AK2813" t="s">
        <v>8671</v>
      </c>
      <c r="AV2813"/>
      <c r="AX2813"/>
      <c r="AZ2813" t="str">
        <f t="shared" si="309"/>
        <v/>
      </c>
      <c r="BA2813" t="str">
        <f t="shared" si="310"/>
        <v/>
      </c>
    </row>
    <row r="2814" spans="29:53" ht="13.5">
      <c r="AC2814" s="6" t="s">
        <v>136</v>
      </c>
      <c r="AD2814" s="6" t="s">
        <v>7531</v>
      </c>
      <c r="AE2814" s="170" t="s">
        <v>3530</v>
      </c>
      <c r="AF2814" s="159" t="s">
        <v>8320</v>
      </c>
      <c r="AG2814" s="160" t="s">
        <v>3228</v>
      </c>
      <c r="AH2814" s="194" t="s">
        <v>679</v>
      </c>
      <c r="AI2814" s="6">
        <v>395673</v>
      </c>
      <c r="AJ2814" s="3" t="s">
        <v>8226</v>
      </c>
      <c r="AK2814" t="s">
        <v>8671</v>
      </c>
      <c r="AV2814"/>
      <c r="AX2814"/>
      <c r="AZ2814" t="str">
        <f t="shared" si="309"/>
        <v/>
      </c>
      <c r="BA2814" t="str">
        <f t="shared" si="310"/>
        <v/>
      </c>
    </row>
    <row r="2815" spans="29:53" ht="13.5">
      <c r="AC2815" s="6" t="s">
        <v>1472</v>
      </c>
      <c r="AD2815" s="6" t="s">
        <v>7531</v>
      </c>
      <c r="AE2815" s="170" t="s">
        <v>2427</v>
      </c>
      <c r="AF2815" s="159" t="s">
        <v>8451</v>
      </c>
      <c r="AG2815" s="160" t="s">
        <v>3229</v>
      </c>
      <c r="AH2815" s="194" t="s">
        <v>679</v>
      </c>
      <c r="AI2815" s="6">
        <v>395674</v>
      </c>
      <c r="AJ2815" s="3" t="s">
        <v>8226</v>
      </c>
      <c r="AK2815" t="s">
        <v>8671</v>
      </c>
      <c r="AV2815"/>
      <c r="AX2815"/>
      <c r="AZ2815" t="str">
        <f t="shared" si="309"/>
        <v/>
      </c>
      <c r="BA2815" t="str">
        <f t="shared" si="310"/>
        <v/>
      </c>
    </row>
    <row r="2816" spans="29:53" ht="13.5">
      <c r="AC2816" s="6" t="s">
        <v>1644</v>
      </c>
      <c r="AD2816" s="6" t="s">
        <v>7531</v>
      </c>
      <c r="AE2816" s="170" t="s">
        <v>3532</v>
      </c>
      <c r="AF2816" s="159" t="s">
        <v>8309</v>
      </c>
      <c r="AG2816" s="160" t="s">
        <v>3230</v>
      </c>
      <c r="AH2816" s="194" t="s">
        <v>679</v>
      </c>
      <c r="AI2816" s="6">
        <v>396353</v>
      </c>
      <c r="AJ2816" s="3" t="s">
        <v>8226</v>
      </c>
      <c r="AK2816" t="s">
        <v>8671</v>
      </c>
      <c r="AV2816"/>
      <c r="AX2816"/>
      <c r="AZ2816" t="str">
        <f t="shared" si="309"/>
        <v/>
      </c>
      <c r="BA2816" t="str">
        <f t="shared" si="310"/>
        <v/>
      </c>
    </row>
    <row r="2817" spans="29:53" ht="13.5">
      <c r="AC2817" s="6" t="s">
        <v>5057</v>
      </c>
      <c r="AD2817" s="6" t="s">
        <v>7512</v>
      </c>
      <c r="AE2817" s="170" t="s">
        <v>2326</v>
      </c>
      <c r="AF2817" s="159" t="s">
        <v>8452</v>
      </c>
      <c r="AG2817" s="160" t="s">
        <v>3231</v>
      </c>
      <c r="AH2817" s="194" t="s">
        <v>678</v>
      </c>
      <c r="AI2817" s="6" t="s">
        <v>2125</v>
      </c>
      <c r="AJ2817" s="3" t="s">
        <v>8258</v>
      </c>
      <c r="AK2817" t="s">
        <v>8258</v>
      </c>
      <c r="AV2817"/>
      <c r="AX2817"/>
      <c r="AZ2817" t="str">
        <f t="shared" si="309"/>
        <v/>
      </c>
      <c r="BA2817" t="str">
        <f t="shared" si="310"/>
        <v/>
      </c>
    </row>
    <row r="2818" spans="29:53" ht="13.5">
      <c r="AC2818" s="6" t="s">
        <v>5468</v>
      </c>
      <c r="AD2818" s="6" t="s">
        <v>7508</v>
      </c>
      <c r="AE2818" s="170" t="s">
        <v>5753</v>
      </c>
      <c r="AF2818" s="159" t="s">
        <v>8320</v>
      </c>
      <c r="AG2818" s="160" t="s">
        <v>3232</v>
      </c>
      <c r="AH2818" s="194" t="s">
        <v>679</v>
      </c>
      <c r="AI2818" s="6" t="s">
        <v>2126</v>
      </c>
      <c r="AJ2818" s="3" t="s">
        <v>8258</v>
      </c>
      <c r="AK2818" t="s">
        <v>8258</v>
      </c>
      <c r="AV2818"/>
      <c r="AX2818"/>
      <c r="AZ2818" t="str">
        <f t="shared" si="309"/>
        <v/>
      </c>
      <c r="BA2818" t="str">
        <f t="shared" si="310"/>
        <v/>
      </c>
    </row>
    <row r="2819" spans="29:53" ht="13.5">
      <c r="AC2819" s="6" t="s">
        <v>135</v>
      </c>
      <c r="AD2819" s="6" t="s">
        <v>7532</v>
      </c>
      <c r="AE2819" s="170" t="s">
        <v>1301</v>
      </c>
      <c r="AF2819" s="159" t="s">
        <v>8299</v>
      </c>
      <c r="AG2819" s="160" t="s">
        <v>3233</v>
      </c>
      <c r="AH2819" s="194" t="s">
        <v>678</v>
      </c>
      <c r="AI2819" s="6" t="s">
        <v>2127</v>
      </c>
      <c r="AJ2819" s="3" t="s">
        <v>8258</v>
      </c>
      <c r="AK2819" t="s">
        <v>8258</v>
      </c>
      <c r="AV2819"/>
      <c r="AX2819"/>
      <c r="AZ2819" t="str">
        <f t="shared" si="309"/>
        <v/>
      </c>
      <c r="BA2819" t="str">
        <f t="shared" si="310"/>
        <v/>
      </c>
    </row>
    <row r="2820" spans="29:53" ht="13.5">
      <c r="AC2820" s="6" t="s">
        <v>6640</v>
      </c>
      <c r="AD2820" s="6" t="s">
        <v>7522</v>
      </c>
      <c r="AE2820" s="170" t="s">
        <v>3533</v>
      </c>
      <c r="AF2820" s="159" t="s">
        <v>8299</v>
      </c>
      <c r="AG2820" s="160" t="s">
        <v>3234</v>
      </c>
      <c r="AH2820" s="194" t="s">
        <v>679</v>
      </c>
      <c r="AI2820" s="6" t="s">
        <v>2129</v>
      </c>
      <c r="AJ2820" s="3" t="s">
        <v>8232</v>
      </c>
      <c r="AK2820" t="s">
        <v>8232</v>
      </c>
      <c r="AV2820"/>
      <c r="AX2820"/>
      <c r="AZ2820" t="str">
        <f t="shared" si="309"/>
        <v/>
      </c>
      <c r="BA2820" t="str">
        <f t="shared" si="310"/>
        <v/>
      </c>
    </row>
    <row r="2821" spans="29:53" ht="13.5">
      <c r="AC2821" s="6" t="s">
        <v>197</v>
      </c>
      <c r="AD2821" s="6" t="s">
        <v>7533</v>
      </c>
      <c r="AE2821" s="170" t="s">
        <v>3534</v>
      </c>
      <c r="AF2821" s="159" t="s">
        <v>8453</v>
      </c>
      <c r="AG2821" s="160" t="s">
        <v>3235</v>
      </c>
      <c r="AH2821" s="194" t="s">
        <v>679</v>
      </c>
      <c r="AI2821" s="6" t="s">
        <v>2130</v>
      </c>
      <c r="AJ2821" s="3" t="s">
        <v>8232</v>
      </c>
      <c r="AK2821" t="s">
        <v>8232</v>
      </c>
      <c r="AV2821"/>
      <c r="AX2821"/>
      <c r="AZ2821" t="str">
        <f t="shared" si="309"/>
        <v/>
      </c>
      <c r="BA2821" t="str">
        <f t="shared" si="310"/>
        <v/>
      </c>
    </row>
    <row r="2822" spans="29:53" ht="13.5">
      <c r="AC2822" s="6" t="s">
        <v>4381</v>
      </c>
      <c r="AD2822" s="6" t="s">
        <v>7525</v>
      </c>
      <c r="AE2822" s="170" t="s">
        <v>3535</v>
      </c>
      <c r="AF2822" s="159" t="s">
        <v>8453</v>
      </c>
      <c r="AG2822" s="160" t="s">
        <v>3236</v>
      </c>
      <c r="AH2822" s="194" t="s">
        <v>679</v>
      </c>
      <c r="AI2822" s="6" t="s">
        <v>4364</v>
      </c>
      <c r="AJ2822" s="3" t="s">
        <v>8249</v>
      </c>
      <c r="AK2822" t="s">
        <v>8249</v>
      </c>
      <c r="AV2822"/>
      <c r="AX2822"/>
      <c r="AZ2822" t="str">
        <f t="shared" si="309"/>
        <v/>
      </c>
      <c r="BA2822" t="str">
        <f t="shared" si="310"/>
        <v/>
      </c>
    </row>
    <row r="2823" spans="29:53" ht="13.5">
      <c r="AC2823" s="6" t="s">
        <v>5512</v>
      </c>
      <c r="AD2823" s="6" t="s">
        <v>7526</v>
      </c>
      <c r="AE2823" s="170" t="s">
        <v>3536</v>
      </c>
      <c r="AF2823" s="159" t="s">
        <v>8320</v>
      </c>
      <c r="AG2823" s="160" t="s">
        <v>3237</v>
      </c>
      <c r="AH2823" s="194" t="s">
        <v>679</v>
      </c>
      <c r="AI2823" s="6" t="s">
        <v>2132</v>
      </c>
      <c r="AJ2823" s="3" t="s">
        <v>8239</v>
      </c>
      <c r="AK2823" t="s">
        <v>8674</v>
      </c>
      <c r="AV2823"/>
      <c r="AX2823"/>
      <c r="AZ2823" t="str">
        <f t="shared" si="309"/>
        <v/>
      </c>
      <c r="BA2823" t="str">
        <f t="shared" si="310"/>
        <v/>
      </c>
    </row>
    <row r="2824" spans="29:53" ht="13.5">
      <c r="AC2824" s="6" t="s">
        <v>1194</v>
      </c>
      <c r="AD2824" s="6" t="s">
        <v>7526</v>
      </c>
      <c r="AE2824" s="170" t="s">
        <v>3537</v>
      </c>
      <c r="AF2824" s="159" t="s">
        <v>8309</v>
      </c>
      <c r="AG2824" s="160" t="s">
        <v>3238</v>
      </c>
      <c r="AH2824" s="194" t="s">
        <v>679</v>
      </c>
      <c r="AI2824" s="6" t="s">
        <v>2133</v>
      </c>
      <c r="AJ2824" s="3" t="s">
        <v>8257</v>
      </c>
      <c r="AK2824" t="s">
        <v>8257</v>
      </c>
      <c r="AV2824"/>
      <c r="AX2824"/>
      <c r="AZ2824" t="str">
        <f t="shared" si="309"/>
        <v/>
      </c>
      <c r="BA2824" t="str">
        <f t="shared" si="310"/>
        <v/>
      </c>
    </row>
    <row r="2825" spans="29:53" ht="13.5">
      <c r="AC2825" s="6" t="s">
        <v>5269</v>
      </c>
      <c r="AD2825" s="6" t="s">
        <v>7526</v>
      </c>
      <c r="AE2825" s="170" t="s">
        <v>3540</v>
      </c>
      <c r="AF2825" s="159" t="s">
        <v>8292</v>
      </c>
      <c r="AG2825" s="160" t="s">
        <v>3239</v>
      </c>
      <c r="AH2825" s="194" t="s">
        <v>679</v>
      </c>
      <c r="AI2825" s="6" t="s">
        <v>2138</v>
      </c>
      <c r="AJ2825" s="3" t="s">
        <v>8252</v>
      </c>
      <c r="AK2825" t="s">
        <v>8252</v>
      </c>
      <c r="AV2825"/>
      <c r="AX2825"/>
      <c r="AZ2825" t="str">
        <f t="shared" si="309"/>
        <v/>
      </c>
      <c r="BA2825" t="str">
        <f t="shared" si="310"/>
        <v/>
      </c>
    </row>
    <row r="2826" spans="29:53" ht="13.5">
      <c r="AC2826" s="6" t="s">
        <v>1646</v>
      </c>
      <c r="AD2826" s="6" t="s">
        <v>7534</v>
      </c>
      <c r="AE2826" s="170" t="s">
        <v>3541</v>
      </c>
      <c r="AF2826" s="159" t="s">
        <v>8322</v>
      </c>
      <c r="AG2826" s="160" t="s">
        <v>3240</v>
      </c>
      <c r="AH2826" s="194" t="s">
        <v>678</v>
      </c>
      <c r="AI2826" s="6" t="s">
        <v>2143</v>
      </c>
      <c r="AJ2826" s="3" t="s">
        <v>8252</v>
      </c>
      <c r="AK2826" t="s">
        <v>8252</v>
      </c>
      <c r="AV2826"/>
      <c r="AX2826"/>
      <c r="AZ2826" t="str">
        <f t="shared" si="309"/>
        <v/>
      </c>
      <c r="BA2826" t="str">
        <f t="shared" si="310"/>
        <v/>
      </c>
    </row>
    <row r="2827" spans="29:53" ht="13.5">
      <c r="AC2827" s="6">
        <v>113598</v>
      </c>
      <c r="AD2827" s="6" t="s">
        <v>7500</v>
      </c>
      <c r="AE2827" s="170" t="s">
        <v>3885</v>
      </c>
      <c r="AF2827" s="159" t="s">
        <v>8299</v>
      </c>
      <c r="AG2827" s="160" t="s">
        <v>3241</v>
      </c>
      <c r="AH2827" s="194" t="s">
        <v>679</v>
      </c>
      <c r="AI2827" s="6" t="s">
        <v>1734</v>
      </c>
      <c r="AJ2827" s="3" t="s">
        <v>8227</v>
      </c>
      <c r="AK2827" t="s">
        <v>8227</v>
      </c>
      <c r="AV2827"/>
      <c r="AX2827"/>
      <c r="AZ2827" t="str">
        <f t="shared" si="309"/>
        <v/>
      </c>
      <c r="BA2827" t="str">
        <f t="shared" si="310"/>
        <v/>
      </c>
    </row>
    <row r="2828" spans="29:53" ht="13.5">
      <c r="AC2828" s="6" t="s">
        <v>1473</v>
      </c>
      <c r="AD2828" s="6" t="s">
        <v>7534</v>
      </c>
      <c r="AE2828" s="170" t="s">
        <v>3520</v>
      </c>
      <c r="AF2828" s="159" t="s">
        <v>8454</v>
      </c>
      <c r="AG2828" s="160" t="s">
        <v>3242</v>
      </c>
      <c r="AH2828" s="194" t="s">
        <v>678</v>
      </c>
      <c r="AI2828" s="6" t="s">
        <v>1735</v>
      </c>
      <c r="AJ2828" s="3" t="s">
        <v>8227</v>
      </c>
      <c r="AK2828" t="s">
        <v>8227</v>
      </c>
      <c r="AV2828"/>
      <c r="AX2828"/>
      <c r="AZ2828" t="str">
        <f t="shared" si="309"/>
        <v/>
      </c>
      <c r="BA2828" t="str">
        <f t="shared" si="310"/>
        <v/>
      </c>
    </row>
    <row r="2829" spans="29:53" ht="13.5">
      <c r="AC2829" s="6" t="s">
        <v>1650</v>
      </c>
      <c r="AD2829" s="6" t="s">
        <v>7534</v>
      </c>
      <c r="AE2829" s="170" t="s">
        <v>3542</v>
      </c>
      <c r="AF2829" s="159" t="s">
        <v>8344</v>
      </c>
      <c r="AG2829" s="160" t="s">
        <v>3243</v>
      </c>
      <c r="AH2829" s="194" t="s">
        <v>679</v>
      </c>
      <c r="AI2829" s="6" t="s">
        <v>2149</v>
      </c>
      <c r="AJ2829" s="3" t="s">
        <v>8227</v>
      </c>
      <c r="AK2829" t="s">
        <v>8227</v>
      </c>
      <c r="AV2829"/>
      <c r="AX2829"/>
      <c r="AZ2829" t="str">
        <f t="shared" si="309"/>
        <v/>
      </c>
      <c r="BA2829" t="str">
        <f t="shared" si="310"/>
        <v/>
      </c>
    </row>
    <row r="2830" spans="29:53" ht="13.5">
      <c r="AC2830" s="6" t="s">
        <v>115</v>
      </c>
      <c r="AD2830" s="6" t="s">
        <v>7518</v>
      </c>
      <c r="AE2830" s="170" t="s">
        <v>3525</v>
      </c>
      <c r="AF2830" s="159" t="s">
        <v>8384</v>
      </c>
      <c r="AG2830" s="160" t="s">
        <v>3244</v>
      </c>
      <c r="AH2830" s="194" t="s">
        <v>679</v>
      </c>
      <c r="AI2830" s="6" t="s">
        <v>2811</v>
      </c>
      <c r="AJ2830" s="3" t="s">
        <v>8256</v>
      </c>
      <c r="AK2830" t="s">
        <v>8256</v>
      </c>
      <c r="AV2830"/>
      <c r="AX2830"/>
      <c r="AZ2830" t="str">
        <f t="shared" si="309"/>
        <v/>
      </c>
      <c r="BA2830" t="str">
        <f t="shared" si="310"/>
        <v/>
      </c>
    </row>
    <row r="2831" spans="29:53" ht="13.5">
      <c r="AC2831" s="6" t="s">
        <v>1647</v>
      </c>
      <c r="AD2831" s="6" t="s">
        <v>7534</v>
      </c>
      <c r="AE2831" s="170" t="s">
        <v>3543</v>
      </c>
      <c r="AF2831" s="159" t="s">
        <v>8371</v>
      </c>
      <c r="AG2831" s="160" t="s">
        <v>3245</v>
      </c>
      <c r="AH2831" s="194" t="s">
        <v>679</v>
      </c>
      <c r="AI2831" s="6" t="s">
        <v>2812</v>
      </c>
      <c r="AJ2831" s="3" t="s">
        <v>8256</v>
      </c>
      <c r="AK2831" t="s">
        <v>8256</v>
      </c>
      <c r="AV2831"/>
      <c r="AX2831"/>
      <c r="AZ2831" t="str">
        <f t="shared" si="309"/>
        <v/>
      </c>
      <c r="BA2831" t="str">
        <f t="shared" si="310"/>
        <v/>
      </c>
    </row>
    <row r="2832" spans="29:53" ht="13.5">
      <c r="AC2832" s="6" t="s">
        <v>4465</v>
      </c>
      <c r="AD2832" s="6" t="s">
        <v>7535</v>
      </c>
      <c r="AE2832" s="170" t="s">
        <v>2427</v>
      </c>
      <c r="AF2832" s="159" t="s">
        <v>8455</v>
      </c>
      <c r="AG2832" s="160" t="s">
        <v>3246</v>
      </c>
      <c r="AH2832" s="194" t="s">
        <v>679</v>
      </c>
      <c r="AI2832" s="6" t="s">
        <v>2815</v>
      </c>
      <c r="AJ2832" s="3" t="s">
        <v>8256</v>
      </c>
      <c r="AK2832" t="s">
        <v>8256</v>
      </c>
      <c r="AV2832"/>
      <c r="AX2832"/>
      <c r="AZ2832" t="str">
        <f t="shared" si="309"/>
        <v/>
      </c>
      <c r="BA2832" t="str">
        <f t="shared" si="310"/>
        <v/>
      </c>
    </row>
    <row r="2833" spans="29:53" ht="13.5">
      <c r="AC2833" s="6" t="s">
        <v>1474</v>
      </c>
      <c r="AD2833" s="6" t="s">
        <v>7534</v>
      </c>
      <c r="AE2833" s="170" t="s">
        <v>3544</v>
      </c>
      <c r="AF2833" s="159" t="s">
        <v>8336</v>
      </c>
      <c r="AG2833" s="160" t="s">
        <v>3247</v>
      </c>
      <c r="AH2833" s="194" t="s">
        <v>678</v>
      </c>
      <c r="AI2833" s="6" t="s">
        <v>2816</v>
      </c>
      <c r="AJ2833" s="3" t="s">
        <v>8256</v>
      </c>
      <c r="AK2833" t="s">
        <v>8256</v>
      </c>
      <c r="AV2833"/>
      <c r="AX2833"/>
      <c r="AZ2833" t="str">
        <f t="shared" ref="AZ2833:AZ2896" si="311">IF(ISBLANK(AW2833),"",CONCATENATE("(",RIGHT(AW2833,5),"-",TEXT(AX2833,"h:mm;@"),")"))</f>
        <v/>
      </c>
      <c r="BA2833" t="str">
        <f t="shared" ref="BA2833:BA2896" si="312">IF(AV2849=AV2833,"",CONCATENATE(IF(AV2848=AV2833,BA2848,""),IF(AV2847=AV2833,BA2847,""),IF(AV2846=AV2833,BA2846,""),IF(AV2845=AV2833,BA2845,""),IF(AV2844=AV2833,BA2844,""),IF(AV2843=AV2833,BA2843,""),IF(AV2842=AV2833,BA2842,""),IF(AV2841=AV2833,BA2841,""),IF(AV2840=AV2833,BA2840,""),IF(AV2839=AV2833,BA2839,""),IF(AV2838=AV2833,BA2838,""),IF(AV2837=AV2833,BA2837,""),IF(AV2836=AV2833,BA2836,""),IF(AV2835=AV2833,BA2835,""),IF(AV2834=AV2833,BA2834,""),IF(AV2832=AV2833,BA2832,""),BA2833))</f>
        <v/>
      </c>
    </row>
    <row r="2834" spans="29:53" ht="13.5">
      <c r="AC2834" s="6" t="s">
        <v>1191</v>
      </c>
      <c r="AD2834" s="6" t="s">
        <v>7508</v>
      </c>
      <c r="AE2834" s="170" t="s">
        <v>3545</v>
      </c>
      <c r="AF2834" s="159" t="s">
        <v>8311</v>
      </c>
      <c r="AG2834" s="160" t="s">
        <v>3248</v>
      </c>
      <c r="AH2834" s="194" t="s">
        <v>679</v>
      </c>
      <c r="AI2834" s="6" t="s">
        <v>2821</v>
      </c>
      <c r="AJ2834" s="3" t="s">
        <v>8256</v>
      </c>
      <c r="AK2834" t="s">
        <v>8256</v>
      </c>
      <c r="AV2834"/>
      <c r="AX2834"/>
      <c r="AZ2834" t="str">
        <f t="shared" si="311"/>
        <v/>
      </c>
      <c r="BA2834" t="str">
        <f t="shared" si="312"/>
        <v/>
      </c>
    </row>
    <row r="2835" spans="29:53" ht="13.5">
      <c r="AC2835" s="6">
        <v>115607</v>
      </c>
      <c r="AD2835" s="6" t="s">
        <v>7500</v>
      </c>
      <c r="AE2835" s="170" t="s">
        <v>2318</v>
      </c>
      <c r="AF2835" s="159" t="s">
        <v>8456</v>
      </c>
      <c r="AG2835" s="160" t="s">
        <v>3249</v>
      </c>
      <c r="AH2835" s="194" t="s">
        <v>679</v>
      </c>
      <c r="AI2835" s="6" t="s">
        <v>2822</v>
      </c>
      <c r="AJ2835" s="3" t="s">
        <v>8256</v>
      </c>
      <c r="AK2835" t="s">
        <v>8256</v>
      </c>
      <c r="AV2835"/>
      <c r="AX2835"/>
      <c r="AZ2835" t="str">
        <f t="shared" si="311"/>
        <v/>
      </c>
      <c r="BA2835" t="str">
        <f t="shared" si="312"/>
        <v/>
      </c>
    </row>
    <row r="2836" spans="29:53" ht="13.5">
      <c r="AC2836" s="6" t="s">
        <v>627</v>
      </c>
      <c r="AD2836" s="6" t="s">
        <v>7534</v>
      </c>
      <c r="AE2836" s="170" t="s">
        <v>4365</v>
      </c>
      <c r="AF2836" s="159" t="s">
        <v>8299</v>
      </c>
      <c r="AG2836" s="160" t="s">
        <v>3250</v>
      </c>
      <c r="AH2836" s="194" t="s">
        <v>678</v>
      </c>
      <c r="AI2836" s="6" t="s">
        <v>2352</v>
      </c>
      <c r="AJ2836" s="3" t="s">
        <v>8206</v>
      </c>
      <c r="AK2836" t="s">
        <v>8206</v>
      </c>
      <c r="AV2836"/>
      <c r="AX2836"/>
      <c r="AZ2836" t="str">
        <f t="shared" si="311"/>
        <v/>
      </c>
      <c r="BA2836" t="str">
        <f t="shared" si="312"/>
        <v/>
      </c>
    </row>
    <row r="2837" spans="29:53" ht="13.5">
      <c r="AC2837" s="6" t="s">
        <v>5410</v>
      </c>
      <c r="AD2837" s="6" t="s">
        <v>7526</v>
      </c>
      <c r="AE2837" s="170" t="s">
        <v>4793</v>
      </c>
      <c r="AF2837" s="159" t="s">
        <v>8299</v>
      </c>
      <c r="AG2837" s="160" t="s">
        <v>3251</v>
      </c>
      <c r="AH2837" s="194" t="s">
        <v>679</v>
      </c>
      <c r="AI2837" s="6" t="s">
        <v>2351</v>
      </c>
      <c r="AJ2837" s="3" t="s">
        <v>8206</v>
      </c>
      <c r="AK2837" t="s">
        <v>8206</v>
      </c>
      <c r="AV2837"/>
      <c r="AX2837"/>
      <c r="AZ2837" t="str">
        <f t="shared" si="311"/>
        <v/>
      </c>
      <c r="BA2837" t="str">
        <f t="shared" si="312"/>
        <v/>
      </c>
    </row>
    <row r="2838" spans="29:53" ht="13.5">
      <c r="AC2838" s="6" t="s">
        <v>4463</v>
      </c>
      <c r="AD2838" s="6" t="s">
        <v>7536</v>
      </c>
      <c r="AE2838" s="170" t="s">
        <v>3855</v>
      </c>
      <c r="AF2838" s="159" t="s">
        <v>8299</v>
      </c>
      <c r="AG2838" s="160" t="s">
        <v>3252</v>
      </c>
      <c r="AH2838" s="194" t="s">
        <v>679</v>
      </c>
      <c r="AI2838" s="6" t="s">
        <v>2354</v>
      </c>
      <c r="AJ2838" s="3" t="s">
        <v>8256</v>
      </c>
      <c r="AK2838" t="s">
        <v>8256</v>
      </c>
      <c r="AV2838"/>
      <c r="AX2838"/>
      <c r="AZ2838" t="str">
        <f t="shared" si="311"/>
        <v/>
      </c>
      <c r="BA2838" t="str">
        <f t="shared" si="312"/>
        <v/>
      </c>
    </row>
    <row r="2839" spans="29:53" ht="13.5">
      <c r="AC2839" s="6" t="s">
        <v>4451</v>
      </c>
      <c r="AD2839" s="6" t="s">
        <v>7526</v>
      </c>
      <c r="AE2839" s="170" t="s">
        <v>3886</v>
      </c>
      <c r="AF2839" s="159" t="s">
        <v>8299</v>
      </c>
      <c r="AG2839" s="160" t="s">
        <v>3253</v>
      </c>
      <c r="AH2839" s="194" t="s">
        <v>679</v>
      </c>
      <c r="AI2839" s="6" t="s">
        <v>2358</v>
      </c>
      <c r="AJ2839" s="3" t="s">
        <v>8256</v>
      </c>
      <c r="AK2839" t="s">
        <v>8256</v>
      </c>
      <c r="AV2839"/>
      <c r="AX2839"/>
      <c r="AZ2839" t="str">
        <f t="shared" si="311"/>
        <v/>
      </c>
      <c r="BA2839" t="str">
        <f t="shared" si="312"/>
        <v/>
      </c>
    </row>
    <row r="2840" spans="29:53" ht="13.5">
      <c r="AC2840" s="6" t="s">
        <v>4436</v>
      </c>
      <c r="AD2840" s="6" t="s">
        <v>7534</v>
      </c>
      <c r="AE2840" s="170" t="s">
        <v>3894</v>
      </c>
      <c r="AF2840" s="159" t="s">
        <v>8339</v>
      </c>
      <c r="AG2840" s="160" t="s">
        <v>4748</v>
      </c>
      <c r="AH2840" s="194" t="s">
        <v>678</v>
      </c>
      <c r="AI2840" s="6" t="s">
        <v>2796</v>
      </c>
      <c r="AJ2840" s="3" t="s">
        <v>8206</v>
      </c>
      <c r="AK2840" t="s">
        <v>8206</v>
      </c>
      <c r="AV2840"/>
      <c r="AX2840"/>
      <c r="AZ2840" t="str">
        <f t="shared" si="311"/>
        <v/>
      </c>
      <c r="BA2840" t="str">
        <f t="shared" si="312"/>
        <v/>
      </c>
    </row>
    <row r="2841" spans="29:53" ht="13.5">
      <c r="AC2841" s="6" t="s">
        <v>5218</v>
      </c>
      <c r="AD2841" s="6" t="s">
        <v>7508</v>
      </c>
      <c r="AE2841" s="170" t="s">
        <v>3890</v>
      </c>
      <c r="AF2841" s="159" t="s">
        <v>8339</v>
      </c>
      <c r="AG2841" s="160" t="s">
        <v>3254</v>
      </c>
      <c r="AH2841" s="194" t="s">
        <v>679</v>
      </c>
      <c r="AI2841" s="6" t="s">
        <v>2362</v>
      </c>
      <c r="AJ2841" s="3" t="s">
        <v>8237</v>
      </c>
      <c r="AK2841" t="s">
        <v>8237</v>
      </c>
      <c r="AV2841"/>
      <c r="AX2841"/>
      <c r="AZ2841" t="str">
        <f t="shared" si="311"/>
        <v/>
      </c>
      <c r="BA2841" t="str">
        <f t="shared" si="312"/>
        <v/>
      </c>
    </row>
    <row r="2842" spans="29:53" ht="13.5">
      <c r="AC2842" s="6" t="s">
        <v>5411</v>
      </c>
      <c r="AD2842" s="6" t="s">
        <v>7526</v>
      </c>
      <c r="AE2842" s="170" t="s">
        <v>3979</v>
      </c>
      <c r="AF2842" s="159" t="s">
        <v>8299</v>
      </c>
      <c r="AG2842" s="160" t="s">
        <v>3255</v>
      </c>
      <c r="AH2842" s="194" t="s">
        <v>678</v>
      </c>
      <c r="AI2842" s="6" t="s">
        <v>2827</v>
      </c>
      <c r="AJ2842" s="3" t="s">
        <v>8206</v>
      </c>
      <c r="AK2842" t="s">
        <v>8206</v>
      </c>
      <c r="AV2842"/>
      <c r="AX2842"/>
      <c r="AZ2842" t="str">
        <f t="shared" si="311"/>
        <v/>
      </c>
      <c r="BA2842" t="str">
        <f t="shared" si="312"/>
        <v/>
      </c>
    </row>
    <row r="2843" spans="29:53" ht="13.5">
      <c r="AC2843" s="6" t="s">
        <v>5181</v>
      </c>
      <c r="AD2843" s="6" t="s">
        <v>7534</v>
      </c>
      <c r="AE2843" s="170">
        <v>245214</v>
      </c>
      <c r="AF2843" s="159" t="s">
        <v>8297</v>
      </c>
      <c r="AG2843" s="160" t="s">
        <v>3256</v>
      </c>
      <c r="AH2843" s="194" t="s">
        <v>679</v>
      </c>
      <c r="AI2843" s="6" t="s">
        <v>2364</v>
      </c>
      <c r="AJ2843" s="3" t="s">
        <v>8206</v>
      </c>
      <c r="AK2843" t="s">
        <v>8206</v>
      </c>
      <c r="AV2843"/>
      <c r="AX2843"/>
      <c r="AZ2843" t="str">
        <f t="shared" si="311"/>
        <v/>
      </c>
      <c r="BA2843" t="str">
        <f t="shared" si="312"/>
        <v/>
      </c>
    </row>
    <row r="2844" spans="29:53" ht="13.5">
      <c r="AC2844" s="6" t="s">
        <v>114</v>
      </c>
      <c r="AD2844" s="6" t="s">
        <v>7518</v>
      </c>
      <c r="AE2844" s="170" t="s">
        <v>1234</v>
      </c>
      <c r="AF2844" s="159" t="s">
        <v>8299</v>
      </c>
      <c r="AG2844" s="160" t="s">
        <v>3257</v>
      </c>
      <c r="AH2844" s="194" t="s">
        <v>679</v>
      </c>
      <c r="AI2844" s="6" t="s">
        <v>2365</v>
      </c>
      <c r="AJ2844" s="3" t="s">
        <v>8206</v>
      </c>
      <c r="AK2844" t="s">
        <v>8206</v>
      </c>
      <c r="AV2844"/>
      <c r="AX2844"/>
      <c r="AZ2844" t="str">
        <f t="shared" si="311"/>
        <v/>
      </c>
      <c r="BA2844" t="str">
        <f t="shared" si="312"/>
        <v/>
      </c>
    </row>
    <row r="2845" spans="29:53" ht="13.5">
      <c r="AC2845" s="6" t="s">
        <v>1031</v>
      </c>
      <c r="AD2845" s="6" t="s">
        <v>7526</v>
      </c>
      <c r="AE2845" s="170">
        <v>245211</v>
      </c>
      <c r="AF2845" s="159" t="s">
        <v>8299</v>
      </c>
      <c r="AG2845" s="160" t="s">
        <v>3258</v>
      </c>
      <c r="AH2845" s="194" t="s">
        <v>679</v>
      </c>
      <c r="AI2845" s="6" t="s">
        <v>2366</v>
      </c>
      <c r="AJ2845" s="3" t="s">
        <v>8206</v>
      </c>
      <c r="AK2845" t="s">
        <v>8206</v>
      </c>
      <c r="AV2845"/>
      <c r="AX2845"/>
      <c r="AZ2845" t="str">
        <f t="shared" si="311"/>
        <v/>
      </c>
      <c r="BA2845" t="str">
        <f t="shared" si="312"/>
        <v/>
      </c>
    </row>
    <row r="2846" spans="29:53" ht="13.5">
      <c r="AC2846" s="6" t="s">
        <v>4450</v>
      </c>
      <c r="AD2846" s="6" t="s">
        <v>7526</v>
      </c>
      <c r="AE2846" s="170">
        <v>245216</v>
      </c>
      <c r="AF2846" s="159" t="s">
        <v>8299</v>
      </c>
      <c r="AG2846" s="160" t="s">
        <v>3259</v>
      </c>
      <c r="AH2846" s="194" t="s">
        <v>679</v>
      </c>
      <c r="AI2846" s="6" t="s">
        <v>2367</v>
      </c>
      <c r="AJ2846" s="3" t="s">
        <v>8206</v>
      </c>
      <c r="AK2846" t="s">
        <v>8206</v>
      </c>
      <c r="AV2846"/>
      <c r="AX2846"/>
      <c r="AZ2846" t="str">
        <f t="shared" si="311"/>
        <v/>
      </c>
      <c r="BA2846" t="str">
        <f t="shared" si="312"/>
        <v/>
      </c>
    </row>
    <row r="2847" spans="29:53" ht="13.5">
      <c r="AC2847" s="6">
        <v>85610</v>
      </c>
      <c r="AD2847" s="6" t="s">
        <v>7522</v>
      </c>
      <c r="AE2847" s="170" t="s">
        <v>4416</v>
      </c>
      <c r="AF2847" s="159" t="s">
        <v>8299</v>
      </c>
      <c r="AG2847" s="160" t="s">
        <v>1218</v>
      </c>
      <c r="AH2847" s="194" t="s">
        <v>679</v>
      </c>
      <c r="AI2847" s="6" t="s">
        <v>4376</v>
      </c>
      <c r="AJ2847" s="3" t="s">
        <v>8268</v>
      </c>
      <c r="AK2847" t="s">
        <v>8268</v>
      </c>
      <c r="AV2847"/>
      <c r="AX2847"/>
      <c r="AZ2847" t="str">
        <f t="shared" si="311"/>
        <v/>
      </c>
      <c r="BA2847" t="str">
        <f t="shared" si="312"/>
        <v/>
      </c>
    </row>
    <row r="2848" spans="29:53" ht="13.5">
      <c r="AC2848" s="6" t="s">
        <v>195</v>
      </c>
      <c r="AD2848" s="6" t="s">
        <v>7526</v>
      </c>
      <c r="AE2848" s="170" t="s">
        <v>4417</v>
      </c>
      <c r="AF2848" s="159" t="s">
        <v>8339</v>
      </c>
      <c r="AG2848" s="160" t="s">
        <v>3260</v>
      </c>
      <c r="AH2848" s="194" t="s">
        <v>679</v>
      </c>
      <c r="AI2848" s="6" t="s">
        <v>4378</v>
      </c>
      <c r="AJ2848" s="3" t="s">
        <v>8268</v>
      </c>
      <c r="AK2848" t="s">
        <v>8268</v>
      </c>
      <c r="AV2848"/>
      <c r="AX2848"/>
      <c r="AZ2848" t="str">
        <f t="shared" si="311"/>
        <v/>
      </c>
      <c r="BA2848" t="str">
        <f t="shared" si="312"/>
        <v/>
      </c>
    </row>
    <row r="2849" spans="29:53" ht="13.5">
      <c r="AC2849" s="6" t="s">
        <v>185</v>
      </c>
      <c r="AD2849" s="6" t="s">
        <v>7526</v>
      </c>
      <c r="AE2849" s="170" t="s">
        <v>4418</v>
      </c>
      <c r="AF2849" s="159" t="s">
        <v>8339</v>
      </c>
      <c r="AG2849" s="160" t="s">
        <v>3261</v>
      </c>
      <c r="AH2849" s="194" t="s">
        <v>679</v>
      </c>
      <c r="AI2849" s="6" t="s">
        <v>4379</v>
      </c>
      <c r="AJ2849" s="3" t="s">
        <v>8244</v>
      </c>
      <c r="AK2849" t="s">
        <v>8244</v>
      </c>
      <c r="AV2849"/>
      <c r="AX2849"/>
      <c r="AZ2849" t="str">
        <f t="shared" si="311"/>
        <v/>
      </c>
      <c r="BA2849" t="str">
        <f t="shared" si="312"/>
        <v/>
      </c>
    </row>
    <row r="2850" spans="29:53" ht="13.5">
      <c r="AC2850" s="6" t="s">
        <v>202</v>
      </c>
      <c r="AD2850" s="6" t="s">
        <v>7526</v>
      </c>
      <c r="AE2850" s="170" t="s">
        <v>4419</v>
      </c>
      <c r="AF2850" s="159" t="s">
        <v>8339</v>
      </c>
      <c r="AG2850" s="160" t="s">
        <v>3262</v>
      </c>
      <c r="AH2850" s="194" t="s">
        <v>679</v>
      </c>
      <c r="AI2850" s="6" t="s">
        <v>4381</v>
      </c>
      <c r="AJ2850" s="3" t="s">
        <v>8244</v>
      </c>
      <c r="AK2850" t="s">
        <v>8244</v>
      </c>
      <c r="AV2850"/>
      <c r="AX2850"/>
      <c r="AZ2850" t="str">
        <f t="shared" si="311"/>
        <v/>
      </c>
      <c r="BA2850" t="str">
        <f t="shared" si="312"/>
        <v/>
      </c>
    </row>
    <row r="2851" spans="29:53" ht="13.5">
      <c r="AC2851" s="6" t="s">
        <v>187</v>
      </c>
      <c r="AD2851" s="6" t="s">
        <v>7526</v>
      </c>
      <c r="AE2851" s="170" t="s">
        <v>4420</v>
      </c>
      <c r="AF2851" s="159" t="s">
        <v>8299</v>
      </c>
      <c r="AG2851" s="160" t="s">
        <v>4418</v>
      </c>
      <c r="AH2851" s="194" t="s">
        <v>679</v>
      </c>
      <c r="AI2851" s="6" t="s">
        <v>2761</v>
      </c>
      <c r="AJ2851" s="3" t="s">
        <v>8226</v>
      </c>
      <c r="AK2851" t="s">
        <v>8671</v>
      </c>
      <c r="AV2851"/>
      <c r="AX2851"/>
      <c r="AZ2851" t="str">
        <f t="shared" si="311"/>
        <v/>
      </c>
      <c r="BA2851" t="str">
        <f t="shared" si="312"/>
        <v/>
      </c>
    </row>
    <row r="2852" spans="29:53" ht="13.5">
      <c r="AC2852" s="6" t="s">
        <v>1030</v>
      </c>
      <c r="AD2852" s="6" t="s">
        <v>7526</v>
      </c>
      <c r="AE2852" s="170" t="s">
        <v>4421</v>
      </c>
      <c r="AF2852" s="159" t="s">
        <v>8299</v>
      </c>
      <c r="AG2852" s="160" t="s">
        <v>3263</v>
      </c>
      <c r="AH2852" s="194" t="s">
        <v>679</v>
      </c>
      <c r="AI2852" s="6" t="s">
        <v>2763</v>
      </c>
      <c r="AJ2852" s="3" t="s">
        <v>8226</v>
      </c>
      <c r="AK2852" t="s">
        <v>8671</v>
      </c>
      <c r="AV2852"/>
      <c r="AX2852"/>
      <c r="AZ2852" t="str">
        <f t="shared" si="311"/>
        <v/>
      </c>
      <c r="BA2852" t="str">
        <f t="shared" si="312"/>
        <v/>
      </c>
    </row>
    <row r="2853" spans="29:53" ht="13.5">
      <c r="AC2853" s="6" t="s">
        <v>5154</v>
      </c>
      <c r="AD2853" s="6" t="s">
        <v>7526</v>
      </c>
      <c r="AE2853" s="170" t="s">
        <v>4422</v>
      </c>
      <c r="AF2853" s="159" t="s">
        <v>8299</v>
      </c>
      <c r="AG2853" s="160" t="s">
        <v>3264</v>
      </c>
      <c r="AH2853" s="194" t="s">
        <v>679</v>
      </c>
      <c r="AI2853" s="6" t="s">
        <v>2764</v>
      </c>
      <c r="AJ2853" s="3" t="s">
        <v>8226</v>
      </c>
      <c r="AK2853" t="s">
        <v>8671</v>
      </c>
      <c r="AV2853"/>
      <c r="AX2853"/>
      <c r="AZ2853" t="str">
        <f t="shared" si="311"/>
        <v/>
      </c>
      <c r="BA2853" t="str">
        <f t="shared" si="312"/>
        <v/>
      </c>
    </row>
    <row r="2854" spans="29:53" ht="13.5">
      <c r="AC2854" s="6" t="s">
        <v>5257</v>
      </c>
      <c r="AD2854" s="6" t="s">
        <v>7534</v>
      </c>
      <c r="AE2854" s="170" t="s">
        <v>4423</v>
      </c>
      <c r="AF2854" s="159" t="s">
        <v>8299</v>
      </c>
      <c r="AG2854" s="160" t="s">
        <v>3265</v>
      </c>
      <c r="AH2854" s="194" t="s">
        <v>678</v>
      </c>
      <c r="AI2854" s="6" t="s">
        <v>2768</v>
      </c>
      <c r="AJ2854" s="3" t="s">
        <v>8254</v>
      </c>
      <c r="AK2854" t="s">
        <v>8254</v>
      </c>
      <c r="AV2854"/>
      <c r="AX2854"/>
      <c r="AZ2854" t="str">
        <f t="shared" si="311"/>
        <v/>
      </c>
      <c r="BA2854" t="str">
        <f t="shared" si="312"/>
        <v/>
      </c>
    </row>
    <row r="2855" spans="29:53" ht="13.5">
      <c r="AC2855" s="6" t="s">
        <v>5792</v>
      </c>
      <c r="AD2855" s="6" t="s">
        <v>7526</v>
      </c>
      <c r="AE2855" s="170" t="s">
        <v>4424</v>
      </c>
      <c r="AF2855" s="159" t="s">
        <v>8299</v>
      </c>
      <c r="AG2855" s="160" t="s">
        <v>3266</v>
      </c>
      <c r="AH2855" s="194" t="s">
        <v>679</v>
      </c>
      <c r="AI2855" s="6" t="s">
        <v>4383</v>
      </c>
      <c r="AJ2855" s="3" t="s">
        <v>8278</v>
      </c>
      <c r="AK2855" t="s">
        <v>8278</v>
      </c>
      <c r="AV2855"/>
      <c r="AX2855"/>
      <c r="AZ2855" t="str">
        <f t="shared" si="311"/>
        <v/>
      </c>
      <c r="BA2855" t="str">
        <f t="shared" si="312"/>
        <v/>
      </c>
    </row>
    <row r="2856" spans="29:53" ht="13.5">
      <c r="AC2856" s="6" t="s">
        <v>183</v>
      </c>
      <c r="AD2856" s="6" t="s">
        <v>7526</v>
      </c>
      <c r="AE2856" s="170" t="s">
        <v>4425</v>
      </c>
      <c r="AF2856" s="159" t="s">
        <v>8299</v>
      </c>
      <c r="AG2856" s="160" t="s">
        <v>3267</v>
      </c>
      <c r="AH2856" s="194" t="s">
        <v>678</v>
      </c>
      <c r="AI2856" s="6" t="s">
        <v>4385</v>
      </c>
      <c r="AJ2856" s="3" t="s">
        <v>8280</v>
      </c>
      <c r="AK2856" t="s">
        <v>8280</v>
      </c>
      <c r="AV2856"/>
      <c r="AX2856"/>
      <c r="AZ2856" t="str">
        <f t="shared" si="311"/>
        <v/>
      </c>
      <c r="BA2856" t="str">
        <f t="shared" si="312"/>
        <v/>
      </c>
    </row>
    <row r="2857" spans="29:53" ht="13.5">
      <c r="AC2857" s="6" t="s">
        <v>192</v>
      </c>
      <c r="AD2857" s="6" t="s">
        <v>7526</v>
      </c>
      <c r="AE2857" s="170" t="s">
        <v>4426</v>
      </c>
      <c r="AF2857" s="159" t="s">
        <v>8299</v>
      </c>
      <c r="AG2857" s="160" t="s">
        <v>3268</v>
      </c>
      <c r="AH2857" s="194" t="s">
        <v>679</v>
      </c>
      <c r="AI2857" s="6">
        <v>406390</v>
      </c>
      <c r="AJ2857" s="3" t="s">
        <v>8237</v>
      </c>
      <c r="AK2857" t="s">
        <v>8237</v>
      </c>
      <c r="AV2857"/>
      <c r="AX2857"/>
      <c r="AZ2857" t="str">
        <f t="shared" si="311"/>
        <v/>
      </c>
      <c r="BA2857" t="str">
        <f t="shared" si="312"/>
        <v/>
      </c>
    </row>
    <row r="2858" spans="29:53" ht="13.5">
      <c r="AC2858" s="6" t="s">
        <v>194</v>
      </c>
      <c r="AD2858" s="6" t="s">
        <v>7526</v>
      </c>
      <c r="AE2858" s="170" t="s">
        <v>4427</v>
      </c>
      <c r="AF2858" s="159" t="s">
        <v>8299</v>
      </c>
      <c r="AG2858" s="160" t="s">
        <v>3885</v>
      </c>
      <c r="AH2858" s="194" t="s">
        <v>679</v>
      </c>
      <c r="AI2858" s="6">
        <v>406391</v>
      </c>
      <c r="AJ2858" s="3" t="s">
        <v>8271</v>
      </c>
      <c r="AK2858" t="s">
        <v>8271</v>
      </c>
      <c r="AV2858"/>
      <c r="AX2858"/>
      <c r="AZ2858" t="str">
        <f t="shared" si="311"/>
        <v/>
      </c>
      <c r="BA2858" t="str">
        <f t="shared" si="312"/>
        <v/>
      </c>
    </row>
    <row r="2859" spans="29:53" ht="13.5">
      <c r="AC2859" s="6" t="s">
        <v>193</v>
      </c>
      <c r="AD2859" s="6" t="s">
        <v>7526</v>
      </c>
      <c r="AE2859" s="170" t="s">
        <v>1230</v>
      </c>
      <c r="AF2859" s="159" t="s">
        <v>8299</v>
      </c>
      <c r="AG2859" s="160" t="s">
        <v>1219</v>
      </c>
      <c r="AH2859" s="194" t="s">
        <v>679</v>
      </c>
      <c r="AI2859" s="6">
        <v>415682</v>
      </c>
      <c r="AJ2859" s="3" t="s">
        <v>8256</v>
      </c>
      <c r="AK2859" t="s">
        <v>8256</v>
      </c>
      <c r="AV2859"/>
      <c r="AX2859"/>
      <c r="AZ2859" t="str">
        <f t="shared" si="311"/>
        <v/>
      </c>
      <c r="BA2859" t="str">
        <f t="shared" si="312"/>
        <v/>
      </c>
    </row>
    <row r="2860" spans="29:53" ht="13.5">
      <c r="AC2860" s="6" t="s">
        <v>199</v>
      </c>
      <c r="AD2860" s="6" t="s">
        <v>7526</v>
      </c>
      <c r="AE2860" s="170" t="s">
        <v>4428</v>
      </c>
      <c r="AF2860" s="159" t="s">
        <v>8299</v>
      </c>
      <c r="AG2860" s="160" t="s">
        <v>3269</v>
      </c>
      <c r="AH2860" s="194" t="s">
        <v>678</v>
      </c>
      <c r="AI2860" s="6">
        <v>415683</v>
      </c>
      <c r="AJ2860" s="3" t="s">
        <v>8256</v>
      </c>
      <c r="AK2860" t="s">
        <v>8256</v>
      </c>
      <c r="AV2860"/>
      <c r="AX2860"/>
      <c r="AZ2860" t="str">
        <f t="shared" si="311"/>
        <v/>
      </c>
      <c r="BA2860" t="str">
        <f t="shared" si="312"/>
        <v/>
      </c>
    </row>
    <row r="2861" spans="29:53" ht="13.5">
      <c r="AC2861" s="6" t="s">
        <v>198</v>
      </c>
      <c r="AD2861" s="6" t="s">
        <v>7526</v>
      </c>
      <c r="AE2861" s="170" t="s">
        <v>3891</v>
      </c>
      <c r="AF2861" s="159" t="s">
        <v>8339</v>
      </c>
      <c r="AG2861" s="160" t="s">
        <v>3270</v>
      </c>
      <c r="AH2861" s="194" t="s">
        <v>679</v>
      </c>
      <c r="AI2861" s="6">
        <v>425705</v>
      </c>
      <c r="AJ2861" s="3" t="s">
        <v>8251</v>
      </c>
      <c r="AK2861" t="s">
        <v>8251</v>
      </c>
      <c r="AV2861"/>
      <c r="AX2861"/>
      <c r="AZ2861" t="str">
        <f t="shared" si="311"/>
        <v/>
      </c>
      <c r="BA2861" t="str">
        <f t="shared" si="312"/>
        <v/>
      </c>
    </row>
    <row r="2862" spans="29:53" ht="13.5">
      <c r="AC2862" s="6" t="s">
        <v>5464</v>
      </c>
      <c r="AD2862" s="6" t="s">
        <v>7526</v>
      </c>
      <c r="AE2862" s="170" t="s">
        <v>4429</v>
      </c>
      <c r="AF2862" s="159" t="s">
        <v>8299</v>
      </c>
      <c r="AG2862" s="160" t="s">
        <v>3271</v>
      </c>
      <c r="AH2862" s="194" t="s">
        <v>679</v>
      </c>
      <c r="AI2862" s="6">
        <v>435738</v>
      </c>
      <c r="AJ2862" s="3" t="s">
        <v>8275</v>
      </c>
      <c r="AK2862" t="s">
        <v>8275</v>
      </c>
      <c r="AV2862"/>
      <c r="AX2862"/>
      <c r="AZ2862" t="str">
        <f t="shared" si="311"/>
        <v/>
      </c>
      <c r="BA2862" t="str">
        <f t="shared" si="312"/>
        <v/>
      </c>
    </row>
    <row r="2863" spans="29:53" ht="13.5">
      <c r="AC2863" s="6">
        <v>265288</v>
      </c>
      <c r="AD2863" s="6" t="s">
        <v>7537</v>
      </c>
      <c r="AE2863" s="170" t="s">
        <v>4430</v>
      </c>
      <c r="AF2863" s="159" t="s">
        <v>8299</v>
      </c>
      <c r="AG2863" s="160" t="s">
        <v>3272</v>
      </c>
      <c r="AH2863" s="194" t="s">
        <v>678</v>
      </c>
      <c r="AI2863" s="6">
        <v>435743</v>
      </c>
      <c r="AJ2863" s="3" t="s">
        <v>8277</v>
      </c>
      <c r="AK2863" t="s">
        <v>8277</v>
      </c>
      <c r="AV2863"/>
      <c r="AX2863"/>
      <c r="AZ2863" t="str">
        <f t="shared" si="311"/>
        <v/>
      </c>
      <c r="BA2863" t="str">
        <f t="shared" si="312"/>
        <v/>
      </c>
    </row>
    <row r="2864" spans="29:53" ht="13.5">
      <c r="AC2864" s="6" t="s">
        <v>191</v>
      </c>
      <c r="AD2864" s="6" t="s">
        <v>7526</v>
      </c>
      <c r="AE2864" s="170" t="s">
        <v>4431</v>
      </c>
      <c r="AF2864" s="159" t="s">
        <v>8299</v>
      </c>
      <c r="AG2864" s="160" t="s">
        <v>3273</v>
      </c>
      <c r="AH2864" s="194" t="s">
        <v>679</v>
      </c>
      <c r="AI2864" s="6">
        <v>456475</v>
      </c>
      <c r="AJ2864" s="3" t="s">
        <v>8241</v>
      </c>
      <c r="AK2864" t="s">
        <v>8675</v>
      </c>
      <c r="AV2864"/>
      <c r="AX2864"/>
      <c r="AZ2864" t="str">
        <f t="shared" si="311"/>
        <v/>
      </c>
      <c r="BA2864" t="str">
        <f t="shared" si="312"/>
        <v/>
      </c>
    </row>
    <row r="2865" spans="29:53" ht="13.5">
      <c r="AC2865" s="6" t="s">
        <v>184</v>
      </c>
      <c r="AD2865" s="6" t="s">
        <v>7526</v>
      </c>
      <c r="AE2865" s="170" t="s">
        <v>3887</v>
      </c>
      <c r="AF2865" s="159" t="s">
        <v>8339</v>
      </c>
      <c r="AG2865" s="160" t="s">
        <v>3274</v>
      </c>
      <c r="AH2865" s="194" t="s">
        <v>678</v>
      </c>
      <c r="AI2865" s="6">
        <v>465731</v>
      </c>
      <c r="AJ2865" s="3" t="s">
        <v>8271</v>
      </c>
      <c r="AK2865" t="s">
        <v>8271</v>
      </c>
      <c r="AV2865"/>
      <c r="AX2865"/>
      <c r="AZ2865" t="str">
        <f t="shared" si="311"/>
        <v/>
      </c>
      <c r="BA2865" t="str">
        <f t="shared" si="312"/>
        <v/>
      </c>
    </row>
    <row r="2866" spans="29:53" ht="13.5">
      <c r="AC2866" s="6" t="s">
        <v>186</v>
      </c>
      <c r="AD2866" s="6" t="s">
        <v>7526</v>
      </c>
      <c r="AE2866" s="170" t="s">
        <v>3898</v>
      </c>
      <c r="AF2866" s="159" t="s">
        <v>8339</v>
      </c>
      <c r="AG2866" s="160" t="s">
        <v>3275</v>
      </c>
      <c r="AH2866" s="194" t="s">
        <v>679</v>
      </c>
      <c r="AI2866" s="6">
        <v>475349</v>
      </c>
      <c r="AJ2866" s="3" t="s">
        <v>8210</v>
      </c>
      <c r="AK2866" t="s">
        <v>8210</v>
      </c>
      <c r="AV2866"/>
      <c r="AX2866"/>
      <c r="AZ2866" t="str">
        <f t="shared" si="311"/>
        <v/>
      </c>
      <c r="BA2866" t="str">
        <f t="shared" si="312"/>
        <v/>
      </c>
    </row>
    <row r="2867" spans="29:53" ht="13.5">
      <c r="AC2867" s="6" t="s">
        <v>182</v>
      </c>
      <c r="AD2867" s="6" t="s">
        <v>7526</v>
      </c>
      <c r="AE2867" s="170" t="s">
        <v>3893</v>
      </c>
      <c r="AF2867" s="159" t="s">
        <v>8299</v>
      </c>
      <c r="AG2867" s="160" t="s">
        <v>3276</v>
      </c>
      <c r="AH2867" s="194" t="s">
        <v>679</v>
      </c>
      <c r="AI2867" s="6">
        <v>475350</v>
      </c>
      <c r="AJ2867" s="3" t="s">
        <v>8202</v>
      </c>
      <c r="AK2867" t="s">
        <v>8202</v>
      </c>
      <c r="AV2867"/>
      <c r="AX2867"/>
      <c r="AZ2867" t="str">
        <f t="shared" si="311"/>
        <v/>
      </c>
      <c r="BA2867" t="str">
        <f t="shared" si="312"/>
        <v/>
      </c>
    </row>
    <row r="2868" spans="29:53" ht="13.5">
      <c r="AC2868" s="6" t="s">
        <v>4229</v>
      </c>
      <c r="AD2868" s="6" t="s">
        <v>7538</v>
      </c>
      <c r="AE2868" s="170" t="s">
        <v>4432</v>
      </c>
      <c r="AF2868" s="159" t="s">
        <v>8299</v>
      </c>
      <c r="AG2868" s="160" t="s">
        <v>3277</v>
      </c>
      <c r="AH2868" s="194" t="s">
        <v>679</v>
      </c>
      <c r="AI2868" s="6">
        <v>483560</v>
      </c>
      <c r="AJ2868" s="3" t="s">
        <v>8202</v>
      </c>
      <c r="AK2868" t="s">
        <v>8202</v>
      </c>
      <c r="AV2868"/>
      <c r="AX2868"/>
      <c r="AZ2868" t="str">
        <f t="shared" si="311"/>
        <v/>
      </c>
      <c r="BA2868" t="str">
        <f t="shared" si="312"/>
        <v/>
      </c>
    </row>
    <row r="2869" spans="29:53" ht="13.5">
      <c r="AC2869" s="6" t="s">
        <v>189</v>
      </c>
      <c r="AD2869" s="6" t="s">
        <v>7526</v>
      </c>
      <c r="AE2869" s="170" t="s">
        <v>4763</v>
      </c>
      <c r="AF2869" s="159" t="s">
        <v>8299</v>
      </c>
      <c r="AG2869" s="160" t="s">
        <v>3278</v>
      </c>
      <c r="AH2869" s="194" t="s">
        <v>679</v>
      </c>
      <c r="AI2869" s="6">
        <v>485355</v>
      </c>
      <c r="AJ2869" s="3" t="s">
        <v>8202</v>
      </c>
      <c r="AK2869" t="s">
        <v>8202</v>
      </c>
      <c r="AV2869"/>
      <c r="AX2869"/>
      <c r="AZ2869" t="str">
        <f t="shared" si="311"/>
        <v/>
      </c>
      <c r="BA2869" t="str">
        <f t="shared" si="312"/>
        <v/>
      </c>
    </row>
    <row r="2870" spans="29:53" ht="13.5">
      <c r="AC2870" s="6" t="s">
        <v>190</v>
      </c>
      <c r="AD2870" s="6" t="s">
        <v>7526</v>
      </c>
      <c r="AE2870" s="170" t="s">
        <v>3830</v>
      </c>
      <c r="AF2870" s="159" t="s">
        <v>8342</v>
      </c>
      <c r="AG2870" s="160" t="s">
        <v>5384</v>
      </c>
      <c r="AH2870" s="194" t="s">
        <v>678</v>
      </c>
      <c r="AI2870" s="6">
        <v>495357</v>
      </c>
      <c r="AJ2870" s="3" t="s">
        <v>8223</v>
      </c>
      <c r="AK2870" t="s">
        <v>8223</v>
      </c>
      <c r="AV2870"/>
      <c r="AX2870"/>
      <c r="AZ2870" t="str">
        <f t="shared" si="311"/>
        <v/>
      </c>
      <c r="BA2870" t="str">
        <f t="shared" si="312"/>
        <v/>
      </c>
    </row>
    <row r="2871" spans="29:53" ht="13.5">
      <c r="AC2871" s="6" t="s">
        <v>200</v>
      </c>
      <c r="AD2871" s="6" t="s">
        <v>7526</v>
      </c>
      <c r="AE2871" s="170" t="s">
        <v>4771</v>
      </c>
      <c r="AF2871" s="159" t="s">
        <v>8339</v>
      </c>
      <c r="AG2871" s="160" t="s">
        <v>3279</v>
      </c>
      <c r="AH2871" s="194" t="s">
        <v>4700</v>
      </c>
      <c r="AI2871" s="6">
        <v>495358</v>
      </c>
      <c r="AJ2871" s="3" t="s">
        <v>8218</v>
      </c>
      <c r="AK2871" t="s">
        <v>8218</v>
      </c>
      <c r="AV2871"/>
      <c r="AX2871"/>
      <c r="AZ2871" t="str">
        <f t="shared" si="311"/>
        <v/>
      </c>
      <c r="BA2871" t="str">
        <f t="shared" si="312"/>
        <v/>
      </c>
    </row>
    <row r="2872" spans="29:53" ht="13.5">
      <c r="AC2872" s="6" t="s">
        <v>188</v>
      </c>
      <c r="AD2872" s="6" t="s">
        <v>7526</v>
      </c>
      <c r="AE2872" s="170" t="s">
        <v>3896</v>
      </c>
      <c r="AF2872" s="159" t="s">
        <v>8299</v>
      </c>
      <c r="AG2872" s="160" t="s">
        <v>3886</v>
      </c>
      <c r="AH2872" s="194" t="s">
        <v>679</v>
      </c>
      <c r="AI2872" s="6" t="s">
        <v>2825</v>
      </c>
      <c r="AJ2872" s="3" t="s">
        <v>8206</v>
      </c>
      <c r="AK2872" t="s">
        <v>8206</v>
      </c>
      <c r="AV2872"/>
      <c r="AX2872"/>
      <c r="AZ2872" t="str">
        <f t="shared" si="311"/>
        <v/>
      </c>
      <c r="BA2872" t="str">
        <f t="shared" si="312"/>
        <v/>
      </c>
    </row>
    <row r="2873" spans="29:53" ht="13.5">
      <c r="AC2873" s="6" t="s">
        <v>113</v>
      </c>
      <c r="AD2873" s="6" t="s">
        <v>7518</v>
      </c>
      <c r="AE2873" s="170" t="s">
        <v>4759</v>
      </c>
      <c r="AF2873" s="159" t="s">
        <v>8299</v>
      </c>
      <c r="AG2873" s="160" t="s">
        <v>3280</v>
      </c>
      <c r="AH2873" s="194" t="s">
        <v>679</v>
      </c>
      <c r="AI2873" s="6" t="s">
        <v>1152</v>
      </c>
      <c r="AJ2873" s="3" t="s">
        <v>8202</v>
      </c>
      <c r="AK2873" t="s">
        <v>8202</v>
      </c>
      <c r="AV2873"/>
      <c r="AX2873"/>
      <c r="AZ2873" t="str">
        <f t="shared" si="311"/>
        <v/>
      </c>
      <c r="BA2873" t="str">
        <f t="shared" si="312"/>
        <v/>
      </c>
    </row>
    <row r="2874" spans="29:53" ht="13.5">
      <c r="AC2874" s="6" t="s">
        <v>201</v>
      </c>
      <c r="AD2874" s="6" t="s">
        <v>7526</v>
      </c>
      <c r="AE2874" s="170" t="s">
        <v>4768</v>
      </c>
      <c r="AF2874" s="159" t="s">
        <v>8299</v>
      </c>
      <c r="AG2874" s="160" t="s">
        <v>3281</v>
      </c>
      <c r="AH2874" s="194" t="s">
        <v>679</v>
      </c>
      <c r="AI2874" s="6" t="s">
        <v>1154</v>
      </c>
      <c r="AJ2874" s="3" t="s">
        <v>8224</v>
      </c>
      <c r="AK2874" t="s">
        <v>8224</v>
      </c>
      <c r="AV2874"/>
      <c r="AX2874"/>
      <c r="AZ2874" t="str">
        <f t="shared" si="311"/>
        <v/>
      </c>
      <c r="BA2874" t="str">
        <f t="shared" si="312"/>
        <v/>
      </c>
    </row>
    <row r="2875" spans="29:53" ht="13.5">
      <c r="AC2875" s="6" t="s">
        <v>4185</v>
      </c>
      <c r="AD2875" s="6" t="s">
        <v>7538</v>
      </c>
      <c r="AE2875" s="170" t="s">
        <v>4748</v>
      </c>
      <c r="AF2875" s="159" t="s">
        <v>8339</v>
      </c>
      <c r="AG2875" s="160" t="s">
        <v>3282</v>
      </c>
      <c r="AH2875" s="194" t="s">
        <v>679</v>
      </c>
      <c r="AI2875" s="6" t="s">
        <v>1155</v>
      </c>
      <c r="AJ2875" s="3" t="s">
        <v>8224</v>
      </c>
      <c r="AK2875" t="s">
        <v>8224</v>
      </c>
      <c r="AV2875"/>
      <c r="AX2875"/>
      <c r="AZ2875" t="str">
        <f t="shared" si="311"/>
        <v/>
      </c>
      <c r="BA2875" t="str">
        <f t="shared" si="312"/>
        <v/>
      </c>
    </row>
    <row r="2876" spans="29:53" ht="13.5">
      <c r="AC2876" s="6" t="s">
        <v>4475</v>
      </c>
      <c r="AD2876" s="6" t="s">
        <v>7539</v>
      </c>
      <c r="AE2876" s="170" t="s">
        <v>3888</v>
      </c>
      <c r="AF2876" s="159" t="s">
        <v>8339</v>
      </c>
      <c r="AG2876" s="160" t="s">
        <v>1220</v>
      </c>
      <c r="AH2876" s="194" t="s">
        <v>679</v>
      </c>
      <c r="AI2876" s="6" t="s">
        <v>1156</v>
      </c>
      <c r="AJ2876" s="3" t="s">
        <v>8224</v>
      </c>
      <c r="AK2876" t="s">
        <v>8224</v>
      </c>
      <c r="AV2876"/>
      <c r="AX2876"/>
      <c r="AZ2876" t="str">
        <f t="shared" si="311"/>
        <v/>
      </c>
      <c r="BA2876" t="str">
        <f t="shared" si="312"/>
        <v/>
      </c>
    </row>
    <row r="2877" spans="29:53" ht="13.5">
      <c r="AC2877" s="6" t="s">
        <v>4449</v>
      </c>
      <c r="AD2877" s="6" t="s">
        <v>7534</v>
      </c>
      <c r="AE2877" s="170" t="s">
        <v>3889</v>
      </c>
      <c r="AF2877" s="159" t="s">
        <v>8339</v>
      </c>
      <c r="AG2877" s="160" t="s">
        <v>1221</v>
      </c>
      <c r="AH2877" s="194" t="s">
        <v>679</v>
      </c>
      <c r="AI2877" s="6" t="s">
        <v>4394</v>
      </c>
      <c r="AJ2877" s="3" t="s">
        <v>8214</v>
      </c>
      <c r="AK2877" t="s">
        <v>8214</v>
      </c>
      <c r="AV2877"/>
      <c r="AX2877"/>
      <c r="AZ2877" t="str">
        <f t="shared" si="311"/>
        <v/>
      </c>
      <c r="BA2877" t="str">
        <f t="shared" si="312"/>
        <v/>
      </c>
    </row>
    <row r="2878" spans="29:53" ht="13.5">
      <c r="AC2878" s="6">
        <v>771615</v>
      </c>
      <c r="AD2878" s="6" t="s">
        <v>7540</v>
      </c>
      <c r="AE2878" s="170">
        <v>55464</v>
      </c>
      <c r="AF2878" s="159" t="s">
        <v>8299</v>
      </c>
      <c r="AG2878" s="160" t="s">
        <v>3283</v>
      </c>
      <c r="AH2878" s="194" t="s">
        <v>679</v>
      </c>
      <c r="AI2878" s="6">
        <v>515362</v>
      </c>
      <c r="AJ2878" s="3" t="s">
        <v>8223</v>
      </c>
      <c r="AK2878" t="s">
        <v>8223</v>
      </c>
      <c r="AV2878"/>
      <c r="AX2878"/>
      <c r="AZ2878" t="str">
        <f t="shared" si="311"/>
        <v/>
      </c>
      <c r="BA2878" t="str">
        <f t="shared" si="312"/>
        <v/>
      </c>
    </row>
    <row r="2879" spans="29:53" ht="13.5">
      <c r="AC2879" s="6" t="s">
        <v>196</v>
      </c>
      <c r="AD2879" s="6" t="s">
        <v>7526</v>
      </c>
      <c r="AE2879" s="170" t="s">
        <v>3895</v>
      </c>
      <c r="AF2879" s="159" t="s">
        <v>8339</v>
      </c>
      <c r="AG2879" s="160" t="s">
        <v>3284</v>
      </c>
      <c r="AH2879" s="194" t="s">
        <v>679</v>
      </c>
      <c r="AI2879" s="6">
        <v>525364</v>
      </c>
      <c r="AJ2879" s="3" t="s">
        <v>8198</v>
      </c>
      <c r="AK2879" t="s">
        <v>8198</v>
      </c>
      <c r="AV2879"/>
      <c r="AX2879"/>
      <c r="AZ2879" t="str">
        <f t="shared" si="311"/>
        <v/>
      </c>
      <c r="BA2879" t="str">
        <f t="shared" si="312"/>
        <v/>
      </c>
    </row>
    <row r="2880" spans="29:53" ht="13.5">
      <c r="AC2880" s="6" t="s">
        <v>625</v>
      </c>
      <c r="AD2880" s="6" t="s">
        <v>7541</v>
      </c>
      <c r="AE2880" s="170" t="s">
        <v>4745</v>
      </c>
      <c r="AF2880" s="159" t="s">
        <v>8299</v>
      </c>
      <c r="AG2880" s="160" t="s">
        <v>3285</v>
      </c>
      <c r="AH2880" s="194" t="s">
        <v>679</v>
      </c>
      <c r="AI2880" s="6">
        <v>525366</v>
      </c>
      <c r="AJ2880" s="3" t="s">
        <v>8202</v>
      </c>
      <c r="AK2880" t="s">
        <v>8202</v>
      </c>
      <c r="AV2880"/>
      <c r="AX2880"/>
      <c r="AZ2880" t="str">
        <f t="shared" si="311"/>
        <v/>
      </c>
      <c r="BA2880" t="str">
        <f t="shared" si="312"/>
        <v/>
      </c>
    </row>
    <row r="2881" spans="29:53" ht="13.5">
      <c r="AC2881" s="6" t="s">
        <v>626</v>
      </c>
      <c r="AD2881" s="6" t="s">
        <v>7541</v>
      </c>
      <c r="AE2881" s="170" t="s">
        <v>4752</v>
      </c>
      <c r="AF2881" s="159" t="s">
        <v>8299</v>
      </c>
      <c r="AG2881" s="160" t="s">
        <v>3286</v>
      </c>
      <c r="AH2881" s="194" t="s">
        <v>679</v>
      </c>
      <c r="AI2881" s="6">
        <v>535372</v>
      </c>
      <c r="AJ2881" s="3" t="s">
        <v>8218</v>
      </c>
      <c r="AK2881" t="s">
        <v>8218</v>
      </c>
      <c r="AV2881"/>
      <c r="AX2881"/>
      <c r="AZ2881" t="str">
        <f t="shared" si="311"/>
        <v/>
      </c>
      <c r="BA2881" t="str">
        <f t="shared" si="312"/>
        <v/>
      </c>
    </row>
    <row r="2882" spans="29:53" ht="13.5">
      <c r="AC2882" s="6" t="s">
        <v>5233</v>
      </c>
      <c r="AD2882" s="6" t="s">
        <v>7534</v>
      </c>
      <c r="AE2882" s="170" t="s">
        <v>4762</v>
      </c>
      <c r="AF2882" s="159" t="s">
        <v>8299</v>
      </c>
      <c r="AG2882" s="160" t="s">
        <v>3287</v>
      </c>
      <c r="AH2882" s="194" t="s">
        <v>679</v>
      </c>
      <c r="AI2882" s="6">
        <v>535373</v>
      </c>
      <c r="AJ2882" s="3" t="s">
        <v>8261</v>
      </c>
      <c r="AK2882" t="s">
        <v>8261</v>
      </c>
      <c r="AV2882"/>
      <c r="AX2882"/>
      <c r="AZ2882" t="str">
        <f t="shared" si="311"/>
        <v/>
      </c>
      <c r="BA2882" t="str">
        <f t="shared" si="312"/>
        <v/>
      </c>
    </row>
    <row r="2883" spans="29:53" ht="13.5">
      <c r="AC2883" s="6">
        <v>235325</v>
      </c>
      <c r="AD2883" s="6" t="s">
        <v>7542</v>
      </c>
      <c r="AE2883" s="170" t="s">
        <v>4757</v>
      </c>
      <c r="AF2883" s="159" t="s">
        <v>8299</v>
      </c>
      <c r="AG2883" s="160" t="s">
        <v>3288</v>
      </c>
      <c r="AH2883" s="194" t="s">
        <v>679</v>
      </c>
      <c r="AI2883" s="6">
        <v>541621</v>
      </c>
      <c r="AJ2883" s="3" t="s">
        <v>8194</v>
      </c>
      <c r="AK2883" t="s">
        <v>8194</v>
      </c>
      <c r="AV2883"/>
      <c r="AX2883"/>
      <c r="AZ2883" t="str">
        <f t="shared" si="311"/>
        <v/>
      </c>
      <c r="BA2883" t="str">
        <f t="shared" si="312"/>
        <v/>
      </c>
    </row>
    <row r="2884" spans="29:53" ht="13.5">
      <c r="AC2884" s="6" t="s">
        <v>4433</v>
      </c>
      <c r="AD2884" s="6" t="s">
        <v>7530</v>
      </c>
      <c r="AE2884" s="170">
        <v>64598</v>
      </c>
      <c r="AF2884" s="159" t="s">
        <v>8299</v>
      </c>
      <c r="AG2884" s="160" t="s">
        <v>1222</v>
      </c>
      <c r="AH2884" s="194" t="s">
        <v>679</v>
      </c>
      <c r="AI2884" s="6">
        <v>541622</v>
      </c>
      <c r="AJ2884" s="3" t="s">
        <v>8194</v>
      </c>
      <c r="AK2884" t="s">
        <v>8194</v>
      </c>
      <c r="AV2884"/>
      <c r="AX2884"/>
      <c r="AZ2884" t="str">
        <f t="shared" si="311"/>
        <v/>
      </c>
      <c r="BA2884" t="str">
        <f t="shared" si="312"/>
        <v/>
      </c>
    </row>
    <row r="2885" spans="29:53" ht="13.5">
      <c r="AC2885" s="6" t="s">
        <v>5152</v>
      </c>
      <c r="AD2885" s="6" t="s">
        <v>7543</v>
      </c>
      <c r="AE2885" s="170" t="s">
        <v>4707</v>
      </c>
      <c r="AF2885" s="159" t="s">
        <v>8299</v>
      </c>
      <c r="AG2885" s="160" t="s">
        <v>3289</v>
      </c>
      <c r="AH2885" s="194" t="s">
        <v>679</v>
      </c>
      <c r="AI2885" s="6">
        <v>543137</v>
      </c>
      <c r="AJ2885" s="3" t="s">
        <v>8194</v>
      </c>
      <c r="AK2885" t="s">
        <v>8194</v>
      </c>
      <c r="AV2885"/>
      <c r="AX2885"/>
      <c r="AZ2885" t="str">
        <f t="shared" si="311"/>
        <v/>
      </c>
      <c r="BA2885" t="str">
        <f t="shared" si="312"/>
        <v/>
      </c>
    </row>
    <row r="2886" spans="29:53" ht="13.5">
      <c r="AC2886" s="6">
        <v>771614</v>
      </c>
      <c r="AD2886" s="6" t="s">
        <v>7540</v>
      </c>
      <c r="AE2886" s="170" t="s">
        <v>4767</v>
      </c>
      <c r="AF2886" s="159" t="s">
        <v>8299</v>
      </c>
      <c r="AG2886" s="160" t="s">
        <v>3290</v>
      </c>
      <c r="AH2886" s="194" t="s">
        <v>679</v>
      </c>
      <c r="AI2886" s="6">
        <v>543139</v>
      </c>
      <c r="AJ2886" s="3" t="s">
        <v>8215</v>
      </c>
      <c r="AK2886" t="s">
        <v>8215</v>
      </c>
      <c r="AV2886"/>
      <c r="AX2886"/>
      <c r="AZ2886" t="str">
        <f t="shared" si="311"/>
        <v/>
      </c>
      <c r="BA2886" t="str">
        <f t="shared" si="312"/>
        <v/>
      </c>
    </row>
    <row r="2887" spans="29:53" ht="13.5">
      <c r="AC2887" s="6" t="s">
        <v>133</v>
      </c>
      <c r="AD2887" s="6" t="s">
        <v>7543</v>
      </c>
      <c r="AE2887" s="170" t="s">
        <v>4733</v>
      </c>
      <c r="AF2887" s="159" t="s">
        <v>8299</v>
      </c>
      <c r="AG2887" s="160" t="s">
        <v>3291</v>
      </c>
      <c r="AH2887" s="194" t="s">
        <v>679</v>
      </c>
      <c r="AI2887" s="6">
        <v>544319</v>
      </c>
      <c r="AJ2887" s="3" t="s">
        <v>8238</v>
      </c>
      <c r="AK2887" t="s">
        <v>8673</v>
      </c>
      <c r="AV2887"/>
      <c r="AX2887"/>
      <c r="AZ2887" t="str">
        <f t="shared" si="311"/>
        <v/>
      </c>
      <c r="BA2887" t="str">
        <f t="shared" si="312"/>
        <v/>
      </c>
    </row>
    <row r="2888" spans="29:53" ht="13.5">
      <c r="AC2888" s="6">
        <v>263630</v>
      </c>
      <c r="AD2888" s="6" t="s">
        <v>7537</v>
      </c>
      <c r="AE2888" s="170" t="s">
        <v>4812</v>
      </c>
      <c r="AF2888" s="159" t="s">
        <v>8299</v>
      </c>
      <c r="AG2888" s="160" t="s">
        <v>4754</v>
      </c>
      <c r="AH2888" s="194" t="s">
        <v>679</v>
      </c>
      <c r="AI2888" s="6">
        <v>545379</v>
      </c>
      <c r="AJ2888" s="3" t="s">
        <v>8252</v>
      </c>
      <c r="AK2888" t="s">
        <v>8252</v>
      </c>
      <c r="AV2888"/>
      <c r="AX2888"/>
      <c r="AZ2888" t="str">
        <f t="shared" si="311"/>
        <v/>
      </c>
      <c r="BA2888" t="str">
        <f t="shared" si="312"/>
        <v/>
      </c>
    </row>
    <row r="2889" spans="29:53" ht="13.5">
      <c r="AC2889" s="6" t="s">
        <v>134</v>
      </c>
      <c r="AD2889" s="6" t="s">
        <v>7543</v>
      </c>
      <c r="AE2889" s="170">
        <v>246836</v>
      </c>
      <c r="AF2889" s="159" t="s">
        <v>8299</v>
      </c>
      <c r="AG2889" s="160" t="s">
        <v>3292</v>
      </c>
      <c r="AH2889" s="194" t="s">
        <v>679</v>
      </c>
      <c r="AI2889" s="6">
        <v>545380</v>
      </c>
      <c r="AJ2889" s="3" t="s">
        <v>8252</v>
      </c>
      <c r="AK2889" t="s">
        <v>8252</v>
      </c>
      <c r="AV2889"/>
      <c r="AX2889"/>
      <c r="AZ2889" t="str">
        <f t="shared" si="311"/>
        <v/>
      </c>
      <c r="BA2889" t="str">
        <f t="shared" si="312"/>
        <v/>
      </c>
    </row>
    <row r="2890" spans="29:53" ht="13.5">
      <c r="AC2890" s="6" t="s">
        <v>132</v>
      </c>
      <c r="AD2890" s="6" t="s">
        <v>7543</v>
      </c>
      <c r="AE2890" s="170" t="s">
        <v>4754</v>
      </c>
      <c r="AF2890" s="159" t="s">
        <v>8339</v>
      </c>
      <c r="AG2890" s="160" t="s">
        <v>3293</v>
      </c>
      <c r="AH2890" s="194" t="s">
        <v>679</v>
      </c>
      <c r="AI2890" s="6">
        <v>555381</v>
      </c>
      <c r="AJ2890" s="3" t="s">
        <v>8234</v>
      </c>
      <c r="AK2890" t="s">
        <v>8234</v>
      </c>
      <c r="AV2890"/>
      <c r="AX2890"/>
      <c r="AZ2890" t="str">
        <f t="shared" si="311"/>
        <v/>
      </c>
      <c r="BA2890" t="str">
        <f t="shared" si="312"/>
        <v/>
      </c>
    </row>
    <row r="2891" spans="29:53" ht="13.5">
      <c r="AC2891" s="6" t="s">
        <v>5070</v>
      </c>
      <c r="AD2891" s="6" t="s">
        <v>7544</v>
      </c>
      <c r="AE2891" s="170" t="s">
        <v>4776</v>
      </c>
      <c r="AF2891" s="159" t="s">
        <v>8299</v>
      </c>
      <c r="AG2891" s="160" t="s">
        <v>3294</v>
      </c>
      <c r="AH2891" s="194" t="s">
        <v>679</v>
      </c>
      <c r="AI2891" s="6">
        <v>555382</v>
      </c>
      <c r="AJ2891" s="3" t="s">
        <v>8235</v>
      </c>
      <c r="AK2891" t="s">
        <v>8672</v>
      </c>
      <c r="AV2891"/>
      <c r="AX2891"/>
      <c r="AZ2891" t="str">
        <f t="shared" si="311"/>
        <v/>
      </c>
      <c r="BA2891" t="str">
        <f t="shared" si="312"/>
        <v/>
      </c>
    </row>
    <row r="2892" spans="29:53" ht="13.5">
      <c r="AC2892" s="6" t="s">
        <v>1528</v>
      </c>
      <c r="AD2892" s="6" t="s">
        <v>7545</v>
      </c>
      <c r="AE2892" s="170" t="s">
        <v>4784</v>
      </c>
      <c r="AF2892" s="159" t="s">
        <v>8339</v>
      </c>
      <c r="AG2892" s="160" t="s">
        <v>3295</v>
      </c>
      <c r="AH2892" s="194" t="s">
        <v>679</v>
      </c>
      <c r="AI2892" s="6">
        <v>555383</v>
      </c>
      <c r="AJ2892" s="3" t="s">
        <v>8235</v>
      </c>
      <c r="AK2892" t="s">
        <v>8672</v>
      </c>
      <c r="AV2892"/>
      <c r="AX2892"/>
      <c r="AZ2892" t="str">
        <f t="shared" si="311"/>
        <v/>
      </c>
      <c r="BA2892" t="str">
        <f t="shared" si="312"/>
        <v/>
      </c>
    </row>
    <row r="2893" spans="29:53" ht="13.5">
      <c r="AC2893" s="6">
        <v>85611</v>
      </c>
      <c r="AD2893" s="6" t="s">
        <v>7522</v>
      </c>
      <c r="AE2893" s="170" t="s">
        <v>4775</v>
      </c>
      <c r="AF2893" s="159" t="s">
        <v>8299</v>
      </c>
      <c r="AG2893" s="160" t="s">
        <v>3296</v>
      </c>
      <c r="AH2893" s="194" t="s">
        <v>679</v>
      </c>
      <c r="AI2893" s="6">
        <v>565384</v>
      </c>
      <c r="AJ2893" s="3" t="s">
        <v>8234</v>
      </c>
      <c r="AK2893" t="s">
        <v>8234</v>
      </c>
      <c r="AV2893"/>
      <c r="AX2893"/>
      <c r="AZ2893" t="str">
        <f t="shared" si="311"/>
        <v/>
      </c>
      <c r="BA2893" t="str">
        <f t="shared" si="312"/>
        <v/>
      </c>
    </row>
    <row r="2894" spans="29:53" ht="13.5">
      <c r="AC2894" s="6" t="s">
        <v>1471</v>
      </c>
      <c r="AD2894" s="6" t="s">
        <v>7546</v>
      </c>
      <c r="AE2894" s="170" t="s">
        <v>4789</v>
      </c>
      <c r="AF2894" s="159" t="s">
        <v>8299</v>
      </c>
      <c r="AG2894" s="160" t="s">
        <v>3297</v>
      </c>
      <c r="AH2894" s="194" t="s">
        <v>678</v>
      </c>
      <c r="AI2894" s="6">
        <v>585390</v>
      </c>
      <c r="AJ2894" s="3" t="s">
        <v>8248</v>
      </c>
      <c r="AK2894" t="s">
        <v>8248</v>
      </c>
      <c r="AV2894"/>
      <c r="AX2894"/>
      <c r="AZ2894" t="str">
        <f t="shared" si="311"/>
        <v/>
      </c>
      <c r="BA2894" t="str">
        <f t="shared" si="312"/>
        <v/>
      </c>
    </row>
    <row r="2895" spans="29:53" ht="13.5">
      <c r="AC2895" s="6" t="s">
        <v>5250</v>
      </c>
      <c r="AD2895" s="6" t="s">
        <v>7526</v>
      </c>
      <c r="AE2895" s="170" t="s">
        <v>4813</v>
      </c>
      <c r="AF2895" s="159" t="s">
        <v>8299</v>
      </c>
      <c r="AG2895" s="160" t="s">
        <v>3298</v>
      </c>
      <c r="AH2895" s="194" t="s">
        <v>678</v>
      </c>
      <c r="AI2895" s="6">
        <v>585391</v>
      </c>
      <c r="AJ2895" s="3" t="s">
        <v>8248</v>
      </c>
      <c r="AK2895" t="s">
        <v>8248</v>
      </c>
      <c r="AV2895"/>
      <c r="AX2895"/>
      <c r="AZ2895" t="str">
        <f t="shared" si="311"/>
        <v/>
      </c>
      <c r="BA2895" t="str">
        <f t="shared" si="312"/>
        <v/>
      </c>
    </row>
    <row r="2896" spans="29:53" ht="13.5">
      <c r="AC2896" s="6" t="s">
        <v>1419</v>
      </c>
      <c r="AD2896" s="6" t="s">
        <v>7546</v>
      </c>
      <c r="AE2896" s="170" t="s">
        <v>4756</v>
      </c>
      <c r="AF2896" s="159" t="s">
        <v>8299</v>
      </c>
      <c r="AG2896" s="160" t="s">
        <v>3299</v>
      </c>
      <c r="AH2896" s="194" t="s">
        <v>679</v>
      </c>
      <c r="AI2896" s="6">
        <v>585392</v>
      </c>
      <c r="AJ2896" s="3" t="s">
        <v>8248</v>
      </c>
      <c r="AK2896" t="s">
        <v>8248</v>
      </c>
      <c r="AV2896"/>
      <c r="AX2896"/>
      <c r="AZ2896" t="str">
        <f t="shared" si="311"/>
        <v/>
      </c>
      <c r="BA2896" t="str">
        <f t="shared" si="312"/>
        <v/>
      </c>
    </row>
    <row r="2897" spans="29:53" ht="13.5">
      <c r="AC2897" s="6" t="s">
        <v>1377</v>
      </c>
      <c r="AD2897" s="6" t="s">
        <v>7546</v>
      </c>
      <c r="AE2897" s="170" t="s">
        <v>4746</v>
      </c>
      <c r="AF2897" s="159" t="s">
        <v>8339</v>
      </c>
      <c r="AG2897" s="160" t="s">
        <v>3300</v>
      </c>
      <c r="AH2897" s="194" t="s">
        <v>679</v>
      </c>
      <c r="AI2897" s="6">
        <v>585393</v>
      </c>
      <c r="AJ2897" s="3" t="s">
        <v>8248</v>
      </c>
      <c r="AK2897" t="s">
        <v>8248</v>
      </c>
      <c r="AV2897"/>
      <c r="AX2897"/>
      <c r="AZ2897" t="str">
        <f t="shared" ref="AZ2897:AZ2960" si="313">IF(ISBLANK(AW2897),"",CONCATENATE("(",RIGHT(AW2897,5),"-",TEXT(AX2897,"h:mm;@"),")"))</f>
        <v/>
      </c>
      <c r="BA2897" t="str">
        <f t="shared" ref="BA2897:BA2960" si="314">IF(AV2913=AV2897,"",CONCATENATE(IF(AV2912=AV2897,BA2912,""),IF(AV2911=AV2897,BA2911,""),IF(AV2910=AV2897,BA2910,""),IF(AV2909=AV2897,BA2909,""),IF(AV2908=AV2897,BA2908,""),IF(AV2907=AV2897,BA2907,""),IF(AV2906=AV2897,BA2906,""),IF(AV2905=AV2897,BA2905,""),IF(AV2904=AV2897,BA2904,""),IF(AV2903=AV2897,BA2903,""),IF(AV2902=AV2897,BA2902,""),IF(AV2901=AV2897,BA2901,""),IF(AV2900=AV2897,BA2900,""),IF(AV2899=AV2897,BA2899,""),IF(AV2898=AV2897,BA2898,""),IF(AV2896=AV2897,BA2896,""),BA2897))</f>
        <v/>
      </c>
    </row>
    <row r="2898" spans="29:53" ht="13.5">
      <c r="AC2898" s="6">
        <v>233700</v>
      </c>
      <c r="AD2898" s="6" t="s">
        <v>7542</v>
      </c>
      <c r="AE2898" s="170" t="s">
        <v>4766</v>
      </c>
      <c r="AF2898" s="159" t="s">
        <v>8339</v>
      </c>
      <c r="AG2898" s="160" t="s">
        <v>1223</v>
      </c>
      <c r="AH2898" s="194" t="s">
        <v>679</v>
      </c>
      <c r="AI2898" s="6">
        <v>595395</v>
      </c>
      <c r="AJ2898" s="3" t="s">
        <v>8227</v>
      </c>
      <c r="AK2898" t="s">
        <v>8227</v>
      </c>
      <c r="AV2898"/>
      <c r="AX2898"/>
      <c r="AZ2898" t="str">
        <f t="shared" si="313"/>
        <v/>
      </c>
      <c r="BA2898" t="str">
        <f t="shared" si="314"/>
        <v/>
      </c>
    </row>
    <row r="2899" spans="29:53" ht="13.5">
      <c r="AC2899" s="6">
        <v>265287</v>
      </c>
      <c r="AD2899" s="6" t="s">
        <v>7537</v>
      </c>
      <c r="AE2899" s="170" t="s">
        <v>4761</v>
      </c>
      <c r="AF2899" s="159" t="s">
        <v>8339</v>
      </c>
      <c r="AG2899" s="160" t="s">
        <v>4421</v>
      </c>
      <c r="AH2899" s="194" t="s">
        <v>678</v>
      </c>
      <c r="AI2899" s="6">
        <v>595399</v>
      </c>
      <c r="AJ2899" s="3" t="s">
        <v>8227</v>
      </c>
      <c r="AK2899" t="s">
        <v>8227</v>
      </c>
      <c r="AV2899"/>
      <c r="AX2899"/>
      <c r="AZ2899" t="str">
        <f t="shared" si="313"/>
        <v/>
      </c>
      <c r="BA2899" t="str">
        <f t="shared" si="314"/>
        <v/>
      </c>
    </row>
    <row r="2900" spans="29:53" ht="13.5">
      <c r="AC2900" s="6">
        <v>771613</v>
      </c>
      <c r="AD2900" s="6" t="s">
        <v>7540</v>
      </c>
      <c r="AE2900" s="170" t="s">
        <v>4814</v>
      </c>
      <c r="AF2900" s="159" t="s">
        <v>8299</v>
      </c>
      <c r="AG2900" s="160" t="s">
        <v>3301</v>
      </c>
      <c r="AH2900" s="194" t="s">
        <v>679</v>
      </c>
      <c r="AI2900" s="6">
        <v>595400</v>
      </c>
      <c r="AJ2900" s="3" t="s">
        <v>8227</v>
      </c>
      <c r="AK2900" t="s">
        <v>8227</v>
      </c>
      <c r="AV2900"/>
      <c r="AX2900"/>
      <c r="AZ2900" t="str">
        <f t="shared" si="313"/>
        <v/>
      </c>
      <c r="BA2900" t="str">
        <f t="shared" si="314"/>
        <v/>
      </c>
    </row>
    <row r="2901" spans="29:53" ht="13.5">
      <c r="AC2901" s="6" t="s">
        <v>1470</v>
      </c>
      <c r="AD2901" s="6" t="s">
        <v>7546</v>
      </c>
      <c r="AE2901" s="170">
        <v>246832</v>
      </c>
      <c r="AF2901" s="159" t="s">
        <v>8299</v>
      </c>
      <c r="AG2901" s="160" t="s">
        <v>3302</v>
      </c>
      <c r="AH2901" s="194" t="s">
        <v>679</v>
      </c>
      <c r="AI2901" s="6">
        <v>595401</v>
      </c>
      <c r="AJ2901" s="3" t="s">
        <v>8227</v>
      </c>
      <c r="AK2901" t="s">
        <v>8227</v>
      </c>
      <c r="AV2901"/>
      <c r="AX2901"/>
      <c r="AZ2901" t="str">
        <f t="shared" si="313"/>
        <v/>
      </c>
      <c r="BA2901" t="str">
        <f t="shared" si="314"/>
        <v/>
      </c>
    </row>
    <row r="2902" spans="29:53" ht="13.5">
      <c r="AC2902" s="6" t="s">
        <v>5214</v>
      </c>
      <c r="AD2902" s="6" t="s">
        <v>7539</v>
      </c>
      <c r="AE2902" s="170" t="s">
        <v>5727</v>
      </c>
      <c r="AF2902" s="159" t="s">
        <v>8299</v>
      </c>
      <c r="AG2902" s="161" t="s">
        <v>3303</v>
      </c>
      <c r="AH2902" s="194" t="s">
        <v>678</v>
      </c>
      <c r="AI2902" s="6">
        <v>595402</v>
      </c>
      <c r="AJ2902" s="3" t="s">
        <v>8227</v>
      </c>
      <c r="AK2902" t="s">
        <v>8227</v>
      </c>
      <c r="AV2902"/>
      <c r="AX2902"/>
      <c r="AZ2902" t="str">
        <f t="shared" si="313"/>
        <v/>
      </c>
      <c r="BA2902" t="str">
        <f t="shared" si="314"/>
        <v/>
      </c>
    </row>
    <row r="2903" spans="29:53" ht="13.5">
      <c r="AC2903" s="6" t="s">
        <v>4278</v>
      </c>
      <c r="AD2903" s="6" t="s">
        <v>7547</v>
      </c>
      <c r="AE2903" s="170" t="s">
        <v>4758</v>
      </c>
      <c r="AF2903" s="159" t="s">
        <v>8339</v>
      </c>
      <c r="AG2903" s="160" t="s">
        <v>3304</v>
      </c>
      <c r="AH2903" s="194" t="s">
        <v>679</v>
      </c>
      <c r="AI2903" s="6" t="s">
        <v>4397</v>
      </c>
      <c r="AJ2903" s="3" t="s">
        <v>8260</v>
      </c>
      <c r="AK2903" t="s">
        <v>8678</v>
      </c>
      <c r="AV2903"/>
      <c r="AX2903"/>
      <c r="AZ2903" t="str">
        <f t="shared" si="313"/>
        <v/>
      </c>
      <c r="BA2903" t="str">
        <f t="shared" si="314"/>
        <v/>
      </c>
    </row>
    <row r="2904" spans="29:53" ht="13.5">
      <c r="AC2904" s="6" t="s">
        <v>5117</v>
      </c>
      <c r="AD2904" s="6" t="s">
        <v>7526</v>
      </c>
      <c r="AE2904" s="170" t="s">
        <v>4755</v>
      </c>
      <c r="AF2904" s="159" t="s">
        <v>8339</v>
      </c>
      <c r="AG2904" s="160" t="s">
        <v>3305</v>
      </c>
      <c r="AH2904" s="194" t="s">
        <v>679</v>
      </c>
      <c r="AI2904" s="6" t="s">
        <v>4398</v>
      </c>
      <c r="AJ2904" s="3" t="s">
        <v>8260</v>
      </c>
      <c r="AK2904" t="s">
        <v>8678</v>
      </c>
      <c r="AV2904"/>
      <c r="AX2904"/>
      <c r="AZ2904" t="str">
        <f t="shared" si="313"/>
        <v/>
      </c>
      <c r="BA2904" t="str">
        <f t="shared" si="314"/>
        <v/>
      </c>
    </row>
    <row r="2905" spans="29:53" ht="13.5">
      <c r="AC2905" s="6" t="s">
        <v>5441</v>
      </c>
      <c r="AD2905" s="6" t="s">
        <v>7530</v>
      </c>
      <c r="AE2905" s="170" t="s">
        <v>4730</v>
      </c>
      <c r="AF2905" s="159" t="s">
        <v>8299</v>
      </c>
      <c r="AG2905" s="160" t="s">
        <v>3306</v>
      </c>
      <c r="AH2905" s="194" t="s">
        <v>678</v>
      </c>
      <c r="AI2905" s="6">
        <v>605404</v>
      </c>
      <c r="AJ2905" s="3" t="s">
        <v>8240</v>
      </c>
      <c r="AK2905" t="s">
        <v>8240</v>
      </c>
      <c r="AV2905"/>
      <c r="AX2905"/>
      <c r="AZ2905" t="str">
        <f t="shared" si="313"/>
        <v/>
      </c>
      <c r="BA2905" t="str">
        <f t="shared" si="314"/>
        <v/>
      </c>
    </row>
    <row r="2906" spans="29:53" ht="13.5">
      <c r="AC2906" s="6">
        <v>235279</v>
      </c>
      <c r="AD2906" s="6" t="s">
        <v>7542</v>
      </c>
      <c r="AE2906" s="170" t="s">
        <v>5575</v>
      </c>
      <c r="AF2906" s="159" t="s">
        <v>8299</v>
      </c>
      <c r="AG2906" s="160" t="s">
        <v>3307</v>
      </c>
      <c r="AH2906" s="194" t="s">
        <v>678</v>
      </c>
      <c r="AI2906" s="6">
        <v>605406</v>
      </c>
      <c r="AJ2906" s="3" t="s">
        <v>8247</v>
      </c>
      <c r="AK2906" t="s">
        <v>8247</v>
      </c>
      <c r="AV2906"/>
      <c r="AX2906"/>
      <c r="AZ2906" t="str">
        <f t="shared" si="313"/>
        <v/>
      </c>
      <c r="BA2906" t="str">
        <f t="shared" si="314"/>
        <v/>
      </c>
    </row>
    <row r="2907" spans="29:53" ht="13.5">
      <c r="AC2907" s="6" t="s">
        <v>5420</v>
      </c>
      <c r="AD2907" s="6" t="s">
        <v>7530</v>
      </c>
      <c r="AE2907" s="170">
        <v>246834</v>
      </c>
      <c r="AF2907" s="159" t="s">
        <v>8299</v>
      </c>
      <c r="AG2907" s="160" t="s">
        <v>5385</v>
      </c>
      <c r="AH2907" s="194" t="s">
        <v>678</v>
      </c>
      <c r="AI2907" s="6">
        <v>615376</v>
      </c>
      <c r="AJ2907" s="3" t="s">
        <v>8238</v>
      </c>
      <c r="AK2907" t="s">
        <v>8673</v>
      </c>
      <c r="AV2907"/>
      <c r="AX2907"/>
      <c r="AZ2907" t="str">
        <f t="shared" si="313"/>
        <v/>
      </c>
      <c r="BA2907" t="str">
        <f t="shared" si="314"/>
        <v/>
      </c>
    </row>
    <row r="2908" spans="29:53" ht="13.5">
      <c r="AC2908" s="6" t="s">
        <v>35</v>
      </c>
      <c r="AD2908" s="6" t="s">
        <v>7546</v>
      </c>
      <c r="AE2908" s="170" t="s">
        <v>4829</v>
      </c>
      <c r="AF2908" s="159" t="s">
        <v>8299</v>
      </c>
      <c r="AG2908" s="160" t="s">
        <v>3308</v>
      </c>
      <c r="AH2908" s="194" t="s">
        <v>679</v>
      </c>
      <c r="AI2908" s="6">
        <v>625367</v>
      </c>
      <c r="AJ2908" s="3" t="s">
        <v>8210</v>
      </c>
      <c r="AK2908" t="s">
        <v>8210</v>
      </c>
      <c r="AV2908"/>
      <c r="AX2908"/>
      <c r="AZ2908" t="str">
        <f t="shared" si="313"/>
        <v/>
      </c>
      <c r="BA2908" t="str">
        <f t="shared" si="314"/>
        <v/>
      </c>
    </row>
    <row r="2909" spans="29:53" ht="13.5">
      <c r="AC2909" s="6" t="s">
        <v>126</v>
      </c>
      <c r="AD2909" s="6" t="s">
        <v>7540</v>
      </c>
      <c r="AE2909" s="170" t="s">
        <v>5288</v>
      </c>
      <c r="AF2909" s="159" t="s">
        <v>8299</v>
      </c>
      <c r="AG2909" s="160" t="s">
        <v>3426</v>
      </c>
      <c r="AH2909" s="194" t="s">
        <v>679</v>
      </c>
      <c r="AI2909" s="6">
        <v>625370</v>
      </c>
      <c r="AJ2909" s="3" t="s">
        <v>8210</v>
      </c>
      <c r="AK2909" t="s">
        <v>8210</v>
      </c>
      <c r="AV2909"/>
      <c r="AX2909"/>
      <c r="AZ2909" t="str">
        <f t="shared" si="313"/>
        <v/>
      </c>
      <c r="BA2909" t="str">
        <f t="shared" si="314"/>
        <v/>
      </c>
    </row>
    <row r="2910" spans="29:53" ht="13.5">
      <c r="AC2910" s="6" t="s">
        <v>515</v>
      </c>
      <c r="AD2910" s="6" t="s">
        <v>7548</v>
      </c>
      <c r="AE2910" s="170" t="s">
        <v>5576</v>
      </c>
      <c r="AF2910" s="159" t="s">
        <v>8299</v>
      </c>
      <c r="AG2910" s="160" t="s">
        <v>4747</v>
      </c>
      <c r="AH2910" s="194" t="s">
        <v>678</v>
      </c>
      <c r="AI2910" s="6">
        <v>635423</v>
      </c>
      <c r="AJ2910" s="3" t="s">
        <v>8222</v>
      </c>
      <c r="AK2910" t="s">
        <v>8670</v>
      </c>
      <c r="AV2910"/>
      <c r="AX2910"/>
      <c r="AZ2910" t="str">
        <f t="shared" si="313"/>
        <v/>
      </c>
      <c r="BA2910" t="str">
        <f t="shared" si="314"/>
        <v/>
      </c>
    </row>
    <row r="2911" spans="29:53" ht="13.5">
      <c r="AC2911" s="6" t="s">
        <v>54</v>
      </c>
      <c r="AD2911" s="6" t="s">
        <v>7549</v>
      </c>
      <c r="AE2911" s="170" t="s">
        <v>4747</v>
      </c>
      <c r="AF2911" s="159" t="s">
        <v>8342</v>
      </c>
      <c r="AG2911" s="160" t="s">
        <v>3309</v>
      </c>
      <c r="AH2911" s="194" t="s">
        <v>678</v>
      </c>
      <c r="AI2911" s="6">
        <v>635424</v>
      </c>
      <c r="AJ2911" s="3" t="s">
        <v>8222</v>
      </c>
      <c r="AK2911" t="s">
        <v>8670</v>
      </c>
      <c r="AV2911"/>
      <c r="AX2911"/>
      <c r="AZ2911" t="str">
        <f t="shared" si="313"/>
        <v/>
      </c>
      <c r="BA2911" t="str">
        <f t="shared" si="314"/>
        <v/>
      </c>
    </row>
    <row r="2912" spans="29:53" ht="13.5">
      <c r="AC2912" s="6" t="s">
        <v>53</v>
      </c>
      <c r="AD2912" s="6" t="s">
        <v>7550</v>
      </c>
      <c r="AE2912" s="170" t="s">
        <v>5306</v>
      </c>
      <c r="AF2912" s="159" t="s">
        <v>8299</v>
      </c>
      <c r="AG2912" s="160" t="s">
        <v>3310</v>
      </c>
      <c r="AH2912" s="194" t="s">
        <v>678</v>
      </c>
      <c r="AI2912" s="6">
        <v>655431</v>
      </c>
      <c r="AJ2912" s="3" t="s">
        <v>8217</v>
      </c>
      <c r="AK2912" t="s">
        <v>8668</v>
      </c>
      <c r="AV2912"/>
      <c r="AX2912"/>
      <c r="AZ2912" t="str">
        <f t="shared" si="313"/>
        <v/>
      </c>
      <c r="BA2912" t="str">
        <f t="shared" si="314"/>
        <v/>
      </c>
    </row>
    <row r="2913" spans="29:53" ht="13.5">
      <c r="AC2913" s="6">
        <v>265377</v>
      </c>
      <c r="AD2913" s="6" t="s">
        <v>7537</v>
      </c>
      <c r="AE2913" s="170" t="s">
        <v>5577</v>
      </c>
      <c r="AF2913" s="159" t="s">
        <v>8299</v>
      </c>
      <c r="AG2913" s="160" t="s">
        <v>3311</v>
      </c>
      <c r="AH2913" s="194" t="s">
        <v>678</v>
      </c>
      <c r="AI2913" s="6">
        <v>655432</v>
      </c>
      <c r="AJ2913" s="3" t="s">
        <v>8217</v>
      </c>
      <c r="AK2913" t="s">
        <v>8668</v>
      </c>
      <c r="AV2913"/>
      <c r="AX2913"/>
      <c r="AZ2913" t="str">
        <f t="shared" si="313"/>
        <v/>
      </c>
      <c r="BA2913" t="str">
        <f t="shared" si="314"/>
        <v/>
      </c>
    </row>
    <row r="2914" spans="29:53" ht="13.5">
      <c r="AC2914" s="6" t="s">
        <v>5240</v>
      </c>
      <c r="AD2914" s="6" t="s">
        <v>7530</v>
      </c>
      <c r="AE2914" s="170" t="s">
        <v>5578</v>
      </c>
      <c r="AF2914" s="159" t="s">
        <v>8299</v>
      </c>
      <c r="AG2914" s="160" t="s">
        <v>3312</v>
      </c>
      <c r="AH2914" s="194" t="s">
        <v>678</v>
      </c>
      <c r="AI2914" s="6">
        <v>665434</v>
      </c>
      <c r="AJ2914" s="3" t="s">
        <v>8231</v>
      </c>
      <c r="AK2914" t="s">
        <v>8238</v>
      </c>
      <c r="AV2914"/>
      <c r="AX2914"/>
      <c r="AZ2914" t="str">
        <f t="shared" si="313"/>
        <v/>
      </c>
      <c r="BA2914" t="str">
        <f t="shared" si="314"/>
        <v/>
      </c>
    </row>
    <row r="2915" spans="29:53" ht="13.5">
      <c r="AC2915" s="6">
        <v>233699</v>
      </c>
      <c r="AD2915" s="6" t="s">
        <v>7542</v>
      </c>
      <c r="AE2915" s="170" t="s">
        <v>5579</v>
      </c>
      <c r="AF2915" s="159" t="s">
        <v>8299</v>
      </c>
      <c r="AG2915" s="160" t="s">
        <v>3313</v>
      </c>
      <c r="AH2915" s="194" t="s">
        <v>679</v>
      </c>
      <c r="AI2915" s="6">
        <v>665436</v>
      </c>
      <c r="AJ2915" s="3" t="s">
        <v>8231</v>
      </c>
      <c r="AK2915" t="s">
        <v>8238</v>
      </c>
      <c r="AV2915"/>
      <c r="AX2915"/>
      <c r="AZ2915" t="str">
        <f t="shared" si="313"/>
        <v/>
      </c>
      <c r="BA2915" t="str">
        <f t="shared" si="314"/>
        <v/>
      </c>
    </row>
    <row r="2916" spans="29:53" ht="13.5">
      <c r="AC2916" s="6" t="s">
        <v>52</v>
      </c>
      <c r="AD2916" s="6" t="s">
        <v>7550</v>
      </c>
      <c r="AE2916" s="170" t="s">
        <v>5580</v>
      </c>
      <c r="AF2916" s="159" t="s">
        <v>8299</v>
      </c>
      <c r="AG2916" s="160" t="s">
        <v>3314</v>
      </c>
      <c r="AH2916" s="194" t="s">
        <v>678</v>
      </c>
      <c r="AI2916" s="6">
        <v>685439</v>
      </c>
      <c r="AJ2916" s="3" t="s">
        <v>8221</v>
      </c>
      <c r="AK2916" t="s">
        <v>8669</v>
      </c>
      <c r="AV2916"/>
      <c r="AX2916"/>
      <c r="AZ2916" t="str">
        <f t="shared" si="313"/>
        <v/>
      </c>
      <c r="BA2916" t="str">
        <f t="shared" si="314"/>
        <v/>
      </c>
    </row>
    <row r="2917" spans="29:53" ht="13.5">
      <c r="AC2917" s="6" t="s">
        <v>1148</v>
      </c>
      <c r="AD2917" s="6" t="s">
        <v>7551</v>
      </c>
      <c r="AE2917" s="170" t="s">
        <v>5582</v>
      </c>
      <c r="AF2917" s="159" t="s">
        <v>8299</v>
      </c>
      <c r="AG2917" s="160" t="s">
        <v>5306</v>
      </c>
      <c r="AH2917" s="194" t="s">
        <v>679</v>
      </c>
      <c r="AI2917" s="6">
        <v>695441</v>
      </c>
      <c r="AJ2917" s="3" t="s">
        <v>8221</v>
      </c>
      <c r="AK2917" t="s">
        <v>8669</v>
      </c>
      <c r="AV2917"/>
      <c r="AX2917"/>
      <c r="AZ2917" t="str">
        <f t="shared" si="313"/>
        <v/>
      </c>
      <c r="BA2917" t="str">
        <f t="shared" si="314"/>
        <v/>
      </c>
    </row>
    <row r="2918" spans="29:53" ht="13.5">
      <c r="AC2918" s="6">
        <v>85612</v>
      </c>
      <c r="AD2918" s="6" t="s">
        <v>7522</v>
      </c>
      <c r="AE2918" s="170" t="s">
        <v>5583</v>
      </c>
      <c r="AF2918" s="159" t="s">
        <v>8299</v>
      </c>
      <c r="AG2918" s="160" t="s">
        <v>3315</v>
      </c>
      <c r="AH2918" s="194" t="s">
        <v>679</v>
      </c>
      <c r="AI2918" s="6">
        <v>695443</v>
      </c>
      <c r="AJ2918" s="3" t="s">
        <v>8221</v>
      </c>
      <c r="AK2918" t="s">
        <v>8669</v>
      </c>
      <c r="AV2918"/>
      <c r="AX2918"/>
      <c r="AZ2918" t="str">
        <f t="shared" si="313"/>
        <v/>
      </c>
      <c r="BA2918" t="str">
        <f t="shared" si="314"/>
        <v/>
      </c>
    </row>
    <row r="2919" spans="29:53" ht="13.5">
      <c r="AC2919" s="6" t="s">
        <v>4452</v>
      </c>
      <c r="AD2919" s="6" t="s">
        <v>7526</v>
      </c>
      <c r="AE2919" s="170" t="s">
        <v>4834</v>
      </c>
      <c r="AF2919" s="159" t="s">
        <v>8299</v>
      </c>
      <c r="AG2919" s="160" t="s">
        <v>3887</v>
      </c>
      <c r="AH2919" s="194" t="s">
        <v>678</v>
      </c>
      <c r="AI2919" s="6">
        <v>715447</v>
      </c>
      <c r="AJ2919" s="3" t="s">
        <v>8235</v>
      </c>
      <c r="AK2919" t="s">
        <v>8672</v>
      </c>
      <c r="AV2919"/>
      <c r="AX2919"/>
      <c r="AZ2919" t="str">
        <f t="shared" si="313"/>
        <v/>
      </c>
      <c r="BA2919" t="str">
        <f t="shared" si="314"/>
        <v/>
      </c>
    </row>
    <row r="2920" spans="29:53" ht="13.5">
      <c r="AC2920" s="6" t="s">
        <v>594</v>
      </c>
      <c r="AD2920" s="6" t="s">
        <v>7546</v>
      </c>
      <c r="AE2920" s="170" t="s">
        <v>4840</v>
      </c>
      <c r="AF2920" s="159" t="s">
        <v>8299</v>
      </c>
      <c r="AG2920" s="160" t="s">
        <v>3316</v>
      </c>
      <c r="AH2920" s="194" t="s">
        <v>679</v>
      </c>
      <c r="AI2920" s="6">
        <v>715449</v>
      </c>
      <c r="AJ2920" s="3" t="s">
        <v>8235</v>
      </c>
      <c r="AK2920" t="s">
        <v>8672</v>
      </c>
      <c r="AV2920"/>
      <c r="AX2920"/>
      <c r="AZ2920" t="str">
        <f t="shared" si="313"/>
        <v/>
      </c>
      <c r="BA2920" t="str">
        <f t="shared" si="314"/>
        <v/>
      </c>
    </row>
    <row r="2921" spans="29:53" ht="13.5">
      <c r="AC2921" s="6" t="s">
        <v>1197</v>
      </c>
      <c r="AD2921" s="6" t="s">
        <v>7546</v>
      </c>
      <c r="AE2921" s="170" t="s">
        <v>4819</v>
      </c>
      <c r="AF2921" s="159" t="s">
        <v>8299</v>
      </c>
      <c r="AG2921" s="160" t="s">
        <v>3413</v>
      </c>
      <c r="AH2921" s="194" t="s">
        <v>679</v>
      </c>
      <c r="AI2921" s="6">
        <v>725450</v>
      </c>
      <c r="AJ2921" s="3" t="s">
        <v>8235</v>
      </c>
      <c r="AK2921" t="s">
        <v>8672</v>
      </c>
      <c r="AV2921"/>
      <c r="AX2921"/>
      <c r="AZ2921" t="str">
        <f t="shared" si="313"/>
        <v/>
      </c>
      <c r="BA2921" t="str">
        <f t="shared" si="314"/>
        <v/>
      </c>
    </row>
    <row r="2922" spans="29:53" ht="13.5">
      <c r="AC2922" s="6" t="s">
        <v>546</v>
      </c>
      <c r="AD2922" s="6" t="s">
        <v>7530</v>
      </c>
      <c r="AE2922" s="170" t="s">
        <v>5290</v>
      </c>
      <c r="AF2922" s="159" t="s">
        <v>8309</v>
      </c>
      <c r="AG2922" s="160" t="s">
        <v>3317</v>
      </c>
      <c r="AH2922" s="194" t="s">
        <v>679</v>
      </c>
      <c r="AI2922" s="6">
        <v>735453</v>
      </c>
      <c r="AJ2922" s="3" t="s">
        <v>8235</v>
      </c>
      <c r="AK2922" t="s">
        <v>8672</v>
      </c>
      <c r="AV2922"/>
      <c r="AX2922"/>
      <c r="AZ2922" t="str">
        <f t="shared" si="313"/>
        <v/>
      </c>
      <c r="BA2922" t="str">
        <f t="shared" si="314"/>
        <v/>
      </c>
    </row>
    <row r="2923" spans="29:53" ht="13.5">
      <c r="AC2923" s="6" t="s">
        <v>4279</v>
      </c>
      <c r="AD2923" s="6" t="s">
        <v>7552</v>
      </c>
      <c r="AE2923" s="170" t="s">
        <v>5282</v>
      </c>
      <c r="AF2923" s="159" t="s">
        <v>8299</v>
      </c>
      <c r="AG2923" s="160" t="s">
        <v>4768</v>
      </c>
      <c r="AH2923" s="194" t="s">
        <v>679</v>
      </c>
      <c r="AI2923" s="6">
        <v>735454</v>
      </c>
      <c r="AJ2923" s="3" t="s">
        <v>8235</v>
      </c>
      <c r="AK2923" t="s">
        <v>8672</v>
      </c>
      <c r="AV2923"/>
      <c r="AX2923"/>
      <c r="AZ2923" t="str">
        <f t="shared" si="313"/>
        <v/>
      </c>
      <c r="BA2923" t="str">
        <f t="shared" si="314"/>
        <v/>
      </c>
    </row>
    <row r="2924" spans="29:53" ht="13.5">
      <c r="AC2924" s="6" t="s">
        <v>5180</v>
      </c>
      <c r="AD2924" s="6" t="s">
        <v>7530</v>
      </c>
      <c r="AE2924" s="170" t="s">
        <v>5088</v>
      </c>
      <c r="AF2924" s="159" t="s">
        <v>8299</v>
      </c>
      <c r="AG2924" s="160" t="s">
        <v>3423</v>
      </c>
      <c r="AH2924" s="194" t="s">
        <v>679</v>
      </c>
      <c r="AI2924" s="6">
        <v>735455</v>
      </c>
      <c r="AJ2924" s="3" t="s">
        <v>8235</v>
      </c>
      <c r="AK2924" t="s">
        <v>8672</v>
      </c>
      <c r="AV2924"/>
      <c r="AX2924"/>
      <c r="AZ2924" t="str">
        <f t="shared" si="313"/>
        <v/>
      </c>
      <c r="BA2924" t="str">
        <f t="shared" si="314"/>
        <v/>
      </c>
    </row>
    <row r="2925" spans="29:53" ht="13.5">
      <c r="AC2925" s="6" t="s">
        <v>514</v>
      </c>
      <c r="AD2925" s="6" t="s">
        <v>7553</v>
      </c>
      <c r="AE2925" s="170" t="s">
        <v>5074</v>
      </c>
      <c r="AF2925" s="159" t="s">
        <v>8299</v>
      </c>
      <c r="AG2925" s="160" t="s">
        <v>1224</v>
      </c>
      <c r="AH2925" s="194" t="s">
        <v>679</v>
      </c>
      <c r="AI2925" s="6">
        <v>735456</v>
      </c>
      <c r="AJ2925" s="3" t="s">
        <v>8235</v>
      </c>
      <c r="AK2925" t="s">
        <v>8672</v>
      </c>
      <c r="AV2925"/>
      <c r="AX2925"/>
      <c r="AZ2925" t="str">
        <f t="shared" si="313"/>
        <v/>
      </c>
      <c r="BA2925" t="str">
        <f t="shared" si="314"/>
        <v/>
      </c>
    </row>
    <row r="2926" spans="29:53" ht="13.5">
      <c r="AC2926" s="6" t="s">
        <v>4453</v>
      </c>
      <c r="AD2926" s="6" t="s">
        <v>7530</v>
      </c>
      <c r="AE2926" s="170" t="s">
        <v>4838</v>
      </c>
      <c r="AF2926" s="159" t="s">
        <v>8299</v>
      </c>
      <c r="AG2926" s="160" t="s">
        <v>5386</v>
      </c>
      <c r="AH2926" s="194" t="s">
        <v>679</v>
      </c>
      <c r="AI2926" s="6">
        <v>735457</v>
      </c>
      <c r="AJ2926" s="3" t="s">
        <v>8235</v>
      </c>
      <c r="AK2926" t="s">
        <v>8672</v>
      </c>
      <c r="AV2926"/>
      <c r="AX2926"/>
      <c r="AZ2926" t="str">
        <f t="shared" si="313"/>
        <v/>
      </c>
      <c r="BA2926" t="str">
        <f t="shared" si="314"/>
        <v/>
      </c>
    </row>
    <row r="2927" spans="29:53" ht="13.5">
      <c r="AC2927" s="6" t="s">
        <v>1069</v>
      </c>
      <c r="AD2927" s="6" t="s">
        <v>7530</v>
      </c>
      <c r="AE2927" s="170" t="s">
        <v>5584</v>
      </c>
      <c r="AF2927" s="159" t="s">
        <v>8299</v>
      </c>
      <c r="AG2927" s="160" t="s">
        <v>1225</v>
      </c>
      <c r="AH2927" s="194" t="s">
        <v>679</v>
      </c>
      <c r="AI2927" s="6">
        <v>735458</v>
      </c>
      <c r="AJ2927" s="3" t="s">
        <v>8235</v>
      </c>
      <c r="AK2927" t="s">
        <v>8672</v>
      </c>
      <c r="AV2927"/>
      <c r="AX2927"/>
      <c r="AZ2927" t="str">
        <f t="shared" si="313"/>
        <v/>
      </c>
      <c r="BA2927" t="str">
        <f t="shared" si="314"/>
        <v/>
      </c>
    </row>
    <row r="2928" spans="29:53" ht="13.5">
      <c r="AC2928" s="6" t="s">
        <v>5184</v>
      </c>
      <c r="AD2928" s="6" t="s">
        <v>7530</v>
      </c>
      <c r="AE2928" s="170" t="s">
        <v>5164</v>
      </c>
      <c r="AF2928" s="159" t="s">
        <v>8299</v>
      </c>
      <c r="AG2928" s="160" t="s">
        <v>3318</v>
      </c>
      <c r="AH2928" s="194" t="s">
        <v>679</v>
      </c>
      <c r="AI2928" s="6">
        <v>745461</v>
      </c>
      <c r="AJ2928" s="3" t="s">
        <v>8224</v>
      </c>
      <c r="AK2928" t="s">
        <v>8224</v>
      </c>
      <c r="AV2928"/>
      <c r="AX2928"/>
      <c r="AZ2928" t="str">
        <f t="shared" si="313"/>
        <v/>
      </c>
      <c r="BA2928" t="str">
        <f t="shared" si="314"/>
        <v/>
      </c>
    </row>
    <row r="2929" spans="29:53" ht="13.5">
      <c r="AC2929" s="6" t="s">
        <v>1091</v>
      </c>
      <c r="AD2929" s="6" t="s">
        <v>7530</v>
      </c>
      <c r="AE2929" s="170" t="s">
        <v>5081</v>
      </c>
      <c r="AF2929" s="159" t="s">
        <v>8299</v>
      </c>
      <c r="AG2929" s="160" t="s">
        <v>3319</v>
      </c>
      <c r="AH2929" s="194" t="s">
        <v>679</v>
      </c>
      <c r="AI2929" s="6">
        <v>755462</v>
      </c>
      <c r="AJ2929" s="3" t="s">
        <v>8221</v>
      </c>
      <c r="AK2929" t="s">
        <v>8669</v>
      </c>
      <c r="AV2929"/>
      <c r="AX2929"/>
      <c r="AZ2929" t="str">
        <f t="shared" si="313"/>
        <v/>
      </c>
      <c r="BA2929" t="str">
        <f t="shared" si="314"/>
        <v/>
      </c>
    </row>
    <row r="2930" spans="29:53" ht="13.5">
      <c r="AC2930" s="6" t="s">
        <v>379</v>
      </c>
      <c r="AD2930" s="6" t="s">
        <v>7530</v>
      </c>
      <c r="AE2930" s="170" t="s">
        <v>5196</v>
      </c>
      <c r="AF2930" s="159" t="s">
        <v>8299</v>
      </c>
      <c r="AG2930" s="160" t="s">
        <v>3320</v>
      </c>
      <c r="AH2930" s="194" t="s">
        <v>679</v>
      </c>
      <c r="AI2930" s="6">
        <v>755463</v>
      </c>
      <c r="AJ2930" s="3" t="s">
        <v>8221</v>
      </c>
      <c r="AK2930" t="s">
        <v>8669</v>
      </c>
      <c r="AV2930"/>
      <c r="AX2930"/>
      <c r="AZ2930" t="str">
        <f t="shared" si="313"/>
        <v/>
      </c>
      <c r="BA2930" t="str">
        <f t="shared" si="314"/>
        <v/>
      </c>
    </row>
    <row r="2931" spans="29:53" ht="13.5">
      <c r="AC2931" s="6">
        <v>495357</v>
      </c>
      <c r="AD2931" s="6" t="s">
        <v>7550</v>
      </c>
      <c r="AE2931" s="170" t="s">
        <v>5038</v>
      </c>
      <c r="AF2931" s="159" t="s">
        <v>8299</v>
      </c>
      <c r="AG2931" s="160" t="s">
        <v>3432</v>
      </c>
      <c r="AH2931" s="194" t="s">
        <v>679</v>
      </c>
      <c r="AI2931" s="6">
        <v>765228</v>
      </c>
      <c r="AJ2931" s="3" t="s">
        <v>8236</v>
      </c>
      <c r="AK2931" t="s">
        <v>8236</v>
      </c>
      <c r="AV2931"/>
      <c r="AX2931"/>
      <c r="AZ2931" t="str">
        <f t="shared" si="313"/>
        <v/>
      </c>
      <c r="BA2931" t="str">
        <f t="shared" si="314"/>
        <v/>
      </c>
    </row>
    <row r="2932" spans="29:53" ht="13.5">
      <c r="AC2932" s="6" t="s">
        <v>550</v>
      </c>
      <c r="AD2932" s="6" t="s">
        <v>7530</v>
      </c>
      <c r="AE2932" s="170" t="s">
        <v>5165</v>
      </c>
      <c r="AF2932" s="159" t="s">
        <v>8299</v>
      </c>
      <c r="AG2932" s="160" t="s">
        <v>5387</v>
      </c>
      <c r="AH2932" s="194" t="s">
        <v>679</v>
      </c>
      <c r="AI2932" s="6">
        <v>765229</v>
      </c>
      <c r="AJ2932" s="3" t="s">
        <v>8236</v>
      </c>
      <c r="AK2932" t="s">
        <v>8236</v>
      </c>
      <c r="AV2932"/>
      <c r="AX2932"/>
      <c r="AZ2932" t="str">
        <f t="shared" si="313"/>
        <v/>
      </c>
      <c r="BA2932" t="str">
        <f t="shared" si="314"/>
        <v/>
      </c>
    </row>
    <row r="2933" spans="29:53" ht="13.5">
      <c r="AC2933" s="6" t="s">
        <v>544</v>
      </c>
      <c r="AD2933" s="6" t="s">
        <v>7530</v>
      </c>
      <c r="AE2933" s="170" t="s">
        <v>5585</v>
      </c>
      <c r="AF2933" s="159" t="s">
        <v>8299</v>
      </c>
      <c r="AG2933" s="160" t="s">
        <v>3321</v>
      </c>
      <c r="AH2933" s="194" t="s">
        <v>679</v>
      </c>
      <c r="AI2933" s="6">
        <v>771615</v>
      </c>
      <c r="AJ2933" s="3" t="s">
        <v>8212</v>
      </c>
      <c r="AK2933" t="s">
        <v>8212</v>
      </c>
      <c r="AV2933"/>
      <c r="AX2933"/>
      <c r="AZ2933" t="str">
        <f t="shared" si="313"/>
        <v/>
      </c>
      <c r="BA2933" t="str">
        <f t="shared" si="314"/>
        <v/>
      </c>
    </row>
    <row r="2934" spans="29:53" ht="13.5">
      <c r="AC2934" s="6" t="s">
        <v>592</v>
      </c>
      <c r="AD2934" s="6" t="s">
        <v>7553</v>
      </c>
      <c r="AE2934" s="170" t="s">
        <v>5586</v>
      </c>
      <c r="AF2934" s="159" t="s">
        <v>8299</v>
      </c>
      <c r="AG2934" s="160" t="s">
        <v>4427</v>
      </c>
      <c r="AH2934" s="194" t="s">
        <v>678</v>
      </c>
      <c r="AI2934" s="6">
        <v>782449</v>
      </c>
      <c r="AJ2934" s="3" t="s">
        <v>8234</v>
      </c>
      <c r="AK2934" t="s">
        <v>8234</v>
      </c>
      <c r="AV2934"/>
      <c r="AX2934"/>
      <c r="AZ2934" t="str">
        <f t="shared" si="313"/>
        <v/>
      </c>
      <c r="BA2934" t="str">
        <f t="shared" si="314"/>
        <v/>
      </c>
    </row>
    <row r="2935" spans="29:53" ht="13.5">
      <c r="AC2935" s="6" t="s">
        <v>5508</v>
      </c>
      <c r="AD2935" s="6" t="s">
        <v>7530</v>
      </c>
      <c r="AE2935" s="170" t="s">
        <v>5587</v>
      </c>
      <c r="AF2935" s="159" t="s">
        <v>8299</v>
      </c>
      <c r="AG2935" s="160" t="s">
        <v>3322</v>
      </c>
      <c r="AH2935" s="194" t="s">
        <v>679</v>
      </c>
      <c r="AI2935" s="6">
        <v>782453</v>
      </c>
      <c r="AJ2935" s="3" t="s">
        <v>8234</v>
      </c>
      <c r="AK2935" t="s">
        <v>8234</v>
      </c>
      <c r="AV2935"/>
      <c r="AX2935"/>
      <c r="AZ2935" t="str">
        <f t="shared" si="313"/>
        <v/>
      </c>
      <c r="BA2935" t="str">
        <f t="shared" si="314"/>
        <v/>
      </c>
    </row>
    <row r="2936" spans="29:53" ht="13.5">
      <c r="AC2936" s="6" t="s">
        <v>5805</v>
      </c>
      <c r="AD2936" s="6" t="s">
        <v>7530</v>
      </c>
      <c r="AE2936" s="170" t="s">
        <v>5588</v>
      </c>
      <c r="AF2936" s="159" t="s">
        <v>8299</v>
      </c>
      <c r="AG2936" s="160" t="s">
        <v>3323</v>
      </c>
      <c r="AH2936" s="194" t="s">
        <v>679</v>
      </c>
      <c r="AI2936" s="6">
        <v>782454</v>
      </c>
      <c r="AJ2936" s="3" t="s">
        <v>8234</v>
      </c>
      <c r="AK2936" t="s">
        <v>8234</v>
      </c>
      <c r="AV2936"/>
      <c r="AX2936"/>
      <c r="AZ2936" t="str">
        <f t="shared" si="313"/>
        <v/>
      </c>
      <c r="BA2936" t="str">
        <f t="shared" si="314"/>
        <v/>
      </c>
    </row>
    <row r="2937" spans="29:53" ht="13.5">
      <c r="AC2937" s="6" t="s">
        <v>5787</v>
      </c>
      <c r="AD2937" s="6" t="s">
        <v>7530</v>
      </c>
      <c r="AE2937" s="170" t="s">
        <v>5589</v>
      </c>
      <c r="AF2937" s="159" t="s">
        <v>8299</v>
      </c>
      <c r="AG2937" s="160" t="s">
        <v>3324</v>
      </c>
      <c r="AH2937" s="194" t="s">
        <v>678</v>
      </c>
      <c r="AI2937" s="6">
        <v>796323</v>
      </c>
      <c r="AJ2937" s="3" t="s">
        <v>8282</v>
      </c>
      <c r="AK2937" t="s">
        <v>8282</v>
      </c>
      <c r="AV2937"/>
      <c r="AX2937"/>
      <c r="AZ2937" t="str">
        <f t="shared" si="313"/>
        <v/>
      </c>
      <c r="BA2937" t="str">
        <f t="shared" si="314"/>
        <v/>
      </c>
    </row>
    <row r="2938" spans="29:53" ht="13.5">
      <c r="AC2938" s="6">
        <v>265286</v>
      </c>
      <c r="AD2938" s="6" t="s">
        <v>7537</v>
      </c>
      <c r="AE2938" s="170" t="s">
        <v>2814</v>
      </c>
      <c r="AF2938" s="159" t="s">
        <v>8299</v>
      </c>
      <c r="AG2938" s="160" t="s">
        <v>3325</v>
      </c>
      <c r="AH2938" s="194" t="s">
        <v>679</v>
      </c>
      <c r="AI2938" s="6">
        <v>796324</v>
      </c>
      <c r="AJ2938" s="3" t="s">
        <v>8282</v>
      </c>
      <c r="AK2938" t="s">
        <v>8282</v>
      </c>
      <c r="AV2938"/>
      <c r="AX2938"/>
      <c r="AZ2938" t="str">
        <f t="shared" si="313"/>
        <v/>
      </c>
      <c r="BA2938" t="str">
        <f t="shared" si="314"/>
        <v/>
      </c>
    </row>
    <row r="2939" spans="29:53" ht="13.5">
      <c r="AC2939" s="6" t="s">
        <v>4732</v>
      </c>
      <c r="AD2939" s="6" t="s">
        <v>7530</v>
      </c>
      <c r="AE2939" s="170" t="s">
        <v>5590</v>
      </c>
      <c r="AF2939" s="159" t="s">
        <v>8299</v>
      </c>
      <c r="AG2939" s="160" t="s">
        <v>3888</v>
      </c>
      <c r="AH2939" s="194" t="s">
        <v>678</v>
      </c>
      <c r="AI2939" s="6">
        <v>796325</v>
      </c>
      <c r="AJ2939" s="3" t="s">
        <v>8282</v>
      </c>
      <c r="AK2939" t="s">
        <v>8282</v>
      </c>
      <c r="AV2939"/>
      <c r="AX2939"/>
      <c r="AZ2939" t="str">
        <f t="shared" si="313"/>
        <v/>
      </c>
      <c r="BA2939" t="str">
        <f t="shared" si="314"/>
        <v/>
      </c>
    </row>
    <row r="2940" spans="29:53" ht="13.5">
      <c r="AC2940" s="6" t="s">
        <v>593</v>
      </c>
      <c r="AD2940" s="6" t="s">
        <v>7553</v>
      </c>
      <c r="AE2940" s="170" t="s">
        <v>5591</v>
      </c>
      <c r="AF2940" s="159" t="s">
        <v>8299</v>
      </c>
      <c r="AG2940" s="160" t="s">
        <v>3326</v>
      </c>
      <c r="AH2940" s="194" t="s">
        <v>679</v>
      </c>
      <c r="AI2940" s="6">
        <v>806333</v>
      </c>
      <c r="AJ2940" s="3" t="s">
        <v>8260</v>
      </c>
      <c r="AK2940" t="s">
        <v>8678</v>
      </c>
      <c r="AV2940"/>
      <c r="AX2940"/>
      <c r="AZ2940" t="str">
        <f t="shared" si="313"/>
        <v/>
      </c>
      <c r="BA2940" t="str">
        <f t="shared" si="314"/>
        <v/>
      </c>
    </row>
    <row r="2941" spans="29:53" ht="13.5">
      <c r="AC2941" s="6" t="s">
        <v>4751</v>
      </c>
      <c r="AD2941" s="6" t="s">
        <v>7530</v>
      </c>
      <c r="AE2941" s="170" t="s">
        <v>5198</v>
      </c>
      <c r="AF2941" s="159" t="s">
        <v>8299</v>
      </c>
      <c r="AG2941" s="160" t="s">
        <v>1226</v>
      </c>
      <c r="AH2941" s="194" t="s">
        <v>678</v>
      </c>
      <c r="AI2941" s="6">
        <v>826336</v>
      </c>
      <c r="AJ2941" s="3" t="s">
        <v>8242</v>
      </c>
      <c r="AK2941" t="s">
        <v>8281</v>
      </c>
      <c r="AV2941"/>
      <c r="AX2941"/>
      <c r="AZ2941" t="str">
        <f t="shared" si="313"/>
        <v/>
      </c>
      <c r="BA2941" t="str">
        <f t="shared" si="314"/>
        <v/>
      </c>
    </row>
    <row r="2942" spans="29:53" ht="13.5">
      <c r="AC2942" s="6" t="s">
        <v>395</v>
      </c>
      <c r="AD2942" s="6" t="s">
        <v>7530</v>
      </c>
      <c r="AE2942" s="170" t="s">
        <v>5186</v>
      </c>
      <c r="AF2942" s="159" t="s">
        <v>8299</v>
      </c>
      <c r="AG2942" s="160" t="s">
        <v>3327</v>
      </c>
      <c r="AH2942" s="194" t="s">
        <v>679</v>
      </c>
      <c r="AI2942" s="6">
        <v>836348</v>
      </c>
      <c r="AJ2942" s="3" t="s">
        <v>8253</v>
      </c>
      <c r="AK2942" t="s">
        <v>8253</v>
      </c>
      <c r="AV2942"/>
      <c r="AX2942"/>
      <c r="AZ2942" t="str">
        <f t="shared" si="313"/>
        <v/>
      </c>
      <c r="BA2942" t="str">
        <f t="shared" si="314"/>
        <v/>
      </c>
    </row>
    <row r="2943" spans="29:53" ht="13.5">
      <c r="AC2943" s="6" t="s">
        <v>5772</v>
      </c>
      <c r="AD2943" s="6" t="s">
        <v>7530</v>
      </c>
      <c r="AE2943" s="170" t="s">
        <v>5317</v>
      </c>
      <c r="AF2943" s="159" t="s">
        <v>8299</v>
      </c>
      <c r="AG2943" s="160" t="s">
        <v>3328</v>
      </c>
      <c r="AH2943" s="194" t="s">
        <v>679</v>
      </c>
      <c r="AI2943" s="6">
        <v>836350</v>
      </c>
      <c r="AJ2943" s="3" t="s">
        <v>8253</v>
      </c>
      <c r="AK2943" t="s">
        <v>8253</v>
      </c>
      <c r="AV2943"/>
      <c r="AX2943"/>
      <c r="AZ2943" t="str">
        <f t="shared" si="313"/>
        <v/>
      </c>
      <c r="BA2943" t="str">
        <f t="shared" si="314"/>
        <v/>
      </c>
    </row>
    <row r="2944" spans="29:53" ht="13.5">
      <c r="AC2944" s="6" t="s">
        <v>6641</v>
      </c>
      <c r="AD2944" s="6" t="s">
        <v>7530</v>
      </c>
      <c r="AE2944" s="170" t="s">
        <v>5310</v>
      </c>
      <c r="AF2944" s="159" t="s">
        <v>8299</v>
      </c>
      <c r="AG2944" s="160" t="s">
        <v>3329</v>
      </c>
      <c r="AH2944" s="194" t="s">
        <v>679</v>
      </c>
      <c r="AI2944" s="6">
        <v>846352</v>
      </c>
      <c r="AJ2944" s="3" t="s">
        <v>8268</v>
      </c>
      <c r="AK2944" t="s">
        <v>8268</v>
      </c>
      <c r="AV2944"/>
      <c r="AX2944"/>
      <c r="AZ2944" t="str">
        <f t="shared" si="313"/>
        <v/>
      </c>
      <c r="BA2944" t="str">
        <f t="shared" si="314"/>
        <v/>
      </c>
    </row>
    <row r="2945" spans="29:53" ht="13.5">
      <c r="AC2945" s="6" t="s">
        <v>396</v>
      </c>
      <c r="AD2945" s="6" t="s">
        <v>7530</v>
      </c>
      <c r="AE2945" s="170" t="s">
        <v>5090</v>
      </c>
      <c r="AF2945" s="159" t="s">
        <v>8299</v>
      </c>
      <c r="AG2945" s="160" t="s">
        <v>3330</v>
      </c>
      <c r="AH2945" s="194" t="s">
        <v>679</v>
      </c>
      <c r="AI2945" s="6">
        <v>856355</v>
      </c>
      <c r="AJ2945" s="3" t="s">
        <v>8259</v>
      </c>
      <c r="AK2945" t="s">
        <v>8677</v>
      </c>
      <c r="AV2945"/>
      <c r="AX2945"/>
      <c r="AZ2945" t="str">
        <f t="shared" si="313"/>
        <v/>
      </c>
      <c r="BA2945" t="str">
        <f t="shared" si="314"/>
        <v/>
      </c>
    </row>
    <row r="2946" spans="29:53" ht="13.5">
      <c r="AC2946" s="6" t="s">
        <v>5516</v>
      </c>
      <c r="AD2946" s="6" t="s">
        <v>7530</v>
      </c>
      <c r="AE2946" s="170" t="s">
        <v>5166</v>
      </c>
      <c r="AF2946" s="159" t="s">
        <v>8299</v>
      </c>
      <c r="AG2946" s="160" t="s">
        <v>3331</v>
      </c>
      <c r="AH2946" s="194" t="s">
        <v>679</v>
      </c>
      <c r="AI2946" s="6">
        <v>876397</v>
      </c>
      <c r="AJ2946" s="3" t="s">
        <v>8274</v>
      </c>
      <c r="AK2946" t="s">
        <v>8274</v>
      </c>
      <c r="AV2946"/>
      <c r="AX2946"/>
      <c r="AZ2946" t="str">
        <f t="shared" si="313"/>
        <v/>
      </c>
      <c r="BA2946" t="str">
        <f t="shared" si="314"/>
        <v/>
      </c>
    </row>
    <row r="2947" spans="29:53" ht="13.5">
      <c r="AC2947" s="6" t="s">
        <v>5327</v>
      </c>
      <c r="AD2947" s="6" t="s">
        <v>7530</v>
      </c>
      <c r="AE2947" s="170" t="s">
        <v>5326</v>
      </c>
      <c r="AF2947" s="159" t="s">
        <v>8339</v>
      </c>
      <c r="AG2947" s="160" t="s">
        <v>3889</v>
      </c>
      <c r="AH2947" s="194" t="s">
        <v>679</v>
      </c>
      <c r="AI2947" s="6">
        <v>886402</v>
      </c>
      <c r="AJ2947" s="3" t="s">
        <v>8253</v>
      </c>
      <c r="AK2947" t="s">
        <v>8253</v>
      </c>
      <c r="AV2947"/>
      <c r="AX2947"/>
      <c r="AZ2947" t="str">
        <f t="shared" si="313"/>
        <v/>
      </c>
      <c r="BA2947" t="str">
        <f t="shared" si="314"/>
        <v/>
      </c>
    </row>
    <row r="2948" spans="29:53" ht="13.5">
      <c r="AC2948" s="6" t="s">
        <v>4832</v>
      </c>
      <c r="AD2948" s="6" t="s">
        <v>7530</v>
      </c>
      <c r="AE2948" s="170" t="s">
        <v>5325</v>
      </c>
      <c r="AF2948" s="159" t="s">
        <v>8339</v>
      </c>
      <c r="AG2948" s="160" t="s">
        <v>3332</v>
      </c>
      <c r="AH2948" s="194" t="s">
        <v>679</v>
      </c>
      <c r="AI2948" s="6">
        <v>886403</v>
      </c>
      <c r="AJ2948" s="3" t="s">
        <v>8253</v>
      </c>
      <c r="AK2948" t="s">
        <v>8253</v>
      </c>
      <c r="AV2948"/>
      <c r="AX2948"/>
      <c r="AZ2948" t="str">
        <f t="shared" si="313"/>
        <v/>
      </c>
      <c r="BA2948" t="str">
        <f t="shared" si="314"/>
        <v/>
      </c>
    </row>
    <row r="2949" spans="29:53" ht="13.5">
      <c r="AC2949" s="6">
        <v>515363</v>
      </c>
      <c r="AD2949" s="6" t="s">
        <v>7554</v>
      </c>
      <c r="AE2949" s="170" t="s">
        <v>5301</v>
      </c>
      <c r="AF2949" s="159" t="s">
        <v>8339</v>
      </c>
      <c r="AG2949" s="160" t="s">
        <v>3333</v>
      </c>
      <c r="AH2949" s="194" t="s">
        <v>679</v>
      </c>
      <c r="AI2949" s="6">
        <v>886404</v>
      </c>
      <c r="AJ2949" s="3" t="s">
        <v>8253</v>
      </c>
      <c r="AK2949" t="s">
        <v>8253</v>
      </c>
      <c r="AV2949"/>
      <c r="AX2949"/>
      <c r="AZ2949" t="str">
        <f t="shared" si="313"/>
        <v/>
      </c>
      <c r="BA2949" t="str">
        <f t="shared" si="314"/>
        <v/>
      </c>
    </row>
    <row r="2950" spans="29:53" ht="13.5">
      <c r="AC2950" s="6" t="s">
        <v>1401</v>
      </c>
      <c r="AD2950" s="6" t="s">
        <v>7530</v>
      </c>
      <c r="AE2950" s="170" t="s">
        <v>5034</v>
      </c>
      <c r="AF2950" s="159" t="s">
        <v>8299</v>
      </c>
      <c r="AG2950" s="160" t="s">
        <v>3334</v>
      </c>
      <c r="AH2950" s="194" t="s">
        <v>679</v>
      </c>
      <c r="AI2950" s="6">
        <v>886406</v>
      </c>
      <c r="AJ2950" s="3" t="s">
        <v>8253</v>
      </c>
      <c r="AK2950" t="s">
        <v>8253</v>
      </c>
      <c r="AV2950"/>
      <c r="AX2950"/>
      <c r="AZ2950" t="str">
        <f t="shared" si="313"/>
        <v/>
      </c>
      <c r="BA2950" t="str">
        <f t="shared" si="314"/>
        <v/>
      </c>
    </row>
    <row r="2951" spans="29:53" ht="13.5">
      <c r="AC2951" s="6" t="s">
        <v>447</v>
      </c>
      <c r="AD2951" s="6" t="s">
        <v>7530</v>
      </c>
      <c r="AE2951" s="170" t="s">
        <v>5234</v>
      </c>
      <c r="AF2951" s="159" t="s">
        <v>8299</v>
      </c>
      <c r="AG2951" s="160" t="s">
        <v>3335</v>
      </c>
      <c r="AH2951" s="194" t="s">
        <v>679</v>
      </c>
      <c r="AI2951" s="6">
        <v>886407</v>
      </c>
      <c r="AJ2951" s="3" t="s">
        <v>8253</v>
      </c>
      <c r="AK2951" t="s">
        <v>8253</v>
      </c>
      <c r="AV2951"/>
      <c r="AX2951"/>
      <c r="AZ2951" t="str">
        <f t="shared" si="313"/>
        <v/>
      </c>
      <c r="BA2951" t="str">
        <f t="shared" si="314"/>
        <v/>
      </c>
    </row>
    <row r="2952" spans="29:53" ht="13.5">
      <c r="AC2952" s="6" t="s">
        <v>5777</v>
      </c>
      <c r="AD2952" s="6" t="s">
        <v>7530</v>
      </c>
      <c r="AE2952" s="170" t="s">
        <v>5311</v>
      </c>
      <c r="AF2952" s="159" t="s">
        <v>8299</v>
      </c>
      <c r="AG2952" s="160" t="s">
        <v>1227</v>
      </c>
      <c r="AH2952" s="194" t="s">
        <v>679</v>
      </c>
      <c r="AI2952" s="6">
        <v>886409</v>
      </c>
      <c r="AJ2952" s="3" t="s">
        <v>8253</v>
      </c>
      <c r="AK2952" t="s">
        <v>8253</v>
      </c>
      <c r="AV2952"/>
      <c r="AX2952"/>
      <c r="AZ2952" t="str">
        <f t="shared" si="313"/>
        <v/>
      </c>
      <c r="BA2952" t="str">
        <f t="shared" si="314"/>
        <v/>
      </c>
    </row>
    <row r="2953" spans="29:53" ht="13.5">
      <c r="AC2953" s="6" t="s">
        <v>537</v>
      </c>
      <c r="AD2953" s="6" t="s">
        <v>7555</v>
      </c>
      <c r="AE2953" s="170" t="s">
        <v>5323</v>
      </c>
      <c r="AF2953" s="159" t="s">
        <v>8299</v>
      </c>
      <c r="AG2953" s="160" t="s">
        <v>3336</v>
      </c>
      <c r="AH2953" s="194" t="s">
        <v>679</v>
      </c>
      <c r="AI2953" s="6">
        <v>886410</v>
      </c>
      <c r="AJ2953" s="3" t="s">
        <v>8253</v>
      </c>
      <c r="AK2953" t="s">
        <v>8253</v>
      </c>
      <c r="AV2953"/>
      <c r="AX2953"/>
      <c r="AZ2953" t="str">
        <f t="shared" si="313"/>
        <v/>
      </c>
      <c r="BA2953" t="str">
        <f t="shared" si="314"/>
        <v/>
      </c>
    </row>
    <row r="2954" spans="29:53" ht="13.5">
      <c r="AC2954" s="6" t="s">
        <v>464</v>
      </c>
      <c r="AD2954" s="6" t="s">
        <v>7530</v>
      </c>
      <c r="AE2954" s="170" t="s">
        <v>5197</v>
      </c>
      <c r="AF2954" s="159" t="s">
        <v>8299</v>
      </c>
      <c r="AG2954" s="160" t="s">
        <v>3337</v>
      </c>
      <c r="AH2954" s="194" t="s">
        <v>679</v>
      </c>
      <c r="AI2954" s="6">
        <v>886411</v>
      </c>
      <c r="AJ2954" s="3" t="s">
        <v>8253</v>
      </c>
      <c r="AK2954" t="s">
        <v>8253</v>
      </c>
      <c r="AV2954"/>
      <c r="AX2954"/>
      <c r="AZ2954" t="str">
        <f t="shared" si="313"/>
        <v/>
      </c>
      <c r="BA2954" t="str">
        <f t="shared" si="314"/>
        <v/>
      </c>
    </row>
    <row r="2955" spans="29:53" ht="13.5">
      <c r="AC2955" s="6" t="s">
        <v>378</v>
      </c>
      <c r="AD2955" s="6" t="s">
        <v>7530</v>
      </c>
      <c r="AE2955" s="170" t="s">
        <v>5313</v>
      </c>
      <c r="AF2955" s="159" t="s">
        <v>8339</v>
      </c>
      <c r="AG2955" s="160" t="s">
        <v>3338</v>
      </c>
      <c r="AH2955" s="194" t="s">
        <v>679</v>
      </c>
      <c r="AI2955" s="6">
        <v>906417</v>
      </c>
      <c r="AJ2955" s="3" t="s">
        <v>8271</v>
      </c>
      <c r="AK2955" t="s">
        <v>8271</v>
      </c>
      <c r="AV2955"/>
      <c r="AX2955"/>
      <c r="AZ2955" t="str">
        <f t="shared" si="313"/>
        <v/>
      </c>
      <c r="BA2955" t="str">
        <f t="shared" si="314"/>
        <v/>
      </c>
    </row>
    <row r="2956" spans="29:53" ht="13.5">
      <c r="AC2956" s="6" t="s">
        <v>5293</v>
      </c>
      <c r="AD2956" s="6" t="s">
        <v>7530</v>
      </c>
      <c r="AE2956" s="170" t="s">
        <v>5384</v>
      </c>
      <c r="AF2956" s="159" t="s">
        <v>8339</v>
      </c>
      <c r="AG2956" s="160" t="s">
        <v>3339</v>
      </c>
      <c r="AH2956" s="194" t="s">
        <v>679</v>
      </c>
      <c r="AI2956" s="6">
        <v>916422</v>
      </c>
      <c r="AJ2956" s="3" t="s">
        <v>8279</v>
      </c>
      <c r="AK2956" t="s">
        <v>8679</v>
      </c>
      <c r="AV2956"/>
      <c r="AX2956"/>
      <c r="AZ2956" t="str">
        <f t="shared" si="313"/>
        <v/>
      </c>
      <c r="BA2956" t="str">
        <f t="shared" si="314"/>
        <v/>
      </c>
    </row>
    <row r="2957" spans="29:53" ht="13.5">
      <c r="AC2957" s="6" t="s">
        <v>518</v>
      </c>
      <c r="AD2957" s="6" t="s">
        <v>7530</v>
      </c>
      <c r="AE2957" s="170" t="s">
        <v>5294</v>
      </c>
      <c r="AF2957" s="159" t="s">
        <v>8299</v>
      </c>
      <c r="AG2957" s="160" t="s">
        <v>3340</v>
      </c>
      <c r="AH2957" s="194" t="s">
        <v>679</v>
      </c>
      <c r="AI2957" s="6">
        <v>926427</v>
      </c>
      <c r="AJ2957" s="3" t="s">
        <v>8279</v>
      </c>
      <c r="AK2957" t="s">
        <v>8679</v>
      </c>
      <c r="AV2957"/>
      <c r="AX2957"/>
      <c r="AZ2957" t="str">
        <f t="shared" si="313"/>
        <v/>
      </c>
      <c r="BA2957" t="str">
        <f t="shared" si="314"/>
        <v/>
      </c>
    </row>
    <row r="2958" spans="29:53" ht="13.5">
      <c r="AC2958" s="6" t="s">
        <v>5791</v>
      </c>
      <c r="AD2958" s="6" t="s">
        <v>7530</v>
      </c>
      <c r="AE2958" s="170" t="s">
        <v>5289</v>
      </c>
      <c r="AF2958" s="159" t="s">
        <v>8299</v>
      </c>
      <c r="AG2958" s="160" t="s">
        <v>3341</v>
      </c>
      <c r="AH2958" s="194" t="s">
        <v>678</v>
      </c>
      <c r="AI2958" s="6">
        <v>936430</v>
      </c>
      <c r="AJ2958" s="3" t="s">
        <v>8279</v>
      </c>
      <c r="AK2958" t="s">
        <v>8679</v>
      </c>
      <c r="AV2958"/>
      <c r="AX2958"/>
      <c r="AZ2958" t="str">
        <f t="shared" si="313"/>
        <v/>
      </c>
      <c r="BA2958" t="str">
        <f t="shared" si="314"/>
        <v/>
      </c>
    </row>
    <row r="2959" spans="29:53" ht="13.5">
      <c r="AC2959" s="6" t="s">
        <v>5</v>
      </c>
      <c r="AD2959" s="6" t="s">
        <v>7530</v>
      </c>
      <c r="AE2959" s="170" t="s">
        <v>5592</v>
      </c>
      <c r="AF2959" s="159" t="s">
        <v>8299</v>
      </c>
      <c r="AG2959" s="160" t="s">
        <v>3342</v>
      </c>
      <c r="AH2959" s="194" t="s">
        <v>678</v>
      </c>
      <c r="AI2959" s="6">
        <v>936431</v>
      </c>
      <c r="AJ2959" s="3" t="s">
        <v>8280</v>
      </c>
      <c r="AK2959" t="s">
        <v>8280</v>
      </c>
      <c r="AV2959"/>
      <c r="AX2959"/>
      <c r="AZ2959" t="str">
        <f t="shared" si="313"/>
        <v/>
      </c>
      <c r="BA2959" t="str">
        <f t="shared" si="314"/>
        <v/>
      </c>
    </row>
    <row r="2960" spans="29:53" ht="13.5">
      <c r="AC2960" s="6" t="s">
        <v>4753</v>
      </c>
      <c r="AD2960" s="6" t="s">
        <v>7530</v>
      </c>
      <c r="AE2960" s="170" t="s">
        <v>5593</v>
      </c>
      <c r="AF2960" s="159" t="s">
        <v>8299</v>
      </c>
      <c r="AG2960" s="160" t="s">
        <v>3343</v>
      </c>
      <c r="AH2960" s="194" t="s">
        <v>679</v>
      </c>
      <c r="AI2960" s="6">
        <v>936432</v>
      </c>
      <c r="AJ2960" s="3" t="s">
        <v>8280</v>
      </c>
      <c r="AK2960" t="s">
        <v>8280</v>
      </c>
      <c r="AV2960"/>
      <c r="AX2960"/>
      <c r="AZ2960" t="str">
        <f t="shared" si="313"/>
        <v/>
      </c>
      <c r="BA2960" t="str">
        <f t="shared" si="314"/>
        <v/>
      </c>
    </row>
    <row r="2961" spans="29:53" ht="13.5">
      <c r="AC2961" s="6" t="s">
        <v>608</v>
      </c>
      <c r="AD2961" s="6" t="s">
        <v>7556</v>
      </c>
      <c r="AE2961" s="170" t="s">
        <v>5594</v>
      </c>
      <c r="AF2961" s="159" t="s">
        <v>8299</v>
      </c>
      <c r="AG2961" s="160" t="s">
        <v>1228</v>
      </c>
      <c r="AH2961" s="194" t="s">
        <v>1314</v>
      </c>
      <c r="AI2961" s="6">
        <v>956441</v>
      </c>
      <c r="AJ2961" s="3" t="s">
        <v>8259</v>
      </c>
      <c r="AK2961" t="s">
        <v>8677</v>
      </c>
      <c r="AV2961"/>
      <c r="AX2961"/>
      <c r="AZ2961" t="str">
        <f t="shared" ref="AZ2961:AZ3000" si="315">IF(ISBLANK(AW2961),"",CONCATENATE("(",RIGHT(AW2961,5),"-",TEXT(AX2961,"h:mm;@"),")"))</f>
        <v/>
      </c>
      <c r="BA2961" t="str">
        <f t="shared" ref="BA2961:BA3000" si="316">IF(AV2977=AV2961,"",CONCATENATE(IF(AV2976=AV2961,BA2976,""),IF(AV2975=AV2961,BA2975,""),IF(AV2974=AV2961,BA2974,""),IF(AV2973=AV2961,BA2973,""),IF(AV2972=AV2961,BA2972,""),IF(AV2971=AV2961,BA2971,""),IF(AV2970=AV2961,BA2970,""),IF(AV2969=AV2961,BA2969,""),IF(AV2968=AV2961,BA2968,""),IF(AV2967=AV2961,BA2967,""),IF(AV2966=AV2961,BA2966,""),IF(AV2965=AV2961,BA2965,""),IF(AV2964=AV2961,BA2964,""),IF(AV2963=AV2961,BA2963,""),IF(AV2962=AV2961,BA2962,""),IF(AV2960=AV2961,BA2960,""),BA2961))</f>
        <v/>
      </c>
    </row>
    <row r="2962" spans="29:53" ht="13.5">
      <c r="AC2962" s="6" t="s">
        <v>5418</v>
      </c>
      <c r="AD2962" s="6" t="s">
        <v>7530</v>
      </c>
      <c r="AE2962" s="170" t="s">
        <v>5595</v>
      </c>
      <c r="AF2962" s="159" t="s">
        <v>8299</v>
      </c>
      <c r="AG2962" s="160" t="s">
        <v>3344</v>
      </c>
      <c r="AH2962" s="194" t="s">
        <v>679</v>
      </c>
      <c r="AI2962" s="6">
        <v>966447</v>
      </c>
      <c r="AJ2962" s="3" t="s">
        <v>8256</v>
      </c>
      <c r="AK2962" t="s">
        <v>8256</v>
      </c>
      <c r="AV2962"/>
      <c r="AX2962"/>
      <c r="AZ2962" t="str">
        <f t="shared" si="315"/>
        <v/>
      </c>
      <c r="BA2962" t="str">
        <f t="shared" si="316"/>
        <v/>
      </c>
    </row>
    <row r="2963" spans="29:53" ht="13.5">
      <c r="AC2963" s="6" t="s">
        <v>409</v>
      </c>
      <c r="AD2963" s="6" t="s">
        <v>7530</v>
      </c>
      <c r="AE2963" s="170" t="s">
        <v>5304</v>
      </c>
      <c r="AF2963" s="159" t="s">
        <v>8299</v>
      </c>
      <c r="AG2963" s="160" t="s">
        <v>3345</v>
      </c>
      <c r="AH2963" s="194" t="s">
        <v>679</v>
      </c>
      <c r="AI2963" s="6">
        <v>966448</v>
      </c>
      <c r="AJ2963" s="3" t="s">
        <v>8271</v>
      </c>
      <c r="AK2963" t="s">
        <v>8271</v>
      </c>
      <c r="AV2963"/>
      <c r="AX2963"/>
      <c r="AZ2963" t="str">
        <f t="shared" si="315"/>
        <v/>
      </c>
      <c r="BA2963" t="str">
        <f t="shared" si="316"/>
        <v/>
      </c>
    </row>
    <row r="2964" spans="29:53" ht="13.5">
      <c r="AC2964" s="6" t="s">
        <v>492</v>
      </c>
      <c r="AD2964" s="6" t="s">
        <v>7530</v>
      </c>
      <c r="AE2964" s="170" t="s">
        <v>5596</v>
      </c>
      <c r="AF2964" s="159" t="s">
        <v>8299</v>
      </c>
      <c r="AG2964" s="160" t="s">
        <v>3346</v>
      </c>
      <c r="AH2964" s="194" t="s">
        <v>679</v>
      </c>
      <c r="AI2964" s="6">
        <v>986457</v>
      </c>
      <c r="AJ2964" s="3" t="s">
        <v>8271</v>
      </c>
      <c r="AK2964" t="s">
        <v>8271</v>
      </c>
      <c r="AV2964"/>
      <c r="AX2964"/>
      <c r="AZ2964" t="str">
        <f t="shared" si="315"/>
        <v/>
      </c>
      <c r="BA2964" t="str">
        <f t="shared" si="316"/>
        <v/>
      </c>
    </row>
    <row r="2965" spans="29:53" ht="13.5">
      <c r="AC2965" s="6" t="s">
        <v>1407</v>
      </c>
      <c r="AD2965" s="6" t="s">
        <v>7530</v>
      </c>
      <c r="AE2965" s="170" t="s">
        <v>5394</v>
      </c>
      <c r="AF2965" s="159" t="s">
        <v>8339</v>
      </c>
      <c r="AG2965" s="160" t="s">
        <v>3347</v>
      </c>
      <c r="AH2965" s="194" t="s">
        <v>679</v>
      </c>
      <c r="AI2965" s="6">
        <v>986461</v>
      </c>
      <c r="AJ2965" s="3" t="s">
        <v>8281</v>
      </c>
      <c r="AK2965" t="s">
        <v>8281</v>
      </c>
      <c r="AV2965"/>
      <c r="AX2965"/>
      <c r="AZ2965" t="str">
        <f t="shared" si="315"/>
        <v/>
      </c>
      <c r="BA2965" t="str">
        <f t="shared" si="316"/>
        <v/>
      </c>
    </row>
    <row r="2966" spans="29:53" ht="13.5">
      <c r="AC2966" s="6" t="s">
        <v>5509</v>
      </c>
      <c r="AD2966" s="6" t="s">
        <v>7530</v>
      </c>
      <c r="AE2966" s="170" t="s">
        <v>5390</v>
      </c>
      <c r="AF2966" s="159" t="s">
        <v>8339</v>
      </c>
      <c r="AG2966" s="160" t="s">
        <v>3348</v>
      </c>
      <c r="AH2966" s="194" t="s">
        <v>679</v>
      </c>
      <c r="AI2966" s="6">
        <v>996470</v>
      </c>
      <c r="AJ2966" s="3" t="s">
        <v>8278</v>
      </c>
      <c r="AK2966" t="s">
        <v>8278</v>
      </c>
      <c r="AV2966"/>
      <c r="AX2966"/>
      <c r="AZ2966" t="str">
        <f t="shared" si="315"/>
        <v/>
      </c>
      <c r="BA2966" t="str">
        <f t="shared" si="316"/>
        <v/>
      </c>
    </row>
    <row r="2967" spans="29:53" ht="13.5">
      <c r="AC2967" s="6" t="s">
        <v>607</v>
      </c>
      <c r="AD2967" s="6" t="s">
        <v>7550</v>
      </c>
      <c r="AE2967" s="170" t="s">
        <v>5403</v>
      </c>
      <c r="AF2967" s="159" t="s">
        <v>8339</v>
      </c>
      <c r="AG2967" s="160" t="s">
        <v>3349</v>
      </c>
      <c r="AH2967" s="194" t="s">
        <v>679</v>
      </c>
      <c r="AI2967" s="6" t="s">
        <v>6635</v>
      </c>
      <c r="AJ2967" s="3" t="s">
        <v>8199</v>
      </c>
      <c r="AK2967" t="s">
        <v>8199</v>
      </c>
      <c r="AV2967"/>
      <c r="AX2967"/>
      <c r="AZ2967" t="str">
        <f t="shared" si="315"/>
        <v/>
      </c>
      <c r="BA2967" t="str">
        <f t="shared" si="316"/>
        <v/>
      </c>
    </row>
    <row r="2968" spans="29:53" ht="13.5">
      <c r="AC2968" s="6" t="s">
        <v>4743</v>
      </c>
      <c r="AD2968" s="6" t="s">
        <v>7530</v>
      </c>
      <c r="AE2968" s="170" t="s">
        <v>5483</v>
      </c>
      <c r="AF2968" s="159" t="s">
        <v>8299</v>
      </c>
      <c r="AG2968" s="160" t="s">
        <v>3350</v>
      </c>
      <c r="AH2968" s="194" t="s">
        <v>679</v>
      </c>
      <c r="AI2968" s="6" t="s">
        <v>6636</v>
      </c>
      <c r="AJ2968" s="3" t="s">
        <v>8225</v>
      </c>
      <c r="AK2968" t="s">
        <v>8225</v>
      </c>
      <c r="AV2968"/>
      <c r="AX2968"/>
      <c r="AZ2968" t="str">
        <f t="shared" si="315"/>
        <v/>
      </c>
      <c r="BA2968" t="str">
        <f t="shared" si="316"/>
        <v/>
      </c>
    </row>
    <row r="2969" spans="29:53" ht="13.5">
      <c r="AC2969" s="6" t="s">
        <v>339</v>
      </c>
      <c r="AD2969" s="6" t="s">
        <v>7530</v>
      </c>
      <c r="AE2969" s="170">
        <v>66841</v>
      </c>
      <c r="AF2969" s="159" t="s">
        <v>8299</v>
      </c>
      <c r="AG2969" s="160" t="s">
        <v>5388</v>
      </c>
      <c r="AH2969" s="194" t="s">
        <v>679</v>
      </c>
      <c r="AI2969" s="6" t="s">
        <v>6720</v>
      </c>
      <c r="AJ2969" s="3" t="s">
        <v>8225</v>
      </c>
      <c r="AK2969" t="s">
        <v>8225</v>
      </c>
      <c r="AV2969"/>
      <c r="AX2969"/>
      <c r="AZ2969" t="str">
        <f t="shared" si="315"/>
        <v/>
      </c>
      <c r="BA2969" t="str">
        <f t="shared" si="316"/>
        <v/>
      </c>
    </row>
    <row r="2970" spans="29:53" ht="13.5">
      <c r="AC2970" s="6" t="s">
        <v>543</v>
      </c>
      <c r="AD2970" s="6" t="s">
        <v>7530</v>
      </c>
      <c r="AE2970" s="170" t="s">
        <v>5387</v>
      </c>
      <c r="AF2970" s="159" t="s">
        <v>8339</v>
      </c>
      <c r="AG2970" s="160" t="s">
        <v>3429</v>
      </c>
      <c r="AH2970" s="194" t="s">
        <v>678</v>
      </c>
      <c r="AI2970" s="6">
        <v>365324</v>
      </c>
      <c r="AJ2970" s="3" t="s">
        <v>8198</v>
      </c>
      <c r="AK2970" t="s">
        <v>8198</v>
      </c>
      <c r="AV2970"/>
      <c r="AX2970"/>
      <c r="AZ2970" t="str">
        <f t="shared" si="315"/>
        <v/>
      </c>
      <c r="BA2970" t="str">
        <f t="shared" si="316"/>
        <v/>
      </c>
    </row>
    <row r="2971" spans="29:53" ht="13.5">
      <c r="AC2971" s="6" t="s">
        <v>526</v>
      </c>
      <c r="AD2971" s="6" t="s">
        <v>7530</v>
      </c>
      <c r="AE2971" s="170" t="s">
        <v>5404</v>
      </c>
      <c r="AF2971" s="159" t="s">
        <v>8339</v>
      </c>
      <c r="AG2971" s="160" t="s">
        <v>4759</v>
      </c>
      <c r="AH2971" s="194" t="s">
        <v>679</v>
      </c>
      <c r="AI2971" s="6" t="s">
        <v>6639</v>
      </c>
      <c r="AJ2971" s="3" t="s">
        <v>8250</v>
      </c>
      <c r="AK2971" t="s">
        <v>8250</v>
      </c>
      <c r="AV2971"/>
      <c r="AX2971"/>
      <c r="AZ2971" t="str">
        <f t="shared" si="315"/>
        <v/>
      </c>
      <c r="BA2971" t="str">
        <f t="shared" si="316"/>
        <v/>
      </c>
    </row>
    <row r="2972" spans="29:53" ht="13.5">
      <c r="AC2972" s="6" t="s">
        <v>960</v>
      </c>
      <c r="AD2972" s="6" t="s">
        <v>7530</v>
      </c>
      <c r="AE2972" s="170" t="s">
        <v>5401</v>
      </c>
      <c r="AF2972" s="159" t="s">
        <v>8339</v>
      </c>
      <c r="AG2972" s="160" t="s">
        <v>3351</v>
      </c>
      <c r="AH2972" s="194" t="s">
        <v>679</v>
      </c>
      <c r="AI2972" s="6" t="s">
        <v>6640</v>
      </c>
      <c r="AJ2972" s="3" t="s">
        <v>8223</v>
      </c>
      <c r="AK2972" t="s">
        <v>8223</v>
      </c>
      <c r="AV2972"/>
      <c r="AX2972"/>
      <c r="AZ2972" t="str">
        <f t="shared" si="315"/>
        <v/>
      </c>
      <c r="BA2972" t="str">
        <f t="shared" si="316"/>
        <v/>
      </c>
    </row>
    <row r="2973" spans="29:53" ht="13.5">
      <c r="AC2973" s="6" t="s">
        <v>304</v>
      </c>
      <c r="AD2973" s="6" t="s">
        <v>7530</v>
      </c>
      <c r="AE2973" s="170" t="s">
        <v>5398</v>
      </c>
      <c r="AF2973" s="159" t="s">
        <v>8299</v>
      </c>
      <c r="AG2973" s="160" t="s">
        <v>1229</v>
      </c>
      <c r="AH2973" s="194" t="s">
        <v>679</v>
      </c>
      <c r="AI2973" s="6" t="s">
        <v>1723</v>
      </c>
      <c r="AJ2973" s="3" t="s">
        <v>8235</v>
      </c>
      <c r="AK2973" t="s">
        <v>8672</v>
      </c>
      <c r="AV2973"/>
      <c r="AX2973"/>
      <c r="AZ2973" t="str">
        <f t="shared" si="315"/>
        <v/>
      </c>
      <c r="BA2973" t="str">
        <f t="shared" si="316"/>
        <v/>
      </c>
    </row>
    <row r="2974" spans="29:53" ht="13.5">
      <c r="AC2974" s="6" t="s">
        <v>4474</v>
      </c>
      <c r="AD2974" s="6" t="s">
        <v>7544</v>
      </c>
      <c r="AE2974" s="170" t="s">
        <v>5386</v>
      </c>
      <c r="AF2974" s="159" t="s">
        <v>8339</v>
      </c>
      <c r="AG2974" s="160" t="s">
        <v>3352</v>
      </c>
      <c r="AH2974" s="194" t="s">
        <v>678</v>
      </c>
      <c r="AI2974" s="6" t="s">
        <v>4772</v>
      </c>
      <c r="AJ2974" s="3" t="s">
        <v>8197</v>
      </c>
      <c r="AK2974" t="s">
        <v>8197</v>
      </c>
      <c r="AV2974"/>
      <c r="AX2974"/>
      <c r="AZ2974" t="str">
        <f t="shared" si="315"/>
        <v/>
      </c>
      <c r="BA2974" t="str">
        <f t="shared" si="316"/>
        <v/>
      </c>
    </row>
    <row r="2975" spans="29:53" ht="13.5">
      <c r="AC2975" s="6" t="s">
        <v>1439</v>
      </c>
      <c r="AD2975" s="6" t="s">
        <v>7530</v>
      </c>
      <c r="AE2975" s="170" t="s">
        <v>5087</v>
      </c>
      <c r="AF2975" s="159" t="s">
        <v>8299</v>
      </c>
      <c r="AG2975" s="160" t="s">
        <v>5389</v>
      </c>
      <c r="AH2975" s="194" t="s">
        <v>679</v>
      </c>
      <c r="AI2975" s="6" t="s">
        <v>684</v>
      </c>
      <c r="AJ2975" s="3" t="s">
        <v>8273</v>
      </c>
      <c r="AK2975" t="s">
        <v>8273</v>
      </c>
      <c r="AV2975"/>
      <c r="AX2975"/>
      <c r="AZ2975" t="str">
        <f t="shared" si="315"/>
        <v/>
      </c>
      <c r="BA2975" t="str">
        <f t="shared" si="316"/>
        <v/>
      </c>
    </row>
    <row r="2976" spans="29:53" ht="13.5">
      <c r="AC2976" s="6" t="s">
        <v>1056</v>
      </c>
      <c r="AD2976" s="6" t="s">
        <v>7530</v>
      </c>
      <c r="AE2976" s="170" t="s">
        <v>5043</v>
      </c>
      <c r="AF2976" s="159" t="s">
        <v>8299</v>
      </c>
      <c r="AG2976" s="160" t="s">
        <v>3353</v>
      </c>
      <c r="AH2976" s="194" t="s">
        <v>679</v>
      </c>
      <c r="AI2976" s="6" t="s">
        <v>1160</v>
      </c>
      <c r="AJ2976" s="3" t="s">
        <v>8263</v>
      </c>
      <c r="AK2976" t="s">
        <v>8263</v>
      </c>
      <c r="AV2976"/>
      <c r="AX2976"/>
      <c r="AZ2976" t="str">
        <f t="shared" si="315"/>
        <v/>
      </c>
      <c r="BA2976" t="str">
        <f t="shared" si="316"/>
        <v/>
      </c>
    </row>
    <row r="2977" spans="29:53" ht="13.5">
      <c r="AC2977" s="6" t="s">
        <v>463</v>
      </c>
      <c r="AD2977" s="6" t="s">
        <v>7530</v>
      </c>
      <c r="AE2977" s="170" t="s">
        <v>5465</v>
      </c>
      <c r="AF2977" s="159" t="s">
        <v>8299</v>
      </c>
      <c r="AG2977" s="160" t="s">
        <v>3354</v>
      </c>
      <c r="AH2977" s="194" t="s">
        <v>679</v>
      </c>
      <c r="AI2977" s="6" t="s">
        <v>706</v>
      </c>
      <c r="AJ2977" s="3" t="s">
        <v>8273</v>
      </c>
      <c r="AK2977" t="s">
        <v>8273</v>
      </c>
      <c r="AV2977"/>
      <c r="AX2977"/>
      <c r="AZ2977" t="str">
        <f t="shared" si="315"/>
        <v/>
      </c>
      <c r="BA2977" t="str">
        <f t="shared" si="316"/>
        <v/>
      </c>
    </row>
    <row r="2978" spans="29:53" ht="13.5">
      <c r="AC2978" s="6" t="s">
        <v>381</v>
      </c>
      <c r="AD2978" s="6" t="s">
        <v>7530</v>
      </c>
      <c r="AE2978" s="170" t="s">
        <v>5597</v>
      </c>
      <c r="AF2978" s="159" t="s">
        <v>8309</v>
      </c>
      <c r="AG2978" s="160" t="s">
        <v>3890</v>
      </c>
      <c r="AH2978" s="194" t="s">
        <v>679</v>
      </c>
      <c r="AI2978" s="6" t="s">
        <v>3472</v>
      </c>
      <c r="AJ2978" s="3" t="s">
        <v>8204</v>
      </c>
      <c r="AK2978" t="s">
        <v>8204</v>
      </c>
      <c r="AV2978"/>
      <c r="AX2978"/>
      <c r="AZ2978" t="str">
        <f t="shared" si="315"/>
        <v/>
      </c>
      <c r="BA2978" t="str">
        <f t="shared" si="316"/>
        <v/>
      </c>
    </row>
    <row r="2979" spans="29:53" ht="13.5">
      <c r="AC2979" s="6" t="s">
        <v>1403</v>
      </c>
      <c r="AD2979" s="6" t="s">
        <v>7530</v>
      </c>
      <c r="AE2979" s="170" t="s">
        <v>5342</v>
      </c>
      <c r="AF2979" s="159" t="s">
        <v>8299</v>
      </c>
      <c r="AG2979" s="160" t="s">
        <v>3355</v>
      </c>
      <c r="AH2979" s="194" t="s">
        <v>679</v>
      </c>
      <c r="AI2979" s="6" t="s">
        <v>3473</v>
      </c>
      <c r="AJ2979" s="3" t="s">
        <v>8204</v>
      </c>
      <c r="AK2979" t="s">
        <v>8204</v>
      </c>
      <c r="AV2979"/>
      <c r="AX2979"/>
      <c r="AZ2979" t="str">
        <f t="shared" si="315"/>
        <v/>
      </c>
      <c r="BA2979" t="str">
        <f t="shared" si="316"/>
        <v/>
      </c>
    </row>
    <row r="2980" spans="29:53" ht="13.5">
      <c r="AC2980" s="6" t="s">
        <v>491</v>
      </c>
      <c r="AD2980" s="6" t="s">
        <v>7530</v>
      </c>
      <c r="AE2980" s="170" t="s">
        <v>5391</v>
      </c>
      <c r="AF2980" s="159" t="s">
        <v>8299</v>
      </c>
      <c r="AG2980" s="160" t="s">
        <v>3356</v>
      </c>
      <c r="AH2980" s="194" t="s">
        <v>679</v>
      </c>
      <c r="AI2980" s="6" t="s">
        <v>3474</v>
      </c>
      <c r="AJ2980" s="3" t="s">
        <v>8204</v>
      </c>
      <c r="AK2980" t="s">
        <v>8204</v>
      </c>
      <c r="AV2980"/>
      <c r="AX2980"/>
      <c r="AZ2980" t="str">
        <f t="shared" si="315"/>
        <v/>
      </c>
      <c r="BA2980" t="str">
        <f t="shared" si="316"/>
        <v/>
      </c>
    </row>
    <row r="2981" spans="29:53" ht="13.5">
      <c r="AC2981" s="6" t="s">
        <v>5770</v>
      </c>
      <c r="AD2981" s="6" t="s">
        <v>7530</v>
      </c>
      <c r="AE2981" s="170" t="s">
        <v>5382</v>
      </c>
      <c r="AF2981" s="159" t="s">
        <v>8299</v>
      </c>
      <c r="AG2981" s="160" t="s">
        <v>1230</v>
      </c>
      <c r="AH2981" s="194" t="s">
        <v>679</v>
      </c>
      <c r="AI2981" s="6" t="s">
        <v>3475</v>
      </c>
      <c r="AJ2981" s="3" t="s">
        <v>8204</v>
      </c>
      <c r="AK2981" t="s">
        <v>8204</v>
      </c>
      <c r="AV2981"/>
      <c r="AX2981"/>
      <c r="AZ2981" t="str">
        <f t="shared" si="315"/>
        <v/>
      </c>
      <c r="BA2981" t="str">
        <f t="shared" si="316"/>
        <v/>
      </c>
    </row>
    <row r="2982" spans="29:53" ht="13.5">
      <c r="AC2982" s="6" t="s">
        <v>591</v>
      </c>
      <c r="AD2982" s="6" t="s">
        <v>7530</v>
      </c>
      <c r="AE2982" s="170" t="s">
        <v>5402</v>
      </c>
      <c r="AF2982" s="159" t="s">
        <v>8299</v>
      </c>
      <c r="AG2982" s="160" t="s">
        <v>5313</v>
      </c>
      <c r="AH2982" s="194" t="s">
        <v>678</v>
      </c>
      <c r="AI2982" s="6" t="s">
        <v>3476</v>
      </c>
      <c r="AJ2982" s="3" t="s">
        <v>8204</v>
      </c>
      <c r="AK2982" t="s">
        <v>8204</v>
      </c>
      <c r="AV2982"/>
      <c r="AX2982"/>
      <c r="AZ2982" t="str">
        <f t="shared" si="315"/>
        <v/>
      </c>
      <c r="BA2982" t="str">
        <f t="shared" si="316"/>
        <v/>
      </c>
    </row>
    <row r="2983" spans="29:53" ht="13.5">
      <c r="AC2983" s="6" t="s">
        <v>1055</v>
      </c>
      <c r="AD2983" s="6" t="s">
        <v>7530</v>
      </c>
      <c r="AE2983" s="170" t="s">
        <v>5397</v>
      </c>
      <c r="AF2983" s="159" t="s">
        <v>8339</v>
      </c>
      <c r="AG2983" s="160" t="s">
        <v>3357</v>
      </c>
      <c r="AH2983" s="194" t="s">
        <v>678</v>
      </c>
      <c r="AI2983" s="6" t="s">
        <v>3478</v>
      </c>
      <c r="AJ2983" s="3" t="s">
        <v>8193</v>
      </c>
      <c r="AK2983" t="s">
        <v>8205</v>
      </c>
      <c r="AV2983"/>
      <c r="AX2983"/>
      <c r="AZ2983" t="str">
        <f t="shared" si="315"/>
        <v/>
      </c>
      <c r="BA2983" t="str">
        <f t="shared" si="316"/>
        <v/>
      </c>
    </row>
    <row r="2984" spans="29:53" ht="13.5">
      <c r="AC2984" s="6" t="s">
        <v>539</v>
      </c>
      <c r="AD2984" s="6" t="s">
        <v>7530</v>
      </c>
      <c r="AE2984" s="170" t="s">
        <v>5399</v>
      </c>
      <c r="AF2984" s="159" t="s">
        <v>8339</v>
      </c>
      <c r="AG2984" s="160" t="s">
        <v>3891</v>
      </c>
      <c r="AH2984" s="194" t="s">
        <v>679</v>
      </c>
      <c r="AI2984" s="6" t="s">
        <v>3479</v>
      </c>
      <c r="AJ2984" s="3" t="s">
        <v>8193</v>
      </c>
      <c r="AK2984" t="s">
        <v>8205</v>
      </c>
      <c r="AV2984"/>
      <c r="AX2984"/>
      <c r="AZ2984" t="str">
        <f t="shared" si="315"/>
        <v/>
      </c>
      <c r="BA2984" t="str">
        <f t="shared" si="316"/>
        <v/>
      </c>
    </row>
    <row r="2985" spans="29:53" ht="13.5">
      <c r="AC2985" s="6" t="s">
        <v>525</v>
      </c>
      <c r="AD2985" s="6" t="s">
        <v>7530</v>
      </c>
      <c r="AE2985" s="170" t="s">
        <v>5324</v>
      </c>
      <c r="AF2985" s="159" t="s">
        <v>8339</v>
      </c>
      <c r="AG2985" s="160" t="s">
        <v>1231</v>
      </c>
      <c r="AH2985" s="194" t="s">
        <v>678</v>
      </c>
      <c r="AI2985" s="6" t="s">
        <v>3480</v>
      </c>
      <c r="AJ2985" s="3" t="s">
        <v>8203</v>
      </c>
      <c r="AK2985" t="s">
        <v>8203</v>
      </c>
      <c r="AV2985"/>
      <c r="AX2985"/>
      <c r="AZ2985" t="str">
        <f t="shared" si="315"/>
        <v/>
      </c>
      <c r="BA2985" t="str">
        <f t="shared" si="316"/>
        <v/>
      </c>
    </row>
    <row r="2986" spans="29:53" ht="13.5">
      <c r="AC2986" s="6" t="s">
        <v>1361</v>
      </c>
      <c r="AD2986" s="6" t="s">
        <v>7530</v>
      </c>
      <c r="AE2986" s="170" t="s">
        <v>5400</v>
      </c>
      <c r="AF2986" s="159" t="s">
        <v>8339</v>
      </c>
      <c r="AG2986" s="160" t="s">
        <v>3436</v>
      </c>
      <c r="AH2986" s="194" t="s">
        <v>678</v>
      </c>
      <c r="AI2986" s="6" t="s">
        <v>3481</v>
      </c>
      <c r="AJ2986" s="3" t="s">
        <v>8203</v>
      </c>
      <c r="AK2986" t="s">
        <v>8203</v>
      </c>
      <c r="AV2986"/>
      <c r="AX2986"/>
      <c r="AZ2986" t="str">
        <f t="shared" si="315"/>
        <v/>
      </c>
      <c r="BA2986" t="str">
        <f t="shared" si="316"/>
        <v/>
      </c>
    </row>
    <row r="2987" spans="29:53" ht="13.5">
      <c r="AC2987" s="6" t="s">
        <v>1405</v>
      </c>
      <c r="AD2987" s="6" t="s">
        <v>7530</v>
      </c>
      <c r="AE2987" s="170" t="s">
        <v>5395</v>
      </c>
      <c r="AF2987" s="159" t="s">
        <v>8299</v>
      </c>
      <c r="AG2987" s="160" t="s">
        <v>3443</v>
      </c>
      <c r="AH2987" s="194" t="s">
        <v>678</v>
      </c>
      <c r="AI2987" s="6" t="s">
        <v>3482</v>
      </c>
      <c r="AJ2987" s="3" t="s">
        <v>8204</v>
      </c>
      <c r="AK2987" t="s">
        <v>8204</v>
      </c>
      <c r="AV2987"/>
      <c r="AX2987"/>
      <c r="AZ2987" t="str">
        <f t="shared" si="315"/>
        <v/>
      </c>
      <c r="BA2987" t="str">
        <f t="shared" si="316"/>
        <v/>
      </c>
    </row>
    <row r="2988" spans="29:53" ht="13.5">
      <c r="AC2988" s="6" t="s">
        <v>5286</v>
      </c>
      <c r="AD2988" s="6" t="s">
        <v>7530</v>
      </c>
      <c r="AE2988" s="170" t="s">
        <v>5396</v>
      </c>
      <c r="AF2988" s="159" t="s">
        <v>8299</v>
      </c>
      <c r="AG2988" s="160" t="s">
        <v>3358</v>
      </c>
      <c r="AH2988" s="194" t="s">
        <v>679</v>
      </c>
      <c r="AI2988" s="6" t="s">
        <v>3483</v>
      </c>
      <c r="AJ2988" s="3" t="s">
        <v>8203</v>
      </c>
      <c r="AK2988" t="s">
        <v>8203</v>
      </c>
      <c r="AV2988"/>
      <c r="AX2988"/>
      <c r="AZ2988" t="str">
        <f t="shared" si="315"/>
        <v/>
      </c>
      <c r="BA2988" t="str">
        <f t="shared" si="316"/>
        <v/>
      </c>
    </row>
    <row r="2989" spans="29:53" ht="13.5">
      <c r="AC2989" s="6" t="s">
        <v>5785</v>
      </c>
      <c r="AD2989" s="6" t="s">
        <v>7530</v>
      </c>
      <c r="AE2989" s="170" t="s">
        <v>5392</v>
      </c>
      <c r="AF2989" s="159" t="s">
        <v>8299</v>
      </c>
      <c r="AG2989" s="160" t="s">
        <v>3359</v>
      </c>
      <c r="AH2989" s="194" t="s">
        <v>679</v>
      </c>
      <c r="AI2989" s="6" t="s">
        <v>3485</v>
      </c>
      <c r="AJ2989" s="3" t="s">
        <v>8246</v>
      </c>
      <c r="AK2989" t="s">
        <v>8246</v>
      </c>
      <c r="AV2989"/>
      <c r="AX2989"/>
      <c r="AZ2989" t="str">
        <f t="shared" si="315"/>
        <v/>
      </c>
      <c r="BA2989" t="str">
        <f t="shared" si="316"/>
        <v/>
      </c>
    </row>
    <row r="2990" spans="29:53" ht="13.5">
      <c r="AC2990" s="6" t="s">
        <v>538</v>
      </c>
      <c r="AD2990" s="6" t="s">
        <v>7530</v>
      </c>
      <c r="AE2990" s="170" t="s">
        <v>5598</v>
      </c>
      <c r="AF2990" s="159" t="s">
        <v>8299</v>
      </c>
      <c r="AG2990" s="160" t="s">
        <v>1232</v>
      </c>
      <c r="AH2990" s="194" t="s">
        <v>679</v>
      </c>
      <c r="AI2990" s="6" t="s">
        <v>3486</v>
      </c>
      <c r="AJ2990" s="3" t="s">
        <v>8203</v>
      </c>
      <c r="AK2990" t="s">
        <v>8203</v>
      </c>
      <c r="AV2990"/>
      <c r="AX2990"/>
      <c r="AZ2990" t="str">
        <f t="shared" si="315"/>
        <v/>
      </c>
      <c r="BA2990" t="str">
        <f t="shared" si="316"/>
        <v/>
      </c>
    </row>
    <row r="2991" spans="29:53" ht="13.5">
      <c r="AC2991" s="6" t="s">
        <v>548</v>
      </c>
      <c r="AD2991" s="6" t="s">
        <v>7530</v>
      </c>
      <c r="AE2991" s="170" t="s">
        <v>5599</v>
      </c>
      <c r="AF2991" s="159" t="s">
        <v>8299</v>
      </c>
      <c r="AG2991" s="160" t="s">
        <v>3360</v>
      </c>
      <c r="AH2991" s="194" t="s">
        <v>679</v>
      </c>
      <c r="AI2991" s="6" t="s">
        <v>3490</v>
      </c>
      <c r="AJ2991" s="3" t="s">
        <v>8204</v>
      </c>
      <c r="AK2991" t="s">
        <v>8204</v>
      </c>
      <c r="AV2991"/>
      <c r="AX2991"/>
      <c r="AZ2991" t="str">
        <f t="shared" si="315"/>
        <v/>
      </c>
      <c r="BA2991" t="str">
        <f t="shared" si="316"/>
        <v/>
      </c>
    </row>
    <row r="2992" spans="29:53" ht="13.5">
      <c r="AC2992" s="6" t="s">
        <v>338</v>
      </c>
      <c r="AD2992" s="6" t="s">
        <v>7530</v>
      </c>
      <c r="AE2992" s="170" t="s">
        <v>5600</v>
      </c>
      <c r="AF2992" s="159" t="s">
        <v>8299</v>
      </c>
      <c r="AG2992" s="160" t="s">
        <v>3361</v>
      </c>
      <c r="AH2992" s="194" t="s">
        <v>679</v>
      </c>
      <c r="AI2992" s="6" t="s">
        <v>3491</v>
      </c>
      <c r="AJ2992" s="3" t="s">
        <v>8204</v>
      </c>
      <c r="AK2992" t="s">
        <v>8204</v>
      </c>
      <c r="AV2992"/>
      <c r="AX2992"/>
      <c r="AZ2992" t="str">
        <f t="shared" si="315"/>
        <v/>
      </c>
      <c r="BA2992" t="str">
        <f t="shared" si="316"/>
        <v/>
      </c>
    </row>
    <row r="2993" spans="29:53" ht="13.5">
      <c r="AC2993" s="6" t="s">
        <v>1406</v>
      </c>
      <c r="AD2993" s="6" t="s">
        <v>7530</v>
      </c>
      <c r="AE2993" s="170" t="s">
        <v>5601</v>
      </c>
      <c r="AF2993" s="159" t="s">
        <v>8299</v>
      </c>
      <c r="AG2993" s="160" t="s">
        <v>3362</v>
      </c>
      <c r="AH2993" s="194" t="s">
        <v>679</v>
      </c>
      <c r="AI2993" s="6" t="s">
        <v>3498</v>
      </c>
      <c r="AJ2993" s="3" t="s">
        <v>8247</v>
      </c>
      <c r="AK2993" t="s">
        <v>8247</v>
      </c>
      <c r="AV2993"/>
      <c r="AX2993"/>
      <c r="AZ2993" t="str">
        <f t="shared" si="315"/>
        <v/>
      </c>
      <c r="BA2993" t="str">
        <f t="shared" si="316"/>
        <v/>
      </c>
    </row>
    <row r="2994" spans="29:53" ht="13.5">
      <c r="AC2994" s="6" t="s">
        <v>340</v>
      </c>
      <c r="AD2994" s="6" t="s">
        <v>7530</v>
      </c>
      <c r="AE2994" s="170" t="s">
        <v>5389</v>
      </c>
      <c r="AF2994" s="159" t="s">
        <v>8299</v>
      </c>
      <c r="AG2994" s="160" t="s">
        <v>3363</v>
      </c>
      <c r="AH2994" s="194" t="s">
        <v>679</v>
      </c>
      <c r="AI2994" s="6" t="s">
        <v>4775</v>
      </c>
      <c r="AJ2994" s="3" t="s">
        <v>8247</v>
      </c>
      <c r="AK2994" t="s">
        <v>8247</v>
      </c>
      <c r="AV2994"/>
      <c r="AX2994"/>
      <c r="AZ2994" t="str">
        <f t="shared" si="315"/>
        <v/>
      </c>
      <c r="BA2994" t="str">
        <f t="shared" si="316"/>
        <v/>
      </c>
    </row>
    <row r="2995" spans="29:53" ht="13.5">
      <c r="AC2995" s="6" t="s">
        <v>4704</v>
      </c>
      <c r="AD2995" s="6" t="s">
        <v>7530</v>
      </c>
      <c r="AE2995" s="170" t="s">
        <v>5383</v>
      </c>
      <c r="AF2995" s="159" t="s">
        <v>8339</v>
      </c>
      <c r="AG2995" s="160" t="s">
        <v>3364</v>
      </c>
      <c r="AH2995" s="194" t="s">
        <v>679</v>
      </c>
      <c r="AI2995" s="6" t="s">
        <v>3501</v>
      </c>
      <c r="AJ2995" s="3" t="s">
        <v>8203</v>
      </c>
      <c r="AK2995" t="s">
        <v>8203</v>
      </c>
      <c r="AV2995"/>
      <c r="AX2995"/>
      <c r="AZ2995" t="str">
        <f t="shared" si="315"/>
        <v/>
      </c>
      <c r="BA2995" t="str">
        <f t="shared" si="316"/>
        <v/>
      </c>
    </row>
    <row r="2996" spans="29:53" ht="13.5">
      <c r="AC2996" s="6" t="s">
        <v>609</v>
      </c>
      <c r="AD2996" s="6" t="s">
        <v>7556</v>
      </c>
      <c r="AE2996" s="170" t="s">
        <v>5385</v>
      </c>
      <c r="AF2996" s="159" t="s">
        <v>8299</v>
      </c>
      <c r="AG2996" s="160" t="s">
        <v>3365</v>
      </c>
      <c r="AH2996" s="194" t="s">
        <v>678</v>
      </c>
      <c r="AI2996" s="6" t="s">
        <v>3505</v>
      </c>
      <c r="AJ2996" s="3" t="s">
        <v>8204</v>
      </c>
      <c r="AK2996" t="s">
        <v>8204</v>
      </c>
      <c r="AV2996"/>
      <c r="AX2996"/>
      <c r="AZ2996" t="str">
        <f t="shared" si="315"/>
        <v/>
      </c>
      <c r="BA2996" t="str">
        <f t="shared" si="316"/>
        <v/>
      </c>
    </row>
    <row r="2997" spans="29:53" ht="13.5">
      <c r="AC2997" s="6" t="s">
        <v>1032</v>
      </c>
      <c r="AD2997" s="6" t="s">
        <v>7530</v>
      </c>
      <c r="AE2997" s="170" t="s">
        <v>5388</v>
      </c>
      <c r="AF2997" s="159" t="s">
        <v>8339</v>
      </c>
      <c r="AG2997" s="160" t="s">
        <v>3366</v>
      </c>
      <c r="AH2997" s="194" t="s">
        <v>4700</v>
      </c>
      <c r="AI2997" s="6" t="s">
        <v>3506</v>
      </c>
      <c r="AJ2997" s="3" t="s">
        <v>8204</v>
      </c>
      <c r="AK2997" t="s">
        <v>8204</v>
      </c>
      <c r="AV2997"/>
      <c r="AX2997"/>
      <c r="AZ2997" t="str">
        <f t="shared" si="315"/>
        <v/>
      </c>
      <c r="BA2997" t="str">
        <f t="shared" si="316"/>
        <v/>
      </c>
    </row>
    <row r="2998" spans="29:53" ht="13.5">
      <c r="AC2998" s="6" t="s">
        <v>1058</v>
      </c>
      <c r="AD2998" s="6" t="s">
        <v>7530</v>
      </c>
      <c r="AE2998" s="170" t="s">
        <v>5602</v>
      </c>
      <c r="AF2998" s="159" t="s">
        <v>8339</v>
      </c>
      <c r="AG2998" s="160" t="s">
        <v>3367</v>
      </c>
      <c r="AH2998" s="194" t="s">
        <v>678</v>
      </c>
      <c r="AI2998" s="6" t="s">
        <v>3508</v>
      </c>
      <c r="AJ2998" s="3" t="s">
        <v>8203</v>
      </c>
      <c r="AK2998" t="s">
        <v>8203</v>
      </c>
      <c r="AV2998"/>
      <c r="AX2998"/>
      <c r="AZ2998" t="str">
        <f t="shared" si="315"/>
        <v/>
      </c>
      <c r="BA2998" t="str">
        <f t="shared" si="316"/>
        <v/>
      </c>
    </row>
    <row r="2999" spans="29:53" ht="13.5">
      <c r="AC2999" s="6" t="s">
        <v>1057</v>
      </c>
      <c r="AD2999" s="6" t="s">
        <v>7530</v>
      </c>
      <c r="AE2999" s="170" t="s">
        <v>5603</v>
      </c>
      <c r="AF2999" s="159" t="s">
        <v>8299</v>
      </c>
      <c r="AG2999" s="160" t="s">
        <v>4416</v>
      </c>
      <c r="AH2999" s="194" t="s">
        <v>679</v>
      </c>
      <c r="AI2999" s="6" t="s">
        <v>3510</v>
      </c>
      <c r="AJ2999" s="3" t="s">
        <v>8203</v>
      </c>
      <c r="AK2999" t="s">
        <v>8203</v>
      </c>
      <c r="AV2999"/>
      <c r="AX2999"/>
      <c r="AZ2999" t="str">
        <f t="shared" si="315"/>
        <v/>
      </c>
      <c r="BA2999" t="str">
        <f t="shared" si="316"/>
        <v/>
      </c>
    </row>
    <row r="3000" spans="29:53" ht="13.5">
      <c r="AC3000" s="6" t="s">
        <v>380</v>
      </c>
      <c r="AD3000" s="6" t="s">
        <v>7530</v>
      </c>
      <c r="AE3000" s="170" t="s">
        <v>5604</v>
      </c>
      <c r="AF3000" s="159" t="s">
        <v>8299</v>
      </c>
      <c r="AG3000" s="160" t="s">
        <v>3368</v>
      </c>
      <c r="AH3000" s="194" t="s">
        <v>679</v>
      </c>
      <c r="AI3000" s="6" t="s">
        <v>3511</v>
      </c>
      <c r="AJ3000" s="3" t="s">
        <v>8203</v>
      </c>
      <c r="AK3000" t="s">
        <v>8203</v>
      </c>
      <c r="AV3000"/>
      <c r="AX3000"/>
      <c r="AZ3000" t="str">
        <f t="shared" si="315"/>
        <v/>
      </c>
      <c r="BA3000" t="str">
        <f t="shared" si="316"/>
        <v/>
      </c>
    </row>
    <row r="3001" spans="29:53" ht="13.5">
      <c r="AC3001" s="6" t="s">
        <v>1196</v>
      </c>
      <c r="AD3001" s="6" t="s">
        <v>7530</v>
      </c>
      <c r="AE3001" s="170" t="s">
        <v>5605</v>
      </c>
      <c r="AF3001" s="159" t="s">
        <v>8299</v>
      </c>
      <c r="AG3001" s="160" t="s">
        <v>3369</v>
      </c>
      <c r="AH3001" s="194" t="s">
        <v>678</v>
      </c>
      <c r="AI3001" s="6" t="s">
        <v>3513</v>
      </c>
      <c r="AJ3001" s="3" t="s">
        <v>8203</v>
      </c>
      <c r="AK3001" t="s">
        <v>8203</v>
      </c>
      <c r="AV3001"/>
      <c r="AX3001"/>
      <c r="AZ3001" t="str">
        <f t="shared" ref="AZ3001:AZ3064" si="317">IF(ISBLANK(AW3001),"",CONCATENATE("(",RIGHT(AW3001,5),"-",TEXT(AX3001,"h:mm;@"),")"))</f>
        <v/>
      </c>
      <c r="BA3001" t="str">
        <f t="shared" ref="BA3001:BA3064" si="318">IF(AV3017=AV3001,"",CONCATENATE(IF(AV3016=AV3001,BA3016,""),IF(AV3015=AV3001,BA3015,""),IF(AV3014=AV3001,BA3014,""),IF(AV3013=AV3001,BA3013,""),IF(AV3012=AV3001,BA3012,""),IF(AV3011=AV3001,BA3011,""),IF(AV3010=AV3001,BA3010,""),IF(AV3009=AV3001,BA3009,""),IF(AV3008=AV3001,BA3008,""),IF(AV3007=AV3001,BA3007,""),IF(AV3006=AV3001,BA3006,""),IF(AV3005=AV3001,BA3005,""),IF(AV3004=AV3001,BA3004,""),IF(AV3003=AV3001,BA3003,""),IF(AV3002=AV3001,BA3002,""),IF(AV3000=AV3001,BA3000,""),BA3001))</f>
        <v/>
      </c>
    </row>
    <row r="3002" spans="29:53" ht="13.5">
      <c r="AC3002" s="6" t="s">
        <v>4749</v>
      </c>
      <c r="AD3002" s="6" t="s">
        <v>7530</v>
      </c>
      <c r="AE3002" s="170" t="s">
        <v>5606</v>
      </c>
      <c r="AF3002" s="159" t="s">
        <v>8299</v>
      </c>
      <c r="AG3002" s="160" t="s">
        <v>1233</v>
      </c>
      <c r="AH3002" s="194" t="s">
        <v>678</v>
      </c>
      <c r="AI3002" s="6" t="s">
        <v>3514</v>
      </c>
      <c r="AJ3002" s="3" t="s">
        <v>8203</v>
      </c>
      <c r="AK3002" t="s">
        <v>8203</v>
      </c>
      <c r="AV3002"/>
      <c r="AX3002"/>
      <c r="AZ3002" t="str">
        <f t="shared" si="317"/>
        <v/>
      </c>
      <c r="BA3002" t="str">
        <f t="shared" si="318"/>
        <v/>
      </c>
    </row>
    <row r="3003" spans="29:53" ht="13.5">
      <c r="AC3003" s="6" t="s">
        <v>490</v>
      </c>
      <c r="AD3003" s="6" t="s">
        <v>7530</v>
      </c>
      <c r="AE3003" s="170" t="s">
        <v>5491</v>
      </c>
      <c r="AF3003" s="159" t="s">
        <v>8299</v>
      </c>
      <c r="AG3003" s="160" t="s">
        <v>3370</v>
      </c>
      <c r="AH3003" s="194" t="s">
        <v>678</v>
      </c>
      <c r="AI3003" s="6" t="s">
        <v>3515</v>
      </c>
      <c r="AJ3003" s="3" t="s">
        <v>8203</v>
      </c>
      <c r="AK3003" t="s">
        <v>8203</v>
      </c>
      <c r="AV3003"/>
      <c r="AX3003"/>
      <c r="AZ3003" t="str">
        <f t="shared" si="317"/>
        <v/>
      </c>
      <c r="BA3003" t="str">
        <f t="shared" si="318"/>
        <v/>
      </c>
    </row>
    <row r="3004" spans="29:53" ht="13.5">
      <c r="AC3004" s="6" t="s">
        <v>5780</v>
      </c>
      <c r="AD3004" s="6" t="s">
        <v>7530</v>
      </c>
      <c r="AE3004" s="170" t="s">
        <v>5607</v>
      </c>
      <c r="AF3004" s="159" t="s">
        <v>8339</v>
      </c>
      <c r="AG3004" s="160" t="s">
        <v>3371</v>
      </c>
      <c r="AH3004" s="194" t="s">
        <v>678</v>
      </c>
      <c r="AI3004" s="6" t="s">
        <v>3516</v>
      </c>
      <c r="AJ3004" s="3" t="s">
        <v>8203</v>
      </c>
      <c r="AK3004" t="s">
        <v>8203</v>
      </c>
      <c r="AV3004"/>
      <c r="AX3004"/>
      <c r="AZ3004" t="str">
        <f t="shared" si="317"/>
        <v/>
      </c>
      <c r="BA3004" t="str">
        <f t="shared" si="318"/>
        <v/>
      </c>
    </row>
    <row r="3005" spans="29:53" ht="13.5">
      <c r="AC3005" s="6" t="s">
        <v>1053</v>
      </c>
      <c r="AD3005" s="6" t="s">
        <v>7530</v>
      </c>
      <c r="AE3005" s="170" t="s">
        <v>5393</v>
      </c>
      <c r="AF3005" s="159" t="s">
        <v>8299</v>
      </c>
      <c r="AG3005" s="160" t="s">
        <v>3892</v>
      </c>
      <c r="AH3005" s="194" t="s">
        <v>678</v>
      </c>
      <c r="AI3005" s="6" t="s">
        <v>3518</v>
      </c>
      <c r="AJ3005" s="3" t="s">
        <v>8203</v>
      </c>
      <c r="AK3005" t="s">
        <v>8203</v>
      </c>
      <c r="AV3005"/>
      <c r="AX3005"/>
      <c r="AZ3005" t="str">
        <f t="shared" si="317"/>
        <v/>
      </c>
      <c r="BA3005" t="str">
        <f t="shared" si="318"/>
        <v/>
      </c>
    </row>
    <row r="3006" spans="29:53" ht="13.5">
      <c r="AC3006" s="6" t="s">
        <v>5806</v>
      </c>
      <c r="AD3006" s="6" t="s">
        <v>7530</v>
      </c>
      <c r="AE3006" s="170" t="s">
        <v>5405</v>
      </c>
      <c r="AF3006" s="159" t="s">
        <v>8299</v>
      </c>
      <c r="AG3006" s="160" t="s">
        <v>3372</v>
      </c>
      <c r="AH3006" s="194" t="s">
        <v>679</v>
      </c>
      <c r="AI3006" s="6" t="s">
        <v>3519</v>
      </c>
      <c r="AJ3006" s="3" t="s">
        <v>8204</v>
      </c>
      <c r="AK3006" t="s">
        <v>8204</v>
      </c>
      <c r="AV3006"/>
      <c r="AX3006"/>
      <c r="AZ3006" t="str">
        <f t="shared" si="317"/>
        <v/>
      </c>
      <c r="BA3006" t="str">
        <f t="shared" si="318"/>
        <v/>
      </c>
    </row>
    <row r="3007" spans="29:53" ht="13.5">
      <c r="AC3007" s="6" t="s">
        <v>540</v>
      </c>
      <c r="AD3007" s="6" t="s">
        <v>7530</v>
      </c>
      <c r="AE3007" s="170" t="s">
        <v>5608</v>
      </c>
      <c r="AF3007" s="159" t="s">
        <v>8299</v>
      </c>
      <c r="AG3007" s="160" t="s">
        <v>3373</v>
      </c>
      <c r="AH3007" s="194" t="s">
        <v>679</v>
      </c>
      <c r="AI3007" s="6" t="s">
        <v>5603</v>
      </c>
      <c r="AJ3007" s="3" t="s">
        <v>8246</v>
      </c>
      <c r="AK3007" t="s">
        <v>8246</v>
      </c>
      <c r="AV3007"/>
      <c r="AX3007"/>
      <c r="AZ3007" t="str">
        <f t="shared" si="317"/>
        <v/>
      </c>
      <c r="BA3007" t="str">
        <f t="shared" si="318"/>
        <v/>
      </c>
    </row>
    <row r="3008" spans="29:53" ht="13.5">
      <c r="AC3008" s="6" t="s">
        <v>5801</v>
      </c>
      <c r="AD3008" s="6" t="s">
        <v>7530</v>
      </c>
      <c r="AE3008" s="170" t="s">
        <v>5609</v>
      </c>
      <c r="AF3008" s="159" t="s">
        <v>8299</v>
      </c>
      <c r="AG3008" s="160" t="s">
        <v>3374</v>
      </c>
      <c r="AH3008" s="194" t="s">
        <v>679</v>
      </c>
      <c r="AI3008" s="6" t="s">
        <v>1164</v>
      </c>
      <c r="AJ3008" s="3" t="s">
        <v>8209</v>
      </c>
      <c r="AK3008" t="s">
        <v>8209</v>
      </c>
      <c r="AV3008"/>
      <c r="AX3008"/>
      <c r="AZ3008" t="str">
        <f t="shared" si="317"/>
        <v/>
      </c>
      <c r="BA3008" t="str">
        <f t="shared" si="318"/>
        <v/>
      </c>
    </row>
    <row r="3009" spans="29:53" ht="13.5">
      <c r="AC3009" s="6" t="s">
        <v>489</v>
      </c>
      <c r="AD3009" s="6" t="s">
        <v>7530</v>
      </c>
      <c r="AE3009" s="170" t="s">
        <v>5610</v>
      </c>
      <c r="AF3009" s="159" t="s">
        <v>8299</v>
      </c>
      <c r="AG3009" s="160" t="s">
        <v>3375</v>
      </c>
      <c r="AH3009" s="194" t="s">
        <v>679</v>
      </c>
      <c r="AI3009" s="6" t="s">
        <v>1320</v>
      </c>
      <c r="AJ3009" s="3" t="s">
        <v>8209</v>
      </c>
      <c r="AK3009" t="s">
        <v>8209</v>
      </c>
      <c r="AV3009"/>
      <c r="AX3009"/>
      <c r="AZ3009" t="str">
        <f t="shared" si="317"/>
        <v/>
      </c>
      <c r="BA3009" t="str">
        <f t="shared" si="318"/>
        <v/>
      </c>
    </row>
    <row r="3010" spans="29:53" ht="13.5">
      <c r="AC3010" s="6" t="s">
        <v>461</v>
      </c>
      <c r="AD3010" s="6" t="s">
        <v>7530</v>
      </c>
      <c r="AE3010" s="170" t="s">
        <v>5611</v>
      </c>
      <c r="AF3010" s="159" t="s">
        <v>8299</v>
      </c>
      <c r="AG3010" s="160" t="s">
        <v>3376</v>
      </c>
      <c r="AH3010" s="194" t="s">
        <v>679</v>
      </c>
      <c r="AI3010" s="6" t="s">
        <v>1321</v>
      </c>
      <c r="AJ3010" s="3" t="s">
        <v>8201</v>
      </c>
      <c r="AK3010" t="s">
        <v>8666</v>
      </c>
      <c r="AV3010"/>
      <c r="AX3010"/>
      <c r="AZ3010" t="str">
        <f t="shared" si="317"/>
        <v/>
      </c>
      <c r="BA3010" t="str">
        <f t="shared" si="318"/>
        <v/>
      </c>
    </row>
    <row r="3011" spans="29:53" ht="13.5">
      <c r="AC3011" s="6" t="s">
        <v>1362</v>
      </c>
      <c r="AD3011" s="6" t="s">
        <v>7530</v>
      </c>
      <c r="AE3011" s="170" t="s">
        <v>5612</v>
      </c>
      <c r="AF3011" s="159" t="s">
        <v>8299</v>
      </c>
      <c r="AG3011" s="160" t="s">
        <v>3893</v>
      </c>
      <c r="AH3011" s="194" t="s">
        <v>679</v>
      </c>
      <c r="AI3011" s="6" t="s">
        <v>220</v>
      </c>
      <c r="AJ3011" s="3" t="s">
        <v>8201</v>
      </c>
      <c r="AK3011" t="s">
        <v>8666</v>
      </c>
      <c r="AV3011"/>
      <c r="AX3011"/>
      <c r="AZ3011" t="str">
        <f t="shared" si="317"/>
        <v/>
      </c>
      <c r="BA3011" t="str">
        <f t="shared" si="318"/>
        <v/>
      </c>
    </row>
    <row r="3012" spans="29:53" ht="13.5">
      <c r="AC3012" s="6" t="s">
        <v>4830</v>
      </c>
      <c r="AD3012" s="6" t="s">
        <v>7530</v>
      </c>
      <c r="AE3012" s="170" t="s">
        <v>5613</v>
      </c>
      <c r="AF3012" s="159" t="s">
        <v>8299</v>
      </c>
      <c r="AG3012" s="160" t="s">
        <v>3377</v>
      </c>
      <c r="AH3012" s="194" t="s">
        <v>678</v>
      </c>
      <c r="AI3012" s="6" t="s">
        <v>221</v>
      </c>
      <c r="AJ3012" s="3" t="s">
        <v>8201</v>
      </c>
      <c r="AK3012" t="s">
        <v>8666</v>
      </c>
      <c r="AV3012"/>
      <c r="AX3012"/>
      <c r="AZ3012" t="str">
        <f t="shared" si="317"/>
        <v/>
      </c>
      <c r="BA3012" t="str">
        <f t="shared" si="318"/>
        <v/>
      </c>
    </row>
    <row r="3013" spans="29:53" ht="13.5">
      <c r="AC3013" s="6" t="s">
        <v>458</v>
      </c>
      <c r="AD3013" s="6" t="s">
        <v>7530</v>
      </c>
      <c r="AE3013" s="170" t="s">
        <v>5614</v>
      </c>
      <c r="AF3013" s="159" t="s">
        <v>8299</v>
      </c>
      <c r="AG3013" s="160" t="s">
        <v>3378</v>
      </c>
      <c r="AH3013" s="194" t="s">
        <v>679</v>
      </c>
      <c r="AI3013" s="6" t="s">
        <v>974</v>
      </c>
      <c r="AJ3013" s="3" t="s">
        <v>8201</v>
      </c>
      <c r="AK3013" t="s">
        <v>8666</v>
      </c>
      <c r="AV3013"/>
      <c r="AX3013"/>
      <c r="AZ3013" t="str">
        <f t="shared" si="317"/>
        <v/>
      </c>
      <c r="BA3013" t="str">
        <f t="shared" si="318"/>
        <v/>
      </c>
    </row>
    <row r="3014" spans="29:53" ht="13.5">
      <c r="AC3014" s="6" t="s">
        <v>295</v>
      </c>
      <c r="AD3014" s="6" t="s">
        <v>7530</v>
      </c>
      <c r="AE3014" s="170" t="s">
        <v>5615</v>
      </c>
      <c r="AF3014" s="159" t="s">
        <v>8299</v>
      </c>
      <c r="AG3014" s="160" t="s">
        <v>3379</v>
      </c>
      <c r="AH3014" s="194" t="s">
        <v>679</v>
      </c>
      <c r="AI3014" s="6" t="s">
        <v>27</v>
      </c>
      <c r="AJ3014" s="3" t="s">
        <v>8195</v>
      </c>
      <c r="AK3014" t="s">
        <v>8195</v>
      </c>
      <c r="AV3014"/>
      <c r="AX3014"/>
      <c r="AZ3014" t="str">
        <f t="shared" si="317"/>
        <v/>
      </c>
      <c r="BA3014" t="str">
        <f t="shared" si="318"/>
        <v/>
      </c>
    </row>
    <row r="3015" spans="29:53" ht="13.5">
      <c r="AC3015" s="6" t="s">
        <v>5786</v>
      </c>
      <c r="AD3015" s="6" t="s">
        <v>7530</v>
      </c>
      <c r="AE3015" s="170" t="s">
        <v>5616</v>
      </c>
      <c r="AF3015" s="159" t="s">
        <v>8299</v>
      </c>
      <c r="AG3015" s="160" t="s">
        <v>3380</v>
      </c>
      <c r="AH3015" s="194" t="s">
        <v>679</v>
      </c>
      <c r="AI3015" s="6" t="s">
        <v>1325</v>
      </c>
      <c r="AJ3015" s="3" t="s">
        <v>8196</v>
      </c>
      <c r="AK3015" t="s">
        <v>8196</v>
      </c>
      <c r="AV3015"/>
      <c r="AX3015"/>
      <c r="AZ3015" t="str">
        <f t="shared" si="317"/>
        <v/>
      </c>
      <c r="BA3015" t="str">
        <f t="shared" si="318"/>
        <v/>
      </c>
    </row>
    <row r="3016" spans="29:53" ht="13.5">
      <c r="AC3016" s="6" t="s">
        <v>5781</v>
      </c>
      <c r="AD3016" s="6" t="s">
        <v>7530</v>
      </c>
      <c r="AE3016" s="170" t="s">
        <v>5626</v>
      </c>
      <c r="AF3016" s="159" t="s">
        <v>8299</v>
      </c>
      <c r="AG3016" s="160" t="s">
        <v>3381</v>
      </c>
      <c r="AH3016" s="194" t="s">
        <v>679</v>
      </c>
      <c r="AI3016" s="6" t="s">
        <v>1326</v>
      </c>
      <c r="AJ3016" s="3" t="s">
        <v>8196</v>
      </c>
      <c r="AK3016" t="s">
        <v>8196</v>
      </c>
      <c r="AV3016"/>
      <c r="AX3016"/>
      <c r="AZ3016" t="str">
        <f t="shared" si="317"/>
        <v/>
      </c>
      <c r="BA3016" t="str">
        <f t="shared" si="318"/>
        <v/>
      </c>
    </row>
    <row r="3017" spans="29:53" ht="13.5">
      <c r="AC3017" s="6" t="s">
        <v>1404</v>
      </c>
      <c r="AD3017" s="6" t="s">
        <v>7530</v>
      </c>
      <c r="AE3017" s="170" t="s">
        <v>5457</v>
      </c>
      <c r="AF3017" s="159" t="s">
        <v>8299</v>
      </c>
      <c r="AG3017" s="160" t="s">
        <v>3382</v>
      </c>
      <c r="AH3017" s="194" t="s">
        <v>679</v>
      </c>
      <c r="AI3017" s="6" t="s">
        <v>1327</v>
      </c>
      <c r="AJ3017" s="3" t="s">
        <v>8196</v>
      </c>
      <c r="AK3017" t="s">
        <v>8196</v>
      </c>
      <c r="AV3017"/>
      <c r="AX3017"/>
      <c r="AZ3017" t="str">
        <f t="shared" si="317"/>
        <v/>
      </c>
      <c r="BA3017" t="str">
        <f t="shared" si="318"/>
        <v/>
      </c>
    </row>
    <row r="3018" spans="29:53" ht="13.5">
      <c r="AC3018" s="6" t="s">
        <v>1049</v>
      </c>
      <c r="AD3018" s="6" t="s">
        <v>7530</v>
      </c>
      <c r="AE3018" s="170">
        <v>244881</v>
      </c>
      <c r="AF3018" s="159" t="s">
        <v>8299</v>
      </c>
      <c r="AG3018" s="160" t="s">
        <v>2337</v>
      </c>
      <c r="AH3018" s="194" t="s">
        <v>4700</v>
      </c>
      <c r="AI3018" s="6" t="s">
        <v>1328</v>
      </c>
      <c r="AJ3018" s="3" t="s">
        <v>8201</v>
      </c>
      <c r="AK3018" t="s">
        <v>8666</v>
      </c>
      <c r="AV3018"/>
      <c r="AX3018"/>
      <c r="AZ3018" t="str">
        <f t="shared" si="317"/>
        <v/>
      </c>
      <c r="BA3018" t="str">
        <f t="shared" si="318"/>
        <v/>
      </c>
    </row>
    <row r="3019" spans="29:53" ht="13.5">
      <c r="AC3019" s="6" t="s">
        <v>460</v>
      </c>
      <c r="AD3019" s="6" t="s">
        <v>7530</v>
      </c>
      <c r="AE3019" s="170" t="s">
        <v>5617</v>
      </c>
      <c r="AF3019" s="159" t="s">
        <v>8299</v>
      </c>
      <c r="AG3019" s="160" t="s">
        <v>2338</v>
      </c>
      <c r="AH3019" s="194" t="s">
        <v>678</v>
      </c>
      <c r="AI3019" s="6" t="s">
        <v>1166</v>
      </c>
      <c r="AJ3019" s="3" t="s">
        <v>8201</v>
      </c>
      <c r="AK3019" t="s">
        <v>8666</v>
      </c>
      <c r="AV3019"/>
      <c r="AX3019"/>
      <c r="AZ3019" t="str">
        <f t="shared" si="317"/>
        <v/>
      </c>
      <c r="BA3019" t="str">
        <f t="shared" si="318"/>
        <v/>
      </c>
    </row>
    <row r="3020" spans="29:53" ht="13.5">
      <c r="AC3020" s="6" t="s">
        <v>303</v>
      </c>
      <c r="AD3020" s="6" t="s">
        <v>7530</v>
      </c>
      <c r="AE3020" s="170" t="s">
        <v>5618</v>
      </c>
      <c r="AF3020" s="159" t="s">
        <v>8342</v>
      </c>
      <c r="AG3020" s="160" t="s">
        <v>3441</v>
      </c>
      <c r="AH3020" s="194" t="s">
        <v>679</v>
      </c>
      <c r="AI3020" s="6" t="s">
        <v>1329</v>
      </c>
      <c r="AJ3020" s="3" t="s">
        <v>8201</v>
      </c>
      <c r="AK3020" t="s">
        <v>8666</v>
      </c>
      <c r="AV3020"/>
      <c r="AX3020"/>
      <c r="AZ3020" t="str">
        <f t="shared" si="317"/>
        <v/>
      </c>
      <c r="BA3020" t="str">
        <f t="shared" si="318"/>
        <v/>
      </c>
    </row>
    <row r="3021" spans="29:53" ht="13.5">
      <c r="AC3021" s="6" t="s">
        <v>1526</v>
      </c>
      <c r="AD3021" s="6" t="s">
        <v>7557</v>
      </c>
      <c r="AE3021" s="170" t="s">
        <v>5619</v>
      </c>
      <c r="AF3021" s="159" t="s">
        <v>8299</v>
      </c>
      <c r="AG3021" s="160" t="s">
        <v>3421</v>
      </c>
      <c r="AH3021" s="194" t="s">
        <v>679</v>
      </c>
      <c r="AI3021" s="6" t="s">
        <v>1659</v>
      </c>
      <c r="AJ3021" s="3" t="s">
        <v>8196</v>
      </c>
      <c r="AK3021" t="s">
        <v>8196</v>
      </c>
      <c r="AV3021"/>
      <c r="AX3021"/>
      <c r="AZ3021" t="str">
        <f t="shared" si="317"/>
        <v/>
      </c>
      <c r="BA3021" t="str">
        <f t="shared" si="318"/>
        <v/>
      </c>
    </row>
    <row r="3022" spans="29:53" ht="13.5">
      <c r="AC3022" s="6" t="s">
        <v>1060</v>
      </c>
      <c r="AD3022" s="6" t="s">
        <v>7530</v>
      </c>
      <c r="AE3022" s="170" t="s">
        <v>5620</v>
      </c>
      <c r="AF3022" s="159" t="s">
        <v>8342</v>
      </c>
      <c r="AG3022" s="160" t="s">
        <v>3894</v>
      </c>
      <c r="AH3022" s="194" t="s">
        <v>678</v>
      </c>
      <c r="AI3022" s="6" t="s">
        <v>223</v>
      </c>
      <c r="AJ3022" s="3" t="s">
        <v>8201</v>
      </c>
      <c r="AK3022" t="s">
        <v>8666</v>
      </c>
      <c r="AV3022"/>
      <c r="AX3022"/>
      <c r="AZ3022" t="str">
        <f t="shared" si="317"/>
        <v/>
      </c>
      <c r="BA3022" t="str">
        <f t="shared" si="318"/>
        <v/>
      </c>
    </row>
    <row r="3023" spans="29:53" ht="13.5">
      <c r="AC3023" s="6" t="s">
        <v>462</v>
      </c>
      <c r="AD3023" s="6" t="s">
        <v>7530</v>
      </c>
      <c r="AE3023" s="170" t="s">
        <v>5621</v>
      </c>
      <c r="AF3023" s="159" t="s">
        <v>8299</v>
      </c>
      <c r="AG3023" s="160" t="s">
        <v>3433</v>
      </c>
      <c r="AH3023" s="194" t="s">
        <v>678</v>
      </c>
      <c r="AI3023" s="6" t="s">
        <v>224</v>
      </c>
      <c r="AJ3023" s="3" t="s">
        <v>8209</v>
      </c>
      <c r="AK3023" t="s">
        <v>8209</v>
      </c>
      <c r="AV3023"/>
      <c r="AX3023"/>
      <c r="AZ3023" t="str">
        <f t="shared" si="317"/>
        <v/>
      </c>
      <c r="BA3023" t="str">
        <f t="shared" si="318"/>
        <v/>
      </c>
    </row>
    <row r="3024" spans="29:53" ht="13.5">
      <c r="AC3024" s="6" t="s">
        <v>532</v>
      </c>
      <c r="AD3024" s="6" t="s">
        <v>7530</v>
      </c>
      <c r="AE3024" s="170" t="s">
        <v>5622</v>
      </c>
      <c r="AF3024" s="159" t="s">
        <v>8299</v>
      </c>
      <c r="AG3024" s="160" t="s">
        <v>3895</v>
      </c>
      <c r="AH3024" s="194" t="s">
        <v>678</v>
      </c>
      <c r="AI3024" s="6" t="s">
        <v>1167</v>
      </c>
      <c r="AJ3024" s="3" t="s">
        <v>8209</v>
      </c>
      <c r="AK3024" t="s">
        <v>8209</v>
      </c>
      <c r="AV3024"/>
      <c r="AX3024"/>
      <c r="AZ3024" t="str">
        <f t="shared" si="317"/>
        <v/>
      </c>
      <c r="BA3024" t="str">
        <f t="shared" si="318"/>
        <v/>
      </c>
    </row>
    <row r="3025" spans="29:53" ht="13.5">
      <c r="AC3025" s="6" t="s">
        <v>542</v>
      </c>
      <c r="AD3025" s="6" t="s">
        <v>7530</v>
      </c>
      <c r="AE3025" s="170" t="s">
        <v>5623</v>
      </c>
      <c r="AF3025" s="159" t="s">
        <v>8299</v>
      </c>
      <c r="AG3025" s="160" t="s">
        <v>3896</v>
      </c>
      <c r="AH3025" s="194" t="s">
        <v>679</v>
      </c>
      <c r="AI3025" s="6" t="s">
        <v>1330</v>
      </c>
      <c r="AJ3025" s="3" t="s">
        <v>8201</v>
      </c>
      <c r="AK3025" t="s">
        <v>8666</v>
      </c>
      <c r="AV3025"/>
      <c r="AX3025"/>
      <c r="AZ3025" t="str">
        <f t="shared" si="317"/>
        <v/>
      </c>
      <c r="BA3025" t="str">
        <f t="shared" si="318"/>
        <v/>
      </c>
    </row>
    <row r="3026" spans="29:53" ht="13.5">
      <c r="AC3026" s="6" t="s">
        <v>1094</v>
      </c>
      <c r="AD3026" s="6" t="s">
        <v>7530</v>
      </c>
      <c r="AE3026" s="170" t="s">
        <v>5624</v>
      </c>
      <c r="AF3026" s="159" t="s">
        <v>8299</v>
      </c>
      <c r="AG3026" s="160" t="s">
        <v>3383</v>
      </c>
      <c r="AH3026" s="194" t="s">
        <v>679</v>
      </c>
      <c r="AI3026" s="6" t="s">
        <v>1169</v>
      </c>
      <c r="AJ3026" s="3" t="s">
        <v>8201</v>
      </c>
      <c r="AK3026" t="s">
        <v>8666</v>
      </c>
      <c r="AV3026"/>
      <c r="AX3026"/>
      <c r="AZ3026" t="str">
        <f t="shared" si="317"/>
        <v/>
      </c>
      <c r="BA3026" t="str">
        <f t="shared" si="318"/>
        <v/>
      </c>
    </row>
    <row r="3027" spans="29:53" ht="13.5">
      <c r="AC3027" s="6" t="s">
        <v>5514</v>
      </c>
      <c r="AD3027" s="6" t="s">
        <v>7530</v>
      </c>
      <c r="AE3027" s="170" t="s">
        <v>5625</v>
      </c>
      <c r="AF3027" s="159" t="s">
        <v>8299</v>
      </c>
      <c r="AG3027" s="160" t="s">
        <v>3384</v>
      </c>
      <c r="AH3027" s="194" t="s">
        <v>679</v>
      </c>
      <c r="AI3027" s="6" t="s">
        <v>1170</v>
      </c>
      <c r="AJ3027" s="3" t="s">
        <v>8201</v>
      </c>
      <c r="AK3027" t="s">
        <v>8666</v>
      </c>
      <c r="AV3027"/>
      <c r="AX3027"/>
      <c r="AZ3027" t="str">
        <f t="shared" si="317"/>
        <v/>
      </c>
      <c r="BA3027" t="str">
        <f t="shared" si="318"/>
        <v/>
      </c>
    </row>
    <row r="3028" spans="29:53" ht="13.5">
      <c r="AC3028" s="6" t="s">
        <v>5511</v>
      </c>
      <c r="AD3028" s="6" t="s">
        <v>7530</v>
      </c>
      <c r="AE3028" s="170" t="s">
        <v>5482</v>
      </c>
      <c r="AF3028" s="159" t="s">
        <v>8299</v>
      </c>
      <c r="AG3028" s="160" t="s">
        <v>3385</v>
      </c>
      <c r="AH3028" s="194" t="s">
        <v>678</v>
      </c>
      <c r="AI3028" s="6" t="s">
        <v>225</v>
      </c>
      <c r="AJ3028" s="3" t="s">
        <v>8209</v>
      </c>
      <c r="AK3028" t="s">
        <v>8209</v>
      </c>
      <c r="AV3028"/>
      <c r="AX3028"/>
      <c r="AZ3028" t="str">
        <f t="shared" si="317"/>
        <v/>
      </c>
      <c r="BA3028" t="str">
        <f t="shared" si="318"/>
        <v/>
      </c>
    </row>
    <row r="3029" spans="29:53" ht="13.5">
      <c r="AC3029" s="6" t="s">
        <v>1368</v>
      </c>
      <c r="AD3029" s="6" t="s">
        <v>7530</v>
      </c>
      <c r="AE3029" s="170" t="s">
        <v>5627</v>
      </c>
      <c r="AF3029" s="159" t="s">
        <v>8299</v>
      </c>
      <c r="AG3029" s="160" t="s">
        <v>3386</v>
      </c>
      <c r="AH3029" s="194" t="s">
        <v>678</v>
      </c>
      <c r="AI3029" s="6" t="s">
        <v>1171</v>
      </c>
      <c r="AJ3029" s="3" t="s">
        <v>8201</v>
      </c>
      <c r="AK3029" t="s">
        <v>8666</v>
      </c>
      <c r="AV3029"/>
      <c r="AX3029"/>
      <c r="AZ3029" t="str">
        <f t="shared" si="317"/>
        <v/>
      </c>
      <c r="BA3029" t="str">
        <f t="shared" si="318"/>
        <v/>
      </c>
    </row>
    <row r="3030" spans="29:53" ht="13.5">
      <c r="AC3030" s="6" t="s">
        <v>488</v>
      </c>
      <c r="AD3030" s="6" t="s">
        <v>7530</v>
      </c>
      <c r="AE3030" s="170" t="s">
        <v>5629</v>
      </c>
      <c r="AF3030" s="159" t="s">
        <v>8339</v>
      </c>
      <c r="AG3030" s="160" t="s">
        <v>3387</v>
      </c>
      <c r="AH3030" s="194" t="s">
        <v>678</v>
      </c>
      <c r="AI3030" s="6" t="s">
        <v>28</v>
      </c>
      <c r="AJ3030" s="3" t="s">
        <v>8201</v>
      </c>
      <c r="AK3030" t="s">
        <v>8666</v>
      </c>
      <c r="AV3030"/>
      <c r="AX3030"/>
      <c r="AZ3030" t="str">
        <f t="shared" si="317"/>
        <v/>
      </c>
      <c r="BA3030" t="str">
        <f t="shared" si="318"/>
        <v/>
      </c>
    </row>
    <row r="3031" spans="29:53" ht="13.5">
      <c r="AC3031" s="6" t="s">
        <v>5771</v>
      </c>
      <c r="AD3031" s="6" t="s">
        <v>7530</v>
      </c>
      <c r="AE3031" s="170" t="s">
        <v>5631</v>
      </c>
      <c r="AF3031" s="159" t="s">
        <v>8339</v>
      </c>
      <c r="AG3031" s="160" t="s">
        <v>3388</v>
      </c>
      <c r="AH3031" s="194" t="s">
        <v>678</v>
      </c>
      <c r="AI3031" s="6" t="s">
        <v>1336</v>
      </c>
      <c r="AJ3031" s="3" t="s">
        <v>8196</v>
      </c>
      <c r="AK3031" t="s">
        <v>8196</v>
      </c>
      <c r="AV3031"/>
      <c r="AX3031"/>
      <c r="AZ3031" t="str">
        <f t="shared" si="317"/>
        <v/>
      </c>
      <c r="BA3031" t="str">
        <f t="shared" si="318"/>
        <v/>
      </c>
    </row>
    <row r="3032" spans="29:53" ht="13.5">
      <c r="AC3032" s="6" t="s">
        <v>943</v>
      </c>
      <c r="AD3032" s="6" t="s">
        <v>7530</v>
      </c>
      <c r="AE3032" s="170" t="s">
        <v>5632</v>
      </c>
      <c r="AF3032" s="159" t="s">
        <v>8299</v>
      </c>
      <c r="AG3032" s="160" t="s">
        <v>3389</v>
      </c>
      <c r="AH3032" s="194" t="s">
        <v>678</v>
      </c>
      <c r="AI3032" s="6" t="s">
        <v>1174</v>
      </c>
      <c r="AJ3032" s="3" t="s">
        <v>8201</v>
      </c>
      <c r="AK3032" t="s">
        <v>8666</v>
      </c>
      <c r="AV3032"/>
      <c r="AX3032"/>
      <c r="AZ3032" t="str">
        <f t="shared" si="317"/>
        <v/>
      </c>
      <c r="BA3032" t="str">
        <f t="shared" si="318"/>
        <v/>
      </c>
    </row>
    <row r="3033" spans="29:53" ht="13.5">
      <c r="AC3033" s="6" t="s">
        <v>6642</v>
      </c>
      <c r="AD3033" s="6" t="s">
        <v>7530</v>
      </c>
      <c r="AE3033" s="170" t="s">
        <v>5754</v>
      </c>
      <c r="AF3033" s="159" t="s">
        <v>8339</v>
      </c>
      <c r="AG3033" s="160" t="s">
        <v>1271</v>
      </c>
      <c r="AH3033" s="194" t="s">
        <v>679</v>
      </c>
      <c r="AI3033" s="6" t="s">
        <v>1337</v>
      </c>
      <c r="AJ3033" s="3" t="s">
        <v>8196</v>
      </c>
      <c r="AK3033" t="s">
        <v>8196</v>
      </c>
      <c r="AV3033"/>
      <c r="AX3033"/>
      <c r="AZ3033" t="str">
        <f t="shared" si="317"/>
        <v/>
      </c>
      <c r="BA3033" t="str">
        <f t="shared" si="318"/>
        <v/>
      </c>
    </row>
    <row r="3034" spans="29:53" ht="13.5">
      <c r="AC3034" s="6" t="s">
        <v>531</v>
      </c>
      <c r="AD3034" s="6" t="s">
        <v>7530</v>
      </c>
      <c r="AE3034" s="170" t="s">
        <v>5718</v>
      </c>
      <c r="AF3034" s="159" t="s">
        <v>8299</v>
      </c>
      <c r="AG3034" s="160" t="s">
        <v>1272</v>
      </c>
      <c r="AH3034" s="194" t="s">
        <v>679</v>
      </c>
      <c r="AI3034" s="6" t="s">
        <v>1339</v>
      </c>
      <c r="AJ3034" s="3" t="s">
        <v>8196</v>
      </c>
      <c r="AK3034" t="s">
        <v>8196</v>
      </c>
      <c r="AV3034"/>
      <c r="AX3034"/>
      <c r="AZ3034" t="str">
        <f t="shared" si="317"/>
        <v/>
      </c>
      <c r="BA3034" t="str">
        <f t="shared" si="318"/>
        <v/>
      </c>
    </row>
    <row r="3035" spans="29:53" ht="13.5">
      <c r="AC3035" s="6" t="s">
        <v>5278</v>
      </c>
      <c r="AD3035" s="6" t="s">
        <v>7530</v>
      </c>
      <c r="AE3035" s="170" t="s">
        <v>5755</v>
      </c>
      <c r="AF3035" s="159" t="s">
        <v>8299</v>
      </c>
      <c r="AG3035" s="160" t="s">
        <v>3391</v>
      </c>
      <c r="AH3035" s="194" t="s">
        <v>679</v>
      </c>
      <c r="AI3035" s="6" t="s">
        <v>1340</v>
      </c>
      <c r="AJ3035" s="3" t="s">
        <v>8196</v>
      </c>
      <c r="AK3035" t="s">
        <v>8196</v>
      </c>
      <c r="AV3035"/>
      <c r="AX3035"/>
      <c r="AZ3035" t="str">
        <f t="shared" si="317"/>
        <v/>
      </c>
      <c r="BA3035" t="str">
        <f t="shared" si="318"/>
        <v/>
      </c>
    </row>
    <row r="3036" spans="29:53" ht="13.5">
      <c r="AC3036" s="6" t="s">
        <v>459</v>
      </c>
      <c r="AD3036" s="6" t="s">
        <v>7530</v>
      </c>
      <c r="AE3036" s="170" t="s">
        <v>8176</v>
      </c>
      <c r="AF3036" s="159" t="s">
        <v>8299</v>
      </c>
      <c r="AG3036" s="160" t="s">
        <v>3392</v>
      </c>
      <c r="AH3036" s="194" t="s">
        <v>678</v>
      </c>
      <c r="AI3036" s="6" t="s">
        <v>1656</v>
      </c>
      <c r="AJ3036" s="3" t="s">
        <v>8196</v>
      </c>
      <c r="AK3036" t="s">
        <v>8196</v>
      </c>
      <c r="AV3036"/>
      <c r="AX3036"/>
      <c r="AZ3036" t="str">
        <f t="shared" si="317"/>
        <v/>
      </c>
      <c r="BA3036" t="str">
        <f t="shared" si="318"/>
        <v/>
      </c>
    </row>
    <row r="3037" spans="29:53" ht="13.5">
      <c r="AC3037" s="6" t="s">
        <v>294</v>
      </c>
      <c r="AD3037" s="6" t="s">
        <v>7530</v>
      </c>
      <c r="AE3037" s="170" t="s">
        <v>5756</v>
      </c>
      <c r="AF3037" s="159" t="s">
        <v>8300</v>
      </c>
      <c r="AG3037" s="161" t="s">
        <v>3445</v>
      </c>
      <c r="AH3037" s="194" t="s">
        <v>678</v>
      </c>
      <c r="AI3037" s="6" t="s">
        <v>1176</v>
      </c>
      <c r="AJ3037" s="3" t="s">
        <v>8201</v>
      </c>
      <c r="AK3037" t="s">
        <v>8666</v>
      </c>
      <c r="AV3037"/>
      <c r="AX3037"/>
      <c r="AZ3037" t="str">
        <f t="shared" si="317"/>
        <v/>
      </c>
      <c r="BA3037" t="str">
        <f t="shared" si="318"/>
        <v/>
      </c>
    </row>
    <row r="3038" spans="29:53" ht="13.5">
      <c r="AC3038" s="6" t="s">
        <v>936</v>
      </c>
      <c r="AD3038" s="6" t="s">
        <v>7530</v>
      </c>
      <c r="AE3038" s="170" t="s">
        <v>5757</v>
      </c>
      <c r="AF3038" s="159" t="s">
        <v>8300</v>
      </c>
      <c r="AG3038" s="160" t="s">
        <v>3435</v>
      </c>
      <c r="AH3038" s="194" t="s">
        <v>678</v>
      </c>
      <c r="AI3038" s="6" t="s">
        <v>1177</v>
      </c>
      <c r="AJ3038" s="3" t="s">
        <v>8201</v>
      </c>
      <c r="AK3038" t="s">
        <v>8666</v>
      </c>
      <c r="AV3038"/>
      <c r="AX3038"/>
      <c r="AZ3038" t="str">
        <f t="shared" si="317"/>
        <v/>
      </c>
      <c r="BA3038" t="str">
        <f t="shared" si="318"/>
        <v/>
      </c>
    </row>
    <row r="3039" spans="29:53" ht="13.5">
      <c r="AC3039" s="6" t="s">
        <v>5796</v>
      </c>
      <c r="AD3039" s="6" t="s">
        <v>7530</v>
      </c>
      <c r="AE3039" s="170" t="s">
        <v>5726</v>
      </c>
      <c r="AF3039" s="159" t="s">
        <v>8300</v>
      </c>
      <c r="AG3039" s="160" t="s">
        <v>2853</v>
      </c>
      <c r="AH3039" s="194" t="s">
        <v>678</v>
      </c>
      <c r="AI3039" s="6" t="s">
        <v>1178</v>
      </c>
      <c r="AJ3039" s="3" t="s">
        <v>8195</v>
      </c>
      <c r="AK3039" t="s">
        <v>8195</v>
      </c>
      <c r="AV3039"/>
      <c r="AX3039"/>
      <c r="AZ3039" t="str">
        <f t="shared" si="317"/>
        <v/>
      </c>
      <c r="BA3039" t="str">
        <f t="shared" si="318"/>
        <v/>
      </c>
    </row>
    <row r="3040" spans="29:53" ht="13.5">
      <c r="AC3040" s="6" t="s">
        <v>305</v>
      </c>
      <c r="AD3040" s="6" t="s">
        <v>7530</v>
      </c>
      <c r="AE3040" s="170" t="s">
        <v>5758</v>
      </c>
      <c r="AF3040" s="159" t="s">
        <v>8300</v>
      </c>
      <c r="AG3040" s="160" t="s">
        <v>3430</v>
      </c>
      <c r="AH3040" s="194" t="s">
        <v>679</v>
      </c>
      <c r="AI3040" s="6" t="s">
        <v>1179</v>
      </c>
      <c r="AJ3040" s="3" t="s">
        <v>8208</v>
      </c>
      <c r="AK3040" t="s">
        <v>8667</v>
      </c>
      <c r="AV3040"/>
      <c r="AX3040"/>
      <c r="AZ3040" t="str">
        <f t="shared" si="317"/>
        <v/>
      </c>
      <c r="BA3040" t="str">
        <f t="shared" si="318"/>
        <v/>
      </c>
    </row>
    <row r="3041" spans="29:53" ht="13.5">
      <c r="AC3041" s="6" t="s">
        <v>965</v>
      </c>
      <c r="AD3041" s="6" t="s">
        <v>7530</v>
      </c>
      <c r="AE3041" s="170" t="s">
        <v>2319</v>
      </c>
      <c r="AF3041" s="159" t="s">
        <v>8299</v>
      </c>
      <c r="AG3041" s="160" t="s">
        <v>3416</v>
      </c>
      <c r="AH3041" s="194" t="s">
        <v>678</v>
      </c>
      <c r="AI3041" s="6" t="s">
        <v>1180</v>
      </c>
      <c r="AJ3041" s="3" t="s">
        <v>8208</v>
      </c>
      <c r="AK3041" t="s">
        <v>8667</v>
      </c>
      <c r="AV3041"/>
      <c r="AX3041"/>
      <c r="AZ3041" t="str">
        <f t="shared" si="317"/>
        <v/>
      </c>
      <c r="BA3041" t="str">
        <f t="shared" si="318"/>
        <v/>
      </c>
    </row>
    <row r="3042" spans="29:53" ht="13.5">
      <c r="AC3042" s="6" t="s">
        <v>1372</v>
      </c>
      <c r="AD3042" s="6" t="s">
        <v>7530</v>
      </c>
      <c r="AE3042" s="170" t="s">
        <v>2327</v>
      </c>
      <c r="AF3042" s="159" t="s">
        <v>8300</v>
      </c>
      <c r="AG3042" s="160" t="s">
        <v>3419</v>
      </c>
      <c r="AH3042" s="194" t="s">
        <v>679</v>
      </c>
      <c r="AI3042" s="6" t="s">
        <v>985</v>
      </c>
      <c r="AJ3042" s="3" t="s">
        <v>8209</v>
      </c>
      <c r="AK3042" t="s">
        <v>8209</v>
      </c>
      <c r="AV3042"/>
      <c r="AX3042"/>
      <c r="AZ3042" t="str">
        <f t="shared" si="317"/>
        <v/>
      </c>
      <c r="BA3042" t="str">
        <f t="shared" si="318"/>
        <v/>
      </c>
    </row>
    <row r="3043" spans="29:53" ht="13.5">
      <c r="AC3043" s="6" t="s">
        <v>946</v>
      </c>
      <c r="AD3043" s="6" t="s">
        <v>7530</v>
      </c>
      <c r="AE3043" s="170" t="s">
        <v>2328</v>
      </c>
      <c r="AF3043" s="159" t="s">
        <v>8309</v>
      </c>
      <c r="AG3043" s="160" t="s">
        <v>3440</v>
      </c>
      <c r="AH3043" s="194" t="s">
        <v>679</v>
      </c>
      <c r="AI3043" s="6" t="s">
        <v>987</v>
      </c>
      <c r="AJ3043" s="3" t="s">
        <v>8209</v>
      </c>
      <c r="AK3043" t="s">
        <v>8209</v>
      </c>
      <c r="AV3043"/>
      <c r="AX3043"/>
      <c r="AZ3043" t="str">
        <f t="shared" si="317"/>
        <v/>
      </c>
      <c r="BA3043" t="str">
        <f t="shared" si="318"/>
        <v/>
      </c>
    </row>
    <row r="3044" spans="29:53" ht="13.5">
      <c r="AC3044" s="6" t="s">
        <v>4738</v>
      </c>
      <c r="AD3044" s="6" t="s">
        <v>7530</v>
      </c>
      <c r="AE3044" s="170" t="s">
        <v>2343</v>
      </c>
      <c r="AF3044" s="159" t="s">
        <v>8300</v>
      </c>
      <c r="AG3044" s="160" t="s">
        <v>3417</v>
      </c>
      <c r="AH3044" s="194" t="s">
        <v>679</v>
      </c>
      <c r="AI3044" s="6" t="s">
        <v>1181</v>
      </c>
      <c r="AJ3044" s="3" t="s">
        <v>8209</v>
      </c>
      <c r="AK3044" t="s">
        <v>8209</v>
      </c>
      <c r="AV3044"/>
      <c r="AX3044"/>
      <c r="AZ3044" t="str">
        <f t="shared" si="317"/>
        <v/>
      </c>
      <c r="BA3044" t="str">
        <f t="shared" si="318"/>
        <v/>
      </c>
    </row>
    <row r="3045" spans="29:53" ht="13.5">
      <c r="AC3045" s="6" t="s">
        <v>5419</v>
      </c>
      <c r="AD3045" s="6" t="s">
        <v>7530</v>
      </c>
      <c r="AE3045" s="170" t="s">
        <v>2357</v>
      </c>
      <c r="AF3045" s="159" t="s">
        <v>8299</v>
      </c>
      <c r="AG3045" s="160" t="s">
        <v>3418</v>
      </c>
      <c r="AH3045" s="194" t="s">
        <v>679</v>
      </c>
      <c r="AI3045" s="6" t="s">
        <v>1661</v>
      </c>
      <c r="AJ3045" s="3" t="s">
        <v>8196</v>
      </c>
      <c r="AK3045" t="s">
        <v>8196</v>
      </c>
      <c r="AV3045"/>
      <c r="AX3045"/>
      <c r="AZ3045" t="str">
        <f t="shared" si="317"/>
        <v/>
      </c>
      <c r="BA3045" t="str">
        <f t="shared" si="318"/>
        <v/>
      </c>
    </row>
    <row r="3046" spans="29:53" ht="13.5">
      <c r="AC3046" s="6" t="s">
        <v>487</v>
      </c>
      <c r="AD3046" s="6" t="s">
        <v>7530</v>
      </c>
      <c r="AE3046" s="170" t="s">
        <v>2366</v>
      </c>
      <c r="AF3046" s="159" t="s">
        <v>8300</v>
      </c>
      <c r="AG3046" s="160" t="s">
        <v>3420</v>
      </c>
      <c r="AH3046" s="194" t="s">
        <v>679</v>
      </c>
      <c r="AI3046" s="6" t="s">
        <v>1183</v>
      </c>
      <c r="AJ3046" s="3" t="s">
        <v>8196</v>
      </c>
      <c r="AK3046" t="s">
        <v>8196</v>
      </c>
      <c r="AV3046"/>
      <c r="AX3046"/>
      <c r="AZ3046" t="str">
        <f t="shared" si="317"/>
        <v/>
      </c>
      <c r="BA3046" t="str">
        <f t="shared" si="318"/>
        <v/>
      </c>
    </row>
    <row r="3047" spans="29:53" ht="13.5">
      <c r="AC3047" s="6" t="s">
        <v>590</v>
      </c>
      <c r="AD3047" s="6" t="s">
        <v>7530</v>
      </c>
      <c r="AE3047" s="170" t="s">
        <v>2367</v>
      </c>
      <c r="AF3047" s="159" t="s">
        <v>8311</v>
      </c>
      <c r="AG3047" s="160" t="s">
        <v>3434</v>
      </c>
      <c r="AH3047" s="194" t="s">
        <v>678</v>
      </c>
      <c r="AI3047" s="6" t="s">
        <v>1184</v>
      </c>
      <c r="AJ3047" s="3" t="s">
        <v>8209</v>
      </c>
      <c r="AK3047" t="s">
        <v>8209</v>
      </c>
      <c r="AV3047"/>
      <c r="AX3047"/>
      <c r="AZ3047" t="str">
        <f t="shared" si="317"/>
        <v/>
      </c>
      <c r="BA3047" t="str">
        <f t="shared" si="318"/>
        <v/>
      </c>
    </row>
    <row r="3048" spans="29:53" ht="13.5">
      <c r="AC3048" s="6" t="s">
        <v>1180</v>
      </c>
      <c r="AD3048" s="6" t="s">
        <v>7530</v>
      </c>
      <c r="AE3048" s="170" t="s">
        <v>2476</v>
      </c>
      <c r="AF3048" s="159" t="s">
        <v>8300</v>
      </c>
      <c r="AG3048" s="160" t="s">
        <v>3428</v>
      </c>
      <c r="AH3048" s="194" t="s">
        <v>678</v>
      </c>
      <c r="AI3048" s="6" t="s">
        <v>970</v>
      </c>
      <c r="AJ3048" s="3" t="s">
        <v>8196</v>
      </c>
      <c r="AK3048" t="s">
        <v>8196</v>
      </c>
      <c r="AV3048"/>
      <c r="AX3048"/>
      <c r="AZ3048" t="str">
        <f t="shared" si="317"/>
        <v/>
      </c>
      <c r="BA3048" t="str">
        <f t="shared" si="318"/>
        <v/>
      </c>
    </row>
    <row r="3049" spans="29:53" ht="13.5">
      <c r="AC3049" s="6" t="s">
        <v>454</v>
      </c>
      <c r="AD3049" s="6" t="s">
        <v>7530</v>
      </c>
      <c r="AE3049" s="170" t="s">
        <v>2477</v>
      </c>
      <c r="AF3049" s="159" t="s">
        <v>8320</v>
      </c>
      <c r="AG3049" s="160" t="s">
        <v>3431</v>
      </c>
      <c r="AH3049" s="194" t="s">
        <v>678</v>
      </c>
      <c r="AI3049" s="6" t="s">
        <v>5412</v>
      </c>
      <c r="AJ3049" s="3" t="s">
        <v>8196</v>
      </c>
      <c r="AK3049" t="s">
        <v>8196</v>
      </c>
      <c r="AV3049"/>
      <c r="AX3049"/>
      <c r="AZ3049" t="str">
        <f t="shared" si="317"/>
        <v/>
      </c>
      <c r="BA3049" t="str">
        <f t="shared" si="318"/>
        <v/>
      </c>
    </row>
    <row r="3050" spans="29:53" ht="13.5">
      <c r="AC3050" s="6" t="s">
        <v>445</v>
      </c>
      <c r="AD3050" s="6" t="s">
        <v>7530</v>
      </c>
      <c r="AE3050" s="170" t="s">
        <v>1312</v>
      </c>
      <c r="AF3050" s="159" t="s">
        <v>8300</v>
      </c>
      <c r="AG3050" s="160" t="s">
        <v>3438</v>
      </c>
      <c r="AH3050" s="194" t="s">
        <v>4700</v>
      </c>
      <c r="AI3050" s="6" t="s">
        <v>1333</v>
      </c>
      <c r="AJ3050" s="3" t="s">
        <v>8224</v>
      </c>
      <c r="AK3050" t="s">
        <v>8224</v>
      </c>
      <c r="AV3050"/>
      <c r="AX3050"/>
      <c r="AZ3050" t="str">
        <f t="shared" si="317"/>
        <v/>
      </c>
      <c r="BA3050" t="str">
        <f t="shared" si="318"/>
        <v/>
      </c>
    </row>
    <row r="3051" spans="29:53" ht="13.5">
      <c r="AC3051" s="6" t="s">
        <v>358</v>
      </c>
      <c r="AD3051" s="6" t="s">
        <v>7530</v>
      </c>
      <c r="AE3051" s="170">
        <v>826344</v>
      </c>
      <c r="AF3051" s="159" t="s">
        <v>8300</v>
      </c>
      <c r="AG3051" s="160" t="s">
        <v>3447</v>
      </c>
      <c r="AH3051" s="194" t="s">
        <v>679</v>
      </c>
      <c r="AI3051" s="6" t="s">
        <v>1715</v>
      </c>
      <c r="AJ3051" s="3" t="s">
        <v>8234</v>
      </c>
      <c r="AK3051" t="s">
        <v>8234</v>
      </c>
      <c r="AV3051"/>
      <c r="AX3051"/>
      <c r="AZ3051" t="str">
        <f t="shared" si="317"/>
        <v/>
      </c>
      <c r="BA3051" t="str">
        <f t="shared" si="318"/>
        <v/>
      </c>
    </row>
    <row r="3052" spans="29:53" ht="13.5">
      <c r="AC3052" s="6" t="s">
        <v>1402</v>
      </c>
      <c r="AD3052" s="6" t="s">
        <v>7530</v>
      </c>
      <c r="AE3052" s="170" t="s">
        <v>4811</v>
      </c>
      <c r="AF3052" s="159" t="s">
        <v>8300</v>
      </c>
      <c r="AG3052" s="160" t="s">
        <v>3450</v>
      </c>
      <c r="AH3052" s="194" t="s">
        <v>679</v>
      </c>
      <c r="AI3052" s="6" t="s">
        <v>1717</v>
      </c>
      <c r="AJ3052" s="3" t="s">
        <v>8234</v>
      </c>
      <c r="AK3052" t="s">
        <v>8234</v>
      </c>
      <c r="AV3052"/>
      <c r="AX3052"/>
      <c r="AZ3052" t="str">
        <f t="shared" si="317"/>
        <v/>
      </c>
      <c r="BA3052" t="str">
        <f t="shared" si="318"/>
        <v/>
      </c>
    </row>
    <row r="3053" spans="29:53" ht="13.5">
      <c r="AC3053" s="6" t="s">
        <v>6622</v>
      </c>
      <c r="AD3053" s="6" t="s">
        <v>7530</v>
      </c>
      <c r="AE3053" s="170">
        <v>385654</v>
      </c>
      <c r="AF3053" s="159" t="s">
        <v>8320</v>
      </c>
      <c r="AG3053" s="160" t="s">
        <v>3446</v>
      </c>
      <c r="AH3053" s="194" t="s">
        <v>679</v>
      </c>
      <c r="AI3053" s="6" t="s">
        <v>1719</v>
      </c>
      <c r="AJ3053" s="3" t="s">
        <v>8234</v>
      </c>
      <c r="AK3053" t="s">
        <v>8234</v>
      </c>
      <c r="AV3053"/>
      <c r="AX3053"/>
      <c r="AZ3053" t="str">
        <f t="shared" si="317"/>
        <v/>
      </c>
      <c r="BA3053" t="str">
        <f t="shared" si="318"/>
        <v/>
      </c>
    </row>
    <row r="3054" spans="29:53" ht="13.5">
      <c r="AC3054" s="6" t="s">
        <v>939</v>
      </c>
      <c r="AD3054" s="6" t="s">
        <v>7530</v>
      </c>
      <c r="AE3054" s="170">
        <v>435738</v>
      </c>
      <c r="AF3054" s="159" t="s">
        <v>8297</v>
      </c>
      <c r="AG3054" s="160" t="s">
        <v>3393</v>
      </c>
      <c r="AH3054" s="194" t="s">
        <v>679</v>
      </c>
      <c r="AI3054" s="6" t="s">
        <v>1721</v>
      </c>
      <c r="AJ3054" s="3" t="s">
        <v>8234</v>
      </c>
      <c r="AK3054" t="s">
        <v>8234</v>
      </c>
      <c r="AV3054"/>
      <c r="AX3054"/>
      <c r="AZ3054" t="str">
        <f t="shared" si="317"/>
        <v/>
      </c>
      <c r="BA3054" t="str">
        <f t="shared" si="318"/>
        <v/>
      </c>
    </row>
    <row r="3055" spans="29:53" ht="13.5">
      <c r="AC3055" s="6" t="s">
        <v>4831</v>
      </c>
      <c r="AD3055" s="6" t="s">
        <v>7530</v>
      </c>
      <c r="AE3055" s="170" t="s">
        <v>5628</v>
      </c>
      <c r="AF3055" s="159" t="s">
        <v>8309</v>
      </c>
      <c r="AG3055" s="160" t="s">
        <v>3444</v>
      </c>
      <c r="AH3055" s="194" t="s">
        <v>678</v>
      </c>
      <c r="AI3055" s="6" t="s">
        <v>1722</v>
      </c>
      <c r="AJ3055" s="3" t="s">
        <v>8234</v>
      </c>
      <c r="AK3055" t="s">
        <v>8234</v>
      </c>
      <c r="AV3055"/>
      <c r="AX3055"/>
      <c r="AZ3055" t="str">
        <f t="shared" si="317"/>
        <v/>
      </c>
      <c r="BA3055" t="str">
        <f t="shared" si="318"/>
        <v/>
      </c>
    </row>
    <row r="3056" spans="29:53" ht="13.5">
      <c r="AC3056" s="6" t="s">
        <v>530</v>
      </c>
      <c r="AD3056" s="6" t="s">
        <v>7530</v>
      </c>
      <c r="AE3056" s="170" t="s">
        <v>5707</v>
      </c>
      <c r="AF3056" s="159" t="s">
        <v>8299</v>
      </c>
      <c r="AG3056" s="160" t="s">
        <v>5288</v>
      </c>
      <c r="AH3056" s="194" t="s">
        <v>678</v>
      </c>
      <c r="AI3056" s="6" t="s">
        <v>3454</v>
      </c>
      <c r="AJ3056" s="3" t="s">
        <v>8206</v>
      </c>
      <c r="AK3056" t="s">
        <v>8206</v>
      </c>
      <c r="AV3056"/>
      <c r="AX3056"/>
      <c r="AZ3056" t="str">
        <f t="shared" si="317"/>
        <v/>
      </c>
      <c r="BA3056" t="str">
        <f t="shared" si="318"/>
        <v/>
      </c>
    </row>
    <row r="3057" spans="29:53" ht="13.5">
      <c r="AC3057" s="6" t="s">
        <v>480</v>
      </c>
      <c r="AD3057" s="6" t="s">
        <v>7530</v>
      </c>
      <c r="AE3057" s="170" t="s">
        <v>5708</v>
      </c>
      <c r="AF3057" s="159" t="s">
        <v>8300</v>
      </c>
      <c r="AG3057" s="160" t="s">
        <v>1286</v>
      </c>
      <c r="AH3057" s="194" t="s">
        <v>679</v>
      </c>
      <c r="AI3057" s="6" t="s">
        <v>3455</v>
      </c>
      <c r="AJ3057" s="3" t="s">
        <v>8206</v>
      </c>
      <c r="AK3057" t="s">
        <v>8206</v>
      </c>
      <c r="AV3057"/>
      <c r="AX3057"/>
      <c r="AZ3057" t="str">
        <f t="shared" si="317"/>
        <v/>
      </c>
      <c r="BA3057" t="str">
        <f t="shared" si="318"/>
        <v/>
      </c>
    </row>
    <row r="3058" spans="29:53" ht="13.5">
      <c r="AC3058" s="6" t="s">
        <v>524</v>
      </c>
      <c r="AD3058" s="6" t="s">
        <v>7530</v>
      </c>
      <c r="AE3058" s="170" t="s">
        <v>5759</v>
      </c>
      <c r="AF3058" s="159" t="s">
        <v>8300</v>
      </c>
      <c r="AG3058" s="160" t="s">
        <v>3414</v>
      </c>
      <c r="AH3058" s="194" t="s">
        <v>679</v>
      </c>
      <c r="AI3058" s="6" t="s">
        <v>3456</v>
      </c>
      <c r="AJ3058" s="3" t="s">
        <v>8206</v>
      </c>
      <c r="AK3058" t="s">
        <v>8206</v>
      </c>
      <c r="AV3058"/>
      <c r="AX3058"/>
      <c r="AZ3058" t="str">
        <f t="shared" si="317"/>
        <v/>
      </c>
      <c r="BA3058" t="str">
        <f t="shared" si="318"/>
        <v/>
      </c>
    </row>
    <row r="3059" spans="29:53" ht="13.5">
      <c r="AC3059" s="6" t="s">
        <v>1374</v>
      </c>
      <c r="AD3059" s="6" t="s">
        <v>7530</v>
      </c>
      <c r="AE3059" s="170" t="s">
        <v>5760</v>
      </c>
      <c r="AF3059" s="159" t="s">
        <v>8300</v>
      </c>
      <c r="AG3059" s="160" t="s">
        <v>3412</v>
      </c>
      <c r="AH3059" s="194" t="s">
        <v>679</v>
      </c>
      <c r="AI3059" s="6" t="s">
        <v>4811</v>
      </c>
      <c r="AJ3059" s="3" t="s">
        <v>8255</v>
      </c>
      <c r="AK3059" t="s">
        <v>8255</v>
      </c>
      <c r="AV3059"/>
      <c r="AX3059"/>
      <c r="AZ3059" t="str">
        <f t="shared" si="317"/>
        <v/>
      </c>
      <c r="BA3059" t="str">
        <f t="shared" si="318"/>
        <v/>
      </c>
    </row>
    <row r="3060" spans="29:53" ht="13.5">
      <c r="AC3060" s="6" t="s">
        <v>595</v>
      </c>
      <c r="AD3060" s="6" t="s">
        <v>7530</v>
      </c>
      <c r="AE3060" s="170" t="s">
        <v>5761</v>
      </c>
      <c r="AF3060" s="159" t="s">
        <v>8300</v>
      </c>
      <c r="AG3060" s="160" t="s">
        <v>3424</v>
      </c>
      <c r="AH3060" s="194" t="s">
        <v>679</v>
      </c>
      <c r="AI3060" s="6" t="s">
        <v>6729</v>
      </c>
      <c r="AJ3060" s="3" t="s">
        <v>8234</v>
      </c>
      <c r="AK3060" t="s">
        <v>8234</v>
      </c>
      <c r="AV3060"/>
      <c r="AX3060"/>
      <c r="AZ3060" t="str">
        <f t="shared" si="317"/>
        <v/>
      </c>
      <c r="BA3060" t="str">
        <f t="shared" si="318"/>
        <v/>
      </c>
    </row>
    <row r="3061" spans="29:53" ht="13.5">
      <c r="AC3061" s="6" t="s">
        <v>359</v>
      </c>
      <c r="AD3061" s="6" t="s">
        <v>7530</v>
      </c>
      <c r="AE3061" s="170" t="s">
        <v>5710</v>
      </c>
      <c r="AF3061" s="159" t="s">
        <v>8300</v>
      </c>
      <c r="AG3061" s="160" t="s">
        <v>1287</v>
      </c>
      <c r="AH3061" s="194" t="s">
        <v>679</v>
      </c>
      <c r="AI3061" s="6" t="s">
        <v>5577</v>
      </c>
      <c r="AJ3061" s="3" t="s">
        <v>8240</v>
      </c>
      <c r="AK3061" t="s">
        <v>8240</v>
      </c>
      <c r="AV3061"/>
      <c r="AX3061"/>
      <c r="AZ3061" t="str">
        <f t="shared" si="317"/>
        <v/>
      </c>
      <c r="BA3061" t="str">
        <f t="shared" si="318"/>
        <v/>
      </c>
    </row>
    <row r="3062" spans="29:53" ht="13.5">
      <c r="AC3062" s="6" t="s">
        <v>456</v>
      </c>
      <c r="AD3062" s="6" t="s">
        <v>7530</v>
      </c>
      <c r="AE3062" s="170" t="s">
        <v>5762</v>
      </c>
      <c r="AF3062" s="159" t="s">
        <v>8300</v>
      </c>
      <c r="AG3062" s="160" t="s">
        <v>4784</v>
      </c>
      <c r="AH3062" s="194" t="s">
        <v>679</v>
      </c>
      <c r="AI3062" s="6" t="s">
        <v>5578</v>
      </c>
      <c r="AJ3062" s="3" t="s">
        <v>8240</v>
      </c>
      <c r="AK3062" t="s">
        <v>8240</v>
      </c>
      <c r="AV3062"/>
      <c r="AX3062"/>
      <c r="AZ3062" t="str">
        <f t="shared" si="317"/>
        <v/>
      </c>
      <c r="BA3062" t="str">
        <f t="shared" si="318"/>
        <v/>
      </c>
    </row>
    <row r="3063" spans="29:53" ht="13.5">
      <c r="AC3063" s="6" t="s">
        <v>455</v>
      </c>
      <c r="AD3063" s="6" t="s">
        <v>7530</v>
      </c>
      <c r="AE3063" s="170" t="s">
        <v>5725</v>
      </c>
      <c r="AF3063" s="159" t="s">
        <v>8300</v>
      </c>
      <c r="AG3063" s="160" t="s">
        <v>3394</v>
      </c>
      <c r="AH3063" s="194" t="s">
        <v>678</v>
      </c>
      <c r="AI3063" s="6" t="s">
        <v>5579</v>
      </c>
      <c r="AJ3063" s="3" t="s">
        <v>8240</v>
      </c>
      <c r="AK3063" t="s">
        <v>8240</v>
      </c>
      <c r="AV3063"/>
      <c r="AX3063"/>
      <c r="AZ3063" t="str">
        <f t="shared" si="317"/>
        <v/>
      </c>
      <c r="BA3063" t="str">
        <f t="shared" si="318"/>
        <v/>
      </c>
    </row>
    <row r="3064" spans="29:53" ht="13.5">
      <c r="AC3064" s="6" t="s">
        <v>361</v>
      </c>
      <c r="AD3064" s="6" t="s">
        <v>7530</v>
      </c>
      <c r="AE3064" s="170" t="s">
        <v>5763</v>
      </c>
      <c r="AF3064" s="159" t="s">
        <v>8300</v>
      </c>
      <c r="AG3064" s="160" t="s">
        <v>3395</v>
      </c>
      <c r="AH3064" s="194" t="s">
        <v>678</v>
      </c>
      <c r="AI3064" s="6" t="s">
        <v>5580</v>
      </c>
      <c r="AJ3064" s="3" t="s">
        <v>8240</v>
      </c>
      <c r="AK3064" t="s">
        <v>8240</v>
      </c>
      <c r="AV3064"/>
      <c r="AX3064"/>
      <c r="AZ3064" t="str">
        <f t="shared" si="317"/>
        <v/>
      </c>
      <c r="BA3064" t="str">
        <f t="shared" si="318"/>
        <v/>
      </c>
    </row>
    <row r="3065" spans="29:53" ht="13.5">
      <c r="AC3065" s="6" t="s">
        <v>5790</v>
      </c>
      <c r="AD3065" s="6" t="s">
        <v>7530</v>
      </c>
      <c r="AE3065" s="170" t="s">
        <v>5764</v>
      </c>
      <c r="AF3065" s="159" t="s">
        <v>8300</v>
      </c>
      <c r="AG3065" s="160" t="s">
        <v>3425</v>
      </c>
      <c r="AH3065" s="194" t="s">
        <v>678</v>
      </c>
      <c r="AI3065" s="6" t="s">
        <v>5576</v>
      </c>
      <c r="AJ3065" s="3" t="s">
        <v>8246</v>
      </c>
      <c r="AK3065" t="s">
        <v>8246</v>
      </c>
      <c r="AV3065"/>
      <c r="AX3065"/>
      <c r="AZ3065" t="str">
        <f t="shared" ref="AZ3065:AZ3128" si="319">IF(ISBLANK(AW3065),"",CONCATENATE("(",RIGHT(AW3065,5),"-",TEXT(AX3065,"h:mm;@"),")"))</f>
        <v/>
      </c>
      <c r="BA3065" t="str">
        <f t="shared" ref="BA3065:BA3128" si="320">IF(AV3081=AV3065,"",CONCATENATE(IF(AV3080=AV3065,BA3080,""),IF(AV3079=AV3065,BA3079,""),IF(AV3078=AV3065,BA3078,""),IF(AV3077=AV3065,BA3077,""),IF(AV3076=AV3065,BA3076,""),IF(AV3075=AV3065,BA3075,""),IF(AV3074=AV3065,BA3074,""),IF(AV3073=AV3065,BA3073,""),IF(AV3072=AV3065,BA3072,""),IF(AV3071=AV3065,BA3071,""),IF(AV3070=AV3065,BA3070,""),IF(AV3069=AV3065,BA3069,""),IF(AV3068=AV3065,BA3068,""),IF(AV3067=AV3065,BA3067,""),IF(AV3066=AV3065,BA3066,""),IF(AV3064=AV3065,BA3064,""),BA3065))</f>
        <v/>
      </c>
    </row>
    <row r="3066" spans="29:53" ht="13.5">
      <c r="AC3066" s="6" t="s">
        <v>1179</v>
      </c>
      <c r="AD3066" s="6" t="s">
        <v>7530</v>
      </c>
      <c r="AE3066" s="170" t="s">
        <v>5720</v>
      </c>
      <c r="AF3066" s="159" t="s">
        <v>8300</v>
      </c>
      <c r="AG3066" s="160" t="s">
        <v>4419</v>
      </c>
      <c r="AH3066" s="194" t="s">
        <v>679</v>
      </c>
      <c r="AI3066" s="6" t="s">
        <v>5582</v>
      </c>
      <c r="AJ3066" s="3" t="s">
        <v>8203</v>
      </c>
      <c r="AK3066" t="s">
        <v>8203</v>
      </c>
      <c r="AV3066"/>
      <c r="AX3066"/>
      <c r="AZ3066" t="str">
        <f t="shared" si="319"/>
        <v/>
      </c>
      <c r="BA3066" t="str">
        <f t="shared" si="320"/>
        <v/>
      </c>
    </row>
    <row r="3067" spans="29:53" ht="13.5">
      <c r="AC3067" s="6" t="s">
        <v>631</v>
      </c>
      <c r="AD3067" s="6" t="s">
        <v>7550</v>
      </c>
      <c r="AE3067" s="170" t="s">
        <v>5321</v>
      </c>
      <c r="AF3067" s="159" t="s">
        <v>8300</v>
      </c>
      <c r="AG3067" s="160" t="s">
        <v>1288</v>
      </c>
      <c r="AH3067" s="194" t="s">
        <v>679</v>
      </c>
      <c r="AI3067" s="6" t="s">
        <v>5581</v>
      </c>
      <c r="AJ3067" s="3" t="s">
        <v>8204</v>
      </c>
      <c r="AK3067" t="s">
        <v>8204</v>
      </c>
      <c r="AV3067"/>
      <c r="AX3067"/>
      <c r="AZ3067" t="str">
        <f t="shared" si="319"/>
        <v/>
      </c>
      <c r="BA3067" t="str">
        <f t="shared" si="320"/>
        <v/>
      </c>
    </row>
    <row r="3068" spans="29:53" ht="13.5">
      <c r="AC3068" s="6" t="s">
        <v>301</v>
      </c>
      <c r="AD3068" s="6" t="s">
        <v>7530</v>
      </c>
      <c r="AE3068" s="170" t="s">
        <v>5722</v>
      </c>
      <c r="AF3068" s="159" t="s">
        <v>8300</v>
      </c>
      <c r="AG3068" s="160" t="s">
        <v>3396</v>
      </c>
      <c r="AH3068" s="194" t="s">
        <v>679</v>
      </c>
      <c r="AI3068" s="6" t="s">
        <v>5583</v>
      </c>
      <c r="AJ3068" s="3" t="s">
        <v>8193</v>
      </c>
      <c r="AK3068" t="s">
        <v>8205</v>
      </c>
      <c r="AV3068"/>
      <c r="AX3068"/>
      <c r="AZ3068" t="str">
        <f t="shared" si="319"/>
        <v/>
      </c>
      <c r="BA3068" t="str">
        <f t="shared" si="320"/>
        <v/>
      </c>
    </row>
    <row r="3069" spans="29:53" ht="13.5">
      <c r="AC3069" s="6" t="s">
        <v>478</v>
      </c>
      <c r="AD3069" s="6" t="s">
        <v>7530</v>
      </c>
      <c r="AE3069" s="170" t="s">
        <v>5765</v>
      </c>
      <c r="AF3069" s="159" t="s">
        <v>8300</v>
      </c>
      <c r="AG3069" s="160" t="s">
        <v>5390</v>
      </c>
      <c r="AH3069" s="194" t="s">
        <v>679</v>
      </c>
      <c r="AI3069" s="6" t="s">
        <v>5590</v>
      </c>
      <c r="AJ3069" s="3" t="s">
        <v>8264</v>
      </c>
      <c r="AK3069" t="s">
        <v>8264</v>
      </c>
      <c r="AV3069"/>
      <c r="AX3069"/>
      <c r="AZ3069" t="str">
        <f t="shared" si="319"/>
        <v/>
      </c>
      <c r="BA3069" t="str">
        <f t="shared" si="320"/>
        <v/>
      </c>
    </row>
    <row r="3070" spans="29:53" ht="13.5">
      <c r="AC3070" s="6" t="s">
        <v>32</v>
      </c>
      <c r="AD3070" s="6" t="s">
        <v>7530</v>
      </c>
      <c r="AE3070" s="170" t="s">
        <v>5723</v>
      </c>
      <c r="AF3070" s="159" t="s">
        <v>8300</v>
      </c>
      <c r="AG3070" s="160" t="s">
        <v>3397</v>
      </c>
      <c r="AH3070" s="194" t="s">
        <v>678</v>
      </c>
      <c r="AI3070" s="6" t="s">
        <v>5591</v>
      </c>
      <c r="AJ3070" s="3" t="s">
        <v>8264</v>
      </c>
      <c r="AK3070" t="s">
        <v>8264</v>
      </c>
      <c r="AV3070"/>
      <c r="AX3070"/>
      <c r="AZ3070" t="str">
        <f t="shared" si="319"/>
        <v/>
      </c>
      <c r="BA3070" t="str">
        <f t="shared" si="320"/>
        <v/>
      </c>
    </row>
    <row r="3071" spans="29:53" ht="13.5">
      <c r="AC3071" s="6" t="s">
        <v>501</v>
      </c>
      <c r="AD3071" s="6" t="s">
        <v>7530</v>
      </c>
      <c r="AE3071" s="170" t="s">
        <v>5721</v>
      </c>
      <c r="AF3071" s="159" t="s">
        <v>8300</v>
      </c>
      <c r="AG3071" s="160" t="s">
        <v>3897</v>
      </c>
      <c r="AH3071" s="194" t="s">
        <v>679</v>
      </c>
      <c r="AI3071" s="6" t="s">
        <v>5585</v>
      </c>
      <c r="AJ3071" s="3" t="s">
        <v>8204</v>
      </c>
      <c r="AK3071" t="s">
        <v>8204</v>
      </c>
      <c r="AV3071"/>
      <c r="AX3071"/>
      <c r="AZ3071" t="str">
        <f t="shared" si="319"/>
        <v/>
      </c>
      <c r="BA3071" t="str">
        <f t="shared" si="320"/>
        <v/>
      </c>
    </row>
    <row r="3072" spans="29:53" ht="13.5">
      <c r="AC3072" s="6" t="s">
        <v>297</v>
      </c>
      <c r="AD3072" s="6" t="s">
        <v>7530</v>
      </c>
      <c r="AE3072" s="170" t="s">
        <v>5724</v>
      </c>
      <c r="AF3072" s="159" t="s">
        <v>8300</v>
      </c>
      <c r="AG3072" s="160" t="s">
        <v>3898</v>
      </c>
      <c r="AH3072" s="194" t="s">
        <v>678</v>
      </c>
      <c r="AI3072" s="6" t="s">
        <v>5586</v>
      </c>
      <c r="AJ3072" s="3" t="s">
        <v>8204</v>
      </c>
      <c r="AK3072" t="s">
        <v>8204</v>
      </c>
      <c r="AV3072"/>
      <c r="AX3072"/>
      <c r="AZ3072" t="str">
        <f t="shared" si="319"/>
        <v/>
      </c>
      <c r="BA3072" t="str">
        <f t="shared" si="320"/>
        <v/>
      </c>
    </row>
    <row r="3073" spans="29:53" ht="13.5">
      <c r="AC3073" s="6" t="s">
        <v>5292</v>
      </c>
      <c r="AD3073" s="6" t="s">
        <v>7530</v>
      </c>
      <c r="AE3073" s="170" t="s">
        <v>5715</v>
      </c>
      <c r="AF3073" s="159" t="s">
        <v>8300</v>
      </c>
      <c r="AG3073" s="160" t="s">
        <v>3442</v>
      </c>
      <c r="AH3073" s="194" t="s">
        <v>679</v>
      </c>
      <c r="AI3073" s="6" t="s">
        <v>5587</v>
      </c>
      <c r="AJ3073" s="3" t="s">
        <v>8204</v>
      </c>
      <c r="AK3073" t="s">
        <v>8204</v>
      </c>
      <c r="AV3073"/>
      <c r="AX3073"/>
      <c r="AZ3073" t="str">
        <f t="shared" si="319"/>
        <v/>
      </c>
      <c r="BA3073" t="str">
        <f t="shared" si="320"/>
        <v/>
      </c>
    </row>
    <row r="3074" spans="29:53" ht="13.5">
      <c r="AC3074" s="6" t="s">
        <v>533</v>
      </c>
      <c r="AD3074" s="6" t="s">
        <v>7530</v>
      </c>
      <c r="AE3074" s="170" t="s">
        <v>5717</v>
      </c>
      <c r="AF3074" s="159" t="s">
        <v>8300</v>
      </c>
      <c r="AG3074" s="160" t="s">
        <v>3422</v>
      </c>
      <c r="AH3074" s="194" t="s">
        <v>678</v>
      </c>
      <c r="AI3074" s="6" t="s">
        <v>5588</v>
      </c>
      <c r="AJ3074" s="3" t="s">
        <v>8204</v>
      </c>
      <c r="AK3074" t="s">
        <v>8204</v>
      </c>
      <c r="AV3074"/>
      <c r="AX3074"/>
      <c r="AZ3074" t="str">
        <f t="shared" si="319"/>
        <v/>
      </c>
      <c r="BA3074" t="str">
        <f t="shared" si="320"/>
        <v/>
      </c>
    </row>
    <row r="3075" spans="29:53" ht="13.5">
      <c r="AC3075" s="6" t="s">
        <v>529</v>
      </c>
      <c r="AD3075" s="6" t="s">
        <v>7530</v>
      </c>
      <c r="AE3075" s="170" t="s">
        <v>5766</v>
      </c>
      <c r="AF3075" s="159" t="s">
        <v>8300</v>
      </c>
      <c r="AG3075" s="160" t="s">
        <v>3398</v>
      </c>
      <c r="AH3075" s="194" t="s">
        <v>678</v>
      </c>
      <c r="AI3075" s="6" t="s">
        <v>5589</v>
      </c>
      <c r="AJ3075" s="3" t="s">
        <v>8204</v>
      </c>
      <c r="AK3075" t="s">
        <v>8204</v>
      </c>
      <c r="AV3075"/>
      <c r="AX3075"/>
      <c r="AZ3075" t="str">
        <f t="shared" si="319"/>
        <v/>
      </c>
      <c r="BA3075" t="str">
        <f t="shared" si="320"/>
        <v/>
      </c>
    </row>
    <row r="3076" spans="29:53" ht="13.5">
      <c r="AC3076" s="6" t="s">
        <v>309</v>
      </c>
      <c r="AD3076" s="6" t="s">
        <v>7530</v>
      </c>
      <c r="AE3076" s="170" t="s">
        <v>8457</v>
      </c>
      <c r="AF3076" s="159" t="s">
        <v>8300</v>
      </c>
      <c r="AG3076" s="160" t="s">
        <v>3439</v>
      </c>
      <c r="AH3076" s="194" t="s">
        <v>678</v>
      </c>
      <c r="AI3076" s="6" t="s">
        <v>5599</v>
      </c>
      <c r="AJ3076" s="3" t="s">
        <v>8220</v>
      </c>
      <c r="AK3076" t="s">
        <v>8220</v>
      </c>
      <c r="AV3076"/>
      <c r="AX3076"/>
      <c r="AZ3076" t="str">
        <f t="shared" si="319"/>
        <v/>
      </c>
      <c r="BA3076" t="str">
        <f t="shared" si="320"/>
        <v/>
      </c>
    </row>
    <row r="3077" spans="29:53" ht="13.5">
      <c r="AC3077" s="6" t="s">
        <v>1059</v>
      </c>
      <c r="AD3077" s="6" t="s">
        <v>7530</v>
      </c>
      <c r="AE3077" s="170" t="s">
        <v>137</v>
      </c>
      <c r="AF3077" s="159" t="s">
        <v>8458</v>
      </c>
      <c r="AG3077" s="160" t="s">
        <v>3399</v>
      </c>
      <c r="AH3077" s="194" t="s">
        <v>679</v>
      </c>
      <c r="AI3077" s="6" t="s">
        <v>5594</v>
      </c>
      <c r="AJ3077" s="3" t="s">
        <v>8220</v>
      </c>
      <c r="AK3077" t="s">
        <v>8220</v>
      </c>
      <c r="AV3077"/>
      <c r="AX3077"/>
      <c r="AZ3077" t="str">
        <f t="shared" si="319"/>
        <v/>
      </c>
      <c r="BA3077" t="str">
        <f t="shared" si="320"/>
        <v/>
      </c>
    </row>
    <row r="3078" spans="29:53" ht="13.5">
      <c r="AC3078" s="6" t="s">
        <v>1190</v>
      </c>
      <c r="AD3078" s="6" t="s">
        <v>7530</v>
      </c>
      <c r="AE3078" s="170" t="s">
        <v>1666</v>
      </c>
      <c r="AF3078" s="159" t="s">
        <v>8459</v>
      </c>
      <c r="AG3078" s="160" t="s">
        <v>3400</v>
      </c>
      <c r="AH3078" s="194" t="s">
        <v>678</v>
      </c>
      <c r="AI3078" s="6" t="s">
        <v>5595</v>
      </c>
      <c r="AJ3078" s="3" t="s">
        <v>8220</v>
      </c>
      <c r="AK3078" t="s">
        <v>8220</v>
      </c>
      <c r="AV3078"/>
      <c r="AX3078"/>
      <c r="AZ3078" t="str">
        <f t="shared" si="319"/>
        <v/>
      </c>
      <c r="BA3078" t="str">
        <f t="shared" si="320"/>
        <v/>
      </c>
    </row>
    <row r="3079" spans="29:53" ht="13.5">
      <c r="AC3079" s="6" t="s">
        <v>534</v>
      </c>
      <c r="AD3079" s="6" t="s">
        <v>7530</v>
      </c>
      <c r="AE3079" s="170" t="s">
        <v>5049</v>
      </c>
      <c r="AF3079" s="159" t="s">
        <v>8459</v>
      </c>
      <c r="AG3079" s="160" t="s">
        <v>3401</v>
      </c>
      <c r="AH3079" s="194" t="s">
        <v>678</v>
      </c>
      <c r="AI3079" s="6" t="s">
        <v>5593</v>
      </c>
      <c r="AJ3079" s="3" t="s">
        <v>8246</v>
      </c>
      <c r="AK3079" t="s">
        <v>8246</v>
      </c>
      <c r="AV3079"/>
      <c r="AX3079"/>
      <c r="AZ3079" t="str">
        <f t="shared" si="319"/>
        <v/>
      </c>
      <c r="BA3079" t="str">
        <f t="shared" si="320"/>
        <v/>
      </c>
    </row>
    <row r="3080" spans="29:53" ht="13.5">
      <c r="AC3080" s="6" t="s">
        <v>536</v>
      </c>
      <c r="AD3080" s="6" t="s">
        <v>7530</v>
      </c>
      <c r="AE3080" s="170" t="s">
        <v>1645</v>
      </c>
      <c r="AF3080" s="159" t="s">
        <v>8341</v>
      </c>
      <c r="AG3080" s="160" t="s">
        <v>3402</v>
      </c>
      <c r="AH3080" s="194" t="s">
        <v>679</v>
      </c>
      <c r="AI3080" s="6" t="s">
        <v>5592</v>
      </c>
      <c r="AJ3080" s="3" t="s">
        <v>8247</v>
      </c>
      <c r="AK3080" t="s">
        <v>8247</v>
      </c>
      <c r="AV3080"/>
      <c r="AX3080"/>
      <c r="AZ3080" t="str">
        <f t="shared" si="319"/>
        <v/>
      </c>
      <c r="BA3080" t="str">
        <f t="shared" si="320"/>
        <v/>
      </c>
    </row>
    <row r="3081" spans="29:53" ht="13.5">
      <c r="AC3081" s="6" t="s">
        <v>4737</v>
      </c>
      <c r="AD3081" s="6" t="s">
        <v>7530</v>
      </c>
      <c r="AE3081" s="170" t="s">
        <v>1648</v>
      </c>
      <c r="AF3081" s="159" t="s">
        <v>8300</v>
      </c>
      <c r="AG3081" s="160" t="s">
        <v>3449</v>
      </c>
      <c r="AH3081" s="194" t="s">
        <v>678</v>
      </c>
      <c r="AI3081" s="6" t="s">
        <v>5598</v>
      </c>
      <c r="AJ3081" s="3" t="s">
        <v>8220</v>
      </c>
      <c r="AK3081" t="s">
        <v>8220</v>
      </c>
      <c r="AV3081"/>
      <c r="AX3081"/>
      <c r="AZ3081" t="str">
        <f t="shared" si="319"/>
        <v/>
      </c>
      <c r="BA3081" t="str">
        <f t="shared" si="320"/>
        <v/>
      </c>
    </row>
    <row r="3082" spans="29:53" ht="13.5">
      <c r="AC3082" s="6" t="s">
        <v>292</v>
      </c>
      <c r="AD3082" s="6" t="s">
        <v>7530</v>
      </c>
      <c r="AE3082" s="170" t="s">
        <v>1649</v>
      </c>
      <c r="AF3082" s="159" t="s">
        <v>8391</v>
      </c>
      <c r="AG3082" s="160" t="s">
        <v>3403</v>
      </c>
      <c r="AH3082" s="194" t="s">
        <v>678</v>
      </c>
      <c r="AI3082" s="6" t="s">
        <v>5601</v>
      </c>
      <c r="AJ3082" s="3" t="s">
        <v>8193</v>
      </c>
      <c r="AK3082" t="s">
        <v>8205</v>
      </c>
      <c r="AV3082"/>
      <c r="AX3082"/>
      <c r="AZ3082" t="str">
        <f t="shared" si="319"/>
        <v/>
      </c>
      <c r="BA3082" t="str">
        <f t="shared" si="320"/>
        <v/>
      </c>
    </row>
    <row r="3083" spans="29:53" ht="13.5">
      <c r="AC3083" s="6" t="s">
        <v>499</v>
      </c>
      <c r="AD3083" s="6" t="s">
        <v>7530</v>
      </c>
      <c r="AE3083" s="170" t="s">
        <v>145</v>
      </c>
      <c r="AF3083" s="159" t="s">
        <v>8448</v>
      </c>
      <c r="AG3083" s="160" t="s">
        <v>4426</v>
      </c>
      <c r="AH3083" s="194" t="s">
        <v>679</v>
      </c>
      <c r="AI3083" s="6" t="s">
        <v>5600</v>
      </c>
      <c r="AJ3083" s="3" t="s">
        <v>8193</v>
      </c>
      <c r="AK3083" t="s">
        <v>8205</v>
      </c>
      <c r="AV3083"/>
      <c r="AX3083"/>
      <c r="AZ3083" t="str">
        <f t="shared" si="319"/>
        <v/>
      </c>
      <c r="BA3083" t="str">
        <f t="shared" si="320"/>
        <v/>
      </c>
    </row>
    <row r="3084" spans="29:53" ht="13.5">
      <c r="AC3084" s="6" t="s">
        <v>523</v>
      </c>
      <c r="AD3084" s="6" t="s">
        <v>7530</v>
      </c>
      <c r="AE3084" s="170" t="s">
        <v>1633</v>
      </c>
      <c r="AF3084" s="159" t="s">
        <v>8459</v>
      </c>
      <c r="AG3084" s="160" t="s">
        <v>4745</v>
      </c>
      <c r="AH3084" s="194" t="s">
        <v>679</v>
      </c>
      <c r="AI3084" s="6" t="s">
        <v>5616</v>
      </c>
      <c r="AJ3084" s="3" t="s">
        <v>8193</v>
      </c>
      <c r="AK3084" t="s">
        <v>8205</v>
      </c>
      <c r="AV3084"/>
      <c r="AX3084"/>
      <c r="AZ3084" t="str">
        <f t="shared" si="319"/>
        <v/>
      </c>
      <c r="BA3084" t="str">
        <f t="shared" si="320"/>
        <v/>
      </c>
    </row>
    <row r="3085" spans="29:53" ht="13.5">
      <c r="AC3085" s="6" t="s">
        <v>1054</v>
      </c>
      <c r="AD3085" s="6" t="s">
        <v>7530</v>
      </c>
      <c r="AE3085" s="170" t="s">
        <v>989</v>
      </c>
      <c r="AF3085" s="159" t="s">
        <v>8300</v>
      </c>
      <c r="AG3085" s="160" t="s">
        <v>4763</v>
      </c>
      <c r="AH3085" s="194" t="s">
        <v>679</v>
      </c>
      <c r="AI3085" s="6" t="s">
        <v>5630</v>
      </c>
      <c r="AJ3085" s="3" t="s">
        <v>8247</v>
      </c>
      <c r="AK3085" t="s">
        <v>8247</v>
      </c>
      <c r="AV3085"/>
      <c r="AX3085"/>
      <c r="AZ3085" t="str">
        <f t="shared" si="319"/>
        <v/>
      </c>
      <c r="BA3085" t="str">
        <f t="shared" si="320"/>
        <v/>
      </c>
    </row>
    <row r="3086" spans="29:53" ht="13.5">
      <c r="AC3086" s="6" t="s">
        <v>6619</v>
      </c>
      <c r="AD3086" s="6" t="s">
        <v>7530</v>
      </c>
      <c r="AE3086" s="170" t="s">
        <v>147</v>
      </c>
      <c r="AF3086" s="159" t="s">
        <v>8460</v>
      </c>
      <c r="AG3086" s="160" t="s">
        <v>4422</v>
      </c>
      <c r="AH3086" s="194" t="s">
        <v>679</v>
      </c>
      <c r="AI3086" s="6" t="s">
        <v>6637</v>
      </c>
      <c r="AJ3086" s="3" t="s">
        <v>8246</v>
      </c>
      <c r="AK3086" t="s">
        <v>8246</v>
      </c>
      <c r="AV3086"/>
      <c r="AX3086"/>
      <c r="AZ3086" t="str">
        <f t="shared" si="319"/>
        <v/>
      </c>
      <c r="BA3086" t="str">
        <f t="shared" si="320"/>
        <v/>
      </c>
    </row>
    <row r="3087" spans="29:53" ht="13.5">
      <c r="AC3087" s="6" t="s">
        <v>486</v>
      </c>
      <c r="AD3087" s="6" t="s">
        <v>7530</v>
      </c>
      <c r="AE3087" s="170" t="s">
        <v>148</v>
      </c>
      <c r="AF3087" s="159" t="s">
        <v>8459</v>
      </c>
      <c r="AG3087" s="160" t="s">
        <v>4423</v>
      </c>
      <c r="AH3087" s="194" t="s">
        <v>679</v>
      </c>
      <c r="AI3087" s="6" t="s">
        <v>5503</v>
      </c>
      <c r="AJ3087" s="3" t="s">
        <v>8201</v>
      </c>
      <c r="AK3087" t="s">
        <v>8666</v>
      </c>
      <c r="AV3087"/>
      <c r="AX3087"/>
      <c r="AZ3087" t="str">
        <f t="shared" si="319"/>
        <v/>
      </c>
      <c r="BA3087" t="str">
        <f t="shared" si="320"/>
        <v/>
      </c>
    </row>
    <row r="3088" spans="29:53" ht="13.5">
      <c r="AC3088" s="6" t="s">
        <v>535</v>
      </c>
      <c r="AD3088" s="6" t="s">
        <v>7530</v>
      </c>
      <c r="AE3088" s="170" t="s">
        <v>1423</v>
      </c>
      <c r="AF3088" s="159" t="s">
        <v>8461</v>
      </c>
      <c r="AG3088" s="160" t="s">
        <v>4432</v>
      </c>
      <c r="AH3088" s="194" t="s">
        <v>679</v>
      </c>
      <c r="AI3088" s="6" t="s">
        <v>5506</v>
      </c>
      <c r="AJ3088" s="3" t="s">
        <v>8209</v>
      </c>
      <c r="AK3088" t="s">
        <v>8209</v>
      </c>
      <c r="AV3088"/>
      <c r="AX3088"/>
      <c r="AZ3088" t="str">
        <f t="shared" si="319"/>
        <v/>
      </c>
      <c r="BA3088" t="str">
        <f t="shared" si="320"/>
        <v/>
      </c>
    </row>
    <row r="3089" spans="29:53" ht="13.5">
      <c r="AC3089" s="6" t="s">
        <v>371</v>
      </c>
      <c r="AD3089" s="6" t="s">
        <v>7530</v>
      </c>
      <c r="AE3089" s="170" t="s">
        <v>1008</v>
      </c>
      <c r="AF3089" s="159" t="s">
        <v>8459</v>
      </c>
      <c r="AG3089" s="160" t="s">
        <v>3437</v>
      </c>
      <c r="AH3089" s="194" t="s">
        <v>678</v>
      </c>
      <c r="AI3089" s="6" t="s">
        <v>5505</v>
      </c>
      <c r="AJ3089" s="3" t="s">
        <v>8200</v>
      </c>
      <c r="AK3089" t="s">
        <v>8200</v>
      </c>
      <c r="AV3089"/>
      <c r="AX3089"/>
      <c r="AZ3089" t="str">
        <f t="shared" si="319"/>
        <v/>
      </c>
      <c r="BA3089" t="str">
        <f t="shared" si="320"/>
        <v/>
      </c>
    </row>
    <row r="3090" spans="29:53" ht="13.5">
      <c r="AC3090" s="6" t="s">
        <v>632</v>
      </c>
      <c r="AD3090" s="6" t="s">
        <v>7558</v>
      </c>
      <c r="AE3090" s="170" t="s">
        <v>1459</v>
      </c>
      <c r="AF3090" s="159" t="s">
        <v>8300</v>
      </c>
      <c r="AG3090" s="160" t="s">
        <v>4752</v>
      </c>
      <c r="AH3090" s="194" t="s">
        <v>679</v>
      </c>
      <c r="AI3090" s="6" t="s">
        <v>5507</v>
      </c>
      <c r="AJ3090" s="3" t="s">
        <v>8223</v>
      </c>
      <c r="AK3090" t="s">
        <v>8223</v>
      </c>
      <c r="AV3090"/>
      <c r="AX3090"/>
      <c r="AZ3090" t="str">
        <f t="shared" si="319"/>
        <v/>
      </c>
      <c r="BA3090" t="str">
        <f t="shared" si="320"/>
        <v/>
      </c>
    </row>
    <row r="3091" spans="29:53" ht="13.5">
      <c r="AC3091" s="6" t="s">
        <v>337</v>
      </c>
      <c r="AD3091" s="6" t="s">
        <v>7530</v>
      </c>
      <c r="AE3091" s="170" t="s">
        <v>1460</v>
      </c>
      <c r="AF3091" s="159" t="s">
        <v>8459</v>
      </c>
      <c r="AG3091" s="160" t="s">
        <v>4428</v>
      </c>
      <c r="AH3091" s="194" t="s">
        <v>679</v>
      </c>
      <c r="AI3091" s="6" t="s">
        <v>5802</v>
      </c>
      <c r="AJ3091" s="3" t="s">
        <v>8209</v>
      </c>
      <c r="AK3091" t="s">
        <v>8209</v>
      </c>
      <c r="AV3091"/>
      <c r="AX3091"/>
      <c r="AZ3091" t="str">
        <f t="shared" si="319"/>
        <v/>
      </c>
      <c r="BA3091" t="str">
        <f t="shared" si="320"/>
        <v/>
      </c>
    </row>
    <row r="3092" spans="29:53" ht="13.5">
      <c r="AC3092" s="6" t="s">
        <v>6643</v>
      </c>
      <c r="AD3092" s="6" t="s">
        <v>7530</v>
      </c>
      <c r="AE3092" s="170" t="s">
        <v>963</v>
      </c>
      <c r="AF3092" s="159" t="s">
        <v>8459</v>
      </c>
      <c r="AG3092" s="161" t="s">
        <v>4755</v>
      </c>
      <c r="AH3092" s="194" t="s">
        <v>678</v>
      </c>
      <c r="AI3092" s="6" t="s">
        <v>5803</v>
      </c>
      <c r="AJ3092" s="3" t="s">
        <v>8208</v>
      </c>
      <c r="AK3092" t="s">
        <v>8667</v>
      </c>
      <c r="AV3092"/>
      <c r="AX3092"/>
      <c r="AZ3092" t="str">
        <f t="shared" si="319"/>
        <v/>
      </c>
      <c r="BA3092" t="str">
        <f t="shared" si="320"/>
        <v/>
      </c>
    </row>
    <row r="3093" spans="29:53" ht="13.5">
      <c r="AC3093" s="6" t="s">
        <v>452</v>
      </c>
      <c r="AD3093" s="6" t="s">
        <v>7530</v>
      </c>
      <c r="AE3093" s="170" t="s">
        <v>1462</v>
      </c>
      <c r="AF3093" s="159" t="s">
        <v>8386</v>
      </c>
      <c r="AG3093" s="160" t="s">
        <v>4757</v>
      </c>
      <c r="AH3093" s="194" t="s">
        <v>679</v>
      </c>
      <c r="AI3093" s="6" t="s">
        <v>4431</v>
      </c>
      <c r="AJ3093" s="3" t="s">
        <v>8206</v>
      </c>
      <c r="AK3093" t="s">
        <v>8206</v>
      </c>
      <c r="AV3093"/>
      <c r="AX3093"/>
      <c r="AZ3093" t="str">
        <f t="shared" si="319"/>
        <v/>
      </c>
      <c r="BA3093" t="str">
        <f t="shared" si="320"/>
        <v/>
      </c>
    </row>
    <row r="3094" spans="29:53" ht="13.5">
      <c r="AC3094" s="6" t="s">
        <v>336</v>
      </c>
      <c r="AD3094" s="6" t="s">
        <v>7530</v>
      </c>
      <c r="AE3094" s="170" t="s">
        <v>1463</v>
      </c>
      <c r="AF3094" s="159" t="s">
        <v>8459</v>
      </c>
      <c r="AG3094" s="160" t="s">
        <v>4756</v>
      </c>
      <c r="AH3094" s="194" t="s">
        <v>678</v>
      </c>
      <c r="AI3094" s="6" t="s">
        <v>2211</v>
      </c>
      <c r="AJ3094" s="3" t="s">
        <v>8243</v>
      </c>
      <c r="AK3094" t="s">
        <v>8243</v>
      </c>
      <c r="AV3094"/>
      <c r="AX3094"/>
      <c r="AZ3094" t="str">
        <f t="shared" si="319"/>
        <v/>
      </c>
      <c r="BA3094" t="str">
        <f t="shared" si="320"/>
        <v/>
      </c>
    </row>
    <row r="3095" spans="29:53" ht="13.5">
      <c r="AC3095" s="6" t="s">
        <v>5795</v>
      </c>
      <c r="AD3095" s="6" t="s">
        <v>7530</v>
      </c>
      <c r="AE3095" s="170" t="s">
        <v>1464</v>
      </c>
      <c r="AF3095" s="159" t="s">
        <v>8459</v>
      </c>
      <c r="AG3095" s="160" t="s">
        <v>5391</v>
      </c>
      <c r="AH3095" s="194" t="s">
        <v>678</v>
      </c>
      <c r="AI3095" s="6" t="s">
        <v>3973</v>
      </c>
      <c r="AJ3095" s="3" t="s">
        <v>8209</v>
      </c>
      <c r="AK3095" t="s">
        <v>8209</v>
      </c>
      <c r="AV3095"/>
      <c r="AX3095"/>
      <c r="AZ3095" t="str">
        <f t="shared" si="319"/>
        <v/>
      </c>
      <c r="BA3095" t="str">
        <f t="shared" si="320"/>
        <v/>
      </c>
    </row>
    <row r="3096" spans="29:53" ht="13.5">
      <c r="AC3096" s="6" t="s">
        <v>302</v>
      </c>
      <c r="AD3096" s="6" t="s">
        <v>7530</v>
      </c>
      <c r="AE3096" s="170" t="s">
        <v>149</v>
      </c>
      <c r="AF3096" s="159" t="s">
        <v>8459</v>
      </c>
      <c r="AG3096" s="160" t="s">
        <v>4746</v>
      </c>
      <c r="AH3096" s="194" t="s">
        <v>679</v>
      </c>
      <c r="AI3096" s="6" t="s">
        <v>707</v>
      </c>
      <c r="AJ3096" s="3" t="s">
        <v>8273</v>
      </c>
      <c r="AK3096" t="s">
        <v>8273</v>
      </c>
      <c r="AV3096"/>
      <c r="AX3096"/>
      <c r="AZ3096" t="str">
        <f t="shared" si="319"/>
        <v/>
      </c>
      <c r="BA3096" t="str">
        <f t="shared" si="320"/>
        <v/>
      </c>
    </row>
    <row r="3097" spans="29:53" ht="13.5">
      <c r="AC3097" s="6" t="s">
        <v>367</v>
      </c>
      <c r="AD3097" s="6" t="s">
        <v>7530</v>
      </c>
      <c r="AE3097" s="170" t="s">
        <v>1466</v>
      </c>
      <c r="AF3097" s="159" t="s">
        <v>8459</v>
      </c>
      <c r="AG3097" s="160" t="s">
        <v>5290</v>
      </c>
      <c r="AH3097" s="194" t="s">
        <v>678</v>
      </c>
      <c r="AI3097" s="6" t="s">
        <v>789</v>
      </c>
      <c r="AJ3097" s="3" t="s">
        <v>8273</v>
      </c>
      <c r="AK3097" t="s">
        <v>8273</v>
      </c>
      <c r="AV3097"/>
      <c r="AX3097"/>
      <c r="AZ3097" t="str">
        <f t="shared" si="319"/>
        <v/>
      </c>
      <c r="BA3097" t="str">
        <f t="shared" si="320"/>
        <v/>
      </c>
    </row>
    <row r="3098" spans="29:53" ht="13.5">
      <c r="AC3098" s="6" t="s">
        <v>1189</v>
      </c>
      <c r="AD3098" s="6" t="s">
        <v>7530</v>
      </c>
      <c r="AE3098" s="170" t="s">
        <v>959</v>
      </c>
      <c r="AF3098" s="159" t="s">
        <v>8459</v>
      </c>
      <c r="AG3098" s="160" t="s">
        <v>4829</v>
      </c>
      <c r="AH3098" s="194" t="s">
        <v>679</v>
      </c>
      <c r="AI3098" s="6" t="s">
        <v>795</v>
      </c>
      <c r="AJ3098" s="3" t="s">
        <v>8273</v>
      </c>
      <c r="AK3098" t="s">
        <v>8273</v>
      </c>
      <c r="AV3098"/>
      <c r="AX3098"/>
      <c r="AZ3098" t="str">
        <f t="shared" si="319"/>
        <v/>
      </c>
      <c r="BA3098" t="str">
        <f t="shared" si="320"/>
        <v/>
      </c>
    </row>
    <row r="3099" spans="29:53" ht="13.5">
      <c r="AC3099" s="6" t="s">
        <v>5798</v>
      </c>
      <c r="AD3099" s="6" t="s">
        <v>7530</v>
      </c>
      <c r="AE3099" s="170" t="s">
        <v>1009</v>
      </c>
      <c r="AF3099" s="159" t="s">
        <v>8459</v>
      </c>
      <c r="AG3099" s="164" t="s">
        <v>4761</v>
      </c>
      <c r="AH3099" s="194" t="s">
        <v>679</v>
      </c>
      <c r="AI3099" s="6" t="s">
        <v>3040</v>
      </c>
      <c r="AJ3099" s="3" t="s">
        <v>8240</v>
      </c>
      <c r="AK3099" t="s">
        <v>8240</v>
      </c>
      <c r="AV3099"/>
      <c r="AX3099"/>
      <c r="AZ3099" t="str">
        <f t="shared" si="319"/>
        <v/>
      </c>
      <c r="BA3099" t="str">
        <f t="shared" si="320"/>
        <v/>
      </c>
    </row>
    <row r="3100" spans="29:53" ht="13.5">
      <c r="AC3100" s="6" t="s">
        <v>457</v>
      </c>
      <c r="AD3100" s="6" t="s">
        <v>7530</v>
      </c>
      <c r="AE3100" s="170" t="s">
        <v>1467</v>
      </c>
      <c r="AF3100" s="159" t="s">
        <v>8459</v>
      </c>
      <c r="AG3100" s="160" t="s">
        <v>4766</v>
      </c>
      <c r="AH3100" s="194" t="s">
        <v>679</v>
      </c>
      <c r="AI3100" s="6" t="s">
        <v>3098</v>
      </c>
      <c r="AJ3100" s="3" t="s">
        <v>8220</v>
      </c>
      <c r="AK3100" t="s">
        <v>8220</v>
      </c>
      <c r="AV3100"/>
      <c r="AX3100"/>
      <c r="AZ3100" t="str">
        <f t="shared" si="319"/>
        <v/>
      </c>
      <c r="BA3100" t="str">
        <f t="shared" si="320"/>
        <v/>
      </c>
    </row>
    <row r="3101" spans="29:53" ht="13.5">
      <c r="AC3101" s="6" t="s">
        <v>1070</v>
      </c>
      <c r="AD3101" s="6" t="s">
        <v>7530</v>
      </c>
      <c r="AE3101" s="170" t="s">
        <v>1478</v>
      </c>
      <c r="AF3101" s="159" t="s">
        <v>8346</v>
      </c>
      <c r="AG3101" s="160" t="s">
        <v>4758</v>
      </c>
      <c r="AH3101" s="194" t="s">
        <v>679</v>
      </c>
      <c r="AI3101" s="6" t="s">
        <v>3134</v>
      </c>
      <c r="AJ3101" s="3" t="s">
        <v>8205</v>
      </c>
      <c r="AK3101" t="s">
        <v>8211</v>
      </c>
      <c r="AV3101"/>
      <c r="AX3101"/>
      <c r="AZ3101" t="str">
        <f t="shared" si="319"/>
        <v/>
      </c>
      <c r="BA3101" t="str">
        <f t="shared" si="320"/>
        <v/>
      </c>
    </row>
    <row r="3102" spans="29:53" ht="13.5">
      <c r="AC3102" s="6" t="s">
        <v>217</v>
      </c>
      <c r="AD3102" s="6" t="s">
        <v>7530</v>
      </c>
      <c r="AE3102" s="170" t="s">
        <v>1486</v>
      </c>
      <c r="AF3102" s="159" t="s">
        <v>8459</v>
      </c>
      <c r="AG3102" s="160" t="s">
        <v>5392</v>
      </c>
      <c r="AH3102" s="194" t="s">
        <v>678</v>
      </c>
      <c r="AI3102" s="6" t="s">
        <v>3378</v>
      </c>
      <c r="AJ3102" s="3" t="s">
        <v>8204</v>
      </c>
      <c r="AK3102" t="s">
        <v>8204</v>
      </c>
      <c r="AV3102"/>
      <c r="AX3102"/>
      <c r="AZ3102" t="str">
        <f t="shared" si="319"/>
        <v/>
      </c>
      <c r="BA3102" t="str">
        <f t="shared" si="320"/>
        <v/>
      </c>
    </row>
    <row r="3103" spans="29:53" ht="13.5">
      <c r="AC3103" s="6" t="s">
        <v>528</v>
      </c>
      <c r="AD3103" s="6" t="s">
        <v>7530</v>
      </c>
      <c r="AE3103" s="170" t="s">
        <v>1516</v>
      </c>
      <c r="AF3103" s="159" t="s">
        <v>8459</v>
      </c>
      <c r="AG3103" s="160" t="s">
        <v>5393</v>
      </c>
      <c r="AH3103" s="194" t="s">
        <v>678</v>
      </c>
      <c r="AI3103" s="6" t="s">
        <v>240</v>
      </c>
      <c r="AJ3103" s="3" t="s">
        <v>8200</v>
      </c>
      <c r="AK3103" t="s">
        <v>8200</v>
      </c>
      <c r="AV3103"/>
      <c r="AX3103"/>
      <c r="AZ3103" t="str">
        <f t="shared" si="319"/>
        <v/>
      </c>
      <c r="BA3103" t="str">
        <f t="shared" si="320"/>
        <v/>
      </c>
    </row>
    <row r="3104" spans="29:53" ht="13.5">
      <c r="AC3104" s="6" t="s">
        <v>293</v>
      </c>
      <c r="AD3104" s="6" t="s">
        <v>7530</v>
      </c>
      <c r="AE3104" s="170" t="s">
        <v>1010</v>
      </c>
      <c r="AF3104" s="159" t="s">
        <v>8459</v>
      </c>
      <c r="AG3104" s="160" t="s">
        <v>5394</v>
      </c>
      <c r="AH3104" s="194" t="s">
        <v>678</v>
      </c>
      <c r="AI3104" s="6" t="s">
        <v>2436</v>
      </c>
      <c r="AJ3104" s="3" t="s">
        <v>8251</v>
      </c>
      <c r="AK3104" t="s">
        <v>8251</v>
      </c>
      <c r="AV3104"/>
      <c r="AX3104"/>
      <c r="AZ3104" t="str">
        <f t="shared" si="319"/>
        <v/>
      </c>
      <c r="BA3104" t="str">
        <f t="shared" si="320"/>
        <v/>
      </c>
    </row>
    <row r="3105" spans="29:53" ht="13.5">
      <c r="AC3105" s="6" t="s">
        <v>1040</v>
      </c>
      <c r="AD3105" s="6" t="s">
        <v>7530</v>
      </c>
      <c r="AE3105" s="170" t="s">
        <v>1664</v>
      </c>
      <c r="AF3105" s="159" t="s">
        <v>8459</v>
      </c>
      <c r="AG3105" s="160" t="s">
        <v>5395</v>
      </c>
      <c r="AH3105" s="194" t="s">
        <v>678</v>
      </c>
      <c r="AI3105" s="6" t="s">
        <v>2440</v>
      </c>
      <c r="AJ3105" s="3" t="s">
        <v>8276</v>
      </c>
      <c r="AK3105" t="s">
        <v>8276</v>
      </c>
      <c r="AV3105"/>
      <c r="AX3105"/>
      <c r="AZ3105" t="str">
        <f t="shared" si="319"/>
        <v/>
      </c>
      <c r="BA3105" t="str">
        <f t="shared" si="320"/>
        <v/>
      </c>
    </row>
    <row r="3106" spans="29:53" ht="13.5">
      <c r="AC3106" s="6" t="s">
        <v>308</v>
      </c>
      <c r="AD3106" s="6" t="s">
        <v>7530</v>
      </c>
      <c r="AE3106" s="170" t="s">
        <v>1519</v>
      </c>
      <c r="AF3106" s="159" t="s">
        <v>8459</v>
      </c>
      <c r="AG3106" s="160" t="s">
        <v>5396</v>
      </c>
      <c r="AH3106" s="194" t="s">
        <v>678</v>
      </c>
      <c r="AI3106" s="6">
        <v>115600</v>
      </c>
      <c r="AJ3106" s="3" t="s">
        <v>8250</v>
      </c>
      <c r="AK3106" t="s">
        <v>8250</v>
      </c>
      <c r="AV3106"/>
      <c r="AX3106"/>
      <c r="AZ3106" t="str">
        <f t="shared" si="319"/>
        <v/>
      </c>
      <c r="BA3106" t="str">
        <f t="shared" si="320"/>
        <v/>
      </c>
    </row>
    <row r="3107" spans="29:53" ht="13.5">
      <c r="AC3107" s="6" t="s">
        <v>5505</v>
      </c>
      <c r="AD3107" s="6" t="s">
        <v>7530</v>
      </c>
      <c r="AE3107" s="170" t="s">
        <v>1011</v>
      </c>
      <c r="AF3107" s="159" t="s">
        <v>8459</v>
      </c>
      <c r="AG3107" s="160" t="s">
        <v>5397</v>
      </c>
      <c r="AH3107" s="194" t="s">
        <v>679</v>
      </c>
      <c r="AI3107" s="6" t="s">
        <v>6735</v>
      </c>
      <c r="AJ3107" s="3" t="s">
        <v>8213</v>
      </c>
      <c r="AK3107" t="s">
        <v>8213</v>
      </c>
      <c r="AV3107"/>
      <c r="AX3107"/>
      <c r="AZ3107" t="str">
        <f t="shared" si="319"/>
        <v/>
      </c>
      <c r="BA3107" t="str">
        <f t="shared" si="320"/>
        <v/>
      </c>
    </row>
    <row r="3108" spans="29:53" ht="13.5">
      <c r="AC3108" s="6" t="s">
        <v>5788</v>
      </c>
      <c r="AD3108" s="6" t="s">
        <v>7530</v>
      </c>
      <c r="AE3108" s="170" t="s">
        <v>4739</v>
      </c>
      <c r="AF3108" s="159" t="s">
        <v>8459</v>
      </c>
      <c r="AG3108" s="160" t="s">
        <v>4819</v>
      </c>
      <c r="AH3108" s="194" t="s">
        <v>679</v>
      </c>
      <c r="AI3108" s="6" t="s">
        <v>5766</v>
      </c>
      <c r="AJ3108" s="3" t="s">
        <v>8206</v>
      </c>
      <c r="AK3108" t="s">
        <v>8206</v>
      </c>
      <c r="AV3108"/>
      <c r="AX3108"/>
      <c r="AZ3108" t="str">
        <f t="shared" si="319"/>
        <v/>
      </c>
      <c r="BA3108" t="str">
        <f t="shared" si="320"/>
        <v/>
      </c>
    </row>
    <row r="3109" spans="29:53" ht="13.5">
      <c r="AC3109" s="6" t="s">
        <v>446</v>
      </c>
      <c r="AD3109" s="6" t="s">
        <v>7530</v>
      </c>
      <c r="AE3109" s="170" t="s">
        <v>5143</v>
      </c>
      <c r="AF3109" s="159" t="s">
        <v>8459</v>
      </c>
      <c r="AG3109" s="160" t="s">
        <v>5398</v>
      </c>
      <c r="AH3109" s="194" t="s">
        <v>678</v>
      </c>
      <c r="AI3109" s="6" t="s">
        <v>4793</v>
      </c>
      <c r="AJ3109" s="3" t="s">
        <v>8240</v>
      </c>
      <c r="AK3109" t="s">
        <v>8240</v>
      </c>
      <c r="AV3109"/>
      <c r="AX3109"/>
      <c r="AZ3109" t="str">
        <f t="shared" si="319"/>
        <v/>
      </c>
      <c r="BA3109" t="str">
        <f t="shared" si="320"/>
        <v/>
      </c>
    </row>
    <row r="3110" spans="29:53" ht="13.5">
      <c r="AC3110" s="6" t="s">
        <v>942</v>
      </c>
      <c r="AD3110" s="6" t="s">
        <v>7530</v>
      </c>
      <c r="AE3110" s="170" t="s">
        <v>151</v>
      </c>
      <c r="AF3110" s="159" t="s">
        <v>8391</v>
      </c>
      <c r="AG3110" s="160" t="s">
        <v>5399</v>
      </c>
      <c r="AH3110" s="194" t="s">
        <v>678</v>
      </c>
      <c r="AI3110" s="6" t="s">
        <v>5469</v>
      </c>
      <c r="AJ3110" s="3" t="s">
        <v>8206</v>
      </c>
      <c r="AK3110" t="s">
        <v>8206</v>
      </c>
      <c r="AV3110"/>
      <c r="AX3110"/>
      <c r="AZ3110" t="str">
        <f t="shared" si="319"/>
        <v/>
      </c>
      <c r="BA3110" t="str">
        <f t="shared" si="320"/>
        <v/>
      </c>
    </row>
    <row r="3111" spans="29:53" ht="13.5">
      <c r="AC3111" s="6" t="s">
        <v>5416</v>
      </c>
      <c r="AD3111" s="6" t="s">
        <v>7530</v>
      </c>
      <c r="AE3111" s="170" t="s">
        <v>1530</v>
      </c>
      <c r="AF3111" s="159" t="s">
        <v>8458</v>
      </c>
      <c r="AG3111" s="160" t="s">
        <v>5282</v>
      </c>
      <c r="AH3111" s="194" t="s">
        <v>678</v>
      </c>
      <c r="AI3111" s="6" t="s">
        <v>2830</v>
      </c>
      <c r="AJ3111" s="3" t="s">
        <v>8274</v>
      </c>
      <c r="AK3111" t="s">
        <v>8274</v>
      </c>
      <c r="AV3111"/>
      <c r="AX3111"/>
      <c r="AZ3111" t="str">
        <f t="shared" si="319"/>
        <v/>
      </c>
      <c r="BA3111" t="str">
        <f t="shared" si="320"/>
        <v/>
      </c>
    </row>
    <row r="3112" spans="29:53" ht="13.5">
      <c r="AC3112" s="6" t="s">
        <v>477</v>
      </c>
      <c r="AD3112" s="6" t="s">
        <v>7530</v>
      </c>
      <c r="AE3112" s="170" t="s">
        <v>1531</v>
      </c>
      <c r="AF3112" s="159" t="s">
        <v>8391</v>
      </c>
      <c r="AG3112" s="160" t="s">
        <v>5400</v>
      </c>
      <c r="AH3112" s="194" t="s">
        <v>679</v>
      </c>
      <c r="AI3112" s="6" t="s">
        <v>1264</v>
      </c>
      <c r="AJ3112" s="3" t="s">
        <v>8206</v>
      </c>
      <c r="AK3112" t="s">
        <v>8206</v>
      </c>
      <c r="AV3112"/>
      <c r="AX3112"/>
      <c r="AZ3112" t="str">
        <f t="shared" si="319"/>
        <v/>
      </c>
      <c r="BA3112" t="str">
        <f t="shared" si="320"/>
        <v/>
      </c>
    </row>
    <row r="3113" spans="29:53" ht="13.5">
      <c r="AC3113" s="6" t="s">
        <v>5789</v>
      </c>
      <c r="AD3113" s="6" t="s">
        <v>7530</v>
      </c>
      <c r="AE3113" s="170" t="s">
        <v>1533</v>
      </c>
      <c r="AF3113" s="159" t="s">
        <v>8448</v>
      </c>
      <c r="AG3113" s="160" t="s">
        <v>5401</v>
      </c>
      <c r="AH3113" s="194" t="s">
        <v>679</v>
      </c>
      <c r="AI3113" s="6" t="s">
        <v>1267</v>
      </c>
      <c r="AJ3113" s="3" t="s">
        <v>8237</v>
      </c>
      <c r="AK3113" t="s">
        <v>8237</v>
      </c>
      <c r="AV3113"/>
      <c r="AX3113"/>
      <c r="AZ3113" t="str">
        <f t="shared" si="319"/>
        <v/>
      </c>
      <c r="BA3113" t="str">
        <f t="shared" si="320"/>
        <v/>
      </c>
    </row>
    <row r="3114" spans="29:53" ht="13.5">
      <c r="AC3114" s="6" t="s">
        <v>479</v>
      </c>
      <c r="AD3114" s="6" t="s">
        <v>7530</v>
      </c>
      <c r="AE3114" s="170" t="s">
        <v>1534</v>
      </c>
      <c r="AF3114" s="159" t="s">
        <v>8462</v>
      </c>
      <c r="AG3114" s="160" t="s">
        <v>5402</v>
      </c>
      <c r="AH3114" s="194" t="s">
        <v>679</v>
      </c>
      <c r="AI3114" s="6" t="s">
        <v>1236</v>
      </c>
      <c r="AJ3114" s="3" t="s">
        <v>8256</v>
      </c>
      <c r="AK3114" t="s">
        <v>8256</v>
      </c>
      <c r="AV3114"/>
      <c r="AX3114"/>
      <c r="AZ3114" t="str">
        <f t="shared" si="319"/>
        <v/>
      </c>
      <c r="BA3114" t="str">
        <f t="shared" si="320"/>
        <v/>
      </c>
    </row>
    <row r="3115" spans="29:53" ht="13.5">
      <c r="AC3115" s="6" t="s">
        <v>944</v>
      </c>
      <c r="AD3115" s="6" t="s">
        <v>7530</v>
      </c>
      <c r="AE3115" s="170" t="s">
        <v>1536</v>
      </c>
      <c r="AF3115" s="159" t="s">
        <v>8391</v>
      </c>
      <c r="AG3115" s="160" t="s">
        <v>5403</v>
      </c>
      <c r="AH3115" s="194" t="s">
        <v>679</v>
      </c>
      <c r="AI3115" s="6" t="s">
        <v>1262</v>
      </c>
      <c r="AJ3115" s="3" t="s">
        <v>8256</v>
      </c>
      <c r="AK3115" t="s">
        <v>8256</v>
      </c>
      <c r="AV3115"/>
      <c r="AX3115"/>
      <c r="AZ3115" t="str">
        <f t="shared" si="319"/>
        <v/>
      </c>
      <c r="BA3115" t="str">
        <f t="shared" si="320"/>
        <v/>
      </c>
    </row>
    <row r="3116" spans="29:53" ht="13.5">
      <c r="AC3116" s="6" t="s">
        <v>326</v>
      </c>
      <c r="AD3116" s="6" t="s">
        <v>7530</v>
      </c>
      <c r="AE3116" s="170" t="s">
        <v>1538</v>
      </c>
      <c r="AF3116" s="159" t="s">
        <v>8459</v>
      </c>
      <c r="AG3116" s="160" t="s">
        <v>5404</v>
      </c>
      <c r="AH3116" s="194" t="s">
        <v>678</v>
      </c>
      <c r="AI3116" s="6">
        <v>826341</v>
      </c>
      <c r="AJ3116" s="3" t="s">
        <v>8242</v>
      </c>
      <c r="AK3116" t="s">
        <v>8281</v>
      </c>
      <c r="AV3116"/>
      <c r="AX3116"/>
      <c r="AZ3116" t="str">
        <f t="shared" si="319"/>
        <v/>
      </c>
      <c r="BA3116" t="str">
        <f t="shared" si="320"/>
        <v/>
      </c>
    </row>
    <row r="3117" spans="29:53" ht="13.5">
      <c r="AC3117" s="6" t="s">
        <v>451</v>
      </c>
      <c r="AD3117" s="6" t="s">
        <v>7530</v>
      </c>
      <c r="AE3117" s="170" t="s">
        <v>1541</v>
      </c>
      <c r="AF3117" s="159" t="s">
        <v>8459</v>
      </c>
      <c r="AG3117" s="160" t="s">
        <v>5301</v>
      </c>
      <c r="AH3117" s="194" t="s">
        <v>4700</v>
      </c>
      <c r="AI3117" s="6" t="s">
        <v>1302</v>
      </c>
      <c r="AJ3117" s="3" t="s">
        <v>8242</v>
      </c>
      <c r="AK3117" t="s">
        <v>8281</v>
      </c>
      <c r="AV3117"/>
      <c r="AX3117"/>
      <c r="AZ3117" t="str">
        <f t="shared" si="319"/>
        <v/>
      </c>
      <c r="BA3117" t="str">
        <f t="shared" si="320"/>
        <v/>
      </c>
    </row>
    <row r="3118" spans="29:53" ht="13.5">
      <c r="AC3118" s="6" t="s">
        <v>1195</v>
      </c>
      <c r="AD3118" s="6" t="s">
        <v>7530</v>
      </c>
      <c r="AE3118" s="170" t="s">
        <v>1565</v>
      </c>
      <c r="AF3118" s="159" t="s">
        <v>8300</v>
      </c>
      <c r="AG3118" s="160" t="s">
        <v>3899</v>
      </c>
      <c r="AH3118" s="194" t="s">
        <v>678</v>
      </c>
      <c r="AI3118" s="6" t="s">
        <v>5261</v>
      </c>
      <c r="AJ3118" s="3" t="s">
        <v>8248</v>
      </c>
      <c r="AK3118" t="s">
        <v>8248</v>
      </c>
      <c r="AV3118"/>
      <c r="AX3118"/>
      <c r="AZ3118" t="str">
        <f t="shared" si="319"/>
        <v/>
      </c>
      <c r="BA3118" t="str">
        <f t="shared" si="320"/>
        <v/>
      </c>
    </row>
    <row r="3119" spans="29:53" ht="13.5">
      <c r="AC3119" s="6" t="s">
        <v>1042</v>
      </c>
      <c r="AD3119" s="6" t="s">
        <v>7530</v>
      </c>
      <c r="AE3119" s="170" t="s">
        <v>156</v>
      </c>
      <c r="AF3119" s="159" t="s">
        <v>8300</v>
      </c>
      <c r="AG3119" s="160" t="s">
        <v>3900</v>
      </c>
      <c r="AH3119" s="194" t="s">
        <v>678</v>
      </c>
      <c r="AI3119" s="6" t="s">
        <v>5098</v>
      </c>
      <c r="AJ3119" s="3" t="s">
        <v>8222</v>
      </c>
      <c r="AK3119" t="s">
        <v>8670</v>
      </c>
      <c r="AV3119"/>
      <c r="AX3119"/>
      <c r="AZ3119" t="str">
        <f t="shared" si="319"/>
        <v/>
      </c>
      <c r="BA3119" t="str">
        <f t="shared" si="320"/>
        <v/>
      </c>
    </row>
    <row r="3120" spans="29:53" ht="13.5">
      <c r="AC3120" s="6" t="s">
        <v>5300</v>
      </c>
      <c r="AD3120" s="6" t="s">
        <v>7530</v>
      </c>
      <c r="AE3120" s="170" t="s">
        <v>1566</v>
      </c>
      <c r="AF3120" s="159" t="s">
        <v>8339</v>
      </c>
      <c r="AG3120" s="160" t="s">
        <v>3409</v>
      </c>
      <c r="AH3120" s="194" t="s">
        <v>679</v>
      </c>
      <c r="AI3120" s="6" t="s">
        <v>4493</v>
      </c>
      <c r="AJ3120" s="3" t="s">
        <v>8217</v>
      </c>
      <c r="AK3120" t="s">
        <v>8668</v>
      </c>
      <c r="AV3120"/>
      <c r="AX3120"/>
      <c r="AZ3120" t="str">
        <f t="shared" si="319"/>
        <v/>
      </c>
      <c r="BA3120" t="str">
        <f t="shared" si="320"/>
        <v/>
      </c>
    </row>
    <row r="3121" spans="29:53" ht="13.5">
      <c r="AC3121" s="6" t="s">
        <v>10</v>
      </c>
      <c r="AD3121" s="6" t="s">
        <v>7530</v>
      </c>
      <c r="AE3121" s="170" t="s">
        <v>159</v>
      </c>
      <c r="AF3121" s="159" t="s">
        <v>8391</v>
      </c>
      <c r="AG3121" s="160" t="s">
        <v>2629</v>
      </c>
      <c r="AH3121" s="194" t="s">
        <v>679</v>
      </c>
      <c r="AI3121" s="6" t="s">
        <v>5357</v>
      </c>
      <c r="AJ3121" s="3" t="s">
        <v>8227</v>
      </c>
      <c r="AK3121" t="s">
        <v>8227</v>
      </c>
      <c r="AV3121"/>
      <c r="AX3121"/>
      <c r="AZ3121" t="str">
        <f t="shared" si="319"/>
        <v/>
      </c>
      <c r="BA3121" t="str">
        <f t="shared" si="320"/>
        <v/>
      </c>
    </row>
    <row r="3122" spans="29:53" ht="13.5">
      <c r="AC3122" s="6" t="s">
        <v>327</v>
      </c>
      <c r="AD3122" s="6" t="s">
        <v>7530</v>
      </c>
      <c r="AE3122" s="170" t="s">
        <v>1574</v>
      </c>
      <c r="AF3122" s="159" t="s">
        <v>8391</v>
      </c>
      <c r="AG3122" s="160" t="s">
        <v>2630</v>
      </c>
      <c r="AH3122" s="194" t="s">
        <v>4700</v>
      </c>
      <c r="AI3122" s="6" t="s">
        <v>5169</v>
      </c>
      <c r="AJ3122" s="3" t="s">
        <v>8219</v>
      </c>
      <c r="AK3122" t="s">
        <v>8219</v>
      </c>
      <c r="AV3122"/>
      <c r="AX3122"/>
      <c r="AZ3122" t="str">
        <f t="shared" si="319"/>
        <v/>
      </c>
      <c r="BA3122" t="str">
        <f t="shared" si="320"/>
        <v/>
      </c>
    </row>
    <row r="3123" spans="29:53" ht="13.5">
      <c r="AC3123" s="6" t="s">
        <v>1048</v>
      </c>
      <c r="AD3123" s="6" t="s">
        <v>7530</v>
      </c>
      <c r="AE3123" s="170" t="s">
        <v>160</v>
      </c>
      <c r="AF3123" s="159" t="s">
        <v>8299</v>
      </c>
      <c r="AG3123" s="160" t="s">
        <v>5310</v>
      </c>
      <c r="AH3123" s="194" t="s">
        <v>679</v>
      </c>
      <c r="AI3123" s="6" t="s">
        <v>5233</v>
      </c>
      <c r="AJ3123" s="3" t="s">
        <v>8223</v>
      </c>
      <c r="AK3123" t="s">
        <v>8223</v>
      </c>
      <c r="AV3123"/>
      <c r="AX3123"/>
      <c r="AZ3123" t="str">
        <f t="shared" si="319"/>
        <v/>
      </c>
      <c r="BA3123" t="str">
        <f t="shared" si="320"/>
        <v/>
      </c>
    </row>
    <row r="3124" spans="29:53" ht="13.5">
      <c r="AC3124" s="6" t="s">
        <v>364</v>
      </c>
      <c r="AD3124" s="6" t="s">
        <v>7530</v>
      </c>
      <c r="AE3124" s="170" t="s">
        <v>161</v>
      </c>
      <c r="AF3124" s="159" t="s">
        <v>8299</v>
      </c>
      <c r="AG3124" s="160" t="s">
        <v>3410</v>
      </c>
      <c r="AH3124" s="194" t="s">
        <v>679</v>
      </c>
      <c r="AI3124" s="6" t="s">
        <v>5103</v>
      </c>
      <c r="AJ3124" s="3" t="s">
        <v>8219</v>
      </c>
      <c r="AK3124" t="s">
        <v>8219</v>
      </c>
      <c r="AV3124"/>
      <c r="AX3124"/>
      <c r="AZ3124" t="str">
        <f t="shared" si="319"/>
        <v/>
      </c>
      <c r="BA3124" t="str">
        <f t="shared" si="320"/>
        <v/>
      </c>
    </row>
    <row r="3125" spans="29:53" ht="13.5">
      <c r="AC3125" s="6" t="s">
        <v>5320</v>
      </c>
      <c r="AD3125" s="6" t="s">
        <v>7530</v>
      </c>
      <c r="AE3125" s="170" t="s">
        <v>1579</v>
      </c>
      <c r="AF3125" s="159" t="s">
        <v>8391</v>
      </c>
      <c r="AG3125" s="160" t="s">
        <v>3411</v>
      </c>
      <c r="AH3125" s="194" t="s">
        <v>679</v>
      </c>
      <c r="AI3125" s="6" t="s">
        <v>5443</v>
      </c>
      <c r="AJ3125" s="3" t="s">
        <v>8224</v>
      </c>
      <c r="AK3125" t="s">
        <v>8224</v>
      </c>
      <c r="AV3125"/>
      <c r="AX3125"/>
      <c r="AZ3125" t="str">
        <f t="shared" si="319"/>
        <v/>
      </c>
      <c r="BA3125" t="str">
        <f t="shared" si="320"/>
        <v/>
      </c>
    </row>
    <row r="3126" spans="29:53" ht="13.5">
      <c r="AC3126" s="6" t="s">
        <v>363</v>
      </c>
      <c r="AD3126" s="6" t="s">
        <v>7530</v>
      </c>
      <c r="AE3126" s="170" t="s">
        <v>992</v>
      </c>
      <c r="AF3126" s="159" t="s">
        <v>8391</v>
      </c>
      <c r="AG3126" s="160" t="s">
        <v>2751</v>
      </c>
      <c r="AH3126" s="194" t="s">
        <v>679</v>
      </c>
      <c r="AI3126" s="6" t="s">
        <v>5212</v>
      </c>
      <c r="AJ3126" s="3" t="s">
        <v>8202</v>
      </c>
      <c r="AK3126" t="s">
        <v>8202</v>
      </c>
      <c r="AV3126"/>
      <c r="AX3126"/>
      <c r="AZ3126" t="str">
        <f t="shared" si="319"/>
        <v/>
      </c>
      <c r="BA3126" t="str">
        <f t="shared" si="320"/>
        <v/>
      </c>
    </row>
    <row r="3127" spans="29:53" ht="13.5">
      <c r="AC3127" s="6" t="s">
        <v>373</v>
      </c>
      <c r="AD3127" s="6" t="s">
        <v>7530</v>
      </c>
      <c r="AE3127" s="170" t="s">
        <v>1581</v>
      </c>
      <c r="AF3127" s="159" t="s">
        <v>8339</v>
      </c>
      <c r="AG3127" s="160" t="s">
        <v>5405</v>
      </c>
      <c r="AH3127" s="194" t="s">
        <v>679</v>
      </c>
      <c r="AI3127" s="6" t="s">
        <v>5046</v>
      </c>
      <c r="AJ3127" s="3" t="s">
        <v>8268</v>
      </c>
      <c r="AK3127" t="s">
        <v>8268</v>
      </c>
      <c r="AV3127"/>
      <c r="AX3127"/>
      <c r="AZ3127" t="str">
        <f t="shared" si="319"/>
        <v/>
      </c>
      <c r="BA3127" t="str">
        <f t="shared" si="320"/>
        <v/>
      </c>
    </row>
    <row r="3128" spans="29:53" ht="13.5">
      <c r="AC3128" s="6" t="s">
        <v>956</v>
      </c>
      <c r="AD3128" s="6" t="s">
        <v>7530</v>
      </c>
      <c r="AE3128" s="170" t="s">
        <v>1582</v>
      </c>
      <c r="AF3128" s="159" t="s">
        <v>8463</v>
      </c>
      <c r="AG3128" s="160" t="s">
        <v>3901</v>
      </c>
      <c r="AH3128" s="194" t="s">
        <v>679</v>
      </c>
      <c r="AI3128" s="6" t="s">
        <v>5061</v>
      </c>
      <c r="AJ3128" s="3" t="s">
        <v>8260</v>
      </c>
      <c r="AK3128" t="s">
        <v>8678</v>
      </c>
      <c r="AV3128"/>
      <c r="AX3128"/>
      <c r="AZ3128" t="str">
        <f t="shared" si="319"/>
        <v/>
      </c>
      <c r="BA3128" t="str">
        <f t="shared" si="320"/>
        <v/>
      </c>
    </row>
    <row r="3129" spans="29:53" ht="13.5">
      <c r="AC3129" s="6" t="s">
        <v>298</v>
      </c>
      <c r="AD3129" s="6" t="s">
        <v>7530</v>
      </c>
      <c r="AE3129" s="170" t="s">
        <v>1585</v>
      </c>
      <c r="AF3129" s="159" t="s">
        <v>8357</v>
      </c>
      <c r="AG3129" s="160" t="s">
        <v>3902</v>
      </c>
      <c r="AH3129" s="194" t="s">
        <v>679</v>
      </c>
      <c r="AI3129" s="6" t="s">
        <v>1297</v>
      </c>
      <c r="AJ3129" s="3" t="s">
        <v>8280</v>
      </c>
      <c r="AK3129" t="s">
        <v>8280</v>
      </c>
      <c r="AV3129"/>
      <c r="AX3129"/>
      <c r="AZ3129" t="str">
        <f t="shared" ref="AZ3129:AZ3192" si="321">IF(ISBLANK(AW3129),"",CONCATENATE("(",RIGHT(AW3129,5),"-",TEXT(AX3129,"h:mm;@"),")"))</f>
        <v/>
      </c>
      <c r="BA3129" t="str">
        <f t="shared" ref="BA3129:BA3192" si="322">IF(AV3145=AV3129,"",CONCATENATE(IF(AV3144=AV3129,BA3144,""),IF(AV3143=AV3129,BA3143,""),IF(AV3142=AV3129,BA3142,""),IF(AV3141=AV3129,BA3141,""),IF(AV3140=AV3129,BA3140,""),IF(AV3139=AV3129,BA3139,""),IF(AV3138=AV3129,BA3138,""),IF(AV3137=AV3129,BA3137,""),IF(AV3136=AV3129,BA3136,""),IF(AV3135=AV3129,BA3135,""),IF(AV3134=AV3129,BA3134,""),IF(AV3133=AV3129,BA3133,""),IF(AV3132=AV3129,BA3132,""),IF(AV3131=AV3129,BA3131,""),IF(AV3130=AV3129,BA3130,""),IF(AV3128=AV3129,BA3128,""),BA3129))</f>
        <v/>
      </c>
    </row>
    <row r="3130" spans="29:53" ht="13.5">
      <c r="AC3130" s="6" t="s">
        <v>291</v>
      </c>
      <c r="AD3130" s="6" t="s">
        <v>7530</v>
      </c>
      <c r="AE3130" s="170" t="s">
        <v>1587</v>
      </c>
      <c r="AF3130" s="159" t="s">
        <v>8391</v>
      </c>
      <c r="AG3130" s="160" t="s">
        <v>3903</v>
      </c>
      <c r="AH3130" s="194" t="s">
        <v>679</v>
      </c>
      <c r="AI3130" s="6" t="s">
        <v>4462</v>
      </c>
      <c r="AJ3130" s="3" t="s">
        <v>8250</v>
      </c>
      <c r="AK3130" t="s">
        <v>8250</v>
      </c>
      <c r="AV3130"/>
      <c r="AX3130"/>
      <c r="AZ3130" t="str">
        <f t="shared" si="321"/>
        <v/>
      </c>
      <c r="BA3130" t="str">
        <f t="shared" si="322"/>
        <v/>
      </c>
    </row>
    <row r="3131" spans="29:53" ht="13.5">
      <c r="AC3131" s="6" t="s">
        <v>589</v>
      </c>
      <c r="AD3131" s="6" t="s">
        <v>7530</v>
      </c>
      <c r="AE3131" s="170" t="s">
        <v>1588</v>
      </c>
      <c r="AF3131" s="159" t="s">
        <v>8464</v>
      </c>
      <c r="AG3131" s="160" t="s">
        <v>3904</v>
      </c>
      <c r="AH3131" s="194" t="s">
        <v>679</v>
      </c>
      <c r="AI3131" s="6" t="s">
        <v>5473</v>
      </c>
      <c r="AJ3131" s="3" t="s">
        <v>8225</v>
      </c>
      <c r="AK3131" t="s">
        <v>8225</v>
      </c>
      <c r="AV3131"/>
      <c r="AX3131"/>
      <c r="AZ3131" t="str">
        <f t="shared" si="321"/>
        <v/>
      </c>
      <c r="BA3131" t="str">
        <f t="shared" si="322"/>
        <v/>
      </c>
    </row>
    <row r="3132" spans="29:53" ht="13.5">
      <c r="AC3132" s="6" t="s">
        <v>300</v>
      </c>
      <c r="AD3132" s="6" t="s">
        <v>7530</v>
      </c>
      <c r="AE3132" s="170" t="s">
        <v>1590</v>
      </c>
      <c r="AF3132" s="159" t="s">
        <v>8465</v>
      </c>
      <c r="AG3132" s="160" t="s">
        <v>3905</v>
      </c>
      <c r="AH3132" s="194" t="s">
        <v>679</v>
      </c>
      <c r="AI3132" s="6" t="s">
        <v>4463</v>
      </c>
      <c r="AJ3132" s="3" t="s">
        <v>8250</v>
      </c>
      <c r="AK3132" t="s">
        <v>8250</v>
      </c>
      <c r="AV3132"/>
      <c r="AX3132"/>
      <c r="AZ3132" t="str">
        <f t="shared" si="321"/>
        <v/>
      </c>
      <c r="BA3132" t="str">
        <f t="shared" si="322"/>
        <v/>
      </c>
    </row>
    <row r="3133" spans="29:53" ht="13.5">
      <c r="AC3133" s="6" t="s">
        <v>493</v>
      </c>
      <c r="AD3133" s="6" t="s">
        <v>7530</v>
      </c>
      <c r="AE3133" s="170" t="s">
        <v>1591</v>
      </c>
      <c r="AF3133" s="159" t="s">
        <v>8391</v>
      </c>
      <c r="AG3133" s="160" t="s">
        <v>80</v>
      </c>
      <c r="AH3133" s="194" t="s">
        <v>1314</v>
      </c>
      <c r="AI3133" s="6" t="s">
        <v>5218</v>
      </c>
      <c r="AJ3133" s="3" t="s">
        <v>8250</v>
      </c>
      <c r="AK3133" t="s">
        <v>8250</v>
      </c>
      <c r="AV3133"/>
      <c r="AX3133"/>
      <c r="AZ3133" t="str">
        <f t="shared" si="321"/>
        <v/>
      </c>
      <c r="BA3133" t="str">
        <f t="shared" si="322"/>
        <v/>
      </c>
    </row>
    <row r="3134" spans="29:53" ht="13.5">
      <c r="AC3134" s="6" t="s">
        <v>290</v>
      </c>
      <c r="AD3134" s="6" t="s">
        <v>7530</v>
      </c>
      <c r="AE3134" s="170" t="s">
        <v>162</v>
      </c>
      <c r="AF3134" s="159" t="s">
        <v>8339</v>
      </c>
      <c r="AG3134" s="160" t="s">
        <v>3906</v>
      </c>
      <c r="AH3134" s="194" t="s">
        <v>679</v>
      </c>
      <c r="AI3134" s="6" t="s">
        <v>5140</v>
      </c>
      <c r="AJ3134" s="3" t="s">
        <v>8236</v>
      </c>
      <c r="AK3134" t="s">
        <v>8236</v>
      </c>
      <c r="AV3134"/>
      <c r="AX3134"/>
      <c r="AZ3134" t="str">
        <f t="shared" si="321"/>
        <v/>
      </c>
      <c r="BA3134" t="str">
        <f t="shared" si="322"/>
        <v/>
      </c>
    </row>
    <row r="3135" spans="29:53" ht="13.5">
      <c r="AC3135" s="6" t="s">
        <v>240</v>
      </c>
      <c r="AD3135" s="6" t="s">
        <v>7530</v>
      </c>
      <c r="AE3135" s="170" t="s">
        <v>163</v>
      </c>
      <c r="AF3135" s="159" t="s">
        <v>8299</v>
      </c>
      <c r="AG3135" s="160" t="s">
        <v>3907</v>
      </c>
      <c r="AH3135" s="194" t="s">
        <v>679</v>
      </c>
      <c r="AI3135" s="6" t="s">
        <v>5056</v>
      </c>
      <c r="AJ3135" s="3" t="s">
        <v>8199</v>
      </c>
      <c r="AK3135" t="s">
        <v>8199</v>
      </c>
      <c r="AV3135"/>
      <c r="AX3135"/>
      <c r="AZ3135" t="str">
        <f t="shared" si="321"/>
        <v/>
      </c>
      <c r="BA3135" t="str">
        <f t="shared" si="322"/>
        <v/>
      </c>
    </row>
    <row r="3136" spans="29:53" ht="13.5">
      <c r="AC3136" s="6">
        <v>515361</v>
      </c>
      <c r="AD3136" s="6" t="s">
        <v>7554</v>
      </c>
      <c r="AE3136" s="170" t="s">
        <v>990</v>
      </c>
      <c r="AF3136" s="159" t="s">
        <v>8458</v>
      </c>
      <c r="AG3136" s="160" t="s">
        <v>991</v>
      </c>
      <c r="AH3136" s="194" t="s">
        <v>1314</v>
      </c>
      <c r="AI3136" s="6" t="s">
        <v>5112</v>
      </c>
      <c r="AJ3136" s="3" t="s">
        <v>8214</v>
      </c>
      <c r="AK3136" t="s">
        <v>8214</v>
      </c>
      <c r="AV3136"/>
      <c r="AX3136"/>
      <c r="AZ3136" t="str">
        <f t="shared" si="321"/>
        <v/>
      </c>
      <c r="BA3136" t="str">
        <f t="shared" si="322"/>
        <v/>
      </c>
    </row>
    <row r="3137" spans="29:53" ht="13.5">
      <c r="AC3137" s="6" t="s">
        <v>1052</v>
      </c>
      <c r="AD3137" s="6" t="s">
        <v>7530</v>
      </c>
      <c r="AE3137" s="170" t="s">
        <v>164</v>
      </c>
      <c r="AF3137" s="159" t="s">
        <v>8458</v>
      </c>
      <c r="AG3137" s="160" t="s">
        <v>3908</v>
      </c>
      <c r="AH3137" s="194" t="s">
        <v>1314</v>
      </c>
      <c r="AI3137" s="6" t="s">
        <v>5213</v>
      </c>
      <c r="AJ3137" s="3" t="s">
        <v>8265</v>
      </c>
      <c r="AK3137" t="s">
        <v>8265</v>
      </c>
      <c r="AV3137"/>
      <c r="AX3137"/>
      <c r="AZ3137" t="str">
        <f t="shared" si="321"/>
        <v/>
      </c>
      <c r="BA3137" t="str">
        <f t="shared" si="322"/>
        <v/>
      </c>
    </row>
    <row r="3138" spans="29:53" ht="13.5">
      <c r="AC3138" s="6" t="s">
        <v>332</v>
      </c>
      <c r="AD3138" s="6" t="s">
        <v>7530</v>
      </c>
      <c r="AE3138" s="170" t="s">
        <v>1594</v>
      </c>
      <c r="AF3138" s="159" t="s">
        <v>8339</v>
      </c>
      <c r="AG3138" s="160" t="s">
        <v>3909</v>
      </c>
      <c r="AH3138" s="194" t="s">
        <v>679</v>
      </c>
      <c r="AI3138" s="6" t="s">
        <v>5146</v>
      </c>
      <c r="AJ3138" s="3" t="s">
        <v>8214</v>
      </c>
      <c r="AK3138" t="s">
        <v>8214</v>
      </c>
      <c r="AV3138"/>
      <c r="AX3138"/>
      <c r="AZ3138" t="str">
        <f t="shared" si="321"/>
        <v/>
      </c>
      <c r="BA3138" t="str">
        <f t="shared" si="322"/>
        <v/>
      </c>
    </row>
    <row r="3139" spans="29:53" ht="13.5">
      <c r="AC3139" s="6" t="s">
        <v>362</v>
      </c>
      <c r="AD3139" s="6" t="s">
        <v>7530</v>
      </c>
      <c r="AE3139" s="170" t="s">
        <v>4442</v>
      </c>
      <c r="AF3139" s="159" t="s">
        <v>8459</v>
      </c>
      <c r="AG3139" s="160" t="s">
        <v>3910</v>
      </c>
      <c r="AH3139" s="194" t="s">
        <v>679</v>
      </c>
      <c r="AI3139" s="6" t="s">
        <v>1191</v>
      </c>
      <c r="AJ3139" s="3" t="s">
        <v>8250</v>
      </c>
      <c r="AK3139" t="s">
        <v>8250</v>
      </c>
      <c r="AV3139"/>
      <c r="AX3139"/>
      <c r="AZ3139" t="str">
        <f t="shared" si="321"/>
        <v/>
      </c>
      <c r="BA3139" t="str">
        <f t="shared" si="322"/>
        <v/>
      </c>
    </row>
    <row r="3140" spans="29:53" ht="13.5">
      <c r="AC3140" s="6" t="s">
        <v>5803</v>
      </c>
      <c r="AD3140" s="6" t="s">
        <v>7530</v>
      </c>
      <c r="AE3140" s="170" t="s">
        <v>4750</v>
      </c>
      <c r="AF3140" s="159" t="s">
        <v>8339</v>
      </c>
      <c r="AG3140" s="160" t="s">
        <v>3911</v>
      </c>
      <c r="AH3140" s="194" t="s">
        <v>679</v>
      </c>
      <c r="AI3140" s="6" t="s">
        <v>5175</v>
      </c>
      <c r="AJ3140" s="3" t="s">
        <v>8253</v>
      </c>
      <c r="AK3140" t="s">
        <v>8253</v>
      </c>
      <c r="AV3140"/>
      <c r="AX3140"/>
      <c r="AZ3140" t="str">
        <f t="shared" si="321"/>
        <v/>
      </c>
      <c r="BA3140" t="str">
        <f t="shared" si="322"/>
        <v/>
      </c>
    </row>
    <row r="3141" spans="29:53" ht="13.5">
      <c r="AC3141" s="6" t="s">
        <v>441</v>
      </c>
      <c r="AD3141" s="6" t="s">
        <v>7530</v>
      </c>
      <c r="AE3141" s="170" t="s">
        <v>5303</v>
      </c>
      <c r="AF3141" s="159" t="s">
        <v>8391</v>
      </c>
      <c r="AG3141" s="160" t="s">
        <v>5406</v>
      </c>
      <c r="AH3141" s="194" t="s">
        <v>1314</v>
      </c>
      <c r="AI3141" s="6" t="s">
        <v>5141</v>
      </c>
      <c r="AJ3141" s="3" t="s">
        <v>8232</v>
      </c>
      <c r="AK3141" t="s">
        <v>8232</v>
      </c>
      <c r="AV3141"/>
      <c r="AX3141"/>
      <c r="AZ3141" t="str">
        <f t="shared" si="321"/>
        <v/>
      </c>
      <c r="BA3141" t="str">
        <f t="shared" si="322"/>
        <v/>
      </c>
    </row>
    <row r="3142" spans="29:53" ht="13.5">
      <c r="AC3142" s="6" t="s">
        <v>504</v>
      </c>
      <c r="AD3142" s="6" t="s">
        <v>7530</v>
      </c>
      <c r="AE3142" s="170" t="s">
        <v>4833</v>
      </c>
      <c r="AF3142" s="159" t="s">
        <v>8391</v>
      </c>
      <c r="AG3142" s="160" t="s">
        <v>5407</v>
      </c>
      <c r="AH3142" s="194" t="s">
        <v>1314</v>
      </c>
      <c r="AI3142" s="6" t="s">
        <v>5236</v>
      </c>
      <c r="AJ3142" s="3" t="s">
        <v>8235</v>
      </c>
      <c r="AK3142" t="s">
        <v>8672</v>
      </c>
      <c r="AV3142"/>
      <c r="AX3142"/>
      <c r="AZ3142" t="str">
        <f t="shared" si="321"/>
        <v/>
      </c>
      <c r="BA3142" t="str">
        <f t="shared" si="322"/>
        <v/>
      </c>
    </row>
    <row r="3143" spans="29:53" ht="13.5">
      <c r="AC3143" s="6" t="s">
        <v>476</v>
      </c>
      <c r="AD3143" s="6" t="s">
        <v>7530</v>
      </c>
      <c r="AE3143" s="170" t="s">
        <v>4729</v>
      </c>
      <c r="AF3143" s="159" t="s">
        <v>8391</v>
      </c>
      <c r="AG3143" s="160" t="s">
        <v>180</v>
      </c>
      <c r="AH3143" s="194" t="s">
        <v>679</v>
      </c>
      <c r="AI3143" s="6" t="s">
        <v>1175</v>
      </c>
      <c r="AJ3143" s="3" t="s">
        <v>8209</v>
      </c>
      <c r="AK3143" t="s">
        <v>8209</v>
      </c>
      <c r="AV3143"/>
      <c r="AX3143"/>
      <c r="AZ3143" t="str">
        <f t="shared" si="321"/>
        <v/>
      </c>
      <c r="BA3143" t="str">
        <f t="shared" si="322"/>
        <v/>
      </c>
    </row>
    <row r="3144" spans="29:53" ht="13.5">
      <c r="AC3144" s="6" t="s">
        <v>365</v>
      </c>
      <c r="AD3144" s="6" t="s">
        <v>7530</v>
      </c>
      <c r="AE3144" s="170" t="s">
        <v>4741</v>
      </c>
      <c r="AF3144" s="159" t="s">
        <v>8391</v>
      </c>
      <c r="AG3144" s="160" t="s">
        <v>181</v>
      </c>
      <c r="AH3144" s="194" t="s">
        <v>679</v>
      </c>
      <c r="AI3144" s="6" t="s">
        <v>1202</v>
      </c>
      <c r="AJ3144" s="3" t="s">
        <v>8196</v>
      </c>
      <c r="AK3144" t="s">
        <v>8196</v>
      </c>
      <c r="AV3144"/>
      <c r="AX3144"/>
      <c r="AZ3144" t="str">
        <f t="shared" si="321"/>
        <v/>
      </c>
      <c r="BA3144" t="str">
        <f t="shared" si="322"/>
        <v/>
      </c>
    </row>
    <row r="3145" spans="29:53" ht="13.5">
      <c r="AC3145" s="6" t="s">
        <v>4437</v>
      </c>
      <c r="AD3145" s="6" t="s">
        <v>7544</v>
      </c>
      <c r="AE3145" s="170" t="s">
        <v>4736</v>
      </c>
      <c r="AF3145" s="159" t="s">
        <v>8391</v>
      </c>
      <c r="AG3145" s="160" t="s">
        <v>5239</v>
      </c>
      <c r="AH3145" s="194" t="s">
        <v>679</v>
      </c>
      <c r="AI3145" s="6" t="s">
        <v>5133</v>
      </c>
      <c r="AJ3145" s="3" t="s">
        <v>8224</v>
      </c>
      <c r="AK3145" t="s">
        <v>8224</v>
      </c>
      <c r="AV3145"/>
      <c r="AX3145"/>
      <c r="AZ3145" t="str">
        <f t="shared" si="321"/>
        <v/>
      </c>
      <c r="BA3145" t="str">
        <f t="shared" si="322"/>
        <v/>
      </c>
    </row>
    <row r="3146" spans="29:53" ht="13.5">
      <c r="AC3146" s="6" t="s">
        <v>329</v>
      </c>
      <c r="AD3146" s="6" t="s">
        <v>7530</v>
      </c>
      <c r="AE3146" s="170" t="s">
        <v>5284</v>
      </c>
      <c r="AF3146" s="159" t="s">
        <v>8391</v>
      </c>
      <c r="AG3146" s="160" t="s">
        <v>2488</v>
      </c>
      <c r="AH3146" s="194" t="s">
        <v>1314</v>
      </c>
      <c r="AI3146" s="6" t="s">
        <v>5151</v>
      </c>
      <c r="AJ3146" s="3" t="s">
        <v>8248</v>
      </c>
      <c r="AK3146" t="s">
        <v>8248</v>
      </c>
      <c r="AV3146"/>
      <c r="AX3146"/>
      <c r="AZ3146" t="str">
        <f t="shared" si="321"/>
        <v/>
      </c>
      <c r="BA3146" t="str">
        <f t="shared" si="322"/>
        <v/>
      </c>
    </row>
    <row r="3147" spans="29:53" ht="13.5">
      <c r="AC3147" s="6" t="s">
        <v>485</v>
      </c>
      <c r="AD3147" s="6" t="s">
        <v>7530</v>
      </c>
      <c r="AE3147" s="170" t="s">
        <v>5281</v>
      </c>
      <c r="AF3147" s="159" t="s">
        <v>8391</v>
      </c>
      <c r="AG3147" s="160" t="s">
        <v>2647</v>
      </c>
      <c r="AH3147" s="194" t="s">
        <v>679</v>
      </c>
      <c r="AI3147" s="6" t="s">
        <v>5251</v>
      </c>
      <c r="AJ3147" s="3" t="s">
        <v>8238</v>
      </c>
      <c r="AK3147" t="s">
        <v>8673</v>
      </c>
      <c r="AV3147"/>
      <c r="AX3147"/>
      <c r="AZ3147" t="str">
        <f t="shared" si="321"/>
        <v/>
      </c>
      <c r="BA3147" t="str">
        <f t="shared" si="322"/>
        <v/>
      </c>
    </row>
    <row r="3148" spans="29:53" ht="13.5">
      <c r="AC3148" s="6" t="s">
        <v>1043</v>
      </c>
      <c r="AD3148" s="6" t="s">
        <v>7530</v>
      </c>
      <c r="AE3148" s="170" t="s">
        <v>5244</v>
      </c>
      <c r="AF3148" s="159" t="s">
        <v>8391</v>
      </c>
      <c r="AG3148" s="160" t="s">
        <v>2810</v>
      </c>
      <c r="AH3148" s="194" t="s">
        <v>679</v>
      </c>
      <c r="AI3148" s="6" t="s">
        <v>5095</v>
      </c>
      <c r="AJ3148" s="3" t="s">
        <v>8238</v>
      </c>
      <c r="AK3148" t="s">
        <v>8673</v>
      </c>
      <c r="AV3148"/>
      <c r="AX3148"/>
      <c r="AZ3148" t="str">
        <f t="shared" si="321"/>
        <v/>
      </c>
      <c r="BA3148" t="str">
        <f t="shared" si="322"/>
        <v/>
      </c>
    </row>
    <row r="3149" spans="29:53" ht="13.5">
      <c r="AC3149" s="6" t="s">
        <v>505</v>
      </c>
      <c r="AD3149" s="6" t="s">
        <v>7530</v>
      </c>
      <c r="AE3149" s="170" t="s">
        <v>5083</v>
      </c>
      <c r="AF3149" s="159" t="s">
        <v>8391</v>
      </c>
      <c r="AG3149" s="160" t="s">
        <v>3912</v>
      </c>
      <c r="AH3149" s="194" t="s">
        <v>1314</v>
      </c>
      <c r="AI3149" s="6" t="s">
        <v>1291</v>
      </c>
      <c r="AJ3149" s="3" t="s">
        <v>8231</v>
      </c>
      <c r="AK3149" t="s">
        <v>8238</v>
      </c>
      <c r="AV3149"/>
      <c r="AX3149"/>
      <c r="AZ3149" t="str">
        <f t="shared" si="321"/>
        <v/>
      </c>
      <c r="BA3149" t="str">
        <f t="shared" si="322"/>
        <v/>
      </c>
    </row>
    <row r="3150" spans="29:53" ht="13.5">
      <c r="AC3150" s="6" t="s">
        <v>484</v>
      </c>
      <c r="AD3150" s="6" t="s">
        <v>7530</v>
      </c>
      <c r="AE3150" s="170" t="s">
        <v>5144</v>
      </c>
      <c r="AF3150" s="159" t="s">
        <v>8391</v>
      </c>
      <c r="AG3150" s="160" t="s">
        <v>3913</v>
      </c>
      <c r="AH3150" s="194" t="s">
        <v>1314</v>
      </c>
      <c r="AI3150" s="6" t="s">
        <v>4430</v>
      </c>
      <c r="AJ3150" s="3" t="s">
        <v>8204</v>
      </c>
      <c r="AK3150" t="s">
        <v>8204</v>
      </c>
      <c r="AV3150"/>
      <c r="AX3150"/>
      <c r="AZ3150" t="str">
        <f t="shared" si="321"/>
        <v/>
      </c>
      <c r="BA3150" t="str">
        <f t="shared" si="322"/>
        <v/>
      </c>
    </row>
    <row r="3151" spans="29:53" ht="13.5">
      <c r="AC3151" s="6" t="s">
        <v>5782</v>
      </c>
      <c r="AD3151" s="6" t="s">
        <v>7530</v>
      </c>
      <c r="AE3151" s="170" t="s">
        <v>5226</v>
      </c>
      <c r="AF3151" s="159" t="s">
        <v>8391</v>
      </c>
      <c r="AG3151" s="160" t="s">
        <v>3914</v>
      </c>
      <c r="AH3151" s="194" t="s">
        <v>679</v>
      </c>
      <c r="AI3151" s="6" t="s">
        <v>4429</v>
      </c>
      <c r="AJ3151" s="3" t="s">
        <v>8275</v>
      </c>
      <c r="AK3151" t="s">
        <v>8275</v>
      </c>
      <c r="AV3151"/>
      <c r="AX3151"/>
      <c r="AZ3151" t="str">
        <f t="shared" si="321"/>
        <v/>
      </c>
      <c r="BA3151" t="str">
        <f t="shared" si="322"/>
        <v/>
      </c>
    </row>
    <row r="3152" spans="29:53" ht="13.5">
      <c r="AC3152" s="6" t="s">
        <v>503</v>
      </c>
      <c r="AD3152" s="6" t="s">
        <v>7530</v>
      </c>
      <c r="AE3152" s="170" t="s">
        <v>5238</v>
      </c>
      <c r="AF3152" s="159" t="s">
        <v>8391</v>
      </c>
      <c r="AG3152" s="160" t="s">
        <v>2491</v>
      </c>
      <c r="AH3152" s="194" t="s">
        <v>679</v>
      </c>
      <c r="AI3152" s="6" t="s">
        <v>5470</v>
      </c>
      <c r="AJ3152" s="3" t="s">
        <v>8229</v>
      </c>
      <c r="AK3152" t="s">
        <v>8229</v>
      </c>
      <c r="AV3152"/>
      <c r="AX3152"/>
      <c r="AZ3152" t="str">
        <f t="shared" si="321"/>
        <v/>
      </c>
      <c r="BA3152" t="str">
        <f t="shared" si="322"/>
        <v/>
      </c>
    </row>
    <row r="3153" spans="29:53" ht="13.5">
      <c r="AC3153" s="6" t="s">
        <v>1077</v>
      </c>
      <c r="AD3153" s="6" t="s">
        <v>7530</v>
      </c>
      <c r="AE3153" s="170" t="s">
        <v>4772</v>
      </c>
      <c r="AF3153" s="159" t="s">
        <v>8391</v>
      </c>
      <c r="AG3153" s="160" t="s">
        <v>2492</v>
      </c>
      <c r="AH3153" s="194" t="s">
        <v>679</v>
      </c>
      <c r="AI3153" s="6" t="s">
        <v>5073</v>
      </c>
      <c r="AJ3153" s="3" t="s">
        <v>8268</v>
      </c>
      <c r="AK3153" t="s">
        <v>8268</v>
      </c>
      <c r="AV3153"/>
      <c r="AX3153"/>
      <c r="AZ3153" t="str">
        <f t="shared" si="321"/>
        <v/>
      </c>
      <c r="BA3153" t="str">
        <f t="shared" si="322"/>
        <v/>
      </c>
    </row>
    <row r="3154" spans="29:53" ht="13.5">
      <c r="AC3154" s="6" t="s">
        <v>475</v>
      </c>
      <c r="AD3154" s="6" t="s">
        <v>7530</v>
      </c>
      <c r="AE3154" s="170" t="s">
        <v>4785</v>
      </c>
      <c r="AF3154" s="159" t="s">
        <v>8391</v>
      </c>
      <c r="AG3154" s="160" t="s">
        <v>2616</v>
      </c>
      <c r="AH3154" s="194" t="s">
        <v>1314</v>
      </c>
      <c r="AI3154" s="6" t="s">
        <v>5204</v>
      </c>
      <c r="AJ3154" s="3" t="s">
        <v>8244</v>
      </c>
      <c r="AK3154" t="s">
        <v>8244</v>
      </c>
      <c r="AV3154"/>
      <c r="AX3154"/>
      <c r="AZ3154" t="str">
        <f t="shared" si="321"/>
        <v/>
      </c>
      <c r="BA3154" t="str">
        <f t="shared" si="322"/>
        <v/>
      </c>
    </row>
    <row r="3155" spans="29:53" ht="13.5">
      <c r="AC3155" s="6" t="s">
        <v>527</v>
      </c>
      <c r="AD3155" s="6" t="s">
        <v>7530</v>
      </c>
      <c r="AE3155" s="170" t="s">
        <v>4780</v>
      </c>
      <c r="AF3155" s="159" t="s">
        <v>8391</v>
      </c>
      <c r="AG3155" s="160" t="s">
        <v>2650</v>
      </c>
      <c r="AH3155" s="194" t="s">
        <v>679</v>
      </c>
      <c r="AI3155" s="6" t="s">
        <v>1294</v>
      </c>
      <c r="AJ3155" s="3" t="s">
        <v>8280</v>
      </c>
      <c r="AK3155" t="s">
        <v>8280</v>
      </c>
      <c r="AV3155"/>
      <c r="AX3155"/>
      <c r="AZ3155" t="str">
        <f t="shared" si="321"/>
        <v/>
      </c>
      <c r="BA3155" t="str">
        <f t="shared" si="322"/>
        <v/>
      </c>
    </row>
    <row r="3156" spans="29:53" ht="13.5">
      <c r="AC3156" s="6" t="s">
        <v>5779</v>
      </c>
      <c r="AD3156" s="6" t="s">
        <v>7530</v>
      </c>
      <c r="AE3156" s="170" t="s">
        <v>172</v>
      </c>
      <c r="AF3156" s="159" t="s">
        <v>8391</v>
      </c>
      <c r="AG3156" s="160" t="s">
        <v>2752</v>
      </c>
      <c r="AH3156" s="194" t="s">
        <v>679</v>
      </c>
      <c r="AI3156" s="6" t="s">
        <v>5468</v>
      </c>
      <c r="AJ3156" s="3" t="s">
        <v>8250</v>
      </c>
      <c r="AK3156" t="s">
        <v>8250</v>
      </c>
      <c r="AV3156"/>
      <c r="AX3156"/>
      <c r="AZ3156" t="str">
        <f t="shared" si="321"/>
        <v/>
      </c>
      <c r="BA3156" t="str">
        <f t="shared" si="322"/>
        <v/>
      </c>
    </row>
    <row r="3157" spans="29:53" ht="13.5">
      <c r="AC3157" s="6" t="s">
        <v>227</v>
      </c>
      <c r="AD3157" s="6" t="s">
        <v>7530</v>
      </c>
      <c r="AE3157" s="170" t="s">
        <v>1426</v>
      </c>
      <c r="AF3157" s="159" t="s">
        <v>8466</v>
      </c>
      <c r="AG3157" s="160" t="s">
        <v>2753</v>
      </c>
      <c r="AH3157" s="194" t="s">
        <v>1314</v>
      </c>
      <c r="AI3157" s="6" t="s">
        <v>5114</v>
      </c>
      <c r="AJ3157" s="3" t="s">
        <v>8202</v>
      </c>
      <c r="AK3157" t="s">
        <v>8202</v>
      </c>
      <c r="AV3157"/>
      <c r="AX3157"/>
      <c r="AZ3157" t="str">
        <f t="shared" si="321"/>
        <v/>
      </c>
      <c r="BA3157" t="str">
        <f t="shared" si="322"/>
        <v/>
      </c>
    </row>
    <row r="3158" spans="29:53" ht="13.5">
      <c r="AC3158" s="6" t="s">
        <v>521</v>
      </c>
      <c r="AD3158" s="6" t="s">
        <v>7530</v>
      </c>
      <c r="AE3158" s="170" t="s">
        <v>1427</v>
      </c>
      <c r="AF3158" s="159" t="s">
        <v>8391</v>
      </c>
      <c r="AG3158" s="160" t="s">
        <v>2525</v>
      </c>
      <c r="AH3158" s="194" t="s">
        <v>679</v>
      </c>
      <c r="AI3158" s="6" t="s">
        <v>5458</v>
      </c>
      <c r="AJ3158" s="3" t="s">
        <v>8214</v>
      </c>
      <c r="AK3158" t="s">
        <v>8214</v>
      </c>
      <c r="AV3158"/>
      <c r="AX3158"/>
      <c r="AZ3158" t="str">
        <f t="shared" si="321"/>
        <v/>
      </c>
      <c r="BA3158" t="str">
        <f t="shared" si="322"/>
        <v/>
      </c>
    </row>
    <row r="3159" spans="29:53" ht="13.5">
      <c r="AC3159" s="6" t="s">
        <v>588</v>
      </c>
      <c r="AD3159" s="6" t="s">
        <v>7530</v>
      </c>
      <c r="AE3159" s="170" t="s">
        <v>173</v>
      </c>
      <c r="AF3159" s="159" t="s">
        <v>8391</v>
      </c>
      <c r="AG3159" s="160" t="s">
        <v>2813</v>
      </c>
      <c r="AH3159" s="194" t="s">
        <v>1314</v>
      </c>
      <c r="AI3159" s="6" t="s">
        <v>5117</v>
      </c>
      <c r="AJ3159" s="3" t="s">
        <v>8233</v>
      </c>
      <c r="AK3159" t="s">
        <v>8233</v>
      </c>
      <c r="AV3159"/>
      <c r="AX3159"/>
      <c r="AZ3159" t="str">
        <f t="shared" si="321"/>
        <v/>
      </c>
      <c r="BA3159" t="str">
        <f t="shared" si="322"/>
        <v/>
      </c>
    </row>
    <row r="3160" spans="29:53" ht="13.5">
      <c r="AC3160" s="6" t="s">
        <v>587</v>
      </c>
      <c r="AD3160" s="6" t="s">
        <v>7530</v>
      </c>
      <c r="AE3160" s="170" t="s">
        <v>174</v>
      </c>
      <c r="AF3160" s="159" t="s">
        <v>8458</v>
      </c>
      <c r="AG3160" s="160" t="s">
        <v>2181</v>
      </c>
      <c r="AH3160" s="194" t="s">
        <v>679</v>
      </c>
      <c r="AI3160" s="6" t="s">
        <v>6632</v>
      </c>
      <c r="AJ3160" s="3" t="s">
        <v>8279</v>
      </c>
      <c r="AK3160" t="s">
        <v>8679</v>
      </c>
      <c r="AV3160"/>
      <c r="AX3160"/>
      <c r="AZ3160" t="str">
        <f t="shared" si="321"/>
        <v/>
      </c>
      <c r="BA3160" t="str">
        <f t="shared" si="322"/>
        <v/>
      </c>
    </row>
    <row r="3161" spans="29:53" ht="13.5">
      <c r="AC3161" s="6" t="s">
        <v>360</v>
      </c>
      <c r="AD3161" s="6" t="s">
        <v>7530</v>
      </c>
      <c r="AE3161" s="170" t="s">
        <v>1428</v>
      </c>
      <c r="AF3161" s="159" t="s">
        <v>8467</v>
      </c>
      <c r="AG3161" s="160" t="s">
        <v>2182</v>
      </c>
      <c r="AH3161" s="194" t="s">
        <v>678</v>
      </c>
      <c r="AI3161" s="6" t="s">
        <v>5237</v>
      </c>
      <c r="AJ3161" s="3" t="s">
        <v>8229</v>
      </c>
      <c r="AK3161" t="s">
        <v>8229</v>
      </c>
      <c r="AV3161"/>
      <c r="AX3161"/>
      <c r="AZ3161" t="str">
        <f t="shared" si="321"/>
        <v/>
      </c>
      <c r="BA3161" t="str">
        <f t="shared" si="322"/>
        <v/>
      </c>
    </row>
    <row r="3162" spans="29:53" ht="13.5">
      <c r="AC3162" s="6" t="s">
        <v>5434</v>
      </c>
      <c r="AD3162" s="6" t="s">
        <v>7530</v>
      </c>
      <c r="AE3162" s="170" t="s">
        <v>175</v>
      </c>
      <c r="AF3162" s="159" t="s">
        <v>8391</v>
      </c>
      <c r="AG3162" s="160" t="s">
        <v>2183</v>
      </c>
      <c r="AH3162" s="194" t="s">
        <v>678</v>
      </c>
      <c r="AI3162" s="6" t="s">
        <v>5122</v>
      </c>
      <c r="AJ3162" s="3" t="s">
        <v>8279</v>
      </c>
      <c r="AK3162" t="s">
        <v>8679</v>
      </c>
      <c r="AV3162"/>
      <c r="AX3162"/>
      <c r="AZ3162" t="str">
        <f t="shared" si="321"/>
        <v/>
      </c>
      <c r="BA3162" t="str">
        <f t="shared" si="322"/>
        <v/>
      </c>
    </row>
    <row r="3163" spans="29:53" ht="13.5">
      <c r="AC3163" s="6" t="s">
        <v>586</v>
      </c>
      <c r="AD3163" s="6" t="s">
        <v>7530</v>
      </c>
      <c r="AE3163" s="170" t="s">
        <v>1632</v>
      </c>
      <c r="AF3163" s="159" t="s">
        <v>8312</v>
      </c>
      <c r="AG3163" s="160" t="s">
        <v>2184</v>
      </c>
      <c r="AH3163" s="194" t="s">
        <v>678</v>
      </c>
      <c r="AI3163" s="6" t="s">
        <v>5059</v>
      </c>
      <c r="AJ3163" s="3" t="s">
        <v>8260</v>
      </c>
      <c r="AK3163" t="s">
        <v>8678</v>
      </c>
      <c r="AV3163"/>
      <c r="AX3163"/>
      <c r="AZ3163" t="str">
        <f t="shared" si="321"/>
        <v/>
      </c>
      <c r="BA3163" t="str">
        <f t="shared" si="322"/>
        <v/>
      </c>
    </row>
    <row r="3164" spans="29:53" ht="13.5">
      <c r="AC3164" s="6" t="s">
        <v>287</v>
      </c>
      <c r="AD3164" s="6" t="s">
        <v>7530</v>
      </c>
      <c r="AE3164" s="170" t="s">
        <v>5106</v>
      </c>
      <c r="AF3164" s="159" t="s">
        <v>8391</v>
      </c>
      <c r="AG3164" s="160" t="s">
        <v>2587</v>
      </c>
      <c r="AH3164" s="194" t="s">
        <v>679</v>
      </c>
      <c r="AI3164" s="6" t="s">
        <v>5093</v>
      </c>
      <c r="AJ3164" s="3" t="s">
        <v>8244</v>
      </c>
      <c r="AK3164" t="s">
        <v>8244</v>
      </c>
      <c r="AV3164"/>
      <c r="AX3164"/>
      <c r="AZ3164" t="str">
        <f t="shared" si="321"/>
        <v/>
      </c>
      <c r="BA3164" t="str">
        <f t="shared" si="322"/>
        <v/>
      </c>
    </row>
    <row r="3165" spans="29:53" ht="13.5">
      <c r="AC3165" s="6" t="s">
        <v>289</v>
      </c>
      <c r="AD3165" s="6" t="s">
        <v>7530</v>
      </c>
      <c r="AE3165" s="170" t="s">
        <v>4723</v>
      </c>
      <c r="AF3165" s="159" t="s">
        <v>8391</v>
      </c>
      <c r="AG3165" s="160" t="s">
        <v>2589</v>
      </c>
      <c r="AH3165" s="194" t="s">
        <v>679</v>
      </c>
      <c r="AI3165" s="6" t="s">
        <v>5116</v>
      </c>
      <c r="AJ3165" s="3" t="s">
        <v>8267</v>
      </c>
      <c r="AK3165" t="s">
        <v>8280</v>
      </c>
      <c r="AV3165"/>
      <c r="AX3165"/>
      <c r="AZ3165" t="str">
        <f t="shared" si="321"/>
        <v/>
      </c>
      <c r="BA3165" t="str">
        <f t="shared" si="322"/>
        <v/>
      </c>
    </row>
    <row r="3166" spans="29:53" ht="13.5">
      <c r="AC3166" s="6" t="s">
        <v>288</v>
      </c>
      <c r="AD3166" s="6" t="s">
        <v>7530</v>
      </c>
      <c r="AE3166" s="170" t="s">
        <v>1657</v>
      </c>
      <c r="AF3166" s="159" t="s">
        <v>8391</v>
      </c>
      <c r="AG3166" s="160" t="s">
        <v>2590</v>
      </c>
      <c r="AH3166" s="194" t="s">
        <v>679</v>
      </c>
      <c r="AI3166" s="6" t="s">
        <v>5057</v>
      </c>
      <c r="AJ3166" s="3" t="s">
        <v>8268</v>
      </c>
      <c r="AK3166" t="s">
        <v>8268</v>
      </c>
      <c r="AV3166"/>
      <c r="AX3166"/>
      <c r="AZ3166" t="str">
        <f t="shared" si="321"/>
        <v/>
      </c>
      <c r="BA3166" t="str">
        <f t="shared" si="322"/>
        <v/>
      </c>
    </row>
    <row r="3167" spans="29:53" ht="13.5">
      <c r="AC3167" s="6" t="s">
        <v>328</v>
      </c>
      <c r="AD3167" s="6" t="s">
        <v>7530</v>
      </c>
      <c r="AE3167" s="170" t="s">
        <v>1669</v>
      </c>
      <c r="AF3167" s="159" t="s">
        <v>8339</v>
      </c>
      <c r="AG3167" s="160" t="s">
        <v>2518</v>
      </c>
      <c r="AH3167" s="194" t="s">
        <v>679</v>
      </c>
      <c r="AI3167" s="6" t="s">
        <v>4482</v>
      </c>
      <c r="AJ3167" s="3" t="s">
        <v>8278</v>
      </c>
      <c r="AK3167" t="s">
        <v>8278</v>
      </c>
      <c r="AV3167"/>
      <c r="AX3167"/>
      <c r="AZ3167" t="str">
        <f t="shared" si="321"/>
        <v/>
      </c>
      <c r="BA3167" t="str">
        <f t="shared" si="322"/>
        <v/>
      </c>
    </row>
    <row r="3168" spans="29:53" ht="13.5">
      <c r="AC3168" s="6" t="s">
        <v>366</v>
      </c>
      <c r="AD3168" s="6" t="s">
        <v>7530</v>
      </c>
      <c r="AE3168" s="170" t="s">
        <v>4444</v>
      </c>
      <c r="AF3168" s="159" t="s">
        <v>8391</v>
      </c>
      <c r="AG3168" s="160" t="s">
        <v>2536</v>
      </c>
      <c r="AH3168" s="194" t="s">
        <v>1314</v>
      </c>
      <c r="AI3168" s="6" t="s">
        <v>5053</v>
      </c>
      <c r="AJ3168" s="3" t="s">
        <v>8260</v>
      </c>
      <c r="AK3168" t="s">
        <v>8678</v>
      </c>
      <c r="AV3168"/>
      <c r="AX3168"/>
      <c r="AZ3168" t="str">
        <f t="shared" si="321"/>
        <v/>
      </c>
      <c r="BA3168" t="str">
        <f t="shared" si="322"/>
        <v/>
      </c>
    </row>
    <row r="3169" spans="29:53" ht="13.5">
      <c r="AC3169" s="6" t="s">
        <v>6621</v>
      </c>
      <c r="AD3169" s="6" t="s">
        <v>7530</v>
      </c>
      <c r="AE3169" s="170" t="s">
        <v>4409</v>
      </c>
      <c r="AF3169" s="159" t="s">
        <v>8391</v>
      </c>
      <c r="AG3169" s="160" t="s">
        <v>2583</v>
      </c>
      <c r="AH3169" s="194" t="s">
        <v>1314</v>
      </c>
      <c r="AI3169" s="6" t="s">
        <v>1194</v>
      </c>
      <c r="AJ3169" s="3" t="s">
        <v>8212</v>
      </c>
      <c r="AK3169" t="s">
        <v>8212</v>
      </c>
      <c r="AV3169"/>
      <c r="AX3169"/>
      <c r="AZ3169" t="str">
        <f t="shared" si="321"/>
        <v/>
      </c>
      <c r="BA3169" t="str">
        <f t="shared" si="322"/>
        <v/>
      </c>
    </row>
    <row r="3170" spans="29:53" ht="13.5">
      <c r="AC3170" s="6" t="s">
        <v>3975</v>
      </c>
      <c r="AD3170" s="6" t="s">
        <v>7530</v>
      </c>
      <c r="AE3170" s="170" t="s">
        <v>4439</v>
      </c>
      <c r="AF3170" s="159" t="s">
        <v>8391</v>
      </c>
      <c r="AG3170" s="160" t="s">
        <v>2645</v>
      </c>
      <c r="AH3170" s="194" t="s">
        <v>1314</v>
      </c>
      <c r="AI3170" s="6" t="s">
        <v>5448</v>
      </c>
      <c r="AJ3170" s="3" t="s">
        <v>8202</v>
      </c>
      <c r="AK3170" t="s">
        <v>8202</v>
      </c>
      <c r="AV3170"/>
      <c r="AX3170"/>
      <c r="AZ3170" t="str">
        <f t="shared" si="321"/>
        <v/>
      </c>
      <c r="BA3170" t="str">
        <f t="shared" si="322"/>
        <v/>
      </c>
    </row>
    <row r="3171" spans="29:53" ht="13.5">
      <c r="AC3171" s="6" t="s">
        <v>307</v>
      </c>
      <c r="AD3171" s="6" t="s">
        <v>7530</v>
      </c>
      <c r="AE3171" s="170" t="s">
        <v>4440</v>
      </c>
      <c r="AF3171" s="159" t="s">
        <v>8391</v>
      </c>
      <c r="AG3171" s="160" t="s">
        <v>2808</v>
      </c>
      <c r="AH3171" s="194" t="s">
        <v>1314</v>
      </c>
      <c r="AI3171" s="6" t="s">
        <v>5120</v>
      </c>
      <c r="AJ3171" s="3" t="s">
        <v>8218</v>
      </c>
      <c r="AK3171" t="s">
        <v>8218</v>
      </c>
      <c r="AV3171"/>
      <c r="AX3171"/>
      <c r="AZ3171" t="str">
        <f t="shared" si="321"/>
        <v/>
      </c>
      <c r="BA3171" t="str">
        <f t="shared" si="322"/>
        <v/>
      </c>
    </row>
    <row r="3172" spans="29:53" ht="13.5">
      <c r="AC3172" s="6" t="s">
        <v>994</v>
      </c>
      <c r="AD3172" s="6" t="s">
        <v>7530</v>
      </c>
      <c r="AE3172" s="170" t="s">
        <v>4448</v>
      </c>
      <c r="AF3172" s="159" t="s">
        <v>8391</v>
      </c>
      <c r="AG3172" s="160" t="s">
        <v>2493</v>
      </c>
      <c r="AH3172" s="194" t="s">
        <v>679</v>
      </c>
      <c r="AI3172" s="6" t="s">
        <v>5406</v>
      </c>
      <c r="AJ3172" s="3" t="s">
        <v>8265</v>
      </c>
      <c r="AK3172" t="s">
        <v>8265</v>
      </c>
      <c r="AV3172"/>
      <c r="AX3172"/>
      <c r="AZ3172" t="str">
        <f t="shared" si="321"/>
        <v/>
      </c>
      <c r="BA3172" t="str">
        <f t="shared" si="322"/>
        <v/>
      </c>
    </row>
    <row r="3173" spans="29:53" ht="13.5">
      <c r="AC3173" s="6" t="s">
        <v>374</v>
      </c>
      <c r="AD3173" s="6" t="s">
        <v>7530</v>
      </c>
      <c r="AE3173" s="170" t="s">
        <v>4726</v>
      </c>
      <c r="AF3173" s="159" t="s">
        <v>8391</v>
      </c>
      <c r="AG3173" s="160" t="s">
        <v>2584</v>
      </c>
      <c r="AH3173" s="194" t="s">
        <v>679</v>
      </c>
      <c r="AI3173" s="6">
        <v>125618</v>
      </c>
      <c r="AJ3173" s="3" t="s">
        <v>8249</v>
      </c>
      <c r="AK3173" t="s">
        <v>8249</v>
      </c>
      <c r="AV3173"/>
      <c r="AX3173"/>
      <c r="AZ3173" t="str">
        <f t="shared" si="321"/>
        <v/>
      </c>
      <c r="BA3173" t="str">
        <f t="shared" si="322"/>
        <v/>
      </c>
    </row>
    <row r="3174" spans="29:53" ht="13.5">
      <c r="AC3174" s="6" t="s">
        <v>481</v>
      </c>
      <c r="AD3174" s="6" t="s">
        <v>7530</v>
      </c>
      <c r="AE3174" s="170" t="s">
        <v>4764</v>
      </c>
      <c r="AF3174" s="159" t="s">
        <v>8339</v>
      </c>
      <c r="AG3174" s="160" t="s">
        <v>3915</v>
      </c>
      <c r="AH3174" s="194" t="s">
        <v>679</v>
      </c>
      <c r="AI3174" s="6" t="s">
        <v>5407</v>
      </c>
      <c r="AJ3174" s="3" t="s">
        <v>8265</v>
      </c>
      <c r="AK3174" t="s">
        <v>8265</v>
      </c>
      <c r="AV3174"/>
      <c r="AX3174"/>
      <c r="AZ3174" t="str">
        <f t="shared" si="321"/>
        <v/>
      </c>
      <c r="BA3174" t="str">
        <f t="shared" si="322"/>
        <v/>
      </c>
    </row>
    <row r="3175" spans="29:53" ht="13.5">
      <c r="AC3175" s="6" t="s">
        <v>335</v>
      </c>
      <c r="AD3175" s="6" t="s">
        <v>7530</v>
      </c>
      <c r="AE3175" s="170" t="s">
        <v>5302</v>
      </c>
      <c r="AF3175" s="159" t="s">
        <v>8391</v>
      </c>
      <c r="AG3175" s="160" t="s">
        <v>3916</v>
      </c>
      <c r="AH3175" s="194" t="s">
        <v>679</v>
      </c>
      <c r="AI3175" s="6" t="s">
        <v>5035</v>
      </c>
      <c r="AJ3175" s="3" t="s">
        <v>8260</v>
      </c>
      <c r="AK3175" t="s">
        <v>8678</v>
      </c>
      <c r="AV3175"/>
      <c r="AX3175"/>
      <c r="AZ3175" t="str">
        <f t="shared" si="321"/>
        <v/>
      </c>
      <c r="BA3175" t="str">
        <f t="shared" si="322"/>
        <v/>
      </c>
    </row>
    <row r="3176" spans="29:53" ht="13.5">
      <c r="AC3176" s="6" t="s">
        <v>547</v>
      </c>
      <c r="AD3176" s="6" t="s">
        <v>7530</v>
      </c>
      <c r="AE3176" s="170" t="s">
        <v>5295</v>
      </c>
      <c r="AF3176" s="159" t="s">
        <v>8391</v>
      </c>
      <c r="AG3176" s="160" t="s">
        <v>3917</v>
      </c>
      <c r="AH3176" s="194" t="s">
        <v>679</v>
      </c>
      <c r="AI3176" s="6" t="s">
        <v>5195</v>
      </c>
      <c r="AJ3176" s="3" t="s">
        <v>8218</v>
      </c>
      <c r="AK3176" t="s">
        <v>8218</v>
      </c>
      <c r="AV3176"/>
      <c r="AX3176"/>
      <c r="AZ3176" t="str">
        <f t="shared" si="321"/>
        <v/>
      </c>
      <c r="BA3176" t="str">
        <f t="shared" si="322"/>
        <v/>
      </c>
    </row>
    <row r="3177" spans="29:53" ht="13.5">
      <c r="AC3177" s="6" t="s">
        <v>1047</v>
      </c>
      <c r="AD3177" s="6" t="s">
        <v>7530</v>
      </c>
      <c r="AE3177" s="170">
        <v>15251</v>
      </c>
      <c r="AF3177" s="159" t="s">
        <v>8391</v>
      </c>
      <c r="AG3177" s="160" t="s">
        <v>3918</v>
      </c>
      <c r="AH3177" s="194" t="s">
        <v>679</v>
      </c>
      <c r="AI3177" s="6" t="s">
        <v>5070</v>
      </c>
      <c r="AJ3177" s="3" t="s">
        <v>8223</v>
      </c>
      <c r="AK3177" t="s">
        <v>8223</v>
      </c>
      <c r="AV3177"/>
      <c r="AX3177"/>
      <c r="AZ3177" t="str">
        <f t="shared" si="321"/>
        <v/>
      </c>
      <c r="BA3177" t="str">
        <f t="shared" si="322"/>
        <v/>
      </c>
    </row>
    <row r="3178" spans="29:53" ht="13.5">
      <c r="AC3178" s="6" t="s">
        <v>453</v>
      </c>
      <c r="AD3178" s="6" t="s">
        <v>7530</v>
      </c>
      <c r="AE3178" s="170">
        <v>15253</v>
      </c>
      <c r="AF3178" s="159" t="s">
        <v>8363</v>
      </c>
      <c r="AG3178" s="160" t="s">
        <v>3919</v>
      </c>
      <c r="AH3178" s="194" t="s">
        <v>679</v>
      </c>
      <c r="AI3178" s="6" t="s">
        <v>5183</v>
      </c>
      <c r="AJ3178" s="3" t="s">
        <v>8218</v>
      </c>
      <c r="AK3178" t="s">
        <v>8218</v>
      </c>
      <c r="AV3178"/>
      <c r="AX3178"/>
      <c r="AZ3178" t="str">
        <f t="shared" si="321"/>
        <v/>
      </c>
      <c r="BA3178" t="str">
        <f t="shared" si="322"/>
        <v/>
      </c>
    </row>
    <row r="3179" spans="29:53" ht="13.5">
      <c r="AC3179" s="6" t="s">
        <v>4514</v>
      </c>
      <c r="AD3179" s="6" t="s">
        <v>7530</v>
      </c>
      <c r="AE3179" s="170" t="s">
        <v>1496</v>
      </c>
      <c r="AF3179" s="159" t="s">
        <v>8391</v>
      </c>
      <c r="AG3179" s="160" t="s">
        <v>3920</v>
      </c>
      <c r="AH3179" s="194" t="s">
        <v>679</v>
      </c>
      <c r="AI3179" s="6" t="s">
        <v>5455</v>
      </c>
      <c r="AJ3179" s="3" t="s">
        <v>8261</v>
      </c>
      <c r="AK3179" t="s">
        <v>8261</v>
      </c>
      <c r="AV3179"/>
      <c r="AX3179"/>
      <c r="AZ3179" t="str">
        <f t="shared" si="321"/>
        <v/>
      </c>
      <c r="BA3179" t="str">
        <f t="shared" si="322"/>
        <v/>
      </c>
    </row>
    <row r="3180" spans="29:53" ht="13.5">
      <c r="AC3180" s="6" t="s">
        <v>4734</v>
      </c>
      <c r="AD3180" s="6" t="s">
        <v>7530</v>
      </c>
      <c r="AE3180" s="170" t="s">
        <v>1497</v>
      </c>
      <c r="AF3180" s="159" t="s">
        <v>8468</v>
      </c>
      <c r="AG3180" s="160" t="s">
        <v>3921</v>
      </c>
      <c r="AH3180" s="194" t="s">
        <v>679</v>
      </c>
      <c r="AI3180" s="6" t="s">
        <v>5032</v>
      </c>
      <c r="AJ3180" s="3" t="s">
        <v>8258</v>
      </c>
      <c r="AK3180" t="s">
        <v>8258</v>
      </c>
      <c r="AV3180"/>
      <c r="AX3180"/>
      <c r="AZ3180" t="str">
        <f t="shared" si="321"/>
        <v/>
      </c>
      <c r="BA3180" t="str">
        <f t="shared" si="322"/>
        <v/>
      </c>
    </row>
    <row r="3181" spans="29:53" ht="13.5">
      <c r="AC3181" s="6" t="s">
        <v>4735</v>
      </c>
      <c r="AD3181" s="6" t="s">
        <v>7530</v>
      </c>
      <c r="AE3181" s="170" t="s">
        <v>1498</v>
      </c>
      <c r="AF3181" s="159" t="s">
        <v>8469</v>
      </c>
      <c r="AG3181" s="160" t="s">
        <v>3922</v>
      </c>
      <c r="AH3181" s="194" t="s">
        <v>679</v>
      </c>
      <c r="AI3181" s="6" t="s">
        <v>4835</v>
      </c>
      <c r="AJ3181" s="3" t="s">
        <v>8230</v>
      </c>
      <c r="AK3181" t="s">
        <v>8230</v>
      </c>
      <c r="AV3181"/>
      <c r="AX3181"/>
      <c r="AZ3181" t="str">
        <f t="shared" si="321"/>
        <v/>
      </c>
      <c r="BA3181" t="str">
        <f t="shared" si="322"/>
        <v/>
      </c>
    </row>
    <row r="3182" spans="29:53" ht="13.5">
      <c r="AC3182" s="6" t="s">
        <v>6644</v>
      </c>
      <c r="AD3182" s="6" t="s">
        <v>7530</v>
      </c>
      <c r="AE3182" s="170" t="s">
        <v>1500</v>
      </c>
      <c r="AF3182" s="159" t="s">
        <v>8391</v>
      </c>
      <c r="AG3182" s="160" t="s">
        <v>4476</v>
      </c>
      <c r="AH3182" s="194" t="s">
        <v>1314</v>
      </c>
      <c r="AI3182" s="6" t="s">
        <v>5410</v>
      </c>
      <c r="AJ3182" s="3" t="s">
        <v>8212</v>
      </c>
      <c r="AK3182" t="s">
        <v>8212</v>
      </c>
      <c r="AV3182"/>
      <c r="AX3182"/>
      <c r="AZ3182" t="str">
        <f t="shared" si="321"/>
        <v/>
      </c>
      <c r="BA3182" t="str">
        <f t="shared" si="322"/>
        <v/>
      </c>
    </row>
    <row r="3183" spans="29:53" ht="13.5">
      <c r="AC3183" s="6" t="s">
        <v>474</v>
      </c>
      <c r="AD3183" s="6" t="s">
        <v>7530</v>
      </c>
      <c r="AE3183" s="170" t="s">
        <v>123</v>
      </c>
      <c r="AF3183" s="159" t="s">
        <v>8470</v>
      </c>
      <c r="AG3183" s="160" t="s">
        <v>5060</v>
      </c>
      <c r="AH3183" s="194" t="s">
        <v>1314</v>
      </c>
      <c r="AI3183" s="6" t="s">
        <v>1266</v>
      </c>
      <c r="AJ3183" s="3" t="s">
        <v>8237</v>
      </c>
      <c r="AK3183" t="s">
        <v>8237</v>
      </c>
      <c r="AV3183"/>
      <c r="AX3183"/>
      <c r="AZ3183" t="str">
        <f t="shared" si="321"/>
        <v/>
      </c>
      <c r="BA3183" t="str">
        <f t="shared" si="322"/>
        <v/>
      </c>
    </row>
    <row r="3184" spans="29:53" ht="13.5">
      <c r="AC3184" s="6" t="s">
        <v>3974</v>
      </c>
      <c r="AD3184" s="6" t="s">
        <v>7530</v>
      </c>
      <c r="AE3184" s="170" t="s">
        <v>16</v>
      </c>
      <c r="AF3184" s="159" t="s">
        <v>8391</v>
      </c>
      <c r="AG3184" s="160" t="s">
        <v>5052</v>
      </c>
      <c r="AH3184" s="194" t="s">
        <v>1314</v>
      </c>
      <c r="AI3184" s="6" t="s">
        <v>5081</v>
      </c>
      <c r="AJ3184" s="3" t="s">
        <v>8237</v>
      </c>
      <c r="AK3184" t="s">
        <v>8237</v>
      </c>
      <c r="AV3184"/>
      <c r="AX3184"/>
      <c r="AZ3184" t="str">
        <f t="shared" si="321"/>
        <v/>
      </c>
      <c r="BA3184" t="str">
        <f t="shared" si="322"/>
        <v/>
      </c>
    </row>
    <row r="3185" spans="29:53" ht="13.5">
      <c r="AC3185" s="6" t="s">
        <v>1080</v>
      </c>
      <c r="AD3185" s="6" t="s">
        <v>7530</v>
      </c>
      <c r="AE3185" s="170" t="s">
        <v>15</v>
      </c>
      <c r="AF3185" s="159" t="s">
        <v>8391</v>
      </c>
      <c r="AG3185" s="160" t="s">
        <v>5192</v>
      </c>
      <c r="AH3185" s="194" t="s">
        <v>1314</v>
      </c>
      <c r="AI3185" s="6" t="s">
        <v>5235</v>
      </c>
      <c r="AJ3185" s="3" t="s">
        <v>8219</v>
      </c>
      <c r="AK3185" t="s">
        <v>8219</v>
      </c>
      <c r="AV3185"/>
      <c r="AX3185"/>
      <c r="AZ3185" t="str">
        <f t="shared" si="321"/>
        <v/>
      </c>
      <c r="BA3185" t="str">
        <f t="shared" si="322"/>
        <v/>
      </c>
    </row>
    <row r="3186" spans="29:53" ht="13.5">
      <c r="AC3186" s="6" t="s">
        <v>5773</v>
      </c>
      <c r="AD3186" s="6" t="s">
        <v>7530</v>
      </c>
      <c r="AE3186" s="170" t="s">
        <v>1510</v>
      </c>
      <c r="AF3186" s="159" t="s">
        <v>8471</v>
      </c>
      <c r="AG3186" s="160" t="s">
        <v>5092</v>
      </c>
      <c r="AH3186" s="194" t="s">
        <v>1314</v>
      </c>
      <c r="AI3186" s="6" t="s">
        <v>5332</v>
      </c>
      <c r="AJ3186" s="3" t="s">
        <v>8235</v>
      </c>
      <c r="AK3186" t="s">
        <v>8672</v>
      </c>
      <c r="AV3186"/>
      <c r="AX3186"/>
      <c r="AZ3186" t="str">
        <f t="shared" si="321"/>
        <v/>
      </c>
      <c r="BA3186" t="str">
        <f t="shared" si="322"/>
        <v/>
      </c>
    </row>
    <row r="3187" spans="29:53" ht="13.5">
      <c r="AC3187" s="6" t="s">
        <v>5415</v>
      </c>
      <c r="AD3187" s="6" t="s">
        <v>7530</v>
      </c>
      <c r="AE3187" s="170" t="s">
        <v>1511</v>
      </c>
      <c r="AF3187" s="159" t="s">
        <v>8391</v>
      </c>
      <c r="AG3187" s="160" t="s">
        <v>5066</v>
      </c>
      <c r="AH3187" s="194" t="s">
        <v>1314</v>
      </c>
      <c r="AI3187" s="6" t="s">
        <v>1827</v>
      </c>
      <c r="AJ3187" s="3" t="s">
        <v>8258</v>
      </c>
      <c r="AK3187" t="s">
        <v>8258</v>
      </c>
      <c r="AV3187"/>
      <c r="AX3187"/>
      <c r="AZ3187" t="str">
        <f t="shared" si="321"/>
        <v/>
      </c>
      <c r="BA3187" t="str">
        <f t="shared" si="322"/>
        <v/>
      </c>
    </row>
    <row r="3188" spans="29:53" ht="13.5">
      <c r="AC3188" s="6" t="s">
        <v>6620</v>
      </c>
      <c r="AD3188" s="6" t="s">
        <v>7530</v>
      </c>
      <c r="AE3188" s="170" t="s">
        <v>1512</v>
      </c>
      <c r="AF3188" s="159" t="s">
        <v>8391</v>
      </c>
      <c r="AG3188" s="160" t="s">
        <v>5073</v>
      </c>
      <c r="AH3188" s="194" t="s">
        <v>1314</v>
      </c>
      <c r="AI3188" s="6" t="s">
        <v>5442</v>
      </c>
      <c r="AJ3188" s="3" t="s">
        <v>8217</v>
      </c>
      <c r="AK3188" t="s">
        <v>8668</v>
      </c>
      <c r="AV3188"/>
      <c r="AX3188"/>
      <c r="AZ3188" t="str">
        <f t="shared" si="321"/>
        <v/>
      </c>
      <c r="BA3188" t="str">
        <f t="shared" si="322"/>
        <v/>
      </c>
    </row>
    <row r="3189" spans="29:53" ht="13.5">
      <c r="AC3189" s="6" t="s">
        <v>955</v>
      </c>
      <c r="AD3189" s="6" t="s">
        <v>7530</v>
      </c>
      <c r="AE3189" s="170" t="s">
        <v>1513</v>
      </c>
      <c r="AF3189" s="159" t="s">
        <v>8465</v>
      </c>
      <c r="AG3189" s="160" t="s">
        <v>5055</v>
      </c>
      <c r="AH3189" s="194" t="s">
        <v>1314</v>
      </c>
      <c r="AI3189" s="6" t="s">
        <v>5451</v>
      </c>
      <c r="AJ3189" s="3" t="s">
        <v>8250</v>
      </c>
      <c r="AK3189" t="s">
        <v>8250</v>
      </c>
      <c r="AV3189"/>
      <c r="AX3189"/>
      <c r="AZ3189" t="str">
        <f t="shared" si="321"/>
        <v/>
      </c>
      <c r="BA3189" t="str">
        <f t="shared" si="322"/>
        <v/>
      </c>
    </row>
    <row r="3190" spans="29:53" ht="13.5">
      <c r="AC3190" s="6" t="s">
        <v>1102</v>
      </c>
      <c r="AD3190" s="6" t="s">
        <v>7530</v>
      </c>
      <c r="AE3190" s="170" t="s">
        <v>1514</v>
      </c>
      <c r="AF3190" s="159" t="s">
        <v>8472</v>
      </c>
      <c r="AG3190" s="160" t="s">
        <v>5268</v>
      </c>
      <c r="AH3190" s="194" t="s">
        <v>679</v>
      </c>
      <c r="AI3190" s="6" t="s">
        <v>5205</v>
      </c>
      <c r="AJ3190" s="3" t="s">
        <v>8214</v>
      </c>
      <c r="AK3190" t="s">
        <v>8214</v>
      </c>
      <c r="AV3190"/>
      <c r="AX3190"/>
      <c r="AZ3190" t="str">
        <f t="shared" si="321"/>
        <v/>
      </c>
      <c r="BA3190" t="str">
        <f t="shared" si="322"/>
        <v/>
      </c>
    </row>
    <row r="3191" spans="29:53" ht="13.5">
      <c r="AC3191" s="6" t="s">
        <v>1081</v>
      </c>
      <c r="AD3191" s="6" t="s">
        <v>7530</v>
      </c>
      <c r="AE3191" s="170" t="s">
        <v>1515</v>
      </c>
      <c r="AF3191" s="159" t="s">
        <v>8391</v>
      </c>
      <c r="AG3191" s="160" t="s">
        <v>5129</v>
      </c>
      <c r="AH3191" s="194" t="s">
        <v>1314</v>
      </c>
      <c r="AI3191" s="6" t="s">
        <v>5065</v>
      </c>
      <c r="AJ3191" s="3" t="s">
        <v>8244</v>
      </c>
      <c r="AK3191" t="s">
        <v>8244</v>
      </c>
      <c r="AV3191"/>
      <c r="AX3191"/>
      <c r="AZ3191" t="str">
        <f t="shared" si="321"/>
        <v/>
      </c>
      <c r="BA3191" t="str">
        <f t="shared" si="322"/>
        <v/>
      </c>
    </row>
    <row r="3192" spans="29:53" ht="13.5">
      <c r="AC3192" s="6" t="s">
        <v>331</v>
      </c>
      <c r="AD3192" s="6" t="s">
        <v>7530</v>
      </c>
      <c r="AE3192" s="170">
        <v>303558</v>
      </c>
      <c r="AF3192" s="159" t="s">
        <v>8391</v>
      </c>
      <c r="AG3192" s="160" t="s">
        <v>1760</v>
      </c>
      <c r="AH3192" s="194" t="s">
        <v>679</v>
      </c>
      <c r="AI3192" s="6" t="s">
        <v>6638</v>
      </c>
      <c r="AJ3192" s="3" t="s">
        <v>8260</v>
      </c>
      <c r="AK3192" t="s">
        <v>8678</v>
      </c>
      <c r="AV3192"/>
      <c r="AX3192"/>
      <c r="AZ3192" t="str">
        <f t="shared" si="321"/>
        <v/>
      </c>
      <c r="BA3192" t="str">
        <f t="shared" si="322"/>
        <v/>
      </c>
    </row>
    <row r="3193" spans="29:53" ht="13.5">
      <c r="AC3193" s="6" t="s">
        <v>444</v>
      </c>
      <c r="AD3193" s="6" t="s">
        <v>7530</v>
      </c>
      <c r="AE3193" s="170">
        <v>305298</v>
      </c>
      <c r="AF3193" s="159" t="s">
        <v>8391</v>
      </c>
      <c r="AG3193" s="160" t="s">
        <v>1995</v>
      </c>
      <c r="AH3193" s="194" t="s">
        <v>679</v>
      </c>
      <c r="AI3193" s="6" t="s">
        <v>5206</v>
      </c>
      <c r="AJ3193" s="3" t="s">
        <v>8218</v>
      </c>
      <c r="AK3193" t="s">
        <v>8218</v>
      </c>
      <c r="AV3193"/>
      <c r="AX3193"/>
      <c r="AZ3193" t="str">
        <f t="shared" ref="AZ3193:AZ3256" si="323">IF(ISBLANK(AW3193),"",CONCATENATE("(",RIGHT(AW3193,5),"-",TEXT(AX3193,"h:mm;@"),")"))</f>
        <v/>
      </c>
      <c r="BA3193" t="str">
        <f t="shared" ref="BA3193:BA3256" si="324">IF(AV3209=AV3193,"",CONCATENATE(IF(AV3208=AV3193,BA3208,""),IF(AV3207=AV3193,BA3207,""),IF(AV3206=AV3193,BA3206,""),IF(AV3205=AV3193,BA3205,""),IF(AV3204=AV3193,BA3204,""),IF(AV3203=AV3193,BA3203,""),IF(AV3202=AV3193,BA3202,""),IF(AV3201=AV3193,BA3201,""),IF(AV3200=AV3193,BA3200,""),IF(AV3199=AV3193,BA3199,""),IF(AV3198=AV3193,BA3198,""),IF(AV3197=AV3193,BA3197,""),IF(AV3196=AV3193,BA3196,""),IF(AV3195=AV3193,BA3195,""),IF(AV3194=AV3193,BA3194,""),IF(AV3192=AV3193,BA3192,""),BA3193))</f>
        <v/>
      </c>
    </row>
    <row r="3194" spans="29:53" ht="13.5">
      <c r="AC3194" s="6" t="s">
        <v>1041</v>
      </c>
      <c r="AD3194" s="6" t="s">
        <v>7530</v>
      </c>
      <c r="AE3194" s="170">
        <v>305407</v>
      </c>
      <c r="AF3194" s="159" t="s">
        <v>8458</v>
      </c>
      <c r="AG3194" s="160" t="s">
        <v>1996</v>
      </c>
      <c r="AH3194" s="194" t="s">
        <v>679</v>
      </c>
      <c r="AI3194" s="6" t="s">
        <v>5214</v>
      </c>
      <c r="AJ3194" s="3" t="s">
        <v>8218</v>
      </c>
      <c r="AK3194" t="s">
        <v>8218</v>
      </c>
      <c r="AV3194"/>
      <c r="AX3194"/>
      <c r="AZ3194" t="str">
        <f t="shared" si="323"/>
        <v/>
      </c>
      <c r="BA3194" t="str">
        <f t="shared" si="324"/>
        <v/>
      </c>
    </row>
    <row r="3195" spans="29:53" ht="13.5">
      <c r="AC3195" s="6" t="s">
        <v>6645</v>
      </c>
      <c r="AD3195" s="6" t="s">
        <v>7530</v>
      </c>
      <c r="AE3195" s="170">
        <v>305408</v>
      </c>
      <c r="AF3195" s="159" t="s">
        <v>8472</v>
      </c>
      <c r="AG3195" s="160" t="s">
        <v>1997</v>
      </c>
      <c r="AH3195" s="194" t="s">
        <v>679</v>
      </c>
      <c r="AI3195" s="6" t="s">
        <v>5042</v>
      </c>
      <c r="AJ3195" s="3" t="s">
        <v>8230</v>
      </c>
      <c r="AK3195" t="s">
        <v>8230</v>
      </c>
      <c r="AV3195"/>
      <c r="AX3195"/>
      <c r="AZ3195" t="str">
        <f t="shared" si="323"/>
        <v/>
      </c>
      <c r="BA3195" t="str">
        <f t="shared" si="324"/>
        <v/>
      </c>
    </row>
    <row r="3196" spans="29:53" ht="13.5">
      <c r="AC3196" s="6" t="s">
        <v>482</v>
      </c>
      <c r="AD3196" s="6" t="s">
        <v>7530</v>
      </c>
      <c r="AE3196" s="170">
        <v>315322</v>
      </c>
      <c r="AF3196" s="159" t="s">
        <v>8473</v>
      </c>
      <c r="AG3196" s="160" t="s">
        <v>2150</v>
      </c>
      <c r="AH3196" s="194" t="s">
        <v>679</v>
      </c>
      <c r="AI3196" s="6" t="s">
        <v>5341</v>
      </c>
      <c r="AJ3196" s="3" t="s">
        <v>8227</v>
      </c>
      <c r="AK3196" t="s">
        <v>8227</v>
      </c>
      <c r="AV3196"/>
      <c r="AX3196"/>
      <c r="AZ3196" t="str">
        <f t="shared" si="323"/>
        <v/>
      </c>
      <c r="BA3196" t="str">
        <f t="shared" si="324"/>
        <v/>
      </c>
    </row>
    <row r="3197" spans="29:53" ht="13.5">
      <c r="AC3197" s="6" t="s">
        <v>1051</v>
      </c>
      <c r="AD3197" s="6" t="s">
        <v>7530</v>
      </c>
      <c r="AE3197" s="170">
        <v>475349</v>
      </c>
      <c r="AF3197" s="159" t="s">
        <v>8391</v>
      </c>
      <c r="AG3197" s="160" t="s">
        <v>4497</v>
      </c>
      <c r="AH3197" s="194" t="s">
        <v>679</v>
      </c>
      <c r="AI3197" s="6" t="s">
        <v>5036</v>
      </c>
      <c r="AJ3197" s="3" t="s">
        <v>8248</v>
      </c>
      <c r="AK3197" t="s">
        <v>8248</v>
      </c>
      <c r="AV3197"/>
      <c r="AX3197"/>
      <c r="AZ3197" t="str">
        <f t="shared" si="323"/>
        <v/>
      </c>
      <c r="BA3197" t="str">
        <f t="shared" si="324"/>
        <v/>
      </c>
    </row>
    <row r="3198" spans="29:53" ht="13.5">
      <c r="AC3198" s="6" t="s">
        <v>1050</v>
      </c>
      <c r="AD3198" s="6" t="s">
        <v>7530</v>
      </c>
      <c r="AE3198" s="170">
        <v>625367</v>
      </c>
      <c r="AF3198" s="159" t="s">
        <v>8461</v>
      </c>
      <c r="AG3198" s="160" t="s">
        <v>2152</v>
      </c>
      <c r="AH3198" s="194" t="s">
        <v>679</v>
      </c>
      <c r="AI3198" s="6" t="s">
        <v>5362</v>
      </c>
      <c r="AJ3198" s="3" t="s">
        <v>8258</v>
      </c>
      <c r="AK3198" t="s">
        <v>8258</v>
      </c>
      <c r="AV3198"/>
      <c r="AX3198"/>
      <c r="AZ3198" t="str">
        <f t="shared" si="323"/>
        <v/>
      </c>
      <c r="BA3198" t="str">
        <f t="shared" si="324"/>
        <v/>
      </c>
    </row>
    <row r="3199" spans="29:53" ht="13.5">
      <c r="AC3199" s="6" t="s">
        <v>469</v>
      </c>
      <c r="AD3199" s="6" t="s">
        <v>7530</v>
      </c>
      <c r="AE3199" s="170">
        <v>625369</v>
      </c>
      <c r="AF3199" s="159" t="s">
        <v>8391</v>
      </c>
      <c r="AG3199" s="160" t="s">
        <v>2153</v>
      </c>
      <c r="AH3199" s="194" t="s">
        <v>679</v>
      </c>
      <c r="AI3199" s="6" t="s">
        <v>1312</v>
      </c>
      <c r="AJ3199" s="3" t="s">
        <v>8206</v>
      </c>
      <c r="AK3199" t="s">
        <v>8206</v>
      </c>
      <c r="AV3199"/>
      <c r="AX3199"/>
      <c r="AZ3199" t="str">
        <f t="shared" si="323"/>
        <v/>
      </c>
      <c r="BA3199" t="str">
        <f t="shared" si="324"/>
        <v/>
      </c>
    </row>
    <row r="3200" spans="29:53" ht="13.5">
      <c r="AC3200" s="6" t="s">
        <v>285</v>
      </c>
      <c r="AD3200" s="6" t="s">
        <v>7530</v>
      </c>
      <c r="AE3200" s="170">
        <v>625370</v>
      </c>
      <c r="AF3200" s="159" t="s">
        <v>8391</v>
      </c>
      <c r="AG3200" s="160" t="s">
        <v>2154</v>
      </c>
      <c r="AH3200" s="194" t="s">
        <v>679</v>
      </c>
      <c r="AI3200" s="6" t="s">
        <v>4502</v>
      </c>
      <c r="AJ3200" s="3" t="s">
        <v>8257</v>
      </c>
      <c r="AK3200" t="s">
        <v>8257</v>
      </c>
      <c r="AV3200"/>
      <c r="AX3200"/>
      <c r="AZ3200" t="str">
        <f t="shared" si="323"/>
        <v/>
      </c>
      <c r="BA3200" t="str">
        <f t="shared" si="324"/>
        <v/>
      </c>
    </row>
    <row r="3201" spans="29:53" ht="13.5">
      <c r="AC3201" s="6" t="s">
        <v>299</v>
      </c>
      <c r="AD3201" s="6" t="s">
        <v>7530</v>
      </c>
      <c r="AE3201" s="170" t="s">
        <v>1671</v>
      </c>
      <c r="AF3201" s="159" t="s">
        <v>8391</v>
      </c>
      <c r="AG3201" s="160" t="s">
        <v>5408</v>
      </c>
      <c r="AH3201" s="194" t="s">
        <v>679</v>
      </c>
      <c r="AI3201" s="6" t="s">
        <v>1228</v>
      </c>
      <c r="AJ3201" s="3" t="s">
        <v>8247</v>
      </c>
      <c r="AK3201" t="s">
        <v>8247</v>
      </c>
      <c r="AV3201"/>
      <c r="AX3201"/>
      <c r="AZ3201" t="str">
        <f t="shared" si="323"/>
        <v/>
      </c>
      <c r="BA3201" t="str">
        <f t="shared" si="324"/>
        <v/>
      </c>
    </row>
    <row r="3202" spans="29:53" ht="13.5">
      <c r="AC3202" s="6" t="s">
        <v>357</v>
      </c>
      <c r="AD3202" s="6" t="s">
        <v>7530</v>
      </c>
      <c r="AE3202" s="170" t="s">
        <v>628</v>
      </c>
      <c r="AF3202" s="159" t="s">
        <v>8472</v>
      </c>
      <c r="AG3202" s="160" t="s">
        <v>5409</v>
      </c>
      <c r="AH3202" s="194" t="s">
        <v>679</v>
      </c>
      <c r="AI3202" s="6" t="s">
        <v>5355</v>
      </c>
      <c r="AJ3202" s="3" t="s">
        <v>8197</v>
      </c>
      <c r="AK3202" t="s">
        <v>8197</v>
      </c>
      <c r="AV3202"/>
      <c r="AX3202"/>
      <c r="AZ3202" t="str">
        <f t="shared" si="323"/>
        <v/>
      </c>
      <c r="BA3202" t="str">
        <f t="shared" si="324"/>
        <v/>
      </c>
    </row>
    <row r="3203" spans="29:53" ht="13.5">
      <c r="AC3203" s="6" t="s">
        <v>306</v>
      </c>
      <c r="AD3203" s="6" t="s">
        <v>7530</v>
      </c>
      <c r="AE3203" s="170" t="s">
        <v>1422</v>
      </c>
      <c r="AF3203" s="159" t="s">
        <v>8391</v>
      </c>
      <c r="AG3203" s="160" t="s">
        <v>1781</v>
      </c>
      <c r="AH3203" s="194" t="s">
        <v>1314</v>
      </c>
      <c r="AI3203" s="6" t="s">
        <v>4491</v>
      </c>
      <c r="AJ3203" s="3" t="s">
        <v>8248</v>
      </c>
      <c r="AK3203" t="s">
        <v>8248</v>
      </c>
      <c r="AV3203"/>
      <c r="AX3203"/>
      <c r="AZ3203" t="str">
        <f t="shared" si="323"/>
        <v/>
      </c>
      <c r="BA3203" t="str">
        <f t="shared" si="324"/>
        <v/>
      </c>
    </row>
    <row r="3204" spans="29:53" ht="13.5">
      <c r="AC3204" s="6" t="s">
        <v>583</v>
      </c>
      <c r="AD3204" s="6" t="s">
        <v>7530</v>
      </c>
      <c r="AE3204" s="170" t="s">
        <v>1432</v>
      </c>
      <c r="AF3204" s="159" t="s">
        <v>8391</v>
      </c>
      <c r="AG3204" s="160" t="s">
        <v>1782</v>
      </c>
      <c r="AH3204" s="194" t="s">
        <v>679</v>
      </c>
      <c r="AI3204" s="6" t="s">
        <v>1303</v>
      </c>
      <c r="AJ3204" s="3" t="s">
        <v>8256</v>
      </c>
      <c r="AK3204" t="s">
        <v>8256</v>
      </c>
      <c r="AV3204"/>
      <c r="AX3204"/>
      <c r="AZ3204" t="str">
        <f t="shared" si="323"/>
        <v/>
      </c>
      <c r="BA3204" t="str">
        <f t="shared" si="324"/>
        <v/>
      </c>
    </row>
    <row r="3205" spans="29:53" ht="13.5">
      <c r="AC3205" s="6" t="s">
        <v>513</v>
      </c>
      <c r="AD3205" s="6" t="s">
        <v>7530</v>
      </c>
      <c r="AE3205" s="170" t="s">
        <v>5248</v>
      </c>
      <c r="AF3205" s="159" t="s">
        <v>8391</v>
      </c>
      <c r="AG3205" s="160" t="s">
        <v>1783</v>
      </c>
      <c r="AH3205" s="194" t="s">
        <v>679</v>
      </c>
      <c r="AI3205" s="6" t="s">
        <v>5186</v>
      </c>
      <c r="AJ3205" s="3" t="s">
        <v>8271</v>
      </c>
      <c r="AK3205" t="s">
        <v>8271</v>
      </c>
      <c r="AV3205"/>
      <c r="AX3205"/>
      <c r="AZ3205" t="str">
        <f t="shared" si="323"/>
        <v/>
      </c>
      <c r="BA3205" t="str">
        <f t="shared" si="324"/>
        <v/>
      </c>
    </row>
    <row r="3206" spans="29:53" ht="13.5">
      <c r="AC3206" s="6" t="s">
        <v>585</v>
      </c>
      <c r="AD3206" s="6" t="s">
        <v>7530</v>
      </c>
      <c r="AE3206" s="170" t="s">
        <v>5169</v>
      </c>
      <c r="AF3206" s="159" t="s">
        <v>8391</v>
      </c>
      <c r="AG3206" s="160" t="s">
        <v>1784</v>
      </c>
      <c r="AH3206" s="194" t="s">
        <v>679</v>
      </c>
      <c r="AI3206" s="6" t="s">
        <v>5456</v>
      </c>
      <c r="AJ3206" s="3" t="s">
        <v>8225</v>
      </c>
      <c r="AK3206" t="s">
        <v>8225</v>
      </c>
      <c r="AV3206"/>
      <c r="AX3206"/>
      <c r="AZ3206" t="str">
        <f t="shared" si="323"/>
        <v/>
      </c>
      <c r="BA3206" t="str">
        <f t="shared" si="324"/>
        <v/>
      </c>
    </row>
    <row r="3207" spans="29:53" ht="13.5">
      <c r="AC3207" s="6" t="s">
        <v>5774</v>
      </c>
      <c r="AD3207" s="6" t="s">
        <v>7530</v>
      </c>
      <c r="AE3207" s="170" t="s">
        <v>1420</v>
      </c>
      <c r="AF3207" s="159" t="s">
        <v>8391</v>
      </c>
      <c r="AG3207" s="160" t="s">
        <v>1825</v>
      </c>
      <c r="AH3207" s="194" t="s">
        <v>679</v>
      </c>
      <c r="AI3207" s="6" t="s">
        <v>5222</v>
      </c>
      <c r="AJ3207" s="3" t="s">
        <v>8213</v>
      </c>
      <c r="AK3207" t="s">
        <v>8213</v>
      </c>
      <c r="AV3207"/>
      <c r="AX3207"/>
      <c r="AZ3207" t="str">
        <f t="shared" si="323"/>
        <v/>
      </c>
      <c r="BA3207" t="str">
        <f t="shared" si="324"/>
        <v/>
      </c>
    </row>
    <row r="3208" spans="29:53" ht="13.5">
      <c r="AC3208" s="6" t="s">
        <v>512</v>
      </c>
      <c r="AD3208" s="6" t="s">
        <v>7530</v>
      </c>
      <c r="AE3208" s="170" t="s">
        <v>1421</v>
      </c>
      <c r="AF3208" s="159" t="s">
        <v>8391</v>
      </c>
      <c r="AG3208" s="160" t="s">
        <v>2241</v>
      </c>
      <c r="AH3208" s="194" t="s">
        <v>679</v>
      </c>
      <c r="AI3208" s="6" t="s">
        <v>5356</v>
      </c>
      <c r="AJ3208" s="3" t="s">
        <v>8219</v>
      </c>
      <c r="AK3208" t="s">
        <v>8219</v>
      </c>
      <c r="AV3208"/>
      <c r="AX3208"/>
      <c r="AZ3208" t="str">
        <f t="shared" si="323"/>
        <v/>
      </c>
      <c r="BA3208" t="str">
        <f t="shared" si="324"/>
        <v/>
      </c>
    </row>
    <row r="3209" spans="29:53" ht="13.5">
      <c r="AC3209" s="6" t="s">
        <v>584</v>
      </c>
      <c r="AD3209" s="6" t="s">
        <v>7530</v>
      </c>
      <c r="AE3209" s="170" t="s">
        <v>676</v>
      </c>
      <c r="AF3209" s="159" t="s">
        <v>8458</v>
      </c>
      <c r="AG3209" s="160" t="s">
        <v>2242</v>
      </c>
      <c r="AH3209" s="194" t="s">
        <v>679</v>
      </c>
      <c r="AI3209" s="6" t="s">
        <v>5047</v>
      </c>
      <c r="AJ3209" s="3" t="s">
        <v>8224</v>
      </c>
      <c r="AK3209" t="s">
        <v>8224</v>
      </c>
      <c r="AV3209"/>
      <c r="AX3209"/>
      <c r="AZ3209" t="str">
        <f t="shared" si="323"/>
        <v/>
      </c>
      <c r="BA3209" t="str">
        <f t="shared" si="324"/>
        <v/>
      </c>
    </row>
    <row r="3210" spans="29:53" ht="13.5">
      <c r="AC3210" s="6" t="s">
        <v>4280</v>
      </c>
      <c r="AD3210" s="6" t="s">
        <v>7552</v>
      </c>
      <c r="AE3210" s="170" t="s">
        <v>677</v>
      </c>
      <c r="AF3210" s="159" t="s">
        <v>8391</v>
      </c>
      <c r="AG3210" s="160" t="s">
        <v>2246</v>
      </c>
      <c r="AH3210" s="194" t="s">
        <v>679</v>
      </c>
      <c r="AI3210" s="6" t="s">
        <v>5464</v>
      </c>
      <c r="AJ3210" s="3" t="s">
        <v>8223</v>
      </c>
      <c r="AK3210" t="s">
        <v>8223</v>
      </c>
      <c r="AV3210"/>
      <c r="AX3210"/>
      <c r="AZ3210" t="str">
        <f t="shared" si="323"/>
        <v/>
      </c>
      <c r="BA3210" t="str">
        <f t="shared" si="324"/>
        <v/>
      </c>
    </row>
    <row r="3211" spans="29:53" ht="13.5">
      <c r="AC3211" s="6" t="s">
        <v>310</v>
      </c>
      <c r="AD3211" s="6" t="s">
        <v>7530</v>
      </c>
      <c r="AE3211" s="170" t="s">
        <v>1430</v>
      </c>
      <c r="AF3211" s="159" t="s">
        <v>8474</v>
      </c>
      <c r="AG3211" s="160" t="s">
        <v>2249</v>
      </c>
      <c r="AH3211" s="194" t="s">
        <v>679</v>
      </c>
      <c r="AI3211" s="6" t="s">
        <v>5371</v>
      </c>
      <c r="AJ3211" s="3" t="s">
        <v>8216</v>
      </c>
      <c r="AK3211" t="s">
        <v>8216</v>
      </c>
      <c r="AV3211"/>
      <c r="AX3211"/>
      <c r="AZ3211" t="str">
        <f t="shared" si="323"/>
        <v/>
      </c>
      <c r="BA3211" t="str">
        <f t="shared" si="324"/>
        <v/>
      </c>
    </row>
    <row r="3212" spans="29:53" ht="13.5">
      <c r="AC3212" s="6" t="s">
        <v>261</v>
      </c>
      <c r="AD3212" s="6" t="s">
        <v>7530</v>
      </c>
      <c r="AE3212" s="170" t="s">
        <v>1477</v>
      </c>
      <c r="AF3212" s="159" t="s">
        <v>8391</v>
      </c>
      <c r="AG3212" s="160" t="s">
        <v>2489</v>
      </c>
      <c r="AH3212" s="194" t="s">
        <v>679</v>
      </c>
      <c r="AI3212" s="6" t="s">
        <v>5370</v>
      </c>
      <c r="AJ3212" s="3" t="s">
        <v>8219</v>
      </c>
      <c r="AK3212" t="s">
        <v>8219</v>
      </c>
      <c r="AV3212"/>
      <c r="AX3212"/>
      <c r="AZ3212" t="str">
        <f t="shared" si="323"/>
        <v/>
      </c>
      <c r="BA3212" t="str">
        <f t="shared" si="324"/>
        <v/>
      </c>
    </row>
    <row r="3213" spans="29:53" ht="13.5">
      <c r="AC3213" s="6" t="s">
        <v>224</v>
      </c>
      <c r="AD3213" s="6" t="s">
        <v>7530</v>
      </c>
      <c r="AE3213" s="170" t="s">
        <v>1479</v>
      </c>
      <c r="AF3213" s="159" t="s">
        <v>8391</v>
      </c>
      <c r="AG3213" s="160" t="s">
        <v>2490</v>
      </c>
      <c r="AH3213" s="194" t="s">
        <v>679</v>
      </c>
      <c r="AI3213" s="6" t="s">
        <v>4438</v>
      </c>
      <c r="AJ3213" s="3" t="s">
        <v>8223</v>
      </c>
      <c r="AK3213" t="s">
        <v>8223</v>
      </c>
      <c r="AV3213"/>
      <c r="AX3213"/>
      <c r="AZ3213" t="str">
        <f t="shared" si="323"/>
        <v/>
      </c>
      <c r="BA3213" t="str">
        <f t="shared" si="324"/>
        <v/>
      </c>
    </row>
    <row r="3214" spans="29:53" ht="13.5">
      <c r="AC3214" s="6" t="s">
        <v>3973</v>
      </c>
      <c r="AD3214" s="6" t="s">
        <v>7530</v>
      </c>
      <c r="AE3214" s="170" t="s">
        <v>1481</v>
      </c>
      <c r="AF3214" s="159" t="s">
        <v>8391</v>
      </c>
      <c r="AG3214" s="160" t="s">
        <v>2648</v>
      </c>
      <c r="AH3214" s="194" t="s">
        <v>1314</v>
      </c>
      <c r="AI3214" s="6" t="s">
        <v>5449</v>
      </c>
      <c r="AJ3214" s="3" t="s">
        <v>8202</v>
      </c>
      <c r="AK3214" t="s">
        <v>8202</v>
      </c>
      <c r="AV3214"/>
      <c r="AX3214"/>
      <c r="AZ3214" t="str">
        <f t="shared" si="323"/>
        <v/>
      </c>
      <c r="BA3214" t="str">
        <f t="shared" si="324"/>
        <v/>
      </c>
    </row>
    <row r="3215" spans="29:53" ht="13.5">
      <c r="AC3215" s="6" t="s">
        <v>286</v>
      </c>
      <c r="AD3215" s="6" t="s">
        <v>7530</v>
      </c>
      <c r="AE3215" s="170" t="s">
        <v>1562</v>
      </c>
      <c r="AF3215" s="159" t="s">
        <v>8391</v>
      </c>
      <c r="AG3215" s="160" t="s">
        <v>2649</v>
      </c>
      <c r="AH3215" s="194" t="s">
        <v>679</v>
      </c>
      <c r="AI3215" s="6" t="s">
        <v>5154</v>
      </c>
      <c r="AJ3215" s="3" t="s">
        <v>8223</v>
      </c>
      <c r="AK3215" t="s">
        <v>8223</v>
      </c>
      <c r="AV3215"/>
      <c r="AX3215"/>
      <c r="AZ3215" t="str">
        <f t="shared" si="323"/>
        <v/>
      </c>
      <c r="BA3215" t="str">
        <f t="shared" si="324"/>
        <v/>
      </c>
    </row>
    <row r="3216" spans="29:53" ht="13.5">
      <c r="AC3216" s="6" t="s">
        <v>1086</v>
      </c>
      <c r="AD3216" s="6" t="s">
        <v>7530</v>
      </c>
      <c r="AE3216" s="170" t="s">
        <v>1563</v>
      </c>
      <c r="AF3216" s="159" t="s">
        <v>8460</v>
      </c>
      <c r="AG3216" s="160" t="s">
        <v>2691</v>
      </c>
      <c r="AH3216" s="194" t="s">
        <v>679</v>
      </c>
      <c r="AI3216" s="6" t="s">
        <v>5132</v>
      </c>
      <c r="AJ3216" s="3" t="s">
        <v>8261</v>
      </c>
      <c r="AK3216" t="s">
        <v>8261</v>
      </c>
      <c r="AV3216"/>
      <c r="AX3216"/>
      <c r="AZ3216" t="str">
        <f t="shared" si="323"/>
        <v/>
      </c>
      <c r="BA3216" t="str">
        <f t="shared" si="324"/>
        <v/>
      </c>
    </row>
    <row r="3217" spans="29:53" ht="13.5">
      <c r="AC3217" s="6" t="s">
        <v>1079</v>
      </c>
      <c r="AD3217" s="6" t="s">
        <v>7530</v>
      </c>
      <c r="AE3217" s="170" t="s">
        <v>1564</v>
      </c>
      <c r="AF3217" s="159" t="s">
        <v>8391</v>
      </c>
      <c r="AG3217" s="160" t="s">
        <v>2756</v>
      </c>
      <c r="AH3217" s="194" t="s">
        <v>1314</v>
      </c>
      <c r="AI3217" s="6" t="s">
        <v>1311</v>
      </c>
      <c r="AJ3217" s="3" t="s">
        <v>8255</v>
      </c>
      <c r="AK3217" t="s">
        <v>8255</v>
      </c>
      <c r="AV3217"/>
      <c r="AX3217"/>
      <c r="AZ3217" t="str">
        <f t="shared" si="323"/>
        <v/>
      </c>
      <c r="BA3217" t="str">
        <f t="shared" si="324"/>
        <v/>
      </c>
    </row>
    <row r="3218" spans="29:53" ht="13.5">
      <c r="AC3218" s="6" t="s">
        <v>443</v>
      </c>
      <c r="AD3218" s="6" t="s">
        <v>7530</v>
      </c>
      <c r="AE3218" s="170" t="s">
        <v>4779</v>
      </c>
      <c r="AF3218" s="159" t="s">
        <v>8391</v>
      </c>
      <c r="AG3218" s="160" t="s">
        <v>3923</v>
      </c>
      <c r="AH3218" s="194" t="s">
        <v>679</v>
      </c>
      <c r="AI3218" s="6" t="s">
        <v>1268</v>
      </c>
      <c r="AJ3218" s="3" t="s">
        <v>8249</v>
      </c>
      <c r="AK3218" t="s">
        <v>8249</v>
      </c>
      <c r="AV3218"/>
      <c r="AX3218"/>
      <c r="AZ3218" t="str">
        <f t="shared" si="323"/>
        <v/>
      </c>
      <c r="BA3218" t="str">
        <f t="shared" si="324"/>
        <v/>
      </c>
    </row>
    <row r="3219" spans="29:53" ht="13.5">
      <c r="AC3219" s="6" t="s">
        <v>267</v>
      </c>
      <c r="AD3219" s="6" t="s">
        <v>7530</v>
      </c>
      <c r="AE3219" s="170" t="s">
        <v>1461</v>
      </c>
      <c r="AF3219" s="159" t="s">
        <v>8339</v>
      </c>
      <c r="AG3219" s="160" t="s">
        <v>3924</v>
      </c>
      <c r="AH3219" s="194" t="s">
        <v>1314</v>
      </c>
      <c r="AI3219" s="6" t="s">
        <v>5128</v>
      </c>
      <c r="AJ3219" s="3" t="s">
        <v>8214</v>
      </c>
      <c r="AK3219" t="s">
        <v>8214</v>
      </c>
      <c r="AV3219"/>
      <c r="AX3219"/>
      <c r="AZ3219" t="str">
        <f t="shared" si="323"/>
        <v/>
      </c>
      <c r="BA3219" t="str">
        <f t="shared" si="324"/>
        <v/>
      </c>
    </row>
    <row r="3220" spans="29:53" ht="13.5">
      <c r="AC3220" s="6" t="s">
        <v>442</v>
      </c>
      <c r="AD3220" s="6" t="s">
        <v>7530</v>
      </c>
      <c r="AE3220" s="170" t="s">
        <v>1465</v>
      </c>
      <c r="AF3220" s="159" t="s">
        <v>8339</v>
      </c>
      <c r="AG3220" s="160" t="s">
        <v>3925</v>
      </c>
      <c r="AH3220" s="194" t="s">
        <v>1314</v>
      </c>
      <c r="AI3220" s="6" t="s">
        <v>991</v>
      </c>
      <c r="AJ3220" s="3" t="s">
        <v>8265</v>
      </c>
      <c r="AK3220" t="s">
        <v>8265</v>
      </c>
      <c r="AV3220"/>
      <c r="AX3220"/>
      <c r="AZ3220" t="str">
        <f t="shared" si="323"/>
        <v/>
      </c>
      <c r="BA3220" t="str">
        <f t="shared" si="324"/>
        <v/>
      </c>
    </row>
    <row r="3221" spans="29:53" ht="13.5">
      <c r="AC3221" s="6" t="s">
        <v>1409</v>
      </c>
      <c r="AD3221" s="6" t="s">
        <v>7530</v>
      </c>
      <c r="AE3221" s="170" t="s">
        <v>993</v>
      </c>
      <c r="AF3221" s="159" t="s">
        <v>8339</v>
      </c>
      <c r="AG3221" s="160" t="s">
        <v>5119</v>
      </c>
      <c r="AH3221" s="194" t="s">
        <v>1314</v>
      </c>
      <c r="AI3221" s="6" t="s">
        <v>5447</v>
      </c>
      <c r="AJ3221" s="3" t="s">
        <v>8272</v>
      </c>
      <c r="AK3221" t="s">
        <v>8272</v>
      </c>
      <c r="AV3221"/>
      <c r="AX3221"/>
      <c r="AZ3221" t="str">
        <f t="shared" si="323"/>
        <v/>
      </c>
      <c r="BA3221" t="str">
        <f t="shared" si="324"/>
        <v/>
      </c>
    </row>
    <row r="3222" spans="29:53" ht="13.5">
      <c r="AC3222" s="6" t="s">
        <v>368</v>
      </c>
      <c r="AD3222" s="6" t="s">
        <v>7530</v>
      </c>
      <c r="AE3222" s="170" t="s">
        <v>150</v>
      </c>
      <c r="AF3222" s="159" t="s">
        <v>8339</v>
      </c>
      <c r="AG3222" s="160" t="s">
        <v>182</v>
      </c>
      <c r="AH3222" s="194" t="s">
        <v>4700</v>
      </c>
      <c r="AI3222" s="6" t="s">
        <v>5037</v>
      </c>
      <c r="AJ3222" s="3" t="s">
        <v>8235</v>
      </c>
      <c r="AK3222" t="s">
        <v>8672</v>
      </c>
      <c r="AV3222"/>
      <c r="AX3222"/>
      <c r="AZ3222" t="str">
        <f t="shared" si="323"/>
        <v/>
      </c>
      <c r="BA3222" t="str">
        <f t="shared" si="324"/>
        <v/>
      </c>
    </row>
    <row r="3223" spans="29:53" ht="13.5">
      <c r="AC3223" s="6" t="s">
        <v>597</v>
      </c>
      <c r="AD3223" s="6" t="s">
        <v>7530</v>
      </c>
      <c r="AE3223" s="170" t="s">
        <v>1535</v>
      </c>
      <c r="AF3223" s="159" t="s">
        <v>8339</v>
      </c>
      <c r="AG3223" s="160" t="s">
        <v>183</v>
      </c>
      <c r="AH3223" s="194" t="s">
        <v>678</v>
      </c>
      <c r="AI3223" s="6" t="s">
        <v>1269</v>
      </c>
      <c r="AJ3223" s="3" t="s">
        <v>8249</v>
      </c>
      <c r="AK3223" t="s">
        <v>8249</v>
      </c>
      <c r="AV3223"/>
      <c r="AX3223"/>
      <c r="AZ3223" t="str">
        <f t="shared" si="323"/>
        <v/>
      </c>
      <c r="BA3223" t="str">
        <f t="shared" si="324"/>
        <v/>
      </c>
    </row>
    <row r="3224" spans="29:53" ht="13.5">
      <c r="AC3224" s="6" t="s">
        <v>275</v>
      </c>
      <c r="AD3224" s="6" t="s">
        <v>7530</v>
      </c>
      <c r="AE3224" s="170" t="s">
        <v>152</v>
      </c>
      <c r="AF3224" s="159" t="s">
        <v>8449</v>
      </c>
      <c r="AG3224" s="160" t="s">
        <v>184</v>
      </c>
      <c r="AH3224" s="194" t="s">
        <v>678</v>
      </c>
      <c r="AI3224" s="6" t="s">
        <v>1250</v>
      </c>
      <c r="AJ3224" s="3" t="s">
        <v>8232</v>
      </c>
      <c r="AK3224" t="s">
        <v>8232</v>
      </c>
      <c r="AV3224"/>
      <c r="AX3224"/>
      <c r="AZ3224" t="str">
        <f t="shared" si="323"/>
        <v/>
      </c>
      <c r="BA3224" t="str">
        <f t="shared" si="324"/>
        <v/>
      </c>
    </row>
    <row r="3225" spans="29:53" ht="13.5">
      <c r="AC3225" s="6" t="s">
        <v>450</v>
      </c>
      <c r="AD3225" s="6" t="s">
        <v>7530</v>
      </c>
      <c r="AE3225" s="170" t="s">
        <v>1537</v>
      </c>
      <c r="AF3225" s="159" t="s">
        <v>8475</v>
      </c>
      <c r="AG3225" s="160" t="s">
        <v>185</v>
      </c>
      <c r="AH3225" s="194" t="s">
        <v>678</v>
      </c>
      <c r="AI3225" s="6" t="s">
        <v>1284</v>
      </c>
      <c r="AJ3225" s="3" t="s">
        <v>8248</v>
      </c>
      <c r="AK3225" t="s">
        <v>8248</v>
      </c>
      <c r="AV3225"/>
      <c r="AX3225"/>
      <c r="AZ3225" t="str">
        <f t="shared" si="323"/>
        <v/>
      </c>
      <c r="BA3225" t="str">
        <f t="shared" si="324"/>
        <v/>
      </c>
    </row>
    <row r="3226" spans="29:53" ht="13.5">
      <c r="AC3226" s="6" t="s">
        <v>582</v>
      </c>
      <c r="AD3226" s="6" t="s">
        <v>7530</v>
      </c>
      <c r="AE3226" s="170" t="s">
        <v>1539</v>
      </c>
      <c r="AF3226" s="159" t="s">
        <v>8476</v>
      </c>
      <c r="AG3226" s="160" t="s">
        <v>186</v>
      </c>
      <c r="AH3226" s="194" t="s">
        <v>679</v>
      </c>
      <c r="AI3226" s="6" t="s">
        <v>5471</v>
      </c>
      <c r="AJ3226" s="3" t="s">
        <v>8265</v>
      </c>
      <c r="AK3226" t="s">
        <v>8265</v>
      </c>
      <c r="AV3226"/>
      <c r="AX3226"/>
      <c r="AZ3226" t="str">
        <f t="shared" si="323"/>
        <v/>
      </c>
      <c r="BA3226" t="str">
        <f t="shared" si="324"/>
        <v/>
      </c>
    </row>
    <row r="3227" spans="29:53" ht="13.5">
      <c r="AC3227" s="6" t="s">
        <v>330</v>
      </c>
      <c r="AD3227" s="6" t="s">
        <v>7530</v>
      </c>
      <c r="AE3227" s="170" t="s">
        <v>153</v>
      </c>
      <c r="AF3227" s="159" t="s">
        <v>8477</v>
      </c>
      <c r="AG3227" s="160" t="s">
        <v>187</v>
      </c>
      <c r="AH3227" s="194" t="s">
        <v>678</v>
      </c>
      <c r="AI3227" s="6" t="s">
        <v>1285</v>
      </c>
      <c r="AJ3227" s="3" t="s">
        <v>8222</v>
      </c>
      <c r="AK3227" t="s">
        <v>8670</v>
      </c>
      <c r="AV3227"/>
      <c r="AX3227"/>
      <c r="AZ3227" t="str">
        <f t="shared" si="323"/>
        <v/>
      </c>
      <c r="BA3227" t="str">
        <f t="shared" si="324"/>
        <v/>
      </c>
    </row>
    <row r="3228" spans="29:53" ht="13.5">
      <c r="AC3228" s="6" t="s">
        <v>1093</v>
      </c>
      <c r="AD3228" s="6" t="s">
        <v>7530</v>
      </c>
      <c r="AE3228" s="170" t="s">
        <v>1540</v>
      </c>
      <c r="AF3228" s="159" t="s">
        <v>8478</v>
      </c>
      <c r="AG3228" s="160" t="s">
        <v>188</v>
      </c>
      <c r="AH3228" s="194" t="s">
        <v>678</v>
      </c>
      <c r="AI3228" s="6" t="s">
        <v>5266</v>
      </c>
      <c r="AJ3228" s="3" t="s">
        <v>8232</v>
      </c>
      <c r="AK3228" t="s">
        <v>8232</v>
      </c>
      <c r="AV3228"/>
      <c r="AX3228"/>
      <c r="AZ3228" t="str">
        <f t="shared" si="323"/>
        <v/>
      </c>
      <c r="BA3228" t="str">
        <f t="shared" si="324"/>
        <v/>
      </c>
    </row>
    <row r="3229" spans="29:53" ht="13.5">
      <c r="AC3229" s="6" t="s">
        <v>483</v>
      </c>
      <c r="AD3229" s="6" t="s">
        <v>7530</v>
      </c>
      <c r="AE3229" s="170" t="s">
        <v>154</v>
      </c>
      <c r="AF3229" s="159" t="s">
        <v>8339</v>
      </c>
      <c r="AG3229" s="160" t="s">
        <v>189</v>
      </c>
      <c r="AH3229" s="194" t="s">
        <v>678</v>
      </c>
      <c r="AI3229" s="6" t="s">
        <v>5138</v>
      </c>
      <c r="AJ3229" s="3" t="s">
        <v>8248</v>
      </c>
      <c r="AK3229" t="s">
        <v>8248</v>
      </c>
      <c r="AV3229"/>
      <c r="AX3229"/>
      <c r="AZ3229" t="str">
        <f t="shared" si="323"/>
        <v/>
      </c>
      <c r="BA3229" t="str">
        <f t="shared" si="324"/>
        <v/>
      </c>
    </row>
    <row r="3230" spans="29:53" ht="13.5">
      <c r="AC3230" s="6" t="s">
        <v>1192</v>
      </c>
      <c r="AD3230" s="6" t="s">
        <v>7530</v>
      </c>
      <c r="AE3230" s="170" t="s">
        <v>1542</v>
      </c>
      <c r="AF3230" s="159" t="s">
        <v>8339</v>
      </c>
      <c r="AG3230" s="160" t="s">
        <v>190</v>
      </c>
      <c r="AH3230" s="194" t="s">
        <v>678</v>
      </c>
      <c r="AI3230" s="6" t="s">
        <v>5260</v>
      </c>
      <c r="AJ3230" s="3" t="s">
        <v>8238</v>
      </c>
      <c r="AK3230" t="s">
        <v>8673</v>
      </c>
      <c r="AV3230"/>
      <c r="AX3230"/>
      <c r="AZ3230" t="str">
        <f t="shared" si="323"/>
        <v/>
      </c>
      <c r="BA3230" t="str">
        <f t="shared" si="324"/>
        <v/>
      </c>
    </row>
    <row r="3231" spans="29:53" ht="13.5">
      <c r="AC3231" s="6" t="s">
        <v>389</v>
      </c>
      <c r="AD3231" s="6" t="s">
        <v>7530</v>
      </c>
      <c r="AE3231" s="170" t="s">
        <v>1543</v>
      </c>
      <c r="AF3231" s="159" t="s">
        <v>8479</v>
      </c>
      <c r="AG3231" s="160" t="s">
        <v>191</v>
      </c>
      <c r="AH3231" s="194" t="s">
        <v>678</v>
      </c>
      <c r="AI3231" s="6" t="s">
        <v>5167</v>
      </c>
      <c r="AJ3231" s="3" t="s">
        <v>8252</v>
      </c>
      <c r="AK3231" t="s">
        <v>8252</v>
      </c>
      <c r="AV3231"/>
      <c r="AX3231"/>
      <c r="AZ3231" t="str">
        <f t="shared" si="323"/>
        <v/>
      </c>
      <c r="BA3231" t="str">
        <f t="shared" si="324"/>
        <v/>
      </c>
    </row>
    <row r="3232" spans="29:53" ht="13.5">
      <c r="AC3232" s="6" t="s">
        <v>4438</v>
      </c>
      <c r="AD3232" s="6" t="s">
        <v>7544</v>
      </c>
      <c r="AE3232" s="170" t="s">
        <v>1544</v>
      </c>
      <c r="AF3232" s="159" t="s">
        <v>8347</v>
      </c>
      <c r="AG3232" s="160" t="s">
        <v>192</v>
      </c>
      <c r="AH3232" s="194" t="s">
        <v>678</v>
      </c>
      <c r="AI3232" s="6" t="s">
        <v>1028</v>
      </c>
      <c r="AJ3232" s="3" t="s">
        <v>8263</v>
      </c>
      <c r="AK3232" t="s">
        <v>8263</v>
      </c>
      <c r="AV3232"/>
      <c r="AX3232"/>
      <c r="AZ3232" t="str">
        <f t="shared" si="323"/>
        <v/>
      </c>
      <c r="BA3232" t="str">
        <f t="shared" si="324"/>
        <v/>
      </c>
    </row>
    <row r="3233" spans="29:53" ht="13.5">
      <c r="AC3233" s="6" t="s">
        <v>392</v>
      </c>
      <c r="AD3233" s="6" t="s">
        <v>7530</v>
      </c>
      <c r="AE3233" s="170" t="s">
        <v>155</v>
      </c>
      <c r="AF3233" s="159" t="s">
        <v>8411</v>
      </c>
      <c r="AG3233" s="160" t="s">
        <v>193</v>
      </c>
      <c r="AH3233" s="194" t="s">
        <v>678</v>
      </c>
      <c r="AI3233" s="6" t="s">
        <v>5158</v>
      </c>
      <c r="AJ3233" s="3" t="s">
        <v>8258</v>
      </c>
      <c r="AK3233" t="s">
        <v>8258</v>
      </c>
      <c r="AV3233"/>
      <c r="AX3233"/>
      <c r="AZ3233" t="str">
        <f t="shared" si="323"/>
        <v/>
      </c>
      <c r="BA3233" t="str">
        <f t="shared" si="324"/>
        <v/>
      </c>
    </row>
    <row r="3234" spans="29:53" ht="13.5">
      <c r="AC3234" s="6" t="s">
        <v>1071</v>
      </c>
      <c r="AD3234" s="6" t="s">
        <v>7530</v>
      </c>
      <c r="AE3234" s="170" t="s">
        <v>157</v>
      </c>
      <c r="AF3234" s="159" t="s">
        <v>8339</v>
      </c>
      <c r="AG3234" s="160" t="s">
        <v>194</v>
      </c>
      <c r="AH3234" s="194" t="s">
        <v>678</v>
      </c>
      <c r="AI3234" s="6" t="s">
        <v>5257</v>
      </c>
      <c r="AJ3234" s="3" t="s">
        <v>8233</v>
      </c>
      <c r="AK3234" t="s">
        <v>8233</v>
      </c>
      <c r="AV3234"/>
      <c r="AX3234"/>
      <c r="AZ3234" t="str">
        <f t="shared" si="323"/>
        <v/>
      </c>
      <c r="BA3234" t="str">
        <f t="shared" si="324"/>
        <v/>
      </c>
    </row>
    <row r="3235" spans="29:53" ht="13.5">
      <c r="AC3235" s="6" t="s">
        <v>265</v>
      </c>
      <c r="AD3235" s="6" t="s">
        <v>7530</v>
      </c>
      <c r="AE3235" s="170" t="s">
        <v>1567</v>
      </c>
      <c r="AF3235" s="159" t="s">
        <v>8339</v>
      </c>
      <c r="AG3235" s="160" t="s">
        <v>195</v>
      </c>
      <c r="AH3235" s="194" t="s">
        <v>678</v>
      </c>
      <c r="AI3235" s="6" t="s">
        <v>5062</v>
      </c>
      <c r="AJ3235" s="3" t="s">
        <v>8259</v>
      </c>
      <c r="AK3235" t="s">
        <v>8677</v>
      </c>
      <c r="AV3235"/>
      <c r="AX3235"/>
      <c r="AZ3235" t="str">
        <f t="shared" si="323"/>
        <v/>
      </c>
      <c r="BA3235" t="str">
        <f t="shared" si="324"/>
        <v/>
      </c>
    </row>
    <row r="3236" spans="29:53" ht="13.5">
      <c r="AC3236" s="6" t="s">
        <v>468</v>
      </c>
      <c r="AD3236" s="6" t="s">
        <v>7530</v>
      </c>
      <c r="AE3236" s="170" t="s">
        <v>158</v>
      </c>
      <c r="AF3236" s="159" t="s">
        <v>8339</v>
      </c>
      <c r="AG3236" s="160" t="s">
        <v>196</v>
      </c>
      <c r="AH3236" s="194" t="s">
        <v>678</v>
      </c>
      <c r="AI3236" s="6" t="s">
        <v>5050</v>
      </c>
      <c r="AJ3236" s="3" t="s">
        <v>8267</v>
      </c>
      <c r="AK3236" t="s">
        <v>8280</v>
      </c>
      <c r="AV3236"/>
      <c r="AX3236"/>
      <c r="AZ3236" t="str">
        <f t="shared" si="323"/>
        <v/>
      </c>
      <c r="BA3236" t="str">
        <f t="shared" si="324"/>
        <v/>
      </c>
    </row>
    <row r="3237" spans="29:53" ht="13.5">
      <c r="AC3237" s="6" t="s">
        <v>580</v>
      </c>
      <c r="AD3237" s="6" t="s">
        <v>7530</v>
      </c>
      <c r="AE3237" s="170" t="s">
        <v>1572</v>
      </c>
      <c r="AF3237" s="159" t="s">
        <v>8342</v>
      </c>
      <c r="AG3237" s="160" t="s">
        <v>197</v>
      </c>
      <c r="AH3237" s="194" t="s">
        <v>679</v>
      </c>
      <c r="AI3237" s="6" t="s">
        <v>5203</v>
      </c>
      <c r="AJ3237" s="3" t="s">
        <v>8266</v>
      </c>
      <c r="AK3237" t="s">
        <v>8266</v>
      </c>
      <c r="AV3237"/>
      <c r="AX3237"/>
      <c r="AZ3237" t="str">
        <f t="shared" si="323"/>
        <v/>
      </c>
      <c r="BA3237" t="str">
        <f t="shared" si="324"/>
        <v/>
      </c>
    </row>
    <row r="3238" spans="29:53" ht="13.5">
      <c r="AC3238" s="6" t="s">
        <v>263</v>
      </c>
      <c r="AD3238" s="6" t="s">
        <v>7530</v>
      </c>
      <c r="AE3238" s="170" t="s">
        <v>1575</v>
      </c>
      <c r="AF3238" s="159" t="s">
        <v>8339</v>
      </c>
      <c r="AG3238" s="160" t="s">
        <v>198</v>
      </c>
      <c r="AH3238" s="194" t="s">
        <v>678</v>
      </c>
      <c r="AI3238" s="6" t="s">
        <v>5263</v>
      </c>
      <c r="AJ3238" s="3" t="s">
        <v>8248</v>
      </c>
      <c r="AK3238" t="s">
        <v>8248</v>
      </c>
      <c r="AV3238"/>
      <c r="AX3238"/>
      <c r="AZ3238" t="str">
        <f t="shared" si="323"/>
        <v/>
      </c>
      <c r="BA3238" t="str">
        <f t="shared" si="324"/>
        <v/>
      </c>
    </row>
    <row r="3239" spans="29:53" ht="13.5">
      <c r="AC3239" s="6" t="s">
        <v>1178</v>
      </c>
      <c r="AD3239" s="6" t="s">
        <v>7530</v>
      </c>
      <c r="AE3239" s="170" t="s">
        <v>1576</v>
      </c>
      <c r="AF3239" s="159" t="s">
        <v>8440</v>
      </c>
      <c r="AG3239" s="160" t="s">
        <v>199</v>
      </c>
      <c r="AH3239" s="194" t="s">
        <v>678</v>
      </c>
      <c r="AI3239" s="6" t="s">
        <v>5179</v>
      </c>
      <c r="AJ3239" s="3" t="s">
        <v>8244</v>
      </c>
      <c r="AK3239" t="s">
        <v>8244</v>
      </c>
      <c r="AV3239"/>
      <c r="AX3239"/>
      <c r="AZ3239" t="str">
        <f t="shared" si="323"/>
        <v/>
      </c>
      <c r="BA3239" t="str">
        <f t="shared" si="324"/>
        <v/>
      </c>
    </row>
    <row r="3240" spans="29:53" ht="13.5">
      <c r="AC3240" s="6" t="s">
        <v>1078</v>
      </c>
      <c r="AD3240" s="6" t="s">
        <v>7530</v>
      </c>
      <c r="AE3240" s="170" t="s">
        <v>1577</v>
      </c>
      <c r="AF3240" s="159" t="s">
        <v>8339</v>
      </c>
      <c r="AG3240" s="160" t="s">
        <v>200</v>
      </c>
      <c r="AH3240" s="194" t="s">
        <v>678</v>
      </c>
      <c r="AI3240" s="6" t="s">
        <v>5474</v>
      </c>
      <c r="AJ3240" s="3" t="s">
        <v>8229</v>
      </c>
      <c r="AK3240" t="s">
        <v>8229</v>
      </c>
      <c r="AV3240"/>
      <c r="AX3240"/>
      <c r="AZ3240" t="str">
        <f t="shared" si="323"/>
        <v/>
      </c>
      <c r="BA3240" t="str">
        <f t="shared" si="324"/>
        <v/>
      </c>
    </row>
    <row r="3241" spans="29:53" ht="13.5">
      <c r="AC3241" s="6" t="s">
        <v>439</v>
      </c>
      <c r="AD3241" s="6" t="s">
        <v>7530</v>
      </c>
      <c r="AE3241" s="170" t="s">
        <v>1578</v>
      </c>
      <c r="AF3241" s="159" t="s">
        <v>8480</v>
      </c>
      <c r="AG3241" s="160" t="s">
        <v>201</v>
      </c>
      <c r="AH3241" s="194" t="s">
        <v>678</v>
      </c>
      <c r="AI3241" s="6" t="s">
        <v>5452</v>
      </c>
      <c r="AJ3241" s="3" t="s">
        <v>8214</v>
      </c>
      <c r="AK3241" t="s">
        <v>8214</v>
      </c>
      <c r="AV3241"/>
      <c r="AX3241"/>
      <c r="AZ3241" t="str">
        <f t="shared" si="323"/>
        <v/>
      </c>
      <c r="BA3241" t="str">
        <f t="shared" si="324"/>
        <v/>
      </c>
    </row>
    <row r="3242" spans="29:53" ht="13.5">
      <c r="AC3242" s="6" t="s">
        <v>375</v>
      </c>
      <c r="AD3242" s="6" t="s">
        <v>7530</v>
      </c>
      <c r="AE3242" s="170" t="s">
        <v>1580</v>
      </c>
      <c r="AF3242" s="159" t="s">
        <v>8339</v>
      </c>
      <c r="AG3242" s="160" t="s">
        <v>202</v>
      </c>
      <c r="AH3242" s="194" t="s">
        <v>678</v>
      </c>
      <c r="AI3242" s="6" t="s">
        <v>5210</v>
      </c>
      <c r="AJ3242" s="3" t="s">
        <v>8248</v>
      </c>
      <c r="AK3242" t="s">
        <v>8248</v>
      </c>
      <c r="AV3242"/>
      <c r="AX3242"/>
      <c r="AZ3242" t="str">
        <f t="shared" si="323"/>
        <v/>
      </c>
      <c r="BA3242" t="str">
        <f t="shared" si="324"/>
        <v/>
      </c>
    </row>
    <row r="3243" spans="29:53" ht="13.5">
      <c r="AC3243" s="6" t="s">
        <v>449</v>
      </c>
      <c r="AD3243" s="6" t="s">
        <v>7530</v>
      </c>
      <c r="AE3243" s="170" t="s">
        <v>1583</v>
      </c>
      <c r="AF3243" s="159" t="s">
        <v>8346</v>
      </c>
      <c r="AG3243" s="160" t="s">
        <v>1030</v>
      </c>
      <c r="AH3243" s="194" t="s">
        <v>678</v>
      </c>
      <c r="AI3243" s="6" t="s">
        <v>5142</v>
      </c>
      <c r="AJ3243" s="3" t="s">
        <v>8224</v>
      </c>
      <c r="AK3243" t="s">
        <v>8224</v>
      </c>
      <c r="AV3243"/>
      <c r="AX3243"/>
      <c r="AZ3243" t="str">
        <f t="shared" si="323"/>
        <v/>
      </c>
      <c r="BA3243" t="str">
        <f t="shared" si="324"/>
        <v/>
      </c>
    </row>
    <row r="3244" spans="29:53" ht="13.5">
      <c r="AC3244" s="6" t="s">
        <v>467</v>
      </c>
      <c r="AD3244" s="6" t="s">
        <v>7530</v>
      </c>
      <c r="AE3244" s="170" t="s">
        <v>1584</v>
      </c>
      <c r="AF3244" s="159" t="s">
        <v>8339</v>
      </c>
      <c r="AG3244" s="160" t="s">
        <v>1031</v>
      </c>
      <c r="AH3244" s="194" t="s">
        <v>679</v>
      </c>
      <c r="AI3244" s="6" t="s">
        <v>5090</v>
      </c>
      <c r="AJ3244" s="3" t="s">
        <v>8237</v>
      </c>
      <c r="AK3244" t="s">
        <v>8237</v>
      </c>
      <c r="AV3244"/>
      <c r="AX3244"/>
      <c r="AZ3244" t="str">
        <f t="shared" si="323"/>
        <v/>
      </c>
      <c r="BA3244" t="str">
        <f t="shared" si="324"/>
        <v/>
      </c>
    </row>
    <row r="3245" spans="29:53" ht="13.5">
      <c r="AC3245" s="6" t="s">
        <v>440</v>
      </c>
      <c r="AD3245" s="6" t="s">
        <v>7530</v>
      </c>
      <c r="AE3245" s="170" t="s">
        <v>1586</v>
      </c>
      <c r="AF3245" s="159" t="s">
        <v>8351</v>
      </c>
      <c r="AG3245" s="160" t="s">
        <v>1194</v>
      </c>
      <c r="AH3245" s="194" t="s">
        <v>1314</v>
      </c>
      <c r="AI3245" s="6" t="s">
        <v>5234</v>
      </c>
      <c r="AJ3245" s="3" t="s">
        <v>8281</v>
      </c>
      <c r="AK3245" t="s">
        <v>8281</v>
      </c>
      <c r="AV3245"/>
      <c r="AX3245"/>
      <c r="AZ3245" t="str">
        <f t="shared" si="323"/>
        <v/>
      </c>
      <c r="BA3245" t="str">
        <f t="shared" si="324"/>
        <v/>
      </c>
    </row>
    <row r="3246" spans="29:53" ht="13.5">
      <c r="AC3246" s="6" t="s">
        <v>6646</v>
      </c>
      <c r="AD3246" s="6" t="s">
        <v>7530</v>
      </c>
      <c r="AE3246" s="170" t="s">
        <v>3831</v>
      </c>
      <c r="AF3246" s="159" t="s">
        <v>8339</v>
      </c>
      <c r="AG3246" s="160" t="s">
        <v>5410</v>
      </c>
      <c r="AH3246" s="194" t="s">
        <v>1314</v>
      </c>
      <c r="AI3246" s="6" t="s">
        <v>1310</v>
      </c>
      <c r="AJ3246" s="3" t="s">
        <v>8274</v>
      </c>
      <c r="AK3246" t="s">
        <v>8274</v>
      </c>
      <c r="AV3246"/>
      <c r="AX3246"/>
      <c r="AZ3246" t="str">
        <f t="shared" si="323"/>
        <v/>
      </c>
      <c r="BA3246" t="str">
        <f t="shared" si="324"/>
        <v/>
      </c>
    </row>
    <row r="3247" spans="29:53" ht="13.5">
      <c r="AC3247" s="6" t="s">
        <v>208</v>
      </c>
      <c r="AD3247" s="6" t="s">
        <v>7530</v>
      </c>
      <c r="AE3247" s="170" t="s">
        <v>1589</v>
      </c>
      <c r="AF3247" s="159" t="s">
        <v>8312</v>
      </c>
      <c r="AG3247" s="160" t="s">
        <v>4450</v>
      </c>
      <c r="AH3247" s="194" t="s">
        <v>679</v>
      </c>
      <c r="AI3247" s="6" t="s">
        <v>5192</v>
      </c>
      <c r="AJ3247" s="3" t="s">
        <v>8268</v>
      </c>
      <c r="AK3247" t="s">
        <v>8268</v>
      </c>
      <c r="AV3247"/>
      <c r="AX3247"/>
      <c r="AZ3247" t="str">
        <f t="shared" si="323"/>
        <v/>
      </c>
      <c r="BA3247" t="str">
        <f t="shared" si="324"/>
        <v/>
      </c>
    </row>
    <row r="3248" spans="29:53" ht="13.5">
      <c r="AC3248" s="6" t="s">
        <v>506</v>
      </c>
      <c r="AD3248" s="6" t="s">
        <v>7530</v>
      </c>
      <c r="AE3248" s="170" t="s">
        <v>1592</v>
      </c>
      <c r="AF3248" s="159" t="s">
        <v>8353</v>
      </c>
      <c r="AG3248" s="160" t="s">
        <v>4451</v>
      </c>
      <c r="AH3248" s="194" t="s">
        <v>679</v>
      </c>
      <c r="AI3248" s="6" t="s">
        <v>5264</v>
      </c>
      <c r="AJ3248" s="3" t="s">
        <v>8279</v>
      </c>
      <c r="AK3248" t="s">
        <v>8679</v>
      </c>
      <c r="AV3248"/>
      <c r="AX3248"/>
      <c r="AZ3248" t="str">
        <f t="shared" si="323"/>
        <v/>
      </c>
      <c r="BA3248" t="str">
        <f t="shared" si="324"/>
        <v/>
      </c>
    </row>
    <row r="3249" spans="29:53" ht="13.5">
      <c r="AC3249" s="6" t="s">
        <v>256</v>
      </c>
      <c r="AD3249" s="6" t="s">
        <v>7530</v>
      </c>
      <c r="AE3249" s="170" t="s">
        <v>1593</v>
      </c>
      <c r="AF3249" s="159" t="s">
        <v>8481</v>
      </c>
      <c r="AG3249" s="160" t="s">
        <v>5269</v>
      </c>
      <c r="AH3249" s="194" t="s">
        <v>679</v>
      </c>
      <c r="AI3249" s="6" t="s">
        <v>5197</v>
      </c>
      <c r="AJ3249" s="3" t="s">
        <v>8256</v>
      </c>
      <c r="AK3249" t="s">
        <v>8256</v>
      </c>
      <c r="AV3249"/>
      <c r="AX3249"/>
      <c r="AZ3249" t="str">
        <f t="shared" si="323"/>
        <v/>
      </c>
      <c r="BA3249" t="str">
        <f t="shared" si="324"/>
        <v/>
      </c>
    </row>
    <row r="3250" spans="29:53" ht="13.5">
      <c r="AC3250" s="6" t="s">
        <v>225</v>
      </c>
      <c r="AD3250" s="6" t="s">
        <v>7530</v>
      </c>
      <c r="AE3250" s="170" t="s">
        <v>4744</v>
      </c>
      <c r="AF3250" s="159" t="s">
        <v>8339</v>
      </c>
      <c r="AG3250" s="160" t="s">
        <v>5411</v>
      </c>
      <c r="AH3250" s="194" t="s">
        <v>679</v>
      </c>
      <c r="AI3250" s="6" t="s">
        <v>1307</v>
      </c>
      <c r="AJ3250" s="3" t="s">
        <v>8281</v>
      </c>
      <c r="AK3250" t="s">
        <v>8281</v>
      </c>
      <c r="AV3250"/>
      <c r="AX3250"/>
      <c r="AZ3250" t="str">
        <f t="shared" si="323"/>
        <v/>
      </c>
      <c r="BA3250" t="str">
        <f t="shared" si="324"/>
        <v/>
      </c>
    </row>
    <row r="3251" spans="29:53" ht="13.5">
      <c r="AC3251" s="6" t="s">
        <v>272</v>
      </c>
      <c r="AD3251" s="6" t="s">
        <v>7530</v>
      </c>
      <c r="AE3251" s="170" t="s">
        <v>4731</v>
      </c>
      <c r="AF3251" s="159" t="s">
        <v>8339</v>
      </c>
      <c r="AG3251" s="160" t="s">
        <v>2314</v>
      </c>
      <c r="AH3251" s="194" t="s">
        <v>679</v>
      </c>
      <c r="AI3251" s="6" t="s">
        <v>1304</v>
      </c>
      <c r="AJ3251" s="3" t="s">
        <v>8242</v>
      </c>
      <c r="AK3251" t="s">
        <v>8281</v>
      </c>
      <c r="AV3251"/>
      <c r="AX3251"/>
      <c r="AZ3251" t="str">
        <f t="shared" si="323"/>
        <v/>
      </c>
      <c r="BA3251" t="str">
        <f t="shared" si="324"/>
        <v/>
      </c>
    </row>
    <row r="3252" spans="29:53" ht="13.5">
      <c r="AC3252" s="6" t="s">
        <v>271</v>
      </c>
      <c r="AD3252" s="6" t="s">
        <v>7530</v>
      </c>
      <c r="AE3252" s="170" t="s">
        <v>5493</v>
      </c>
      <c r="AF3252" s="159" t="s">
        <v>8339</v>
      </c>
      <c r="AG3252" s="160" t="s">
        <v>2315</v>
      </c>
      <c r="AH3252" s="194" t="s">
        <v>679</v>
      </c>
      <c r="AI3252" s="6" t="s">
        <v>1241</v>
      </c>
      <c r="AJ3252" s="3" t="s">
        <v>8256</v>
      </c>
      <c r="AK3252" t="s">
        <v>8256</v>
      </c>
      <c r="AV3252"/>
      <c r="AX3252"/>
      <c r="AZ3252" t="str">
        <f t="shared" si="323"/>
        <v/>
      </c>
      <c r="BA3252" t="str">
        <f t="shared" si="324"/>
        <v/>
      </c>
    </row>
    <row r="3253" spans="29:53" ht="13.5">
      <c r="AC3253" s="6" t="s">
        <v>996</v>
      </c>
      <c r="AD3253" s="6" t="s">
        <v>7530</v>
      </c>
      <c r="AE3253" s="170" t="s">
        <v>4740</v>
      </c>
      <c r="AF3253" s="159" t="s">
        <v>8339</v>
      </c>
      <c r="AG3253" s="160" t="s">
        <v>2316</v>
      </c>
      <c r="AH3253" s="194" t="s">
        <v>679</v>
      </c>
      <c r="AI3253" s="6" t="s">
        <v>4475</v>
      </c>
      <c r="AJ3253" s="3" t="s">
        <v>8223</v>
      </c>
      <c r="AK3253" t="s">
        <v>8223</v>
      </c>
      <c r="AV3253"/>
      <c r="AX3253"/>
      <c r="AZ3253" t="str">
        <f t="shared" si="323"/>
        <v/>
      </c>
      <c r="BA3253" t="str">
        <f t="shared" si="324"/>
        <v/>
      </c>
    </row>
    <row r="3254" spans="29:53" ht="13.5">
      <c r="AC3254" s="6" t="s">
        <v>323</v>
      </c>
      <c r="AD3254" s="6" t="s">
        <v>7530</v>
      </c>
      <c r="AE3254" s="170" t="s">
        <v>5350</v>
      </c>
      <c r="AF3254" s="159" t="s">
        <v>8391</v>
      </c>
      <c r="AG3254" s="160" t="s">
        <v>2397</v>
      </c>
      <c r="AH3254" s="194" t="s">
        <v>679</v>
      </c>
      <c r="AI3254" s="6" t="s">
        <v>4789</v>
      </c>
      <c r="AJ3254" s="3" t="s">
        <v>8251</v>
      </c>
      <c r="AK3254" t="s">
        <v>8251</v>
      </c>
      <c r="AV3254"/>
      <c r="AX3254"/>
      <c r="AZ3254" t="str">
        <f t="shared" si="323"/>
        <v/>
      </c>
      <c r="BA3254" t="str">
        <f t="shared" si="324"/>
        <v/>
      </c>
    </row>
    <row r="3255" spans="29:53" ht="13.5">
      <c r="AC3255" s="6" t="s">
        <v>325</v>
      </c>
      <c r="AD3255" s="6" t="s">
        <v>7530</v>
      </c>
      <c r="AE3255" s="170" t="s">
        <v>5219</v>
      </c>
      <c r="AF3255" s="159" t="s">
        <v>8391</v>
      </c>
      <c r="AG3255" s="160" t="s">
        <v>3926</v>
      </c>
      <c r="AH3255" s="194" t="s">
        <v>679</v>
      </c>
      <c r="AI3255" s="6" t="s">
        <v>5044</v>
      </c>
      <c r="AJ3255" s="3" t="s">
        <v>8213</v>
      </c>
      <c r="AK3255" t="s">
        <v>8213</v>
      </c>
      <c r="AV3255"/>
      <c r="AX3255"/>
      <c r="AZ3255" t="str">
        <f t="shared" si="323"/>
        <v/>
      </c>
      <c r="BA3255" t="str">
        <f t="shared" si="324"/>
        <v/>
      </c>
    </row>
    <row r="3256" spans="29:53" ht="13.5">
      <c r="AC3256" s="6" t="s">
        <v>5799</v>
      </c>
      <c r="AD3256" s="6" t="s">
        <v>7530</v>
      </c>
      <c r="AE3256" s="170" t="s">
        <v>5343</v>
      </c>
      <c r="AF3256" s="159" t="s">
        <v>8391</v>
      </c>
      <c r="AG3256" s="160" t="s">
        <v>3927</v>
      </c>
      <c r="AH3256" s="194" t="s">
        <v>679</v>
      </c>
      <c r="AI3256" s="6" t="s">
        <v>2036</v>
      </c>
      <c r="AJ3256" s="3" t="s">
        <v>8239</v>
      </c>
      <c r="AK3256" t="s">
        <v>8674</v>
      </c>
      <c r="AV3256"/>
      <c r="AX3256"/>
      <c r="AZ3256" t="str">
        <f t="shared" si="323"/>
        <v/>
      </c>
      <c r="BA3256" t="str">
        <f t="shared" si="324"/>
        <v/>
      </c>
    </row>
    <row r="3257" spans="29:53" ht="13.5">
      <c r="AC3257" s="6" t="s">
        <v>473</v>
      </c>
      <c r="AD3257" s="6" t="s">
        <v>7530</v>
      </c>
      <c r="AE3257" s="170" t="s">
        <v>5231</v>
      </c>
      <c r="AF3257" s="159" t="s">
        <v>8391</v>
      </c>
      <c r="AG3257" s="160" t="s">
        <v>3928</v>
      </c>
      <c r="AH3257" s="194" t="s">
        <v>1314</v>
      </c>
      <c r="AI3257" s="6" t="s">
        <v>2037</v>
      </c>
      <c r="AJ3257" s="3" t="s">
        <v>8239</v>
      </c>
      <c r="AK3257" t="s">
        <v>8674</v>
      </c>
      <c r="AV3257"/>
      <c r="AX3257"/>
      <c r="AZ3257" t="str">
        <f t="shared" ref="AZ3257:AZ3320" si="325">IF(ISBLANK(AW3257),"",CONCATENATE("(",RIGHT(AW3257,5),"-",TEXT(AX3257,"h:mm;@"),")"))</f>
        <v/>
      </c>
      <c r="BA3257" t="str">
        <f t="shared" ref="BA3257:BA3320" si="326">IF(AV3273=AV3257,"",CONCATENATE(IF(AV3272=AV3257,BA3272,""),IF(AV3271=AV3257,BA3271,""),IF(AV3270=AV3257,BA3270,""),IF(AV3269=AV3257,BA3269,""),IF(AV3268=AV3257,BA3268,""),IF(AV3267=AV3257,BA3267,""),IF(AV3266=AV3257,BA3266,""),IF(AV3265=AV3257,BA3265,""),IF(AV3264=AV3257,BA3264,""),IF(AV3263=AV3257,BA3263,""),IF(AV3262=AV3257,BA3262,""),IF(AV3261=AV3257,BA3261,""),IF(AV3260=AV3257,BA3260,""),IF(AV3259=AV3257,BA3259,""),IF(AV3258=AV3257,BA3258,""),IF(AV3256=AV3257,BA3256,""),BA3257))</f>
        <v/>
      </c>
    </row>
    <row r="3258" spans="29:53" ht="13.5">
      <c r="AC3258" s="6" t="s">
        <v>5794</v>
      </c>
      <c r="AD3258" s="6" t="s">
        <v>7530</v>
      </c>
      <c r="AE3258" s="170" t="s">
        <v>5200</v>
      </c>
      <c r="AF3258" s="159" t="s">
        <v>8391</v>
      </c>
      <c r="AG3258" s="160" t="s">
        <v>3929</v>
      </c>
      <c r="AH3258" s="194" t="s">
        <v>679</v>
      </c>
      <c r="AI3258" s="6" t="s">
        <v>2161</v>
      </c>
      <c r="AJ3258" s="3" t="s">
        <v>8248</v>
      </c>
      <c r="AK3258" t="s">
        <v>8248</v>
      </c>
      <c r="AV3258"/>
      <c r="AX3258"/>
      <c r="AZ3258" t="str">
        <f t="shared" si="325"/>
        <v/>
      </c>
      <c r="BA3258" t="str">
        <f t="shared" si="326"/>
        <v/>
      </c>
    </row>
    <row r="3259" spans="29:53" ht="13.5">
      <c r="AC3259" s="6" t="s">
        <v>4719</v>
      </c>
      <c r="AD3259" s="6" t="s">
        <v>7530</v>
      </c>
      <c r="AE3259" s="170" t="s">
        <v>5476</v>
      </c>
      <c r="AF3259" s="159" t="s">
        <v>8391</v>
      </c>
      <c r="AG3259" s="160" t="s">
        <v>3930</v>
      </c>
      <c r="AH3259" s="194" t="s">
        <v>1314</v>
      </c>
      <c r="AI3259" s="6" t="s">
        <v>2638</v>
      </c>
      <c r="AJ3259" s="3" t="s">
        <v>8276</v>
      </c>
      <c r="AK3259" t="s">
        <v>8276</v>
      </c>
      <c r="AV3259"/>
      <c r="AX3259"/>
      <c r="AZ3259" t="str">
        <f t="shared" si="325"/>
        <v/>
      </c>
      <c r="BA3259" t="str">
        <f t="shared" si="326"/>
        <v/>
      </c>
    </row>
    <row r="3260" spans="29:53" ht="13.5">
      <c r="AC3260" s="6" t="s">
        <v>347</v>
      </c>
      <c r="AD3260" s="6" t="s">
        <v>7530</v>
      </c>
      <c r="AE3260" s="170" t="s">
        <v>5354</v>
      </c>
      <c r="AF3260" s="159" t="s">
        <v>8391</v>
      </c>
      <c r="AG3260" s="160" t="s">
        <v>3931</v>
      </c>
      <c r="AH3260" s="194" t="s">
        <v>679</v>
      </c>
      <c r="AI3260" s="6" t="s">
        <v>2813</v>
      </c>
      <c r="AJ3260" s="3" t="s">
        <v>8241</v>
      </c>
      <c r="AK3260" t="s">
        <v>8675</v>
      </c>
      <c r="AV3260"/>
      <c r="AX3260"/>
      <c r="AZ3260" t="str">
        <f t="shared" si="325"/>
        <v/>
      </c>
      <c r="BA3260" t="str">
        <f t="shared" si="326"/>
        <v/>
      </c>
    </row>
    <row r="3261" spans="29:53" ht="13.5">
      <c r="AC3261" s="6" t="s">
        <v>41</v>
      </c>
      <c r="AD3261" s="6" t="s">
        <v>7530</v>
      </c>
      <c r="AE3261" s="170" t="s">
        <v>5353</v>
      </c>
      <c r="AF3261" s="159" t="s">
        <v>8391</v>
      </c>
      <c r="AG3261" s="160" t="s">
        <v>3932</v>
      </c>
      <c r="AH3261" s="194" t="s">
        <v>1314</v>
      </c>
      <c r="AI3261" s="6" t="s">
        <v>3928</v>
      </c>
      <c r="AJ3261" s="3" t="s">
        <v>8236</v>
      </c>
      <c r="AK3261" t="s">
        <v>8236</v>
      </c>
      <c r="AV3261"/>
      <c r="AX3261"/>
      <c r="AZ3261" t="str">
        <f t="shared" si="325"/>
        <v/>
      </c>
      <c r="BA3261" t="str">
        <f t="shared" si="326"/>
        <v/>
      </c>
    </row>
    <row r="3262" spans="29:53" ht="13.5">
      <c r="AC3262" s="6" t="s">
        <v>5769</v>
      </c>
      <c r="AD3262" s="6" t="s">
        <v>7530</v>
      </c>
      <c r="AE3262" s="170" t="s">
        <v>5351</v>
      </c>
      <c r="AF3262" s="159" t="s">
        <v>8391</v>
      </c>
      <c r="AG3262" s="160" t="s">
        <v>1211</v>
      </c>
      <c r="AH3262" s="194" t="s">
        <v>679</v>
      </c>
      <c r="AI3262" s="6" t="s">
        <v>4042</v>
      </c>
      <c r="AJ3262" s="3" t="s">
        <v>8249</v>
      </c>
      <c r="AK3262" t="s">
        <v>8249</v>
      </c>
      <c r="AV3262"/>
      <c r="AX3262"/>
      <c r="AZ3262" t="str">
        <f t="shared" si="325"/>
        <v/>
      </c>
      <c r="BA3262" t="str">
        <f t="shared" si="326"/>
        <v/>
      </c>
    </row>
    <row r="3263" spans="29:53" ht="13.5">
      <c r="AC3263" s="6" t="s">
        <v>5414</v>
      </c>
      <c r="AD3263" s="6" t="s">
        <v>7530</v>
      </c>
      <c r="AE3263" s="170" t="s">
        <v>5352</v>
      </c>
      <c r="AF3263" s="159" t="s">
        <v>8391</v>
      </c>
      <c r="AG3263" s="160" t="s">
        <v>3933</v>
      </c>
      <c r="AH3263" s="194" t="s">
        <v>679</v>
      </c>
      <c r="AI3263" s="6" t="s">
        <v>4291</v>
      </c>
      <c r="AJ3263" s="3" t="s">
        <v>8232</v>
      </c>
      <c r="AK3263" t="s">
        <v>8232</v>
      </c>
      <c r="AV3263"/>
      <c r="AX3263"/>
      <c r="AZ3263" t="str">
        <f t="shared" si="325"/>
        <v/>
      </c>
      <c r="BA3263" t="str">
        <f t="shared" si="326"/>
        <v/>
      </c>
    </row>
    <row r="3264" spans="29:53" ht="13.5">
      <c r="AC3264" s="6" t="s">
        <v>284</v>
      </c>
      <c r="AD3264" s="6" t="s">
        <v>7530</v>
      </c>
      <c r="AE3264" s="170" t="s">
        <v>5344</v>
      </c>
      <c r="AF3264" s="159" t="s">
        <v>8391</v>
      </c>
      <c r="AG3264" s="160" t="s">
        <v>3934</v>
      </c>
      <c r="AH3264" s="194" t="s">
        <v>679</v>
      </c>
      <c r="AI3264" s="6">
        <v>275244</v>
      </c>
      <c r="AJ3264" s="3" t="s">
        <v>8250</v>
      </c>
      <c r="AK3264" t="s">
        <v>8250</v>
      </c>
      <c r="AV3264"/>
      <c r="AX3264"/>
      <c r="AZ3264" t="str">
        <f t="shared" si="325"/>
        <v/>
      </c>
      <c r="BA3264" t="str">
        <f t="shared" si="326"/>
        <v/>
      </c>
    </row>
    <row r="3265" spans="29:53" ht="13.5">
      <c r="AC3265" s="6" t="s">
        <v>4715</v>
      </c>
      <c r="AD3265" s="6" t="s">
        <v>7530</v>
      </c>
      <c r="AE3265" s="170" t="s">
        <v>5355</v>
      </c>
      <c r="AF3265" s="159" t="s">
        <v>8391</v>
      </c>
      <c r="AG3265" s="160" t="s">
        <v>3935</v>
      </c>
      <c r="AH3265" s="194" t="s">
        <v>679</v>
      </c>
      <c r="AI3265" s="6" t="s">
        <v>4332</v>
      </c>
      <c r="AJ3265" s="3" t="s">
        <v>8230</v>
      </c>
      <c r="AK3265" t="s">
        <v>8230</v>
      </c>
      <c r="AV3265"/>
      <c r="AX3265"/>
      <c r="AZ3265" t="str">
        <f t="shared" si="325"/>
        <v/>
      </c>
      <c r="BA3265" t="str">
        <f t="shared" si="326"/>
        <v/>
      </c>
    </row>
    <row r="3266" spans="29:53" ht="13.5">
      <c r="AC3266" s="6" t="s">
        <v>324</v>
      </c>
      <c r="AD3266" s="6" t="s">
        <v>7530</v>
      </c>
      <c r="AE3266" s="170" t="s">
        <v>5356</v>
      </c>
      <c r="AF3266" s="159" t="s">
        <v>8391</v>
      </c>
      <c r="AG3266" s="160" t="s">
        <v>3936</v>
      </c>
      <c r="AH3266" s="194" t="s">
        <v>679</v>
      </c>
      <c r="AI3266" s="6" t="s">
        <v>2089</v>
      </c>
      <c r="AJ3266" s="3" t="s">
        <v>8235</v>
      </c>
      <c r="AK3266" t="s">
        <v>8672</v>
      </c>
      <c r="AV3266"/>
      <c r="AX3266"/>
      <c r="AZ3266" t="str">
        <f t="shared" si="325"/>
        <v/>
      </c>
      <c r="BA3266" t="str">
        <f t="shared" si="326"/>
        <v/>
      </c>
    </row>
    <row r="3267" spans="29:53" ht="13.5">
      <c r="AC3267" s="6" t="s">
        <v>962</v>
      </c>
      <c r="AD3267" s="6" t="s">
        <v>7530</v>
      </c>
      <c r="AE3267" s="170" t="s">
        <v>5490</v>
      </c>
      <c r="AF3267" s="159" t="s">
        <v>8391</v>
      </c>
      <c r="AG3267" s="160" t="s">
        <v>3937</v>
      </c>
      <c r="AH3267" s="194" t="s">
        <v>679</v>
      </c>
      <c r="AI3267" s="6" t="s">
        <v>2081</v>
      </c>
      <c r="AJ3267" s="3" t="s">
        <v>8227</v>
      </c>
      <c r="AK3267" t="s">
        <v>8227</v>
      </c>
      <c r="AV3267"/>
      <c r="AX3267"/>
      <c r="AZ3267" t="str">
        <f t="shared" si="325"/>
        <v/>
      </c>
      <c r="BA3267" t="str">
        <f t="shared" si="326"/>
        <v/>
      </c>
    </row>
    <row r="3268" spans="29:53" ht="13.5">
      <c r="AC3268" s="6" t="s">
        <v>5778</v>
      </c>
      <c r="AD3268" s="6" t="s">
        <v>7530</v>
      </c>
      <c r="AE3268" s="170" t="s">
        <v>5494</v>
      </c>
      <c r="AF3268" s="159" t="s">
        <v>8339</v>
      </c>
      <c r="AG3268" s="160" t="s">
        <v>3938</v>
      </c>
      <c r="AH3268" s="194" t="s">
        <v>1314</v>
      </c>
      <c r="AI3268" s="6" t="s">
        <v>4371</v>
      </c>
      <c r="AJ3268" s="3" t="s">
        <v>8279</v>
      </c>
      <c r="AK3268" t="s">
        <v>8679</v>
      </c>
      <c r="AV3268"/>
      <c r="AX3268"/>
      <c r="AZ3268" t="str">
        <f t="shared" si="325"/>
        <v/>
      </c>
      <c r="BA3268" t="str">
        <f t="shared" si="326"/>
        <v/>
      </c>
    </row>
    <row r="3269" spans="29:53" ht="13.5">
      <c r="AC3269" s="6" t="s">
        <v>211</v>
      </c>
      <c r="AD3269" s="6" t="s">
        <v>7530</v>
      </c>
      <c r="AE3269" s="170" t="s">
        <v>5495</v>
      </c>
      <c r="AF3269" s="159" t="s">
        <v>8391</v>
      </c>
      <c r="AG3269" s="160" t="s">
        <v>5162</v>
      </c>
      <c r="AH3269" s="194" t="s">
        <v>679</v>
      </c>
      <c r="AI3269" s="6" t="s">
        <v>2770</v>
      </c>
      <c r="AJ3269" s="3" t="s">
        <v>8254</v>
      </c>
      <c r="AK3269" t="s">
        <v>8254</v>
      </c>
      <c r="AV3269"/>
      <c r="AX3269"/>
      <c r="AZ3269" t="str">
        <f t="shared" si="325"/>
        <v/>
      </c>
      <c r="BA3269" t="str">
        <f t="shared" si="326"/>
        <v/>
      </c>
    </row>
    <row r="3270" spans="29:53" ht="13.5">
      <c r="AC3270" s="6" t="s">
        <v>579</v>
      </c>
      <c r="AD3270" s="6" t="s">
        <v>7530</v>
      </c>
      <c r="AE3270" s="170" t="s">
        <v>5496</v>
      </c>
      <c r="AF3270" s="159" t="s">
        <v>8391</v>
      </c>
      <c r="AG3270" s="160" t="s">
        <v>5147</v>
      </c>
      <c r="AH3270" s="194" t="s">
        <v>679</v>
      </c>
      <c r="AI3270" s="6" t="s">
        <v>4384</v>
      </c>
      <c r="AJ3270" s="3" t="s">
        <v>8280</v>
      </c>
      <c r="AK3270" t="s">
        <v>8280</v>
      </c>
      <c r="AV3270"/>
      <c r="AX3270"/>
      <c r="AZ3270" t="str">
        <f t="shared" si="325"/>
        <v/>
      </c>
      <c r="BA3270" t="str">
        <f t="shared" si="326"/>
        <v/>
      </c>
    </row>
    <row r="3271" spans="29:53" ht="13.5">
      <c r="AC3271" s="6" t="s">
        <v>952</v>
      </c>
      <c r="AD3271" s="6" t="s">
        <v>7530</v>
      </c>
      <c r="AE3271" s="170" t="s">
        <v>5497</v>
      </c>
      <c r="AF3271" s="159" t="s">
        <v>8482</v>
      </c>
      <c r="AG3271" s="160" t="s">
        <v>5172</v>
      </c>
      <c r="AH3271" s="194" t="s">
        <v>679</v>
      </c>
      <c r="AI3271" s="6">
        <v>435740</v>
      </c>
      <c r="AJ3271" s="3" t="s">
        <v>8255</v>
      </c>
      <c r="AK3271" t="s">
        <v>8255</v>
      </c>
      <c r="AV3271"/>
      <c r="AX3271"/>
      <c r="AZ3271" t="str">
        <f t="shared" si="325"/>
        <v/>
      </c>
      <c r="BA3271" t="str">
        <f t="shared" si="326"/>
        <v/>
      </c>
    </row>
    <row r="3272" spans="29:53" ht="13.5">
      <c r="AC3272" s="6" t="s">
        <v>207</v>
      </c>
      <c r="AD3272" s="6" t="s">
        <v>7530</v>
      </c>
      <c r="AE3272" s="170" t="s">
        <v>5498</v>
      </c>
      <c r="AF3272" s="159" t="s">
        <v>8391</v>
      </c>
      <c r="AG3272" s="160" t="s">
        <v>4701</v>
      </c>
      <c r="AH3272" s="194" t="s">
        <v>4700</v>
      </c>
      <c r="AI3272" s="6" t="s">
        <v>1157</v>
      </c>
      <c r="AJ3272" s="3" t="s">
        <v>8224</v>
      </c>
      <c r="AK3272" t="s">
        <v>8224</v>
      </c>
      <c r="AV3272"/>
      <c r="AX3272"/>
      <c r="AZ3272" t="str">
        <f t="shared" si="325"/>
        <v/>
      </c>
      <c r="BA3272" t="str">
        <f t="shared" si="326"/>
        <v/>
      </c>
    </row>
    <row r="3273" spans="29:53" ht="13.5">
      <c r="AC3273" s="6" t="s">
        <v>276</v>
      </c>
      <c r="AD3273" s="6" t="s">
        <v>7530</v>
      </c>
      <c r="AE3273" s="170" t="s">
        <v>5499</v>
      </c>
      <c r="AF3273" s="159" t="s">
        <v>8391</v>
      </c>
      <c r="AG3273" s="160" t="s">
        <v>3939</v>
      </c>
      <c r="AH3273" s="194" t="s">
        <v>679</v>
      </c>
      <c r="AI3273" s="6">
        <v>705446</v>
      </c>
      <c r="AJ3273" s="3" t="s">
        <v>8221</v>
      </c>
      <c r="AK3273" t="s">
        <v>8669</v>
      </c>
      <c r="AV3273"/>
      <c r="AX3273"/>
      <c r="AZ3273" t="str">
        <f t="shared" si="325"/>
        <v/>
      </c>
      <c r="BA3273" t="str">
        <f t="shared" si="326"/>
        <v/>
      </c>
    </row>
    <row r="3274" spans="29:53" ht="13.5">
      <c r="AC3274" s="6" t="s">
        <v>370</v>
      </c>
      <c r="AD3274" s="6" t="s">
        <v>7530</v>
      </c>
      <c r="AE3274" s="170" t="s">
        <v>5500</v>
      </c>
      <c r="AF3274" s="159" t="s">
        <v>8391</v>
      </c>
      <c r="AG3274" s="160" t="s">
        <v>3940</v>
      </c>
      <c r="AH3274" s="194" t="s">
        <v>679</v>
      </c>
      <c r="AI3274" s="6" t="s">
        <v>3563</v>
      </c>
      <c r="AJ3274" s="3" t="s">
        <v>8262</v>
      </c>
      <c r="AK3274" t="s">
        <v>8262</v>
      </c>
      <c r="AV3274"/>
      <c r="AX3274"/>
      <c r="AZ3274" t="str">
        <f t="shared" si="325"/>
        <v/>
      </c>
      <c r="BA3274" t="str">
        <f t="shared" si="326"/>
        <v/>
      </c>
    </row>
    <row r="3275" spans="29:53" ht="13.5">
      <c r="AC3275" s="6">
        <v>515362</v>
      </c>
      <c r="AD3275" s="6" t="s">
        <v>7554</v>
      </c>
      <c r="AE3275" s="170" t="s">
        <v>1424</v>
      </c>
      <c r="AF3275" s="159" t="s">
        <v>8483</v>
      </c>
      <c r="AG3275" s="160" t="s">
        <v>3941</v>
      </c>
      <c r="AH3275" s="194" t="s">
        <v>679</v>
      </c>
      <c r="AI3275" s="6" t="s">
        <v>2820</v>
      </c>
      <c r="AJ3275" s="3" t="s">
        <v>8242</v>
      </c>
      <c r="AK3275" t="s">
        <v>8281</v>
      </c>
      <c r="AV3275"/>
      <c r="AX3275"/>
      <c r="AZ3275" t="str">
        <f t="shared" si="325"/>
        <v/>
      </c>
      <c r="BA3275" t="str">
        <f t="shared" si="326"/>
        <v/>
      </c>
    </row>
    <row r="3276" spans="29:53" ht="13.5">
      <c r="AC3276" s="6" t="s">
        <v>387</v>
      </c>
      <c r="AD3276" s="6" t="s">
        <v>7530</v>
      </c>
      <c r="AE3276" s="170" t="s">
        <v>1634</v>
      </c>
      <c r="AF3276" s="159" t="s">
        <v>8466</v>
      </c>
      <c r="AG3276" s="160" t="s">
        <v>3942</v>
      </c>
      <c r="AH3276" s="194" t="s">
        <v>679</v>
      </c>
      <c r="AI3276" s="6" t="s">
        <v>3560</v>
      </c>
      <c r="AJ3276" s="3" t="s">
        <v>8255</v>
      </c>
      <c r="AK3276" t="s">
        <v>8255</v>
      </c>
      <c r="AV3276"/>
      <c r="AX3276"/>
      <c r="AZ3276" t="str">
        <f t="shared" si="325"/>
        <v/>
      </c>
      <c r="BA3276" t="str">
        <f t="shared" si="326"/>
        <v/>
      </c>
    </row>
    <row r="3277" spans="29:53" ht="13.5">
      <c r="AC3277" s="6" t="s">
        <v>1356</v>
      </c>
      <c r="AD3277" s="6" t="s">
        <v>7530</v>
      </c>
      <c r="AE3277" s="170" t="s">
        <v>1429</v>
      </c>
      <c r="AF3277" s="159" t="s">
        <v>8391</v>
      </c>
      <c r="AG3277" s="160" t="s">
        <v>3943</v>
      </c>
      <c r="AH3277" s="194" t="s">
        <v>679</v>
      </c>
      <c r="AI3277" s="6" t="s">
        <v>2788</v>
      </c>
      <c r="AJ3277" s="3" t="s">
        <v>8255</v>
      </c>
      <c r="AK3277" t="s">
        <v>8255</v>
      </c>
      <c r="AV3277"/>
      <c r="AX3277"/>
      <c r="AZ3277" t="str">
        <f t="shared" si="325"/>
        <v/>
      </c>
      <c r="BA3277" t="str">
        <f t="shared" si="326"/>
        <v/>
      </c>
    </row>
    <row r="3278" spans="29:53" ht="13.5">
      <c r="AC3278" s="6" t="s">
        <v>578</v>
      </c>
      <c r="AD3278" s="6" t="s">
        <v>7530</v>
      </c>
      <c r="AE3278" s="170" t="s">
        <v>1545</v>
      </c>
      <c r="AF3278" s="159" t="s">
        <v>8346</v>
      </c>
      <c r="AG3278" s="160" t="s">
        <v>3944</v>
      </c>
      <c r="AH3278" s="194" t="s">
        <v>679</v>
      </c>
      <c r="AI3278" s="6" t="s">
        <v>1754</v>
      </c>
      <c r="AJ3278" s="3" t="s">
        <v>8252</v>
      </c>
      <c r="AK3278" t="s">
        <v>8252</v>
      </c>
      <c r="AV3278"/>
      <c r="AX3278"/>
      <c r="AZ3278" t="str">
        <f t="shared" si="325"/>
        <v/>
      </c>
      <c r="BA3278" t="str">
        <f t="shared" si="326"/>
        <v/>
      </c>
    </row>
    <row r="3279" spans="29:53" ht="13.5">
      <c r="AC3279" s="6" t="s">
        <v>11</v>
      </c>
      <c r="AD3279" s="6" t="s">
        <v>7530</v>
      </c>
      <c r="AE3279" s="170" t="s">
        <v>165</v>
      </c>
      <c r="AF3279" s="159" t="s">
        <v>8484</v>
      </c>
      <c r="AG3279" s="160" t="s">
        <v>3945</v>
      </c>
      <c r="AH3279" s="194" t="s">
        <v>679</v>
      </c>
      <c r="AI3279" s="6" t="s">
        <v>2753</v>
      </c>
      <c r="AJ3279" s="3" t="s">
        <v>8241</v>
      </c>
      <c r="AK3279" t="s">
        <v>8675</v>
      </c>
      <c r="AV3279"/>
      <c r="AX3279"/>
      <c r="AZ3279" t="str">
        <f t="shared" si="325"/>
        <v/>
      </c>
      <c r="BA3279" t="str">
        <f t="shared" si="326"/>
        <v/>
      </c>
    </row>
    <row r="3280" spans="29:53" ht="13.5">
      <c r="AC3280" s="6" t="s">
        <v>350</v>
      </c>
      <c r="AD3280" s="6" t="s">
        <v>7530</v>
      </c>
      <c r="AE3280" s="170" t="s">
        <v>166</v>
      </c>
      <c r="AF3280" s="159" t="s">
        <v>8391</v>
      </c>
      <c r="AG3280" s="160" t="s">
        <v>3946</v>
      </c>
      <c r="AH3280" s="194" t="s">
        <v>679</v>
      </c>
      <c r="AI3280" s="6" t="s">
        <v>3992</v>
      </c>
      <c r="AJ3280" s="3" t="s">
        <v>8279</v>
      </c>
      <c r="AK3280" t="s">
        <v>8679</v>
      </c>
      <c r="AV3280"/>
      <c r="AX3280"/>
      <c r="AZ3280" t="str">
        <f t="shared" si="325"/>
        <v/>
      </c>
      <c r="BA3280" t="str">
        <f t="shared" si="326"/>
        <v/>
      </c>
    </row>
    <row r="3281" spans="29:53" ht="13.5">
      <c r="AC3281" s="6" t="s">
        <v>519</v>
      </c>
      <c r="AD3281" s="6" t="s">
        <v>7530</v>
      </c>
      <c r="AE3281" s="170" t="s">
        <v>167</v>
      </c>
      <c r="AF3281" s="159" t="s">
        <v>8485</v>
      </c>
      <c r="AG3281" s="160" t="s">
        <v>3947</v>
      </c>
      <c r="AH3281" s="194" t="s">
        <v>679</v>
      </c>
      <c r="AI3281" s="6" t="s">
        <v>3996</v>
      </c>
      <c r="AJ3281" s="3" t="s">
        <v>8259</v>
      </c>
      <c r="AK3281" t="s">
        <v>8677</v>
      </c>
      <c r="AV3281"/>
      <c r="AX3281"/>
      <c r="AZ3281" t="str">
        <f t="shared" si="325"/>
        <v/>
      </c>
      <c r="BA3281" t="str">
        <f t="shared" si="326"/>
        <v/>
      </c>
    </row>
    <row r="3282" spans="29:53" ht="13.5">
      <c r="AC3282" s="6" t="s">
        <v>432</v>
      </c>
      <c r="AD3282" s="6" t="s">
        <v>7530</v>
      </c>
      <c r="AE3282" s="170" t="s">
        <v>1546</v>
      </c>
      <c r="AF3282" s="159" t="s">
        <v>8486</v>
      </c>
      <c r="AG3282" s="160" t="s">
        <v>3948</v>
      </c>
      <c r="AH3282" s="194" t="s">
        <v>679</v>
      </c>
      <c r="AI3282" s="6" t="s">
        <v>2607</v>
      </c>
      <c r="AJ3282" s="3" t="s">
        <v>8281</v>
      </c>
      <c r="AK3282" t="s">
        <v>8281</v>
      </c>
      <c r="AV3282"/>
      <c r="AX3282"/>
      <c r="AZ3282" t="str">
        <f t="shared" si="325"/>
        <v/>
      </c>
      <c r="BA3282" t="str">
        <f t="shared" si="326"/>
        <v/>
      </c>
    </row>
    <row r="3283" spans="29:53" ht="13.5">
      <c r="AC3283" s="6" t="s">
        <v>1456</v>
      </c>
      <c r="AD3283" s="6" t="s">
        <v>7530</v>
      </c>
      <c r="AE3283" s="170" t="s">
        <v>1568</v>
      </c>
      <c r="AF3283" s="159" t="s">
        <v>8391</v>
      </c>
      <c r="AG3283" s="160" t="s">
        <v>3949</v>
      </c>
      <c r="AH3283" s="194" t="s">
        <v>1314</v>
      </c>
      <c r="AI3283" s="6" t="s">
        <v>2540</v>
      </c>
      <c r="AJ3283" s="3" t="s">
        <v>8254</v>
      </c>
      <c r="AK3283" t="s">
        <v>8254</v>
      </c>
      <c r="AV3283"/>
      <c r="AX3283"/>
      <c r="AZ3283" t="str">
        <f t="shared" si="325"/>
        <v/>
      </c>
      <c r="BA3283" t="str">
        <f t="shared" si="326"/>
        <v/>
      </c>
    </row>
    <row r="3284" spans="29:53" ht="13.5">
      <c r="AC3284" s="6" t="s">
        <v>278</v>
      </c>
      <c r="AD3284" s="6" t="s">
        <v>7530</v>
      </c>
      <c r="AE3284" s="170" t="s">
        <v>1573</v>
      </c>
      <c r="AF3284" s="159" t="s">
        <v>8391</v>
      </c>
      <c r="AG3284" s="160" t="s">
        <v>3950</v>
      </c>
      <c r="AH3284" s="194" t="s">
        <v>679</v>
      </c>
      <c r="AI3284" s="6" t="s">
        <v>2709</v>
      </c>
      <c r="AJ3284" s="3" t="s">
        <v>8255</v>
      </c>
      <c r="AK3284" t="s">
        <v>8255</v>
      </c>
      <c r="AV3284"/>
      <c r="AX3284"/>
      <c r="AZ3284" t="str">
        <f t="shared" si="325"/>
        <v/>
      </c>
      <c r="BA3284" t="str">
        <f t="shared" si="326"/>
        <v/>
      </c>
    </row>
    <row r="3285" spans="29:53" ht="13.5">
      <c r="AC3285" s="6" t="s">
        <v>356</v>
      </c>
      <c r="AD3285" s="6" t="s">
        <v>7530</v>
      </c>
      <c r="AE3285" s="170" t="s">
        <v>1595</v>
      </c>
      <c r="AF3285" s="159" t="s">
        <v>8391</v>
      </c>
      <c r="AG3285" s="160" t="s">
        <v>3951</v>
      </c>
      <c r="AH3285" s="194" t="s">
        <v>1314</v>
      </c>
      <c r="AI3285" s="6" t="s">
        <v>2529</v>
      </c>
      <c r="AJ3285" s="3" t="s">
        <v>8254</v>
      </c>
      <c r="AK3285" t="s">
        <v>8254</v>
      </c>
      <c r="AV3285"/>
      <c r="AX3285"/>
      <c r="AZ3285" t="str">
        <f t="shared" si="325"/>
        <v/>
      </c>
      <c r="BA3285" t="str">
        <f t="shared" si="326"/>
        <v/>
      </c>
    </row>
    <row r="3286" spans="29:53" ht="13.5">
      <c r="AC3286" s="6" t="s">
        <v>466</v>
      </c>
      <c r="AD3286" s="6" t="s">
        <v>7530</v>
      </c>
      <c r="AE3286" s="170" t="s">
        <v>168</v>
      </c>
      <c r="AF3286" s="159" t="s">
        <v>8391</v>
      </c>
      <c r="AG3286" s="160" t="s">
        <v>5316</v>
      </c>
      <c r="AH3286" s="194" t="s">
        <v>679</v>
      </c>
      <c r="AI3286" s="6">
        <v>125620</v>
      </c>
      <c r="AJ3286" s="3" t="s">
        <v>8265</v>
      </c>
      <c r="AK3286" t="s">
        <v>8265</v>
      </c>
      <c r="AV3286"/>
      <c r="AX3286"/>
      <c r="AZ3286" t="str">
        <f t="shared" si="325"/>
        <v/>
      </c>
      <c r="BA3286" t="str">
        <f t="shared" si="326"/>
        <v/>
      </c>
    </row>
    <row r="3287" spans="29:53" ht="13.5">
      <c r="AC3287" s="6" t="s">
        <v>1046</v>
      </c>
      <c r="AD3287" s="6" t="s">
        <v>7530</v>
      </c>
      <c r="AE3287" s="170" t="s">
        <v>1596</v>
      </c>
      <c r="AF3287" s="159" t="s">
        <v>8460</v>
      </c>
      <c r="AG3287" s="160" t="s">
        <v>5108</v>
      </c>
      <c r="AH3287" s="194" t="s">
        <v>1314</v>
      </c>
      <c r="AI3287" s="6">
        <v>135613</v>
      </c>
      <c r="AJ3287" s="3" t="s">
        <v>8280</v>
      </c>
      <c r="AK3287" t="s">
        <v>8280</v>
      </c>
      <c r="AV3287"/>
      <c r="AX3287"/>
      <c r="AZ3287" t="str">
        <f t="shared" si="325"/>
        <v/>
      </c>
      <c r="BA3287" t="str">
        <f t="shared" si="326"/>
        <v/>
      </c>
    </row>
    <row r="3288" spans="29:53" ht="13.5">
      <c r="AC3288" s="6" t="s">
        <v>1341</v>
      </c>
      <c r="AD3288" s="6" t="s">
        <v>7530</v>
      </c>
      <c r="AE3288" s="170" t="s">
        <v>1597</v>
      </c>
      <c r="AF3288" s="159" t="s">
        <v>8391</v>
      </c>
      <c r="AG3288" s="160" t="s">
        <v>5115</v>
      </c>
      <c r="AH3288" s="194" t="s">
        <v>1314</v>
      </c>
      <c r="AI3288" s="6">
        <v>145626</v>
      </c>
      <c r="AJ3288" s="3" t="s">
        <v>8282</v>
      </c>
      <c r="AK3288" t="s">
        <v>8282</v>
      </c>
      <c r="AV3288"/>
      <c r="AX3288"/>
      <c r="AZ3288" t="str">
        <f t="shared" si="325"/>
        <v/>
      </c>
      <c r="BA3288" t="str">
        <f t="shared" si="326"/>
        <v/>
      </c>
    </row>
    <row r="3289" spans="29:53" ht="13.5">
      <c r="AC3289" s="6">
        <v>495356</v>
      </c>
      <c r="AD3289" s="6" t="s">
        <v>7550</v>
      </c>
      <c r="AE3289" s="170" t="s">
        <v>1598</v>
      </c>
      <c r="AF3289" s="159" t="s">
        <v>8391</v>
      </c>
      <c r="AG3289" s="160" t="s">
        <v>5122</v>
      </c>
      <c r="AH3289" s="194" t="s">
        <v>1314</v>
      </c>
      <c r="AI3289" s="6" t="s">
        <v>4263</v>
      </c>
      <c r="AJ3289" s="3" t="s">
        <v>8266</v>
      </c>
      <c r="AK3289" t="s">
        <v>8266</v>
      </c>
      <c r="AV3289"/>
      <c r="AX3289"/>
      <c r="AZ3289" t="str">
        <f t="shared" si="325"/>
        <v/>
      </c>
      <c r="BA3289" t="str">
        <f t="shared" si="326"/>
        <v/>
      </c>
    </row>
    <row r="3290" spans="29:53" ht="13.5">
      <c r="AC3290" s="6" t="s">
        <v>438</v>
      </c>
      <c r="AD3290" s="6" t="s">
        <v>7530</v>
      </c>
      <c r="AE3290" s="170" t="s">
        <v>1599</v>
      </c>
      <c r="AF3290" s="159" t="s">
        <v>8458</v>
      </c>
      <c r="AG3290" s="160" t="s">
        <v>5264</v>
      </c>
      <c r="AH3290" s="194" t="s">
        <v>1314</v>
      </c>
      <c r="AI3290" s="6" t="s">
        <v>4299</v>
      </c>
      <c r="AJ3290" s="3" t="s">
        <v>8236</v>
      </c>
      <c r="AK3290" t="s">
        <v>8236</v>
      </c>
      <c r="AV3290"/>
      <c r="AX3290"/>
      <c r="AZ3290" t="str">
        <f t="shared" si="325"/>
        <v/>
      </c>
      <c r="BA3290" t="str">
        <f t="shared" si="326"/>
        <v/>
      </c>
    </row>
    <row r="3291" spans="29:53" ht="13.5">
      <c r="AC3291" s="6" t="s">
        <v>27</v>
      </c>
      <c r="AD3291" s="6" t="s">
        <v>7530</v>
      </c>
      <c r="AE3291" s="170" t="s">
        <v>169</v>
      </c>
      <c r="AF3291" s="159" t="s">
        <v>8391</v>
      </c>
      <c r="AG3291" s="160" t="s">
        <v>5224</v>
      </c>
      <c r="AH3291" s="194" t="s">
        <v>1314</v>
      </c>
      <c r="AI3291" s="6" t="s">
        <v>4304</v>
      </c>
      <c r="AJ3291" s="3" t="s">
        <v>8199</v>
      </c>
      <c r="AK3291" t="s">
        <v>8199</v>
      </c>
      <c r="AV3291"/>
      <c r="AX3291"/>
      <c r="AZ3291" t="str">
        <f t="shared" si="325"/>
        <v/>
      </c>
      <c r="BA3291" t="str">
        <f t="shared" si="326"/>
        <v/>
      </c>
    </row>
    <row r="3292" spans="29:53" ht="13.5">
      <c r="AC3292" s="6" t="s">
        <v>42</v>
      </c>
      <c r="AD3292" s="6" t="s">
        <v>7530</v>
      </c>
      <c r="AE3292" s="170" t="s">
        <v>170</v>
      </c>
      <c r="AF3292" s="159" t="s">
        <v>8466</v>
      </c>
      <c r="AG3292" s="160" t="s">
        <v>2023</v>
      </c>
      <c r="AH3292" s="194" t="s">
        <v>1314</v>
      </c>
      <c r="AI3292" s="6" t="s">
        <v>2270</v>
      </c>
      <c r="AJ3292" s="3" t="s">
        <v>8243</v>
      </c>
      <c r="AK3292" t="s">
        <v>8243</v>
      </c>
      <c r="AV3292"/>
      <c r="AX3292"/>
      <c r="AZ3292" t="str">
        <f t="shared" si="325"/>
        <v/>
      </c>
      <c r="BA3292" t="str">
        <f t="shared" si="326"/>
        <v/>
      </c>
    </row>
    <row r="3293" spans="29:53" ht="13.5">
      <c r="AC3293" s="6" t="s">
        <v>1457</v>
      </c>
      <c r="AD3293" s="6" t="s">
        <v>7530</v>
      </c>
      <c r="AE3293" s="170" t="s">
        <v>1600</v>
      </c>
      <c r="AF3293" s="159" t="s">
        <v>8391</v>
      </c>
      <c r="AG3293" s="160" t="s">
        <v>2024</v>
      </c>
      <c r="AH3293" s="194" t="s">
        <v>1314</v>
      </c>
      <c r="AI3293" s="6">
        <v>376356</v>
      </c>
      <c r="AJ3293" s="3" t="s">
        <v>8283</v>
      </c>
      <c r="AK3293" t="s">
        <v>8283</v>
      </c>
      <c r="AV3293"/>
      <c r="AX3293"/>
      <c r="AZ3293" t="str">
        <f t="shared" si="325"/>
        <v/>
      </c>
      <c r="BA3293" t="str">
        <f t="shared" si="326"/>
        <v/>
      </c>
    </row>
    <row r="3294" spans="29:53" ht="13.5">
      <c r="AC3294" s="6" t="s">
        <v>575</v>
      </c>
      <c r="AD3294" s="6" t="s">
        <v>7530</v>
      </c>
      <c r="AE3294" s="170" t="s">
        <v>1601</v>
      </c>
      <c r="AF3294" s="159" t="s">
        <v>8391</v>
      </c>
      <c r="AG3294" s="160" t="s">
        <v>1278</v>
      </c>
      <c r="AH3294" s="194" t="s">
        <v>1314</v>
      </c>
      <c r="AI3294" s="6">
        <v>385661</v>
      </c>
      <c r="AJ3294" s="3" t="s">
        <v>8274</v>
      </c>
      <c r="AK3294" t="s">
        <v>8274</v>
      </c>
      <c r="AV3294"/>
      <c r="AX3294"/>
      <c r="AZ3294" t="str">
        <f t="shared" si="325"/>
        <v/>
      </c>
      <c r="BA3294" t="str">
        <f t="shared" si="326"/>
        <v/>
      </c>
    </row>
    <row r="3295" spans="29:53" ht="13.5">
      <c r="AC3295" s="6" t="s">
        <v>384</v>
      </c>
      <c r="AD3295" s="6" t="s">
        <v>7530</v>
      </c>
      <c r="AE3295" s="170" t="s">
        <v>1602</v>
      </c>
      <c r="AF3295" s="159" t="s">
        <v>8464</v>
      </c>
      <c r="AG3295" s="160" t="s">
        <v>45</v>
      </c>
      <c r="AH3295" s="194" t="s">
        <v>679</v>
      </c>
      <c r="AI3295" s="6" t="s">
        <v>4362</v>
      </c>
      <c r="AJ3295" s="3" t="s">
        <v>8249</v>
      </c>
      <c r="AK3295" t="s">
        <v>8249</v>
      </c>
      <c r="AV3295"/>
      <c r="AX3295"/>
      <c r="AZ3295" t="str">
        <f t="shared" si="325"/>
        <v/>
      </c>
      <c r="BA3295" t="str">
        <f t="shared" si="326"/>
        <v/>
      </c>
    </row>
    <row r="3296" spans="29:53" ht="13.5">
      <c r="AC3296" s="6" t="s">
        <v>1182</v>
      </c>
      <c r="AD3296" s="6" t="s">
        <v>7530</v>
      </c>
      <c r="AE3296" s="170" t="s">
        <v>1603</v>
      </c>
      <c r="AF3296" s="159" t="s">
        <v>8465</v>
      </c>
      <c r="AG3296" s="160" t="s">
        <v>3952</v>
      </c>
      <c r="AH3296" s="194" t="s">
        <v>679</v>
      </c>
      <c r="AI3296" s="6" t="s">
        <v>4382</v>
      </c>
      <c r="AJ3296" s="3" t="s">
        <v>8241</v>
      </c>
      <c r="AK3296" t="s">
        <v>8675</v>
      </c>
      <c r="AV3296"/>
      <c r="AX3296"/>
      <c r="AZ3296" t="str">
        <f t="shared" si="325"/>
        <v/>
      </c>
      <c r="BA3296" t="str">
        <f t="shared" si="326"/>
        <v/>
      </c>
    </row>
    <row r="3297" spans="29:53" ht="13.5">
      <c r="AC3297" s="6" t="s">
        <v>269</v>
      </c>
      <c r="AD3297" s="6" t="s">
        <v>7530</v>
      </c>
      <c r="AE3297" s="170" t="s">
        <v>1604</v>
      </c>
      <c r="AF3297" s="159" t="s">
        <v>8391</v>
      </c>
      <c r="AG3297" s="160" t="s">
        <v>5195</v>
      </c>
      <c r="AH3297" s="194" t="s">
        <v>1314</v>
      </c>
      <c r="AI3297" s="6" t="s">
        <v>2766</v>
      </c>
      <c r="AJ3297" s="3" t="s">
        <v>8241</v>
      </c>
      <c r="AK3297" t="s">
        <v>8675</v>
      </c>
      <c r="AV3297"/>
      <c r="AX3297"/>
      <c r="AZ3297" t="str">
        <f t="shared" si="325"/>
        <v/>
      </c>
      <c r="BA3297" t="str">
        <f t="shared" si="326"/>
        <v/>
      </c>
    </row>
    <row r="3298" spans="29:53" ht="13.5">
      <c r="AC3298" s="6" t="s">
        <v>5797</v>
      </c>
      <c r="AD3298" s="6" t="s">
        <v>7530</v>
      </c>
      <c r="AE3298" s="170" t="s">
        <v>1605</v>
      </c>
      <c r="AF3298" s="159" t="s">
        <v>8458</v>
      </c>
      <c r="AG3298" s="160" t="s">
        <v>2522</v>
      </c>
      <c r="AH3298" s="194" t="s">
        <v>679</v>
      </c>
      <c r="AI3298" s="6" t="s">
        <v>2767</v>
      </c>
      <c r="AJ3298" s="3" t="s">
        <v>8254</v>
      </c>
      <c r="AK3298" t="s">
        <v>8254</v>
      </c>
      <c r="AV3298"/>
      <c r="AX3298"/>
      <c r="AZ3298" t="str">
        <f t="shared" si="325"/>
        <v/>
      </c>
      <c r="BA3298" t="str">
        <f t="shared" si="326"/>
        <v/>
      </c>
    </row>
    <row r="3299" spans="29:53" ht="13.5">
      <c r="AC3299" s="6" t="s">
        <v>264</v>
      </c>
      <c r="AD3299" s="6" t="s">
        <v>7530</v>
      </c>
      <c r="AE3299" s="170" t="s">
        <v>1606</v>
      </c>
      <c r="AF3299" s="159" t="s">
        <v>8391</v>
      </c>
      <c r="AG3299" s="160" t="s">
        <v>3953</v>
      </c>
      <c r="AH3299" s="194" t="s">
        <v>679</v>
      </c>
      <c r="AI3299" s="6">
        <v>765227</v>
      </c>
      <c r="AJ3299" s="3" t="s">
        <v>8236</v>
      </c>
      <c r="AK3299" t="s">
        <v>8236</v>
      </c>
      <c r="AV3299"/>
      <c r="AX3299"/>
      <c r="AZ3299" t="str">
        <f t="shared" si="325"/>
        <v/>
      </c>
      <c r="BA3299" t="str">
        <f t="shared" si="326"/>
        <v/>
      </c>
    </row>
    <row r="3300" spans="29:53" ht="13.5">
      <c r="AC3300" s="6" t="s">
        <v>5429</v>
      </c>
      <c r="AD3300" s="6" t="s">
        <v>7530</v>
      </c>
      <c r="AE3300" s="170" t="s">
        <v>1607</v>
      </c>
      <c r="AF3300" s="159" t="s">
        <v>8391</v>
      </c>
      <c r="AG3300" s="160" t="s">
        <v>3954</v>
      </c>
      <c r="AH3300" s="194" t="s">
        <v>679</v>
      </c>
      <c r="AI3300" s="6">
        <v>826342</v>
      </c>
      <c r="AJ3300" s="3" t="s">
        <v>8242</v>
      </c>
      <c r="AK3300" t="s">
        <v>8281</v>
      </c>
      <c r="AV3300"/>
      <c r="AX3300"/>
      <c r="AZ3300" t="str">
        <f t="shared" si="325"/>
        <v/>
      </c>
      <c r="BA3300" t="str">
        <f t="shared" si="326"/>
        <v/>
      </c>
    </row>
    <row r="3301" spans="29:53" ht="13.5">
      <c r="AC3301" s="6" t="s">
        <v>437</v>
      </c>
      <c r="AD3301" s="6" t="s">
        <v>7530</v>
      </c>
      <c r="AE3301" s="170" t="s">
        <v>1608</v>
      </c>
      <c r="AF3301" s="159" t="s">
        <v>8458</v>
      </c>
      <c r="AG3301" s="160" t="s">
        <v>3955</v>
      </c>
      <c r="AH3301" s="194" t="s">
        <v>1314</v>
      </c>
      <c r="AI3301" s="6">
        <v>876399</v>
      </c>
      <c r="AJ3301" s="3" t="s">
        <v>8274</v>
      </c>
      <c r="AK3301" t="s">
        <v>8274</v>
      </c>
      <c r="AV3301"/>
      <c r="AX3301"/>
      <c r="AZ3301" t="str">
        <f t="shared" si="325"/>
        <v/>
      </c>
      <c r="BA3301" t="str">
        <f t="shared" si="326"/>
        <v/>
      </c>
    </row>
    <row r="3302" spans="29:53" ht="13.5">
      <c r="AC3302" s="6" t="s">
        <v>5417</v>
      </c>
      <c r="AD3302" s="6" t="s">
        <v>7530</v>
      </c>
      <c r="AE3302" s="170" t="s">
        <v>1609</v>
      </c>
      <c r="AF3302" s="159" t="s">
        <v>8458</v>
      </c>
      <c r="AG3302" s="160" t="s">
        <v>3956</v>
      </c>
      <c r="AH3302" s="194" t="s">
        <v>1314</v>
      </c>
      <c r="AI3302" s="6">
        <v>936435</v>
      </c>
      <c r="AJ3302" s="3" t="s">
        <v>8280</v>
      </c>
      <c r="AK3302" t="s">
        <v>8280</v>
      </c>
      <c r="AV3302"/>
      <c r="AX3302"/>
      <c r="AZ3302" t="str">
        <f t="shared" si="325"/>
        <v/>
      </c>
      <c r="BA3302" t="str">
        <f t="shared" si="326"/>
        <v/>
      </c>
    </row>
    <row r="3303" spans="29:53" ht="13.5">
      <c r="AC3303" s="6" t="s">
        <v>273</v>
      </c>
      <c r="AD3303" s="6" t="s">
        <v>7530</v>
      </c>
      <c r="AE3303" s="170" t="s">
        <v>1610</v>
      </c>
      <c r="AF3303" s="159" t="s">
        <v>8472</v>
      </c>
      <c r="AG3303" s="160" t="s">
        <v>3957</v>
      </c>
      <c r="AH3303" s="194" t="s">
        <v>1314</v>
      </c>
      <c r="AI3303" s="6">
        <v>946439</v>
      </c>
      <c r="AJ3303" s="3" t="s">
        <v>8280</v>
      </c>
      <c r="AK3303" t="s">
        <v>8280</v>
      </c>
      <c r="AV3303"/>
      <c r="AX3303"/>
      <c r="AZ3303" t="str">
        <f t="shared" si="325"/>
        <v/>
      </c>
      <c r="BA3303" t="str">
        <f t="shared" si="326"/>
        <v/>
      </c>
    </row>
    <row r="3304" spans="29:53" ht="13.5">
      <c r="AC3304" s="6" t="s">
        <v>1400</v>
      </c>
      <c r="AD3304" s="6" t="s">
        <v>7530</v>
      </c>
      <c r="AE3304" s="170" t="s">
        <v>1611</v>
      </c>
      <c r="AF3304" s="159" t="s">
        <v>8391</v>
      </c>
      <c r="AG3304" s="160" t="s">
        <v>3958</v>
      </c>
      <c r="AH3304" s="194" t="s">
        <v>1314</v>
      </c>
      <c r="AI3304" s="6" t="s">
        <v>3574</v>
      </c>
      <c r="AJ3304" s="3" t="s">
        <v>8206</v>
      </c>
      <c r="AK3304" t="s">
        <v>8206</v>
      </c>
      <c r="AV3304"/>
      <c r="AX3304"/>
      <c r="AZ3304" t="str">
        <f t="shared" si="325"/>
        <v/>
      </c>
      <c r="BA3304" t="str">
        <f t="shared" si="326"/>
        <v/>
      </c>
    </row>
    <row r="3305" spans="29:53" ht="13.5">
      <c r="AC3305" s="6" t="s">
        <v>215</v>
      </c>
      <c r="AD3305" s="6" t="s">
        <v>7530</v>
      </c>
      <c r="AE3305" s="170" t="s">
        <v>1012</v>
      </c>
      <c r="AF3305" s="159" t="s">
        <v>8391</v>
      </c>
      <c r="AG3305" s="160" t="s">
        <v>1294</v>
      </c>
      <c r="AH3305" s="194" t="s">
        <v>1314</v>
      </c>
      <c r="AI3305" s="6">
        <v>195220</v>
      </c>
      <c r="AJ3305" s="3" t="s">
        <v>8230</v>
      </c>
      <c r="AK3305" t="s">
        <v>8230</v>
      </c>
      <c r="AV3305"/>
      <c r="AX3305"/>
      <c r="AZ3305" t="str">
        <f t="shared" si="325"/>
        <v/>
      </c>
      <c r="BA3305" t="str">
        <f t="shared" si="326"/>
        <v/>
      </c>
    </row>
    <row r="3306" spans="29:53" ht="13.5">
      <c r="AC3306" s="6" t="s">
        <v>5506</v>
      </c>
      <c r="AD3306" s="6" t="s">
        <v>7530</v>
      </c>
      <c r="AE3306" s="170" t="s">
        <v>1612</v>
      </c>
      <c r="AF3306" s="159" t="s">
        <v>8466</v>
      </c>
      <c r="AG3306" s="160" t="s">
        <v>3959</v>
      </c>
      <c r="AH3306" s="194" t="s">
        <v>679</v>
      </c>
      <c r="AI3306" s="6">
        <v>436426</v>
      </c>
      <c r="AJ3306" s="3" t="s">
        <v>8277</v>
      </c>
      <c r="AK3306" t="s">
        <v>8277</v>
      </c>
      <c r="AV3306"/>
      <c r="AX3306"/>
      <c r="AZ3306" t="str">
        <f t="shared" si="325"/>
        <v/>
      </c>
      <c r="BA3306" t="str">
        <f t="shared" si="326"/>
        <v/>
      </c>
    </row>
    <row r="3307" spans="29:53" ht="13.5">
      <c r="AC3307" s="6" t="s">
        <v>274</v>
      </c>
      <c r="AD3307" s="6" t="s">
        <v>7530</v>
      </c>
      <c r="AE3307" s="170" t="s">
        <v>1613</v>
      </c>
      <c r="AF3307" s="159" t="s">
        <v>8391</v>
      </c>
      <c r="AG3307" s="160" t="s">
        <v>1296</v>
      </c>
      <c r="AH3307" s="194" t="s">
        <v>1314</v>
      </c>
      <c r="AI3307" s="6" t="s">
        <v>2107</v>
      </c>
      <c r="AJ3307" s="3" t="s">
        <v>8227</v>
      </c>
      <c r="AK3307" t="s">
        <v>8227</v>
      </c>
      <c r="AV3307"/>
      <c r="AX3307"/>
      <c r="AZ3307" t="str">
        <f t="shared" si="325"/>
        <v/>
      </c>
      <c r="BA3307" t="str">
        <f t="shared" si="326"/>
        <v/>
      </c>
    </row>
    <row r="3308" spans="29:53" ht="13.5">
      <c r="AC3308" s="6" t="s">
        <v>376</v>
      </c>
      <c r="AD3308" s="6" t="s">
        <v>7530</v>
      </c>
      <c r="AE3308" s="170" t="s">
        <v>176</v>
      </c>
      <c r="AF3308" s="159" t="s">
        <v>8460</v>
      </c>
      <c r="AG3308" s="160" t="s">
        <v>1297</v>
      </c>
      <c r="AH3308" s="194" t="s">
        <v>1314</v>
      </c>
      <c r="AI3308" s="6">
        <v>986465</v>
      </c>
      <c r="AJ3308" s="3" t="s">
        <v>8271</v>
      </c>
      <c r="AK3308" t="s">
        <v>8271</v>
      </c>
      <c r="AV3308"/>
      <c r="AX3308"/>
      <c r="AZ3308" t="str">
        <f t="shared" si="325"/>
        <v/>
      </c>
      <c r="BA3308" t="str">
        <f t="shared" si="326"/>
        <v/>
      </c>
    </row>
    <row r="3309" spans="29:53" ht="13.5">
      <c r="AC3309" s="6" t="s">
        <v>1352</v>
      </c>
      <c r="AD3309" s="6" t="s">
        <v>7530</v>
      </c>
      <c r="AE3309" s="170" t="s">
        <v>177</v>
      </c>
      <c r="AF3309" s="159" t="s">
        <v>8391</v>
      </c>
      <c r="AG3309" s="160" t="s">
        <v>4477</v>
      </c>
      <c r="AH3309" s="194" t="s">
        <v>1314</v>
      </c>
      <c r="AI3309" s="6" t="s">
        <v>2621</v>
      </c>
      <c r="AJ3309" s="3" t="s">
        <v>8206</v>
      </c>
      <c r="AK3309" t="s">
        <v>8206</v>
      </c>
      <c r="AV3309"/>
      <c r="AX3309"/>
      <c r="AZ3309" t="str">
        <f t="shared" si="325"/>
        <v/>
      </c>
      <c r="BA3309" t="str">
        <f t="shared" si="326"/>
        <v/>
      </c>
    </row>
    <row r="3310" spans="29:53" ht="13.5">
      <c r="AC3310" s="6" t="s">
        <v>577</v>
      </c>
      <c r="AD3310" s="6" t="s">
        <v>7530</v>
      </c>
      <c r="AE3310" s="170" t="s">
        <v>1029</v>
      </c>
      <c r="AF3310" s="159" t="s">
        <v>8391</v>
      </c>
      <c r="AG3310" s="160" t="s">
        <v>3960</v>
      </c>
      <c r="AH3310" s="194" t="s">
        <v>679</v>
      </c>
      <c r="AI3310" s="6" t="s">
        <v>2713</v>
      </c>
      <c r="AJ3310" s="3" t="s">
        <v>8254</v>
      </c>
      <c r="AK3310" t="s">
        <v>8254</v>
      </c>
      <c r="AV3310"/>
      <c r="AX3310"/>
      <c r="AZ3310" t="str">
        <f t="shared" si="325"/>
        <v/>
      </c>
      <c r="BA3310" t="str">
        <f t="shared" si="326"/>
        <v/>
      </c>
    </row>
    <row r="3311" spans="29:53" ht="13.5">
      <c r="AC3311" s="6" t="s">
        <v>19</v>
      </c>
      <c r="AD3311" s="6" t="s">
        <v>7530</v>
      </c>
      <c r="AE3311" s="170" t="s">
        <v>1425</v>
      </c>
      <c r="AF3311" s="159" t="s">
        <v>8469</v>
      </c>
      <c r="AG3311" s="160" t="s">
        <v>3961</v>
      </c>
      <c r="AH3311" s="194" t="s">
        <v>679</v>
      </c>
      <c r="AI3311" s="6">
        <v>195219</v>
      </c>
      <c r="AJ3311" s="3" t="s">
        <v>8230</v>
      </c>
      <c r="AK3311" t="s">
        <v>8230</v>
      </c>
      <c r="AV3311"/>
      <c r="AX3311"/>
      <c r="AZ3311" t="str">
        <f t="shared" si="325"/>
        <v/>
      </c>
      <c r="BA3311" t="str">
        <f t="shared" si="326"/>
        <v/>
      </c>
    </row>
    <row r="3312" spans="29:53" ht="13.5">
      <c r="AC3312" s="6" t="s">
        <v>1036</v>
      </c>
      <c r="AD3312" s="6" t="s">
        <v>7530</v>
      </c>
      <c r="AE3312" s="170" t="s">
        <v>599</v>
      </c>
      <c r="AF3312" s="159" t="s">
        <v>8458</v>
      </c>
      <c r="AG3312" s="160" t="s">
        <v>3962</v>
      </c>
      <c r="AH3312" s="194" t="s">
        <v>1314</v>
      </c>
      <c r="AI3312" s="6" t="s">
        <v>3555</v>
      </c>
      <c r="AJ3312" s="3" t="s">
        <v>8278</v>
      </c>
      <c r="AK3312" t="s">
        <v>8278</v>
      </c>
      <c r="AV3312"/>
      <c r="AX3312"/>
      <c r="AZ3312" t="str">
        <f t="shared" si="325"/>
        <v/>
      </c>
      <c r="BA3312" t="str">
        <f t="shared" si="326"/>
        <v/>
      </c>
    </row>
    <row r="3313" spans="29:53" ht="13.5">
      <c r="AC3313" s="6" t="s">
        <v>209</v>
      </c>
      <c r="AD3313" s="6" t="s">
        <v>7530</v>
      </c>
      <c r="AE3313" s="170" t="s">
        <v>600</v>
      </c>
      <c r="AF3313" s="159" t="s">
        <v>8472</v>
      </c>
      <c r="AG3313" s="160" t="s">
        <v>3963</v>
      </c>
      <c r="AH3313" s="194" t="s">
        <v>1314</v>
      </c>
      <c r="AI3313" s="6" t="s">
        <v>2549</v>
      </c>
      <c r="AJ3313" s="3" t="s">
        <v>8241</v>
      </c>
      <c r="AK3313" t="s">
        <v>8675</v>
      </c>
      <c r="AV3313"/>
      <c r="AX3313"/>
      <c r="AZ3313" t="str">
        <f t="shared" si="325"/>
        <v/>
      </c>
      <c r="BA3313" t="str">
        <f t="shared" si="326"/>
        <v/>
      </c>
    </row>
    <row r="3314" spans="29:53" ht="13.5">
      <c r="AC3314" s="6" t="s">
        <v>1175</v>
      </c>
      <c r="AD3314" s="6" t="s">
        <v>7530</v>
      </c>
      <c r="AE3314" s="170" t="s">
        <v>958</v>
      </c>
      <c r="AF3314" s="159" t="s">
        <v>8391</v>
      </c>
      <c r="AG3314" s="160" t="s">
        <v>3964</v>
      </c>
      <c r="AH3314" s="194" t="s">
        <v>1314</v>
      </c>
      <c r="AI3314" s="6" t="s">
        <v>1002</v>
      </c>
      <c r="AJ3314" s="3" t="s">
        <v>8217</v>
      </c>
      <c r="AK3314" t="s">
        <v>8668</v>
      </c>
      <c r="AV3314"/>
      <c r="AX3314"/>
      <c r="AZ3314" t="str">
        <f t="shared" si="325"/>
        <v/>
      </c>
      <c r="BA3314" t="str">
        <f t="shared" si="326"/>
        <v/>
      </c>
    </row>
    <row r="3315" spans="29:53" ht="13.5">
      <c r="AC3315" s="6" t="s">
        <v>321</v>
      </c>
      <c r="AD3315" s="6" t="s">
        <v>7530</v>
      </c>
      <c r="AE3315" s="170" t="s">
        <v>601</v>
      </c>
      <c r="AF3315" s="159" t="s">
        <v>8391</v>
      </c>
      <c r="AG3315" s="160" t="s">
        <v>3965</v>
      </c>
      <c r="AH3315" s="194" t="s">
        <v>679</v>
      </c>
      <c r="AI3315" s="6" t="s">
        <v>1003</v>
      </c>
      <c r="AJ3315" s="3" t="s">
        <v>8217</v>
      </c>
      <c r="AK3315" t="s">
        <v>8668</v>
      </c>
      <c r="AV3315"/>
      <c r="AX3315"/>
      <c r="AZ3315" t="str">
        <f t="shared" si="325"/>
        <v/>
      </c>
      <c r="BA3315" t="str">
        <f t="shared" si="326"/>
        <v/>
      </c>
    </row>
    <row r="3316" spans="29:53" ht="13.5">
      <c r="AC3316" s="6" t="s">
        <v>210</v>
      </c>
      <c r="AD3316" s="6" t="s">
        <v>7530</v>
      </c>
      <c r="AE3316" s="170" t="s">
        <v>602</v>
      </c>
      <c r="AF3316" s="159" t="s">
        <v>8423</v>
      </c>
      <c r="AG3316" s="160" t="s">
        <v>3966</v>
      </c>
      <c r="AH3316" s="194" t="s">
        <v>1314</v>
      </c>
      <c r="AI3316" s="6" t="s">
        <v>2622</v>
      </c>
      <c r="AJ3316" s="3" t="s">
        <v>8242</v>
      </c>
      <c r="AK3316" t="s">
        <v>8281</v>
      </c>
      <c r="AV3316"/>
      <c r="AX3316"/>
      <c r="AZ3316" t="str">
        <f t="shared" si="325"/>
        <v/>
      </c>
      <c r="BA3316" t="str">
        <f t="shared" si="326"/>
        <v/>
      </c>
    </row>
    <row r="3317" spans="29:53" ht="13.5">
      <c r="AC3317" s="6" t="s">
        <v>1193</v>
      </c>
      <c r="AD3317" s="6" t="s">
        <v>7530</v>
      </c>
      <c r="AE3317" s="170" t="s">
        <v>603</v>
      </c>
      <c r="AF3317" s="159" t="s">
        <v>8339</v>
      </c>
      <c r="AG3317" s="160" t="s">
        <v>3967</v>
      </c>
      <c r="AH3317" s="194" t="s">
        <v>679</v>
      </c>
      <c r="AI3317" s="6" t="s">
        <v>2198</v>
      </c>
      <c r="AJ3317" s="3" t="s">
        <v>8221</v>
      </c>
      <c r="AK3317" t="s">
        <v>8669</v>
      </c>
      <c r="AV3317"/>
      <c r="AX3317"/>
      <c r="AZ3317" t="str">
        <f t="shared" si="325"/>
        <v/>
      </c>
      <c r="BA3317" t="str">
        <f t="shared" si="326"/>
        <v/>
      </c>
    </row>
    <row r="3318" spans="29:53" ht="13.5">
      <c r="AC3318" s="6" t="s">
        <v>5315</v>
      </c>
      <c r="AD3318" s="6" t="s">
        <v>7530</v>
      </c>
      <c r="AE3318" s="170" t="s">
        <v>1107</v>
      </c>
      <c r="AF3318" s="159" t="s">
        <v>8391</v>
      </c>
      <c r="AG3318" s="160" t="s">
        <v>3968</v>
      </c>
      <c r="AH3318" s="194" t="s">
        <v>1314</v>
      </c>
      <c r="AI3318" s="6" t="s">
        <v>3867</v>
      </c>
      <c r="AJ3318" s="3" t="s">
        <v>8266</v>
      </c>
      <c r="AK3318" t="s">
        <v>8266</v>
      </c>
      <c r="AV3318"/>
      <c r="AX3318"/>
      <c r="AZ3318" t="str">
        <f t="shared" si="325"/>
        <v/>
      </c>
      <c r="BA3318" t="str">
        <f t="shared" si="326"/>
        <v/>
      </c>
    </row>
    <row r="3319" spans="29:53" ht="13.5">
      <c r="AC3319" s="6" t="s">
        <v>1207</v>
      </c>
      <c r="AD3319" s="6" t="s">
        <v>7530</v>
      </c>
      <c r="AE3319" s="170" t="s">
        <v>5142</v>
      </c>
      <c r="AF3319" s="159" t="s">
        <v>8391</v>
      </c>
      <c r="AG3319" s="160" t="s">
        <v>3969</v>
      </c>
      <c r="AH3319" s="194" t="s">
        <v>679</v>
      </c>
      <c r="AI3319" s="6" t="s">
        <v>3930</v>
      </c>
      <c r="AJ3319" s="3" t="s">
        <v>8269</v>
      </c>
      <c r="AK3319" t="s">
        <v>8269</v>
      </c>
      <c r="AV3319"/>
      <c r="AX3319"/>
      <c r="AZ3319" t="str">
        <f t="shared" si="325"/>
        <v/>
      </c>
      <c r="BA3319" t="str">
        <f t="shared" si="326"/>
        <v/>
      </c>
    </row>
    <row r="3320" spans="29:53" ht="13.5">
      <c r="AC3320" s="6" t="s">
        <v>355</v>
      </c>
      <c r="AD3320" s="6" t="s">
        <v>7530</v>
      </c>
      <c r="AE3320" s="170" t="s">
        <v>1200</v>
      </c>
      <c r="AF3320" s="159" t="s">
        <v>8391</v>
      </c>
      <c r="AG3320" s="160" t="s">
        <v>3970</v>
      </c>
      <c r="AH3320" s="194" t="s">
        <v>679</v>
      </c>
      <c r="AI3320" s="6" t="s">
        <v>3932</v>
      </c>
      <c r="AJ3320" s="3" t="s">
        <v>8236</v>
      </c>
      <c r="AK3320" t="s">
        <v>8236</v>
      </c>
      <c r="AV3320"/>
      <c r="AX3320"/>
      <c r="AZ3320" t="str">
        <f t="shared" si="325"/>
        <v/>
      </c>
      <c r="BA3320" t="str">
        <f t="shared" si="326"/>
        <v/>
      </c>
    </row>
    <row r="3321" spans="29:53" ht="13.5">
      <c r="AC3321" s="6" t="s">
        <v>1399</v>
      </c>
      <c r="AD3321" s="6" t="s">
        <v>7530</v>
      </c>
      <c r="AE3321" s="170" t="s">
        <v>4441</v>
      </c>
      <c r="AF3321" s="159" t="s">
        <v>8391</v>
      </c>
      <c r="AG3321" s="160" t="s">
        <v>5140</v>
      </c>
      <c r="AH3321" s="194" t="s">
        <v>1314</v>
      </c>
      <c r="AI3321" s="6" t="s">
        <v>3957</v>
      </c>
      <c r="AJ3321" s="3" t="s">
        <v>8280</v>
      </c>
      <c r="AK3321" t="s">
        <v>8280</v>
      </c>
      <c r="AV3321"/>
      <c r="AX3321"/>
      <c r="AZ3321" t="str">
        <f t="shared" ref="AZ3321:AZ3384" si="327">IF(ISBLANK(AW3321),"",CONCATENATE("(",RIGHT(AW3321,5),"-",TEXT(AX3321,"h:mm;@"),")"))</f>
        <v/>
      </c>
      <c r="BA3321" t="str">
        <f t="shared" ref="BA3321:BA3384" si="328">IF(AV3337=AV3321,"",CONCATENATE(IF(AV3336=AV3321,BA3336,""),IF(AV3335=AV3321,BA3335,""),IF(AV3334=AV3321,BA3334,""),IF(AV3333=AV3321,BA3333,""),IF(AV3332=AV3321,BA3332,""),IF(AV3331=AV3321,BA3331,""),IF(AV3330=AV3321,BA3330,""),IF(AV3329=AV3321,BA3329,""),IF(AV3328=AV3321,BA3328,""),IF(AV3327=AV3321,BA3327,""),IF(AV3326=AV3321,BA3326,""),IF(AV3325=AV3321,BA3325,""),IF(AV3324=AV3321,BA3324,""),IF(AV3323=AV3321,BA3323,""),IF(AV3322=AV3321,BA3322,""),IF(AV3320=AV3321,BA3320,""),BA3321))</f>
        <v/>
      </c>
    </row>
    <row r="3322" spans="29:53" ht="13.5">
      <c r="AC3322" s="6" t="s">
        <v>510</v>
      </c>
      <c r="AD3322" s="6" t="s">
        <v>7530</v>
      </c>
      <c r="AE3322" s="170" t="s">
        <v>4457</v>
      </c>
      <c r="AF3322" s="159" t="s">
        <v>8391</v>
      </c>
      <c r="AG3322" s="160" t="s">
        <v>41</v>
      </c>
      <c r="AH3322" s="194" t="s">
        <v>4700</v>
      </c>
      <c r="AI3322" s="6" t="s">
        <v>2494</v>
      </c>
      <c r="AJ3322" s="3" t="s">
        <v>8274</v>
      </c>
      <c r="AK3322" t="s">
        <v>8274</v>
      </c>
      <c r="AV3322"/>
      <c r="AX3322"/>
      <c r="AZ3322" t="str">
        <f t="shared" si="327"/>
        <v/>
      </c>
      <c r="BA3322" t="str">
        <f t="shared" si="328"/>
        <v/>
      </c>
    </row>
    <row r="3323" spans="29:53" ht="13.5">
      <c r="AC3323" s="6" t="s">
        <v>277</v>
      </c>
      <c r="AD3323" s="6" t="s">
        <v>7530</v>
      </c>
      <c r="AE3323" s="170" t="s">
        <v>4447</v>
      </c>
      <c r="AF3323" s="159" t="s">
        <v>8391</v>
      </c>
      <c r="AG3323" s="160" t="s">
        <v>40</v>
      </c>
      <c r="AH3323" s="194" t="s">
        <v>4700</v>
      </c>
      <c r="AI3323" s="6" t="s">
        <v>2721</v>
      </c>
      <c r="AJ3323" s="3" t="s">
        <v>8276</v>
      </c>
      <c r="AK3323" t="s">
        <v>8276</v>
      </c>
      <c r="AV3323"/>
      <c r="AX3323"/>
      <c r="AZ3323" t="str">
        <f t="shared" si="327"/>
        <v/>
      </c>
      <c r="BA3323" t="str">
        <f t="shared" si="328"/>
        <v/>
      </c>
    </row>
    <row r="3324" spans="29:53" ht="13.5">
      <c r="AC3324" s="6" t="s">
        <v>1455</v>
      </c>
      <c r="AD3324" s="6" t="s">
        <v>7530</v>
      </c>
      <c r="AE3324" s="170" t="s">
        <v>1501</v>
      </c>
      <c r="AF3324" s="159" t="s">
        <v>8391</v>
      </c>
      <c r="AG3324" s="160" t="s">
        <v>203</v>
      </c>
      <c r="AH3324" s="194" t="s">
        <v>1314</v>
      </c>
      <c r="AI3324" s="6" t="s">
        <v>4142</v>
      </c>
      <c r="AJ3324" s="3" t="s">
        <v>8270</v>
      </c>
      <c r="AK3324" t="s">
        <v>8270</v>
      </c>
      <c r="AV3324"/>
      <c r="AX3324"/>
      <c r="AZ3324" t="str">
        <f t="shared" si="327"/>
        <v/>
      </c>
      <c r="BA3324" t="str">
        <f t="shared" si="328"/>
        <v/>
      </c>
    </row>
    <row r="3325" spans="29:53" ht="13.5">
      <c r="AC3325" s="6" t="s">
        <v>1378</v>
      </c>
      <c r="AD3325" s="6" t="s">
        <v>7530</v>
      </c>
      <c r="AE3325" s="170" t="s">
        <v>1136</v>
      </c>
      <c r="AF3325" s="159" t="s">
        <v>8458</v>
      </c>
      <c r="AG3325" s="160" t="s">
        <v>204</v>
      </c>
      <c r="AH3325" s="194" t="s">
        <v>4700</v>
      </c>
      <c r="AI3325" s="6" t="s">
        <v>4145</v>
      </c>
      <c r="AJ3325" s="3" t="s">
        <v>8270</v>
      </c>
      <c r="AK3325" t="s">
        <v>8270</v>
      </c>
      <c r="AV3325"/>
      <c r="AX3325"/>
      <c r="AZ3325" t="str">
        <f t="shared" si="327"/>
        <v/>
      </c>
      <c r="BA3325" t="str">
        <f t="shared" si="328"/>
        <v/>
      </c>
    </row>
    <row r="3326" spans="29:53" ht="13.5">
      <c r="AC3326" s="6" t="s">
        <v>472</v>
      </c>
      <c r="AD3326" s="6" t="s">
        <v>7530</v>
      </c>
      <c r="AE3326" s="170" t="s">
        <v>124</v>
      </c>
      <c r="AF3326" s="159" t="s">
        <v>8460</v>
      </c>
      <c r="AG3326" s="160" t="s">
        <v>205</v>
      </c>
      <c r="AH3326" s="194" t="s">
        <v>4700</v>
      </c>
      <c r="AI3326" s="6" t="s">
        <v>4221</v>
      </c>
      <c r="AJ3326" s="3" t="s">
        <v>8262</v>
      </c>
      <c r="AK3326" t="s">
        <v>8262</v>
      </c>
      <c r="AV3326"/>
      <c r="AX3326"/>
      <c r="AZ3326" t="str">
        <f t="shared" si="327"/>
        <v/>
      </c>
      <c r="BA3326" t="str">
        <f t="shared" si="328"/>
        <v/>
      </c>
    </row>
    <row r="3327" spans="29:53" ht="13.5">
      <c r="AC3327" s="6" t="s">
        <v>1072</v>
      </c>
      <c r="AD3327" s="6" t="s">
        <v>7530</v>
      </c>
      <c r="AE3327" s="170" t="s">
        <v>1137</v>
      </c>
      <c r="AF3327" s="159" t="s">
        <v>8391</v>
      </c>
      <c r="AG3327" s="160" t="s">
        <v>42</v>
      </c>
      <c r="AH3327" s="194" t="s">
        <v>4700</v>
      </c>
      <c r="AI3327" s="6">
        <v>165823</v>
      </c>
      <c r="AJ3327" s="3" t="s">
        <v>8262</v>
      </c>
      <c r="AK3327" t="s">
        <v>8262</v>
      </c>
      <c r="AV3327"/>
      <c r="AX3327"/>
      <c r="AZ3327" t="str">
        <f t="shared" si="327"/>
        <v/>
      </c>
      <c r="BA3327" t="str">
        <f t="shared" si="328"/>
        <v/>
      </c>
    </row>
    <row r="3328" spans="29:53" ht="13.5">
      <c r="AC3328" s="6" t="s">
        <v>511</v>
      </c>
      <c r="AD3328" s="6" t="s">
        <v>7530</v>
      </c>
      <c r="AE3328" s="170">
        <v>335300</v>
      </c>
      <c r="AF3328" s="159" t="s">
        <v>8391</v>
      </c>
      <c r="AG3328" s="160" t="s">
        <v>206</v>
      </c>
      <c r="AH3328" s="194" t="s">
        <v>4700</v>
      </c>
      <c r="AI3328" s="6" t="s">
        <v>4261</v>
      </c>
      <c r="AJ3328" s="3" t="s">
        <v>8230</v>
      </c>
      <c r="AK3328" t="s">
        <v>8230</v>
      </c>
      <c r="AV3328"/>
      <c r="AX3328"/>
      <c r="AZ3328" t="str">
        <f t="shared" si="327"/>
        <v/>
      </c>
      <c r="BA3328" t="str">
        <f t="shared" si="328"/>
        <v/>
      </c>
    </row>
    <row r="3329" spans="29:53" ht="13.5">
      <c r="AC3329" s="6" t="s">
        <v>465</v>
      </c>
      <c r="AD3329" s="6" t="s">
        <v>7530</v>
      </c>
      <c r="AE3329" s="170" t="s">
        <v>1424</v>
      </c>
      <c r="AF3329" s="159" t="s">
        <v>8391</v>
      </c>
      <c r="AG3329" s="160" t="s">
        <v>38</v>
      </c>
      <c r="AH3329" s="194" t="s">
        <v>1314</v>
      </c>
      <c r="AI3329" s="6" t="s">
        <v>4308</v>
      </c>
      <c r="AJ3329" s="3" t="s">
        <v>8266</v>
      </c>
      <c r="AK3329" t="s">
        <v>8266</v>
      </c>
      <c r="AV3329"/>
      <c r="AX3329"/>
      <c r="AZ3329" t="str">
        <f t="shared" si="327"/>
        <v/>
      </c>
      <c r="BA3329" t="str">
        <f t="shared" si="328"/>
        <v/>
      </c>
    </row>
    <row r="3330" spans="29:53" ht="13.5">
      <c r="AC3330" s="6" t="s">
        <v>206</v>
      </c>
      <c r="AD3330" s="6" t="s">
        <v>7530</v>
      </c>
      <c r="AE3330" s="170" t="s">
        <v>5366</v>
      </c>
      <c r="AF3330" s="159" t="s">
        <v>8391</v>
      </c>
      <c r="AG3330" s="160" t="s">
        <v>207</v>
      </c>
      <c r="AH3330" s="194" t="s">
        <v>4700</v>
      </c>
      <c r="AI3330" s="6" t="s">
        <v>4310</v>
      </c>
      <c r="AJ3330" s="3" t="s">
        <v>8266</v>
      </c>
      <c r="AK3330" t="s">
        <v>8266</v>
      </c>
      <c r="AV3330"/>
      <c r="AX3330"/>
      <c r="AZ3330" t="str">
        <f t="shared" si="327"/>
        <v/>
      </c>
      <c r="BA3330" t="str">
        <f t="shared" si="328"/>
        <v/>
      </c>
    </row>
    <row r="3331" spans="29:53" ht="13.5">
      <c r="AC3331" s="6" t="s">
        <v>508</v>
      </c>
      <c r="AD3331" s="6" t="s">
        <v>7530</v>
      </c>
      <c r="AE3331" s="170" t="s">
        <v>5380</v>
      </c>
      <c r="AF3331" s="159" t="s">
        <v>8391</v>
      </c>
      <c r="AG3331" s="160" t="s">
        <v>1315</v>
      </c>
      <c r="AH3331" s="194" t="s">
        <v>4700</v>
      </c>
      <c r="AI3331" s="6" t="s">
        <v>4311</v>
      </c>
      <c r="AJ3331" s="3" t="s">
        <v>8266</v>
      </c>
      <c r="AK3331" t="s">
        <v>8266</v>
      </c>
      <c r="AV3331"/>
      <c r="AX3331"/>
      <c r="AZ3331" t="str">
        <f t="shared" si="327"/>
        <v/>
      </c>
      <c r="BA3331" t="str">
        <f t="shared" si="328"/>
        <v/>
      </c>
    </row>
    <row r="3332" spans="29:53" ht="13.5">
      <c r="AC3332" s="6" t="s">
        <v>1458</v>
      </c>
      <c r="AD3332" s="6" t="s">
        <v>7530</v>
      </c>
      <c r="AE3332" s="170" t="s">
        <v>5379</v>
      </c>
      <c r="AF3332" s="159" t="s">
        <v>8391</v>
      </c>
      <c r="AG3332" s="160" t="s">
        <v>208</v>
      </c>
      <c r="AH3332" s="194" t="s">
        <v>1314</v>
      </c>
      <c r="AI3332" s="6" t="s">
        <v>4312</v>
      </c>
      <c r="AJ3332" s="3" t="s">
        <v>8266</v>
      </c>
      <c r="AK3332" t="s">
        <v>8266</v>
      </c>
      <c r="AV3332"/>
      <c r="AX3332"/>
      <c r="AZ3332" t="str">
        <f t="shared" si="327"/>
        <v/>
      </c>
      <c r="BA3332" t="str">
        <f t="shared" si="328"/>
        <v/>
      </c>
    </row>
    <row r="3333" spans="29:53" ht="13.5">
      <c r="AC3333" s="6" t="s">
        <v>947</v>
      </c>
      <c r="AD3333" s="6" t="s">
        <v>7530</v>
      </c>
      <c r="AE3333" s="170" t="s">
        <v>5363</v>
      </c>
      <c r="AF3333" s="159" t="s">
        <v>8391</v>
      </c>
      <c r="AG3333" s="160" t="s">
        <v>29</v>
      </c>
      <c r="AH3333" s="194" t="s">
        <v>679</v>
      </c>
      <c r="AI3333" s="6" t="s">
        <v>4330</v>
      </c>
      <c r="AJ3333" s="3" t="s">
        <v>8269</v>
      </c>
      <c r="AK3333" t="s">
        <v>8269</v>
      </c>
      <c r="AV3333"/>
      <c r="AX3333"/>
      <c r="AZ3333" t="str">
        <f t="shared" si="327"/>
        <v/>
      </c>
      <c r="BA3333" t="str">
        <f t="shared" si="328"/>
        <v/>
      </c>
    </row>
    <row r="3334" spans="29:53" ht="13.5">
      <c r="AC3334" s="6" t="s">
        <v>431</v>
      </c>
      <c r="AD3334" s="6" t="s">
        <v>7530</v>
      </c>
      <c r="AE3334" s="170" t="s">
        <v>5364</v>
      </c>
      <c r="AF3334" s="159" t="s">
        <v>8391</v>
      </c>
      <c r="AG3334" s="160" t="s">
        <v>996</v>
      </c>
      <c r="AH3334" s="194" t="s">
        <v>1314</v>
      </c>
      <c r="AI3334" s="6" t="s">
        <v>2093</v>
      </c>
      <c r="AJ3334" s="3" t="s">
        <v>8213</v>
      </c>
      <c r="AK3334" t="s">
        <v>8213</v>
      </c>
      <c r="AV3334"/>
      <c r="AX3334"/>
      <c r="AZ3334" t="str">
        <f t="shared" si="327"/>
        <v/>
      </c>
      <c r="BA3334" t="str">
        <f t="shared" si="328"/>
        <v/>
      </c>
    </row>
    <row r="3335" spans="29:53" ht="13.5">
      <c r="AC3335" s="6" t="s">
        <v>1355</v>
      </c>
      <c r="AD3335" s="6" t="s">
        <v>7530</v>
      </c>
      <c r="AE3335" s="170" t="s">
        <v>5367</v>
      </c>
      <c r="AF3335" s="159" t="s">
        <v>8391</v>
      </c>
      <c r="AG3335" s="160" t="s">
        <v>209</v>
      </c>
      <c r="AH3335" s="194" t="s">
        <v>679</v>
      </c>
      <c r="AI3335" s="6" t="s">
        <v>4356</v>
      </c>
      <c r="AJ3335" s="3" t="s">
        <v>8232</v>
      </c>
      <c r="AK3335" t="s">
        <v>8232</v>
      </c>
      <c r="AV3335"/>
      <c r="AX3335"/>
      <c r="AZ3335" t="str">
        <f t="shared" si="327"/>
        <v/>
      </c>
      <c r="BA3335" t="str">
        <f t="shared" si="328"/>
        <v/>
      </c>
    </row>
    <row r="3336" spans="29:53" ht="13.5">
      <c r="AC3336" s="6" t="s">
        <v>1450</v>
      </c>
      <c r="AD3336" s="6" t="s">
        <v>7530</v>
      </c>
      <c r="AE3336" s="170" t="s">
        <v>5365</v>
      </c>
      <c r="AF3336" s="159" t="s">
        <v>8391</v>
      </c>
      <c r="AG3336" s="160" t="s">
        <v>210</v>
      </c>
      <c r="AH3336" s="194" t="s">
        <v>679</v>
      </c>
      <c r="AI3336" s="6" t="s">
        <v>2274</v>
      </c>
      <c r="AJ3336" s="3" t="s">
        <v>8232</v>
      </c>
      <c r="AK3336" t="s">
        <v>8232</v>
      </c>
      <c r="AV3336"/>
      <c r="AX3336"/>
      <c r="AZ3336" t="str">
        <f t="shared" si="327"/>
        <v/>
      </c>
      <c r="BA3336" t="str">
        <f t="shared" si="328"/>
        <v/>
      </c>
    </row>
    <row r="3337" spans="29:53" ht="13.5">
      <c r="AC3337" s="6">
        <v>3784</v>
      </c>
      <c r="AD3337" s="6" t="s">
        <v>7530</v>
      </c>
      <c r="AE3337" s="170" t="s">
        <v>5501</v>
      </c>
      <c r="AF3337" s="159" t="s">
        <v>8391</v>
      </c>
      <c r="AG3337" s="160" t="s">
        <v>211</v>
      </c>
      <c r="AH3337" s="194" t="s">
        <v>679</v>
      </c>
      <c r="AI3337" s="6">
        <v>365587</v>
      </c>
      <c r="AJ3337" s="3" t="s">
        <v>8266</v>
      </c>
      <c r="AK3337" t="s">
        <v>8266</v>
      </c>
      <c r="AV3337"/>
      <c r="AX3337"/>
      <c r="AZ3337" t="str">
        <f t="shared" si="327"/>
        <v/>
      </c>
      <c r="BA3337" t="str">
        <f t="shared" si="328"/>
        <v/>
      </c>
    </row>
    <row r="3338" spans="29:53" ht="13.5">
      <c r="AC3338" s="6" t="s">
        <v>5275</v>
      </c>
      <c r="AD3338" s="6" t="s">
        <v>7530</v>
      </c>
      <c r="AE3338" s="170" t="s">
        <v>1416</v>
      </c>
      <c r="AF3338" s="159" t="s">
        <v>8487</v>
      </c>
      <c r="AG3338" s="160" t="s">
        <v>213</v>
      </c>
      <c r="AH3338" s="194" t="s">
        <v>4700</v>
      </c>
      <c r="AI3338" s="6">
        <v>375635</v>
      </c>
      <c r="AJ3338" s="3" t="s">
        <v>8283</v>
      </c>
      <c r="AK3338" t="s">
        <v>8283</v>
      </c>
      <c r="AV3338"/>
      <c r="AX3338"/>
      <c r="AZ3338" t="str">
        <f t="shared" si="327"/>
        <v/>
      </c>
      <c r="BA3338" t="str">
        <f t="shared" si="328"/>
        <v/>
      </c>
    </row>
    <row r="3339" spans="29:53" ht="13.5">
      <c r="AC3339" s="6" t="s">
        <v>386</v>
      </c>
      <c r="AD3339" s="6" t="s">
        <v>7530</v>
      </c>
      <c r="AE3339" s="170" t="s">
        <v>1417</v>
      </c>
      <c r="AF3339" s="159" t="s">
        <v>8391</v>
      </c>
      <c r="AG3339" s="160" t="s">
        <v>214</v>
      </c>
      <c r="AH3339" s="194" t="s">
        <v>4700</v>
      </c>
      <c r="AI3339" s="6" t="s">
        <v>2773</v>
      </c>
      <c r="AJ3339" s="3" t="s">
        <v>8274</v>
      </c>
      <c r="AK3339" t="s">
        <v>8274</v>
      </c>
      <c r="AV3339"/>
      <c r="AX3339"/>
      <c r="AZ3339" t="str">
        <f t="shared" si="327"/>
        <v/>
      </c>
      <c r="BA3339" t="str">
        <f t="shared" si="328"/>
        <v/>
      </c>
    </row>
    <row r="3340" spans="29:53" ht="13.5">
      <c r="AC3340" s="6" t="s">
        <v>5287</v>
      </c>
      <c r="AD3340" s="6" t="s">
        <v>7530</v>
      </c>
      <c r="AE3340" s="170" t="s">
        <v>171</v>
      </c>
      <c r="AF3340" s="159" t="s">
        <v>8458</v>
      </c>
      <c r="AG3340" s="160" t="s">
        <v>215</v>
      </c>
      <c r="AH3340" s="194" t="s">
        <v>679</v>
      </c>
      <c r="AI3340" s="6">
        <v>826339</v>
      </c>
      <c r="AJ3340" s="3" t="s">
        <v>8242</v>
      </c>
      <c r="AK3340" t="s">
        <v>8281</v>
      </c>
      <c r="AV3340"/>
      <c r="AX3340"/>
      <c r="AZ3340" t="str">
        <f t="shared" si="327"/>
        <v/>
      </c>
      <c r="BA3340" t="str">
        <f t="shared" si="328"/>
        <v/>
      </c>
    </row>
    <row r="3341" spans="29:53" ht="13.5">
      <c r="AC3341" s="6" t="s">
        <v>354</v>
      </c>
      <c r="AD3341" s="6" t="s">
        <v>7530</v>
      </c>
      <c r="AE3341" s="170" t="s">
        <v>1418</v>
      </c>
      <c r="AF3341" s="159" t="s">
        <v>8391</v>
      </c>
      <c r="AG3341" s="160" t="s">
        <v>216</v>
      </c>
      <c r="AH3341" s="194" t="s">
        <v>679</v>
      </c>
      <c r="AI3341" s="6">
        <v>976451</v>
      </c>
      <c r="AJ3341" s="3" t="s">
        <v>8256</v>
      </c>
      <c r="AK3341" t="s">
        <v>8256</v>
      </c>
      <c r="AV3341"/>
      <c r="AX3341"/>
      <c r="AZ3341" t="str">
        <f t="shared" si="327"/>
        <v/>
      </c>
      <c r="BA3341" t="str">
        <f t="shared" si="328"/>
        <v/>
      </c>
    </row>
    <row r="3342" spans="29:53" ht="13.5">
      <c r="AC3342" s="6" t="s">
        <v>1375</v>
      </c>
      <c r="AD3342" s="6" t="s">
        <v>7530</v>
      </c>
      <c r="AE3342" s="170" t="s">
        <v>1468</v>
      </c>
      <c r="AF3342" s="159" t="s">
        <v>8391</v>
      </c>
      <c r="AG3342" s="160" t="s">
        <v>1317</v>
      </c>
      <c r="AH3342" s="194" t="s">
        <v>679</v>
      </c>
      <c r="AI3342" s="6">
        <v>986459</v>
      </c>
      <c r="AJ3342" s="3" t="s">
        <v>8281</v>
      </c>
      <c r="AK3342" t="s">
        <v>8281</v>
      </c>
      <c r="AV3342"/>
      <c r="AX3342"/>
      <c r="AZ3342" t="str">
        <f t="shared" si="327"/>
        <v/>
      </c>
      <c r="BA3342" t="str">
        <f t="shared" si="328"/>
        <v/>
      </c>
    </row>
    <row r="3343" spans="29:53" ht="13.5">
      <c r="AC3343" s="6" t="s">
        <v>348</v>
      </c>
      <c r="AD3343" s="6" t="s">
        <v>7530</v>
      </c>
      <c r="AE3343" s="170" t="s">
        <v>1469</v>
      </c>
      <c r="AF3343" s="159" t="s">
        <v>8472</v>
      </c>
      <c r="AG3343" s="160" t="s">
        <v>217</v>
      </c>
      <c r="AH3343" s="194" t="s">
        <v>1314</v>
      </c>
      <c r="AI3343" s="6">
        <v>986462</v>
      </c>
      <c r="AJ3343" s="3" t="s">
        <v>8281</v>
      </c>
      <c r="AK3343" t="s">
        <v>8281</v>
      </c>
      <c r="AV3343"/>
      <c r="AX3343"/>
      <c r="AZ3343" t="str">
        <f t="shared" si="327"/>
        <v/>
      </c>
      <c r="BA3343" t="str">
        <f t="shared" si="328"/>
        <v/>
      </c>
    </row>
    <row r="3344" spans="29:53" ht="13.5">
      <c r="AC3344" s="6" t="s">
        <v>245</v>
      </c>
      <c r="AD3344" s="6" t="s">
        <v>7530</v>
      </c>
      <c r="AE3344" s="170" t="s">
        <v>1475</v>
      </c>
      <c r="AF3344" s="159" t="s">
        <v>8391</v>
      </c>
      <c r="AG3344" s="160" t="s">
        <v>1202</v>
      </c>
      <c r="AH3344" s="194" t="s">
        <v>1314</v>
      </c>
      <c r="AI3344" s="6" t="s">
        <v>2678</v>
      </c>
      <c r="AJ3344" s="3" t="s">
        <v>8242</v>
      </c>
      <c r="AK3344" t="s">
        <v>8281</v>
      </c>
      <c r="AV3344"/>
      <c r="AX3344"/>
      <c r="AZ3344" t="str">
        <f t="shared" si="327"/>
        <v/>
      </c>
      <c r="BA3344" t="str">
        <f t="shared" si="328"/>
        <v/>
      </c>
    </row>
    <row r="3345" spans="29:53" ht="13.5">
      <c r="AC3345" s="6" t="s">
        <v>333</v>
      </c>
      <c r="AD3345" s="6" t="s">
        <v>7530</v>
      </c>
      <c r="AE3345" s="170" t="s">
        <v>1476</v>
      </c>
      <c r="AF3345" s="159" t="s">
        <v>8391</v>
      </c>
      <c r="AG3345" s="160" t="s">
        <v>1318</v>
      </c>
      <c r="AH3345" s="194" t="s">
        <v>679</v>
      </c>
      <c r="AI3345" s="6" t="s">
        <v>2715</v>
      </c>
      <c r="AJ3345" s="3" t="s">
        <v>8271</v>
      </c>
      <c r="AK3345" t="s">
        <v>8271</v>
      </c>
      <c r="AV3345"/>
      <c r="AX3345"/>
      <c r="AZ3345" t="str">
        <f t="shared" si="327"/>
        <v/>
      </c>
      <c r="BA3345" t="str">
        <f t="shared" si="328"/>
        <v/>
      </c>
    </row>
    <row r="3346" spans="29:53" ht="13.5">
      <c r="AC3346" s="6" t="s">
        <v>29</v>
      </c>
      <c r="AD3346" s="6" t="s">
        <v>7530</v>
      </c>
      <c r="AE3346" s="170" t="s">
        <v>1482</v>
      </c>
      <c r="AF3346" s="159" t="s">
        <v>8391</v>
      </c>
      <c r="AG3346" s="160" t="s">
        <v>1319</v>
      </c>
      <c r="AH3346" s="194" t="s">
        <v>1314</v>
      </c>
      <c r="AI3346" s="6" t="s">
        <v>2614</v>
      </c>
      <c r="AJ3346" s="3" t="s">
        <v>8242</v>
      </c>
      <c r="AK3346" t="s">
        <v>8281</v>
      </c>
      <c r="AV3346"/>
      <c r="AX3346"/>
      <c r="AZ3346" t="str">
        <f t="shared" si="327"/>
        <v/>
      </c>
      <c r="BA3346" t="str">
        <f t="shared" si="328"/>
        <v/>
      </c>
    </row>
    <row r="3347" spans="29:53" ht="13.5">
      <c r="AC3347" s="6" t="s">
        <v>1395</v>
      </c>
      <c r="AD3347" s="6" t="s">
        <v>7530</v>
      </c>
      <c r="AE3347" s="170" t="s">
        <v>1529</v>
      </c>
      <c r="AF3347" s="159" t="s">
        <v>8391</v>
      </c>
      <c r="AG3347" s="160" t="s">
        <v>1164</v>
      </c>
      <c r="AH3347" s="194" t="s">
        <v>679</v>
      </c>
      <c r="AI3347" s="6" t="s">
        <v>2799</v>
      </c>
      <c r="AJ3347" s="3" t="s">
        <v>8242</v>
      </c>
      <c r="AK3347" t="s">
        <v>8281</v>
      </c>
      <c r="AV3347"/>
      <c r="AX3347"/>
      <c r="AZ3347" t="str">
        <f t="shared" si="327"/>
        <v/>
      </c>
      <c r="BA3347" t="str">
        <f t="shared" si="328"/>
        <v/>
      </c>
    </row>
    <row r="3348" spans="29:53" ht="13.5">
      <c r="AC3348" s="6" t="s">
        <v>5437</v>
      </c>
      <c r="AD3348" s="6" t="s">
        <v>7530</v>
      </c>
      <c r="AE3348" s="170" t="s">
        <v>1547</v>
      </c>
      <c r="AF3348" s="159" t="s">
        <v>8325</v>
      </c>
      <c r="AG3348" s="160" t="s">
        <v>219</v>
      </c>
      <c r="AH3348" s="194" t="s">
        <v>679</v>
      </c>
      <c r="AI3348" s="6" t="s">
        <v>2726</v>
      </c>
      <c r="AJ3348" s="3" t="s">
        <v>8271</v>
      </c>
      <c r="AK3348" t="s">
        <v>8271</v>
      </c>
      <c r="AV3348"/>
      <c r="AX3348"/>
      <c r="AZ3348" t="str">
        <f t="shared" si="327"/>
        <v/>
      </c>
      <c r="BA3348" t="str">
        <f t="shared" si="328"/>
        <v/>
      </c>
    </row>
    <row r="3349" spans="29:53" ht="13.5">
      <c r="AC3349" s="6" t="s">
        <v>213</v>
      </c>
      <c r="AD3349" s="6" t="s">
        <v>7530</v>
      </c>
      <c r="AE3349" s="170" t="s">
        <v>1635</v>
      </c>
      <c r="AF3349" s="159" t="s">
        <v>8299</v>
      </c>
      <c r="AG3349" s="160" t="s">
        <v>1320</v>
      </c>
      <c r="AH3349" s="194" t="s">
        <v>679</v>
      </c>
      <c r="AI3349" s="6">
        <v>105570</v>
      </c>
      <c r="AJ3349" s="3" t="s">
        <v>8267</v>
      </c>
      <c r="AK3349" t="s">
        <v>8280</v>
      </c>
      <c r="AV3349"/>
      <c r="AX3349"/>
      <c r="AZ3349" t="str">
        <f t="shared" si="327"/>
        <v/>
      </c>
      <c r="BA3349" t="str">
        <f t="shared" si="328"/>
        <v/>
      </c>
    </row>
    <row r="3350" spans="29:53" ht="13.5">
      <c r="AC3350" s="6" t="s">
        <v>1451</v>
      </c>
      <c r="AD3350" s="6" t="s">
        <v>7530</v>
      </c>
      <c r="AE3350" s="170" t="s">
        <v>1636</v>
      </c>
      <c r="AF3350" s="159" t="s">
        <v>8309</v>
      </c>
      <c r="AG3350" s="160" t="s">
        <v>1321</v>
      </c>
      <c r="AH3350" s="194" t="s">
        <v>679</v>
      </c>
      <c r="AI3350" s="6">
        <v>996467</v>
      </c>
      <c r="AJ3350" s="3" t="s">
        <v>8267</v>
      </c>
      <c r="AK3350" t="s">
        <v>8280</v>
      </c>
      <c r="AV3350"/>
      <c r="AX3350"/>
      <c r="AZ3350" t="str">
        <f t="shared" si="327"/>
        <v/>
      </c>
      <c r="BA3350" t="str">
        <f t="shared" si="328"/>
        <v/>
      </c>
    </row>
    <row r="3351" spans="29:53" ht="13.5">
      <c r="AC3351" s="6" t="s">
        <v>4706</v>
      </c>
      <c r="AD3351" s="6" t="s">
        <v>7530</v>
      </c>
      <c r="AE3351" s="170" t="s">
        <v>5177</v>
      </c>
      <c r="AF3351" s="159" t="s">
        <v>8391</v>
      </c>
      <c r="AG3351" s="160" t="s">
        <v>1322</v>
      </c>
      <c r="AH3351" s="194" t="s">
        <v>4700</v>
      </c>
      <c r="AI3351" s="6" t="s">
        <v>2668</v>
      </c>
      <c r="AJ3351" s="3" t="s">
        <v>8226</v>
      </c>
      <c r="AK3351" t="s">
        <v>8671</v>
      </c>
      <c r="AV3351"/>
      <c r="AX3351"/>
      <c r="AZ3351" t="str">
        <f t="shared" si="327"/>
        <v/>
      </c>
      <c r="BA3351" t="str">
        <f t="shared" si="328"/>
        <v/>
      </c>
    </row>
    <row r="3352" spans="29:53" ht="13.5">
      <c r="AC3352" s="6" t="s">
        <v>951</v>
      </c>
      <c r="AD3352" s="6" t="s">
        <v>7530</v>
      </c>
      <c r="AE3352" s="170" t="s">
        <v>5103</v>
      </c>
      <c r="AF3352" s="159" t="s">
        <v>8391</v>
      </c>
      <c r="AG3352" s="160" t="s">
        <v>220</v>
      </c>
      <c r="AH3352" s="194" t="s">
        <v>679</v>
      </c>
      <c r="AI3352" s="6" t="s">
        <v>3460</v>
      </c>
      <c r="AJ3352" s="3" t="s">
        <v>8246</v>
      </c>
      <c r="AK3352" t="s">
        <v>8246</v>
      </c>
      <c r="AV3352"/>
      <c r="AX3352"/>
      <c r="AZ3352" t="str">
        <f t="shared" si="327"/>
        <v/>
      </c>
      <c r="BA3352" t="str">
        <f t="shared" si="328"/>
        <v/>
      </c>
    </row>
    <row r="3353" spans="29:53" ht="13.5">
      <c r="AC3353" s="6" t="s">
        <v>1398</v>
      </c>
      <c r="AD3353" s="6" t="s">
        <v>7530</v>
      </c>
      <c r="AE3353" s="170" t="s">
        <v>5082</v>
      </c>
      <c r="AF3353" s="159" t="s">
        <v>8391</v>
      </c>
      <c r="AG3353" s="160" t="s">
        <v>1165</v>
      </c>
      <c r="AH3353" s="194" t="s">
        <v>4700</v>
      </c>
      <c r="AI3353" s="6" t="s">
        <v>3564</v>
      </c>
      <c r="AJ3353" s="3" t="s">
        <v>8241</v>
      </c>
      <c r="AK3353" t="s">
        <v>8675</v>
      </c>
      <c r="AV3353"/>
      <c r="AX3353"/>
      <c r="AZ3353" t="str">
        <f t="shared" si="327"/>
        <v/>
      </c>
      <c r="BA3353" t="str">
        <f t="shared" si="328"/>
        <v/>
      </c>
    </row>
    <row r="3354" spans="29:53" ht="13.5">
      <c r="AC3354" s="6" t="s">
        <v>262</v>
      </c>
      <c r="AD3354" s="6" t="s">
        <v>7530</v>
      </c>
      <c r="AE3354" s="170" t="s">
        <v>5189</v>
      </c>
      <c r="AF3354" s="159" t="s">
        <v>8391</v>
      </c>
      <c r="AG3354" s="160" t="s">
        <v>221</v>
      </c>
      <c r="AH3354" s="194" t="s">
        <v>679</v>
      </c>
      <c r="AI3354" s="6" t="s">
        <v>2620</v>
      </c>
      <c r="AJ3354" s="3" t="s">
        <v>8251</v>
      </c>
      <c r="AK3354" t="s">
        <v>8251</v>
      </c>
      <c r="AV3354"/>
      <c r="AX3354"/>
      <c r="AZ3354" t="str">
        <f t="shared" si="327"/>
        <v/>
      </c>
      <c r="BA3354" t="str">
        <f t="shared" si="328"/>
        <v/>
      </c>
    </row>
    <row r="3355" spans="29:53" ht="13.5">
      <c r="AC3355" s="6" t="s">
        <v>3978</v>
      </c>
      <c r="AD3355" s="6" t="s">
        <v>7530</v>
      </c>
      <c r="AE3355" s="170" t="s">
        <v>5216</v>
      </c>
      <c r="AF3355" s="159" t="s">
        <v>8391</v>
      </c>
      <c r="AG3355" s="160" t="s">
        <v>1323</v>
      </c>
      <c r="AH3355" s="194" t="s">
        <v>1314</v>
      </c>
      <c r="AI3355" s="6" t="s">
        <v>2750</v>
      </c>
      <c r="AJ3355" s="3" t="s">
        <v>8255</v>
      </c>
      <c r="AK3355" t="s">
        <v>8255</v>
      </c>
      <c r="AV3355"/>
      <c r="AX3355"/>
      <c r="AZ3355" t="str">
        <f t="shared" si="327"/>
        <v/>
      </c>
      <c r="BA3355" t="str">
        <f t="shared" si="328"/>
        <v/>
      </c>
    </row>
    <row r="3356" spans="29:53" ht="13.5">
      <c r="AC3356" s="6" t="s">
        <v>268</v>
      </c>
      <c r="AD3356" s="6" t="s">
        <v>7530</v>
      </c>
      <c r="AE3356" s="170" t="s">
        <v>5235</v>
      </c>
      <c r="AF3356" s="159" t="s">
        <v>8391</v>
      </c>
      <c r="AG3356" s="160" t="s">
        <v>974</v>
      </c>
      <c r="AH3356" s="194" t="s">
        <v>679</v>
      </c>
      <c r="AI3356" s="6" t="s">
        <v>1947</v>
      </c>
      <c r="AJ3356" s="3" t="s">
        <v>8234</v>
      </c>
      <c r="AK3356" t="s">
        <v>8234</v>
      </c>
      <c r="AV3356"/>
      <c r="AX3356"/>
      <c r="AZ3356" t="str">
        <f t="shared" si="327"/>
        <v/>
      </c>
      <c r="BA3356" t="str">
        <f t="shared" si="328"/>
        <v/>
      </c>
    </row>
    <row r="3357" spans="29:53" ht="13.5">
      <c r="AC3357" s="6" t="s">
        <v>574</v>
      </c>
      <c r="AD3357" s="6" t="s">
        <v>7530</v>
      </c>
      <c r="AE3357" s="170" t="s">
        <v>178</v>
      </c>
      <c r="AF3357" s="159" t="s">
        <v>8391</v>
      </c>
      <c r="AG3357" s="160" t="s">
        <v>1324</v>
      </c>
      <c r="AH3357" s="194" t="s">
        <v>679</v>
      </c>
      <c r="AI3357" s="6" t="s">
        <v>3912</v>
      </c>
      <c r="AJ3357" s="3" t="s">
        <v>8269</v>
      </c>
      <c r="AK3357" t="s">
        <v>8269</v>
      </c>
      <c r="AV3357"/>
      <c r="AX3357"/>
      <c r="AZ3357" t="str">
        <f t="shared" si="327"/>
        <v/>
      </c>
      <c r="BA3357" t="str">
        <f t="shared" si="328"/>
        <v/>
      </c>
    </row>
    <row r="3358" spans="29:53" ht="13.5">
      <c r="AC3358" s="6" t="s">
        <v>1174</v>
      </c>
      <c r="AD3358" s="6" t="s">
        <v>7530</v>
      </c>
      <c r="AE3358" s="170" t="s">
        <v>179</v>
      </c>
      <c r="AF3358" s="159" t="s">
        <v>8458</v>
      </c>
      <c r="AG3358" s="160" t="s">
        <v>27</v>
      </c>
      <c r="AH3358" s="194" t="s">
        <v>679</v>
      </c>
      <c r="AI3358" s="6" t="s">
        <v>3924</v>
      </c>
      <c r="AJ3358" s="3" t="s">
        <v>8279</v>
      </c>
      <c r="AK3358" t="s">
        <v>8679</v>
      </c>
      <c r="AV3358"/>
      <c r="AX3358"/>
      <c r="AZ3358" t="str">
        <f t="shared" si="327"/>
        <v/>
      </c>
      <c r="BA3358" t="str">
        <f t="shared" si="328"/>
        <v/>
      </c>
    </row>
    <row r="3359" spans="29:53" ht="13.5">
      <c r="AC3359" s="6" t="s">
        <v>5804</v>
      </c>
      <c r="AD3359" s="6" t="s">
        <v>7530</v>
      </c>
      <c r="AE3359" s="170" t="s">
        <v>5207</v>
      </c>
      <c r="AF3359" s="159" t="s">
        <v>8391</v>
      </c>
      <c r="AG3359" s="160" t="s">
        <v>222</v>
      </c>
      <c r="AH3359" s="194" t="s">
        <v>1314</v>
      </c>
      <c r="AI3359" s="6" t="s">
        <v>3968</v>
      </c>
      <c r="AJ3359" s="3" t="s">
        <v>8236</v>
      </c>
      <c r="AK3359" t="s">
        <v>8236</v>
      </c>
      <c r="AV3359"/>
      <c r="AX3359"/>
      <c r="AZ3359" t="str">
        <f t="shared" si="327"/>
        <v/>
      </c>
      <c r="BA3359" t="str">
        <f t="shared" si="328"/>
        <v/>
      </c>
    </row>
    <row r="3360" spans="29:53" ht="13.5">
      <c r="AC3360" s="6" t="s">
        <v>1067</v>
      </c>
      <c r="AD3360" s="6" t="s">
        <v>7530</v>
      </c>
      <c r="AE3360" s="170">
        <v>25414</v>
      </c>
      <c r="AF3360" s="159" t="s">
        <v>8488</v>
      </c>
      <c r="AG3360" s="160" t="s">
        <v>1325</v>
      </c>
      <c r="AH3360" s="194" t="s">
        <v>679</v>
      </c>
      <c r="AI3360" s="6" t="s">
        <v>2544</v>
      </c>
      <c r="AJ3360" s="3" t="s">
        <v>8271</v>
      </c>
      <c r="AK3360" t="s">
        <v>8271</v>
      </c>
      <c r="AV3360"/>
      <c r="AX3360"/>
      <c r="AZ3360" t="str">
        <f t="shared" si="327"/>
        <v/>
      </c>
      <c r="BA3360" t="str">
        <f t="shared" si="328"/>
        <v/>
      </c>
    </row>
    <row r="3361" spans="29:53" ht="13.5">
      <c r="AC3361" s="6" t="s">
        <v>1037</v>
      </c>
      <c r="AD3361" s="6" t="s">
        <v>7530</v>
      </c>
      <c r="AE3361" s="170" t="s">
        <v>1499</v>
      </c>
      <c r="AF3361" s="159" t="s">
        <v>8472</v>
      </c>
      <c r="AG3361" s="160" t="s">
        <v>1326</v>
      </c>
      <c r="AH3361" s="194" t="s">
        <v>679</v>
      </c>
      <c r="AI3361" s="6" t="s">
        <v>2800</v>
      </c>
      <c r="AJ3361" s="3" t="s">
        <v>8256</v>
      </c>
      <c r="AK3361" t="s">
        <v>8256</v>
      </c>
      <c r="AV3361"/>
      <c r="AX3361"/>
      <c r="AZ3361" t="str">
        <f t="shared" si="327"/>
        <v/>
      </c>
      <c r="BA3361" t="str">
        <f t="shared" si="328"/>
        <v/>
      </c>
    </row>
    <row r="3362" spans="29:53" ht="13.5">
      <c r="AC3362" s="6" t="s">
        <v>40</v>
      </c>
      <c r="AD3362" s="6" t="s">
        <v>7530</v>
      </c>
      <c r="AE3362" s="170" t="s">
        <v>121</v>
      </c>
      <c r="AF3362" s="159" t="s">
        <v>8468</v>
      </c>
      <c r="AG3362" s="160" t="s">
        <v>1327</v>
      </c>
      <c r="AH3362" s="194" t="s">
        <v>679</v>
      </c>
      <c r="AI3362" s="6" t="s">
        <v>2501</v>
      </c>
      <c r="AJ3362" s="3" t="s">
        <v>8281</v>
      </c>
      <c r="AK3362" t="s">
        <v>8281</v>
      </c>
      <c r="AV3362"/>
      <c r="AX3362"/>
      <c r="AZ3362" t="str">
        <f t="shared" si="327"/>
        <v/>
      </c>
      <c r="BA3362" t="str">
        <f t="shared" si="328"/>
        <v/>
      </c>
    </row>
    <row r="3363" spans="29:53" ht="13.5">
      <c r="AC3363" s="6" t="s">
        <v>258</v>
      </c>
      <c r="AD3363" s="6" t="s">
        <v>7530</v>
      </c>
      <c r="AE3363" s="170" t="s">
        <v>122</v>
      </c>
      <c r="AF3363" s="159" t="s">
        <v>8470</v>
      </c>
      <c r="AG3363" s="160" t="s">
        <v>1328</v>
      </c>
      <c r="AH3363" s="194" t="s">
        <v>679</v>
      </c>
      <c r="AI3363" s="6" t="s">
        <v>2669</v>
      </c>
      <c r="AJ3363" s="3" t="s">
        <v>8226</v>
      </c>
      <c r="AK3363" t="s">
        <v>8671</v>
      </c>
      <c r="AV3363"/>
      <c r="AX3363"/>
      <c r="AZ3363" t="str">
        <f t="shared" si="327"/>
        <v/>
      </c>
      <c r="BA3363" t="str">
        <f t="shared" si="328"/>
        <v/>
      </c>
    </row>
    <row r="3364" spans="29:53" ht="13.5">
      <c r="AC3364" s="6" t="s">
        <v>1394</v>
      </c>
      <c r="AD3364" s="6" t="s">
        <v>7530</v>
      </c>
      <c r="AE3364" s="170" t="s">
        <v>1134</v>
      </c>
      <c r="AF3364" s="159" t="s">
        <v>8391</v>
      </c>
      <c r="AG3364" s="160" t="s">
        <v>1166</v>
      </c>
      <c r="AH3364" s="194" t="s">
        <v>679</v>
      </c>
      <c r="AI3364" s="6" t="s">
        <v>1807</v>
      </c>
      <c r="AJ3364" s="3" t="s">
        <v>8217</v>
      </c>
      <c r="AK3364" t="s">
        <v>8668</v>
      </c>
      <c r="AV3364"/>
      <c r="AX3364"/>
      <c r="AZ3364" t="str">
        <f t="shared" si="327"/>
        <v/>
      </c>
      <c r="BA3364" t="str">
        <f t="shared" si="328"/>
        <v/>
      </c>
    </row>
    <row r="3365" spans="29:53" ht="13.5">
      <c r="AC3365" s="6">
        <v>25340</v>
      </c>
      <c r="AD3365" s="6" t="s">
        <v>7559</v>
      </c>
      <c r="AE3365" s="170" t="s">
        <v>1502</v>
      </c>
      <c r="AF3365" s="159" t="s">
        <v>8391</v>
      </c>
      <c r="AG3365" s="160" t="s">
        <v>37</v>
      </c>
      <c r="AH3365" s="194" t="s">
        <v>1314</v>
      </c>
      <c r="AI3365" s="6" t="s">
        <v>2719</v>
      </c>
      <c r="AJ3365" s="3" t="s">
        <v>8255</v>
      </c>
      <c r="AK3365" t="s">
        <v>8255</v>
      </c>
      <c r="AV3365"/>
      <c r="AX3365"/>
      <c r="AZ3365" t="str">
        <f t="shared" si="327"/>
        <v/>
      </c>
      <c r="BA3365" t="str">
        <f t="shared" si="328"/>
        <v/>
      </c>
    </row>
    <row r="3366" spans="29:53" ht="13.5">
      <c r="AC3366" s="6" t="s">
        <v>259</v>
      </c>
      <c r="AD3366" s="6" t="s">
        <v>7530</v>
      </c>
      <c r="AE3366" s="170" t="s">
        <v>1135</v>
      </c>
      <c r="AF3366" s="159" t="s">
        <v>8391</v>
      </c>
      <c r="AG3366" s="160" t="s">
        <v>1329</v>
      </c>
      <c r="AH3366" s="194" t="s">
        <v>679</v>
      </c>
      <c r="AI3366" s="6" t="s">
        <v>2748</v>
      </c>
      <c r="AJ3366" s="3" t="s">
        <v>8256</v>
      </c>
      <c r="AK3366" t="s">
        <v>8256</v>
      </c>
      <c r="AV3366"/>
      <c r="AX3366"/>
      <c r="AZ3366" t="str">
        <f t="shared" si="327"/>
        <v/>
      </c>
      <c r="BA3366" t="str">
        <f t="shared" si="328"/>
        <v/>
      </c>
    </row>
    <row r="3367" spans="29:53" ht="13.5">
      <c r="AC3367" s="6" t="s">
        <v>346</v>
      </c>
      <c r="AD3367" s="6" t="s">
        <v>7530</v>
      </c>
      <c r="AE3367" s="170" t="s">
        <v>25</v>
      </c>
      <c r="AF3367" s="159" t="s">
        <v>8391</v>
      </c>
      <c r="AG3367" s="160" t="s">
        <v>1659</v>
      </c>
      <c r="AH3367" s="194" t="s">
        <v>679</v>
      </c>
      <c r="AI3367" s="6" t="s">
        <v>4223</v>
      </c>
      <c r="AJ3367" s="3" t="s">
        <v>8262</v>
      </c>
      <c r="AK3367" t="s">
        <v>8262</v>
      </c>
      <c r="AV3367"/>
      <c r="AX3367"/>
      <c r="AZ3367" t="str">
        <f t="shared" si="327"/>
        <v/>
      </c>
      <c r="BA3367" t="str">
        <f t="shared" si="328"/>
        <v/>
      </c>
    </row>
    <row r="3368" spans="29:53" ht="13.5">
      <c r="AC3368" s="6" t="s">
        <v>433</v>
      </c>
      <c r="AD3368" s="6" t="s">
        <v>7530</v>
      </c>
      <c r="AE3368" s="170">
        <v>295297</v>
      </c>
      <c r="AF3368" s="159" t="s">
        <v>8391</v>
      </c>
      <c r="AG3368" s="160" t="s">
        <v>223</v>
      </c>
      <c r="AH3368" s="194" t="s">
        <v>679</v>
      </c>
      <c r="AI3368" s="6">
        <v>245212</v>
      </c>
      <c r="AJ3368" s="3" t="s">
        <v>8277</v>
      </c>
      <c r="AK3368" t="s">
        <v>8277</v>
      </c>
      <c r="AV3368"/>
      <c r="AX3368"/>
      <c r="AZ3368" t="str">
        <f t="shared" si="327"/>
        <v/>
      </c>
      <c r="BA3368" t="str">
        <f t="shared" si="328"/>
        <v/>
      </c>
    </row>
    <row r="3369" spans="29:53" ht="13.5">
      <c r="AC3369" s="6" t="s">
        <v>549</v>
      </c>
      <c r="AD3369" s="6" t="s">
        <v>7530</v>
      </c>
      <c r="AE3369" s="170" t="s">
        <v>1507</v>
      </c>
      <c r="AF3369" s="159" t="s">
        <v>8391</v>
      </c>
      <c r="AG3369" s="160" t="s">
        <v>224</v>
      </c>
      <c r="AH3369" s="194" t="s">
        <v>679</v>
      </c>
      <c r="AI3369" s="6">
        <v>245213</v>
      </c>
      <c r="AJ3369" s="3" t="s">
        <v>8277</v>
      </c>
      <c r="AK3369" t="s">
        <v>8277</v>
      </c>
      <c r="AV3369"/>
      <c r="AX3369"/>
      <c r="AZ3369" t="str">
        <f t="shared" si="327"/>
        <v/>
      </c>
      <c r="BA3369" t="str">
        <f t="shared" si="328"/>
        <v/>
      </c>
    </row>
    <row r="3370" spans="29:53" ht="13.5">
      <c r="AC3370" s="6" t="s">
        <v>1491</v>
      </c>
      <c r="AD3370" s="6" t="s">
        <v>7530</v>
      </c>
      <c r="AE3370" s="170" t="s">
        <v>1508</v>
      </c>
      <c r="AF3370" s="159" t="s">
        <v>8391</v>
      </c>
      <c r="AG3370" s="160" t="s">
        <v>1167</v>
      </c>
      <c r="AH3370" s="194" t="s">
        <v>679</v>
      </c>
      <c r="AI3370" s="6">
        <v>245215</v>
      </c>
      <c r="AJ3370" s="3" t="s">
        <v>8277</v>
      </c>
      <c r="AK3370" t="s">
        <v>8277</v>
      </c>
      <c r="AV3370"/>
      <c r="AX3370"/>
      <c r="AZ3370" t="str">
        <f t="shared" si="327"/>
        <v/>
      </c>
      <c r="BA3370" t="str">
        <f t="shared" si="328"/>
        <v/>
      </c>
    </row>
    <row r="3371" spans="29:53" ht="13.5">
      <c r="AC3371" s="6" t="s">
        <v>1359</v>
      </c>
      <c r="AD3371" s="6" t="s">
        <v>7530</v>
      </c>
      <c r="AE3371" s="170">
        <v>313556</v>
      </c>
      <c r="AF3371" s="159" t="s">
        <v>8489</v>
      </c>
      <c r="AG3371" s="160" t="s">
        <v>1168</v>
      </c>
      <c r="AH3371" s="194" t="s">
        <v>1314</v>
      </c>
      <c r="AI3371" s="6" t="s">
        <v>2120</v>
      </c>
      <c r="AJ3371" s="3" t="s">
        <v>8232</v>
      </c>
      <c r="AK3371" t="s">
        <v>8232</v>
      </c>
      <c r="AV3371"/>
      <c r="AX3371"/>
      <c r="AZ3371" t="str">
        <f t="shared" si="327"/>
        <v/>
      </c>
      <c r="BA3371" t="str">
        <f t="shared" si="328"/>
        <v/>
      </c>
    </row>
    <row r="3372" spans="29:53" ht="13.5">
      <c r="AC3372" s="6" t="s">
        <v>5503</v>
      </c>
      <c r="AD3372" s="6" t="s">
        <v>7530</v>
      </c>
      <c r="AE3372" s="170">
        <v>315320</v>
      </c>
      <c r="AF3372" s="159" t="s">
        <v>8490</v>
      </c>
      <c r="AG3372" s="160" t="s">
        <v>1330</v>
      </c>
      <c r="AH3372" s="194" t="s">
        <v>679</v>
      </c>
      <c r="AI3372" s="6" t="s">
        <v>4366</v>
      </c>
      <c r="AJ3372" s="3" t="s">
        <v>8279</v>
      </c>
      <c r="AK3372" t="s">
        <v>8679</v>
      </c>
      <c r="AV3372"/>
      <c r="AX3372"/>
      <c r="AZ3372" t="str">
        <f t="shared" si="327"/>
        <v/>
      </c>
      <c r="BA3372" t="str">
        <f t="shared" si="328"/>
        <v/>
      </c>
    </row>
    <row r="3373" spans="29:53" ht="13.5">
      <c r="AC3373" s="6" t="s">
        <v>319</v>
      </c>
      <c r="AD3373" s="6" t="s">
        <v>7530</v>
      </c>
      <c r="AE3373" s="170">
        <v>315321</v>
      </c>
      <c r="AF3373" s="159" t="s">
        <v>8391</v>
      </c>
      <c r="AG3373" s="160" t="s">
        <v>997</v>
      </c>
      <c r="AH3373" s="194" t="s">
        <v>4700</v>
      </c>
      <c r="AI3373" s="6" t="s">
        <v>2648</v>
      </c>
      <c r="AJ3373" s="3" t="s">
        <v>8275</v>
      </c>
      <c r="AK3373" t="s">
        <v>8275</v>
      </c>
      <c r="AV3373"/>
      <c r="AX3373"/>
      <c r="AZ3373" t="str">
        <f t="shared" si="327"/>
        <v/>
      </c>
      <c r="BA3373" t="str">
        <f t="shared" si="328"/>
        <v/>
      </c>
    </row>
    <row r="3374" spans="29:53" ht="13.5">
      <c r="AC3374" s="6" t="s">
        <v>1393</v>
      </c>
      <c r="AD3374" s="6" t="s">
        <v>7530</v>
      </c>
      <c r="AE3374" s="170">
        <v>315323</v>
      </c>
      <c r="AF3374" s="159" t="s">
        <v>8486</v>
      </c>
      <c r="AG3374" s="160" t="s">
        <v>998</v>
      </c>
      <c r="AH3374" s="194" t="s">
        <v>4700</v>
      </c>
      <c r="AI3374" s="6" t="s">
        <v>2805</v>
      </c>
      <c r="AJ3374" s="3" t="s">
        <v>8275</v>
      </c>
      <c r="AK3374" t="s">
        <v>8275</v>
      </c>
      <c r="AV3374"/>
      <c r="AX3374"/>
      <c r="AZ3374" t="str">
        <f t="shared" si="327"/>
        <v/>
      </c>
      <c r="BA3374" t="str">
        <f t="shared" si="328"/>
        <v/>
      </c>
    </row>
    <row r="3375" spans="29:53" ht="13.5">
      <c r="AC3375" s="6" t="s">
        <v>385</v>
      </c>
      <c r="AD3375" s="6" t="s">
        <v>7530</v>
      </c>
      <c r="AE3375" s="170">
        <v>315346</v>
      </c>
      <c r="AF3375" s="159" t="s">
        <v>8391</v>
      </c>
      <c r="AG3375" s="160" t="s">
        <v>999</v>
      </c>
      <c r="AH3375" s="194" t="s">
        <v>4700</v>
      </c>
      <c r="AI3375" s="6" t="s">
        <v>2123</v>
      </c>
      <c r="AJ3375" s="3" t="s">
        <v>8258</v>
      </c>
      <c r="AK3375" t="s">
        <v>8258</v>
      </c>
      <c r="AV3375"/>
      <c r="AX3375"/>
      <c r="AZ3375" t="str">
        <f t="shared" si="327"/>
        <v/>
      </c>
      <c r="BA3375" t="str">
        <f t="shared" si="328"/>
        <v/>
      </c>
    </row>
    <row r="3376" spans="29:53" ht="13.5">
      <c r="AC3376" s="6" t="s">
        <v>349</v>
      </c>
      <c r="AD3376" s="6" t="s">
        <v>7530</v>
      </c>
      <c r="AE3376" s="170">
        <v>315348</v>
      </c>
      <c r="AF3376" s="159" t="s">
        <v>8391</v>
      </c>
      <c r="AG3376" s="160" t="s">
        <v>1000</v>
      </c>
      <c r="AH3376" s="194" t="s">
        <v>4700</v>
      </c>
      <c r="AI3376" s="6" t="s">
        <v>3551</v>
      </c>
      <c r="AJ3376" s="3" t="s">
        <v>8218</v>
      </c>
      <c r="AK3376" t="s">
        <v>8218</v>
      </c>
      <c r="AV3376"/>
      <c r="AX3376"/>
      <c r="AZ3376" t="str">
        <f t="shared" si="327"/>
        <v/>
      </c>
      <c r="BA3376" t="str">
        <f t="shared" si="328"/>
        <v/>
      </c>
    </row>
    <row r="3377" spans="29:53" ht="13.5">
      <c r="AC3377" s="6" t="s">
        <v>18</v>
      </c>
      <c r="AD3377" s="6" t="s">
        <v>7530</v>
      </c>
      <c r="AE3377" s="170" t="s">
        <v>1532</v>
      </c>
      <c r="AF3377" s="159" t="s">
        <v>8391</v>
      </c>
      <c r="AG3377" s="160" t="s">
        <v>1331</v>
      </c>
      <c r="AH3377" s="194" t="s">
        <v>4700</v>
      </c>
      <c r="AI3377" s="6" t="s">
        <v>3463</v>
      </c>
      <c r="AJ3377" s="3" t="s">
        <v>8204</v>
      </c>
      <c r="AK3377" t="s">
        <v>8204</v>
      </c>
      <c r="AV3377"/>
      <c r="AX3377"/>
      <c r="AZ3377" t="str">
        <f t="shared" si="327"/>
        <v/>
      </c>
      <c r="BA3377" t="str">
        <f t="shared" si="328"/>
        <v/>
      </c>
    </row>
    <row r="3378" spans="29:53" ht="13.5">
      <c r="AC3378" s="6" t="s">
        <v>4179</v>
      </c>
      <c r="AD3378" s="6" t="s">
        <v>7554</v>
      </c>
      <c r="AE3378" s="170" t="s">
        <v>675</v>
      </c>
      <c r="AF3378" s="159" t="s">
        <v>8391</v>
      </c>
      <c r="AG3378" s="160" t="s">
        <v>1332</v>
      </c>
      <c r="AH3378" s="194" t="s">
        <v>4700</v>
      </c>
      <c r="AI3378" s="6" t="s">
        <v>3489</v>
      </c>
      <c r="AJ3378" s="3" t="s">
        <v>8204</v>
      </c>
      <c r="AK3378" t="s">
        <v>8204</v>
      </c>
      <c r="AV3378"/>
      <c r="AX3378"/>
      <c r="AZ3378" t="str">
        <f t="shared" si="327"/>
        <v/>
      </c>
      <c r="BA3378" t="str">
        <f t="shared" si="328"/>
        <v/>
      </c>
    </row>
    <row r="3379" spans="29:53" ht="13.5">
      <c r="AC3379" s="6" t="s">
        <v>260</v>
      </c>
      <c r="AD3379" s="6" t="s">
        <v>7530</v>
      </c>
      <c r="AE3379" s="170" t="s">
        <v>5079</v>
      </c>
      <c r="AF3379" s="159" t="s">
        <v>8391</v>
      </c>
      <c r="AG3379" s="160" t="s">
        <v>1169</v>
      </c>
      <c r="AH3379" s="194" t="s">
        <v>679</v>
      </c>
      <c r="AI3379" s="6" t="s">
        <v>5382</v>
      </c>
      <c r="AJ3379" s="3" t="s">
        <v>8220</v>
      </c>
      <c r="AK3379" t="s">
        <v>8220</v>
      </c>
      <c r="AV3379"/>
      <c r="AX3379"/>
      <c r="AZ3379" t="str">
        <f t="shared" si="327"/>
        <v/>
      </c>
      <c r="BA3379" t="str">
        <f t="shared" si="328"/>
        <v/>
      </c>
    </row>
    <row r="3380" spans="29:53" ht="13.5">
      <c r="AC3380" s="6" t="s">
        <v>1186</v>
      </c>
      <c r="AD3380" s="6" t="s">
        <v>7530</v>
      </c>
      <c r="AE3380" s="170" t="s">
        <v>5091</v>
      </c>
      <c r="AF3380" s="159" t="s">
        <v>8391</v>
      </c>
      <c r="AG3380" s="160" t="s">
        <v>1170</v>
      </c>
      <c r="AH3380" s="194" t="s">
        <v>679</v>
      </c>
      <c r="AI3380" s="6" t="s">
        <v>38</v>
      </c>
      <c r="AJ3380" s="3" t="s">
        <v>8209</v>
      </c>
      <c r="AK3380" t="s">
        <v>8209</v>
      </c>
      <c r="AV3380"/>
      <c r="AX3380"/>
      <c r="AZ3380" t="str">
        <f t="shared" si="327"/>
        <v/>
      </c>
      <c r="BA3380" t="str">
        <f t="shared" si="328"/>
        <v/>
      </c>
    </row>
    <row r="3381" spans="29:53" ht="13.5">
      <c r="AC3381" s="6" t="s">
        <v>247</v>
      </c>
      <c r="AD3381" s="6" t="s">
        <v>7530</v>
      </c>
      <c r="AE3381" s="170" t="s">
        <v>5370</v>
      </c>
      <c r="AF3381" s="159" t="s">
        <v>8391</v>
      </c>
      <c r="AG3381" s="160" t="s">
        <v>225</v>
      </c>
      <c r="AH3381" s="194" t="s">
        <v>679</v>
      </c>
      <c r="AI3381" s="6" t="s">
        <v>208</v>
      </c>
      <c r="AJ3381" s="3" t="s">
        <v>8224</v>
      </c>
      <c r="AK3381" t="s">
        <v>8224</v>
      </c>
      <c r="AV3381"/>
      <c r="AX3381"/>
      <c r="AZ3381" t="str">
        <f t="shared" si="327"/>
        <v/>
      </c>
      <c r="BA3381" t="str">
        <f t="shared" si="328"/>
        <v/>
      </c>
    </row>
    <row r="3382" spans="29:53" ht="13.5">
      <c r="AC3382" s="6" t="s">
        <v>1454</v>
      </c>
      <c r="AD3382" s="6" t="s">
        <v>7530</v>
      </c>
      <c r="AE3382" s="170" t="s">
        <v>5368</v>
      </c>
      <c r="AF3382" s="159" t="s">
        <v>8391</v>
      </c>
      <c r="AG3382" s="160" t="s">
        <v>1171</v>
      </c>
      <c r="AH3382" s="194" t="s">
        <v>679</v>
      </c>
      <c r="AI3382" s="6" t="s">
        <v>217</v>
      </c>
      <c r="AJ3382" s="3" t="s">
        <v>8200</v>
      </c>
      <c r="AK3382" t="s">
        <v>8200</v>
      </c>
      <c r="AV3382"/>
      <c r="AX3382"/>
      <c r="AZ3382" t="str">
        <f t="shared" si="327"/>
        <v/>
      </c>
      <c r="BA3382" t="str">
        <f t="shared" si="328"/>
        <v/>
      </c>
    </row>
    <row r="3383" spans="29:53" ht="13.5">
      <c r="AC3383" s="6" t="s">
        <v>5182</v>
      </c>
      <c r="AD3383" s="6" t="s">
        <v>7560</v>
      </c>
      <c r="AE3383" s="170" t="s">
        <v>5369</v>
      </c>
      <c r="AF3383" s="159" t="s">
        <v>8391</v>
      </c>
      <c r="AG3383" s="160" t="s">
        <v>28</v>
      </c>
      <c r="AH3383" s="194" t="s">
        <v>679</v>
      </c>
      <c r="AI3383" s="6" t="s">
        <v>44</v>
      </c>
      <c r="AJ3383" s="3" t="s">
        <v>8269</v>
      </c>
      <c r="AK3383" t="s">
        <v>8269</v>
      </c>
      <c r="AV3383"/>
      <c r="AX3383"/>
      <c r="AZ3383" t="str">
        <f t="shared" si="327"/>
        <v/>
      </c>
      <c r="BA3383" t="str">
        <f t="shared" si="328"/>
        <v/>
      </c>
    </row>
    <row r="3384" spans="29:53" ht="13.5">
      <c r="AC3384" s="6" t="s">
        <v>252</v>
      </c>
      <c r="AD3384" s="6" t="s">
        <v>7530</v>
      </c>
      <c r="AE3384" s="170" t="s">
        <v>5371</v>
      </c>
      <c r="AF3384" s="159" t="s">
        <v>8391</v>
      </c>
      <c r="AG3384" s="160" t="s">
        <v>1334</v>
      </c>
      <c r="AH3384" s="194" t="s">
        <v>1314</v>
      </c>
      <c r="AI3384" s="6" t="s">
        <v>854</v>
      </c>
      <c r="AJ3384" s="3" t="s">
        <v>8215</v>
      </c>
      <c r="AK3384" t="s">
        <v>8215</v>
      </c>
      <c r="AV3384"/>
      <c r="AX3384"/>
      <c r="AZ3384" t="str">
        <f t="shared" si="327"/>
        <v/>
      </c>
      <c r="BA3384" t="str">
        <f t="shared" si="328"/>
        <v/>
      </c>
    </row>
    <row r="3385" spans="29:53" ht="13.5">
      <c r="AC3385" s="6" t="s">
        <v>1353</v>
      </c>
      <c r="AD3385" s="6" t="s">
        <v>7530</v>
      </c>
      <c r="AE3385" s="170" t="s">
        <v>4410</v>
      </c>
      <c r="AF3385" s="159" t="s">
        <v>8299</v>
      </c>
      <c r="AG3385" s="160" t="s">
        <v>1172</v>
      </c>
      <c r="AH3385" s="194" t="s">
        <v>1314</v>
      </c>
      <c r="AI3385" s="6" t="s">
        <v>855</v>
      </c>
      <c r="AJ3385" s="3" t="s">
        <v>8257</v>
      </c>
      <c r="AK3385" t="s">
        <v>8257</v>
      </c>
      <c r="AV3385"/>
      <c r="AX3385"/>
      <c r="AZ3385" t="str">
        <f t="shared" ref="AZ3385:AZ3448" si="329">IF(ISBLANK(AW3385),"",CONCATENATE("(",RIGHT(AW3385,5),"-",TEXT(AX3385,"h:mm;@"),")"))</f>
        <v/>
      </c>
      <c r="BA3385" t="str">
        <f t="shared" ref="BA3385:BA3448" si="330">IF(AV3401=AV3385,"",CONCATENATE(IF(AV3400=AV3385,BA3400,""),IF(AV3399=AV3385,BA3399,""),IF(AV3398=AV3385,BA3398,""),IF(AV3397=AV3385,BA3397,""),IF(AV3396=AV3385,BA3396,""),IF(AV3395=AV3385,BA3395,""),IF(AV3394=AV3385,BA3394,""),IF(AV3393=AV3385,BA3393,""),IF(AV3392=AV3385,BA3392,""),IF(AV3391=AV3385,BA3391,""),IF(AV3390=AV3385,BA3390,""),IF(AV3389=AV3385,BA3389,""),IF(AV3388=AV3385,BA3388,""),IF(AV3387=AV3385,BA3387,""),IF(AV3386=AV3385,BA3386,""),IF(AV3384=AV3385,BA3384,""),BA3385))</f>
        <v/>
      </c>
    </row>
    <row r="3386" spans="29:53" ht="13.5">
      <c r="AC3386" s="6" t="s">
        <v>429</v>
      </c>
      <c r="AD3386" s="6" t="s">
        <v>7530</v>
      </c>
      <c r="AE3386" s="170">
        <v>483560</v>
      </c>
      <c r="AF3386" s="159" t="s">
        <v>8300</v>
      </c>
      <c r="AG3386" s="160" t="s">
        <v>1173</v>
      </c>
      <c r="AH3386" s="194" t="s">
        <v>1314</v>
      </c>
      <c r="AI3386" s="6" t="s">
        <v>856</v>
      </c>
      <c r="AJ3386" s="3" t="s">
        <v>8215</v>
      </c>
      <c r="AK3386" t="s">
        <v>8215</v>
      </c>
      <c r="AV3386"/>
      <c r="AX3386"/>
      <c r="AZ3386" t="str">
        <f t="shared" si="329"/>
        <v/>
      </c>
      <c r="BA3386" t="str">
        <f t="shared" si="330"/>
        <v/>
      </c>
    </row>
    <row r="3387" spans="29:53" ht="13.5">
      <c r="AC3387" s="6" t="s">
        <v>430</v>
      </c>
      <c r="AD3387" s="6" t="s">
        <v>7530</v>
      </c>
      <c r="AE3387" s="170">
        <v>485354</v>
      </c>
      <c r="AF3387" s="159" t="s">
        <v>8300</v>
      </c>
      <c r="AG3387" s="160" t="s">
        <v>1335</v>
      </c>
      <c r="AH3387" s="194" t="s">
        <v>1314</v>
      </c>
      <c r="AI3387" s="6" t="s">
        <v>3457</v>
      </c>
      <c r="AJ3387" s="3" t="s">
        <v>8251</v>
      </c>
      <c r="AK3387" t="s">
        <v>8251</v>
      </c>
      <c r="AV3387"/>
      <c r="AX3387"/>
      <c r="AZ3387" t="str">
        <f t="shared" si="329"/>
        <v/>
      </c>
      <c r="BA3387" t="str">
        <f t="shared" si="330"/>
        <v/>
      </c>
    </row>
    <row r="3388" spans="29:53" ht="13.5">
      <c r="AC3388" s="6" t="s">
        <v>353</v>
      </c>
      <c r="AD3388" s="6" t="s">
        <v>7530</v>
      </c>
      <c r="AE3388" s="170" t="s">
        <v>5149</v>
      </c>
      <c r="AF3388" s="159" t="s">
        <v>8459</v>
      </c>
      <c r="AG3388" s="160" t="s">
        <v>1336</v>
      </c>
      <c r="AH3388" s="194" t="s">
        <v>679</v>
      </c>
      <c r="AI3388" s="6" t="s">
        <v>3453</v>
      </c>
      <c r="AJ3388" s="3" t="s">
        <v>8276</v>
      </c>
      <c r="AK3388" t="s">
        <v>8276</v>
      </c>
      <c r="AV3388"/>
      <c r="AX3388"/>
      <c r="AZ3388" t="str">
        <f t="shared" si="329"/>
        <v/>
      </c>
      <c r="BA3388" t="str">
        <f t="shared" si="330"/>
        <v/>
      </c>
    </row>
    <row r="3389" spans="29:53" ht="13.5">
      <c r="AC3389" s="6" t="s">
        <v>1085</v>
      </c>
      <c r="AD3389" s="6" t="s">
        <v>7530</v>
      </c>
      <c r="AE3389" s="170" t="s">
        <v>5208</v>
      </c>
      <c r="AF3389" s="159" t="s">
        <v>8459</v>
      </c>
      <c r="AG3389" s="160" t="s">
        <v>1174</v>
      </c>
      <c r="AH3389" s="194" t="s">
        <v>679</v>
      </c>
      <c r="AI3389" s="6" t="s">
        <v>3452</v>
      </c>
      <c r="AJ3389" s="3" t="s">
        <v>8254</v>
      </c>
      <c r="AK3389" t="s">
        <v>8254</v>
      </c>
      <c r="AV3389"/>
      <c r="AX3389"/>
      <c r="AZ3389" t="str">
        <f t="shared" si="329"/>
        <v/>
      </c>
      <c r="BA3389" t="str">
        <f t="shared" si="330"/>
        <v/>
      </c>
    </row>
    <row r="3390" spans="29:53" ht="13.5">
      <c r="AC3390" s="6" t="s">
        <v>1452</v>
      </c>
      <c r="AD3390" s="6" t="s">
        <v>7530</v>
      </c>
      <c r="AE3390" s="170" t="s">
        <v>5265</v>
      </c>
      <c r="AF3390" s="159" t="s">
        <v>8459</v>
      </c>
      <c r="AG3390" s="160" t="s">
        <v>1337</v>
      </c>
      <c r="AH3390" s="194" t="s">
        <v>679</v>
      </c>
      <c r="AI3390" s="6" t="s">
        <v>1316</v>
      </c>
      <c r="AJ3390" s="3" t="s">
        <v>8198</v>
      </c>
      <c r="AK3390" t="s">
        <v>8198</v>
      </c>
      <c r="AV3390"/>
      <c r="AX3390"/>
      <c r="AZ3390" t="str">
        <f t="shared" si="329"/>
        <v/>
      </c>
      <c r="BA3390" t="str">
        <f t="shared" si="330"/>
        <v/>
      </c>
    </row>
    <row r="3391" spans="29:53" ht="13.5">
      <c r="AC3391" s="6" t="s">
        <v>5802</v>
      </c>
      <c r="AD3391" s="6" t="s">
        <v>7530</v>
      </c>
      <c r="AE3391" s="170" t="s">
        <v>5258</v>
      </c>
      <c r="AF3391" s="159" t="s">
        <v>8459</v>
      </c>
      <c r="AG3391" s="160" t="s">
        <v>1338</v>
      </c>
      <c r="AH3391" s="194" t="s">
        <v>1314</v>
      </c>
      <c r="AI3391" s="6" t="s">
        <v>3556</v>
      </c>
      <c r="AJ3391" s="3" t="s">
        <v>8278</v>
      </c>
      <c r="AK3391" t="s">
        <v>8278</v>
      </c>
      <c r="AV3391"/>
      <c r="AX3391"/>
      <c r="AZ3391" t="str">
        <f t="shared" si="329"/>
        <v/>
      </c>
      <c r="BA3391" t="str">
        <f t="shared" si="330"/>
        <v/>
      </c>
    </row>
    <row r="3392" spans="29:53" ht="13.5">
      <c r="AC3392" s="6" t="s">
        <v>1660</v>
      </c>
      <c r="AD3392" s="6" t="s">
        <v>7530</v>
      </c>
      <c r="AE3392" s="170" t="s">
        <v>5085</v>
      </c>
      <c r="AF3392" s="159" t="s">
        <v>8459</v>
      </c>
      <c r="AG3392" s="160" t="s">
        <v>1339</v>
      </c>
      <c r="AH3392" s="194" t="s">
        <v>679</v>
      </c>
      <c r="AI3392" s="6" t="s">
        <v>3557</v>
      </c>
      <c r="AJ3392" s="3" t="s">
        <v>8278</v>
      </c>
      <c r="AK3392" t="s">
        <v>8278</v>
      </c>
      <c r="AV3392"/>
      <c r="AX3392"/>
      <c r="AZ3392" t="str">
        <f t="shared" si="329"/>
        <v/>
      </c>
      <c r="BA3392" t="str">
        <f t="shared" si="330"/>
        <v/>
      </c>
    </row>
    <row r="3393" spans="29:53" ht="13.5">
      <c r="AC3393" s="6" t="s">
        <v>250</v>
      </c>
      <c r="AD3393" s="6" t="s">
        <v>7530</v>
      </c>
      <c r="AE3393" s="170" t="s">
        <v>5047</v>
      </c>
      <c r="AF3393" s="159" t="s">
        <v>8459</v>
      </c>
      <c r="AG3393" s="160" t="s">
        <v>1340</v>
      </c>
      <c r="AH3393" s="194" t="s">
        <v>679</v>
      </c>
      <c r="AI3393" s="6" t="s">
        <v>3558</v>
      </c>
      <c r="AJ3393" s="3" t="s">
        <v>8278</v>
      </c>
      <c r="AK3393" t="s">
        <v>8278</v>
      </c>
      <c r="AV3393"/>
      <c r="AX3393"/>
      <c r="AZ3393" t="str">
        <f t="shared" si="329"/>
        <v/>
      </c>
      <c r="BA3393" t="str">
        <f t="shared" si="330"/>
        <v/>
      </c>
    </row>
    <row r="3394" spans="29:53" ht="13.5">
      <c r="AC3394" s="6" t="s">
        <v>1097</v>
      </c>
      <c r="AD3394" s="6" t="s">
        <v>7530</v>
      </c>
      <c r="AE3394" s="170" t="s">
        <v>5156</v>
      </c>
      <c r="AF3394" s="159" t="s">
        <v>8459</v>
      </c>
      <c r="AG3394" s="160" t="s">
        <v>1175</v>
      </c>
      <c r="AH3394" s="194" t="s">
        <v>1314</v>
      </c>
      <c r="AI3394" s="6" t="s">
        <v>3559</v>
      </c>
      <c r="AJ3394" s="3" t="s">
        <v>8278</v>
      </c>
      <c r="AK3394" t="s">
        <v>8278</v>
      </c>
      <c r="AV3394"/>
      <c r="AX3394"/>
      <c r="AZ3394" t="str">
        <f t="shared" si="329"/>
        <v/>
      </c>
      <c r="BA3394" t="str">
        <f t="shared" si="330"/>
        <v/>
      </c>
    </row>
    <row r="3395" spans="29:53" ht="13.5">
      <c r="AC3395" s="6" t="s">
        <v>522</v>
      </c>
      <c r="AD3395" s="6" t="s">
        <v>7530</v>
      </c>
      <c r="AE3395" s="170" t="s">
        <v>5080</v>
      </c>
      <c r="AF3395" s="159" t="s">
        <v>8459</v>
      </c>
      <c r="AG3395" s="160" t="s">
        <v>1656</v>
      </c>
      <c r="AH3395" s="194" t="s">
        <v>679</v>
      </c>
      <c r="AI3395" s="6" t="s">
        <v>2329</v>
      </c>
      <c r="AJ3395" s="3" t="s">
        <v>8206</v>
      </c>
      <c r="AK3395" t="s">
        <v>8206</v>
      </c>
      <c r="AV3395"/>
      <c r="AX3395"/>
      <c r="AZ3395" t="str">
        <f t="shared" si="329"/>
        <v/>
      </c>
      <c r="BA3395" t="str">
        <f t="shared" si="330"/>
        <v/>
      </c>
    </row>
    <row r="3396" spans="29:53" ht="13.5">
      <c r="AC3396" s="6" t="s">
        <v>1376</v>
      </c>
      <c r="AD3396" s="6" t="s">
        <v>7530</v>
      </c>
      <c r="AE3396" s="170" t="s">
        <v>5259</v>
      </c>
      <c r="AF3396" s="159" t="s">
        <v>8459</v>
      </c>
      <c r="AG3396" s="160" t="s">
        <v>1176</v>
      </c>
      <c r="AH3396" s="194" t="s">
        <v>679</v>
      </c>
      <c r="AI3396" s="6" t="s">
        <v>3577</v>
      </c>
      <c r="AJ3396" s="3" t="s">
        <v>8230</v>
      </c>
      <c r="AK3396" t="s">
        <v>8230</v>
      </c>
      <c r="AV3396"/>
      <c r="AX3396"/>
      <c r="AZ3396" t="str">
        <f t="shared" si="329"/>
        <v/>
      </c>
      <c r="BA3396" t="str">
        <f t="shared" si="330"/>
        <v/>
      </c>
    </row>
    <row r="3397" spans="29:53" ht="13.5">
      <c r="AC3397" s="6" t="s">
        <v>4713</v>
      </c>
      <c r="AD3397" s="6" t="s">
        <v>7530</v>
      </c>
      <c r="AE3397" s="170" t="s">
        <v>5048</v>
      </c>
      <c r="AF3397" s="159" t="s">
        <v>8459</v>
      </c>
      <c r="AG3397" s="160" t="s">
        <v>1177</v>
      </c>
      <c r="AH3397" s="194" t="s">
        <v>679</v>
      </c>
      <c r="AI3397" s="6" t="s">
        <v>3579</v>
      </c>
      <c r="AJ3397" s="3" t="s">
        <v>8230</v>
      </c>
      <c r="AK3397" t="s">
        <v>8230</v>
      </c>
      <c r="AV3397"/>
      <c r="AX3397"/>
      <c r="AZ3397" t="str">
        <f t="shared" si="329"/>
        <v/>
      </c>
      <c r="BA3397" t="str">
        <f t="shared" si="330"/>
        <v/>
      </c>
    </row>
    <row r="3398" spans="29:53" ht="13.5">
      <c r="AC3398" s="6" t="s">
        <v>1090</v>
      </c>
      <c r="AD3398" s="6" t="s">
        <v>7530</v>
      </c>
      <c r="AE3398" s="170" t="s">
        <v>5442</v>
      </c>
      <c r="AF3398" s="159" t="s">
        <v>8459</v>
      </c>
      <c r="AG3398" s="160" t="s">
        <v>1341</v>
      </c>
      <c r="AH3398" s="194" t="s">
        <v>1314</v>
      </c>
      <c r="AI3398" s="6" t="s">
        <v>3580</v>
      </c>
      <c r="AJ3398" s="3" t="s">
        <v>8230</v>
      </c>
      <c r="AK3398" t="s">
        <v>8230</v>
      </c>
      <c r="AV3398"/>
      <c r="AX3398"/>
      <c r="AZ3398" t="str">
        <f t="shared" si="329"/>
        <v/>
      </c>
      <c r="BA3398" t="str">
        <f t="shared" si="330"/>
        <v/>
      </c>
    </row>
    <row r="3399" spans="29:53" ht="13.5">
      <c r="AC3399" s="6" t="s">
        <v>953</v>
      </c>
      <c r="AD3399" s="6" t="s">
        <v>7530</v>
      </c>
      <c r="AE3399" s="170" t="s">
        <v>5247</v>
      </c>
      <c r="AF3399" s="159" t="s">
        <v>8459</v>
      </c>
      <c r="AG3399" s="160" t="s">
        <v>1178</v>
      </c>
      <c r="AH3399" s="194" t="s">
        <v>679</v>
      </c>
      <c r="AI3399" s="6" t="s">
        <v>3581</v>
      </c>
      <c r="AJ3399" s="3" t="s">
        <v>8230</v>
      </c>
      <c r="AK3399" t="s">
        <v>8230</v>
      </c>
      <c r="AV3399"/>
      <c r="AX3399"/>
      <c r="AZ3399" t="str">
        <f t="shared" si="329"/>
        <v/>
      </c>
      <c r="BA3399" t="str">
        <f t="shared" si="330"/>
        <v/>
      </c>
    </row>
    <row r="3400" spans="29:53" ht="13.5">
      <c r="AC3400" s="6" t="s">
        <v>377</v>
      </c>
      <c r="AD3400" s="6" t="s">
        <v>7530</v>
      </c>
      <c r="AE3400" s="170" t="s">
        <v>5443</v>
      </c>
      <c r="AF3400" s="159" t="s">
        <v>8459</v>
      </c>
      <c r="AG3400" s="160" t="s">
        <v>1179</v>
      </c>
      <c r="AH3400" s="194" t="s">
        <v>679</v>
      </c>
      <c r="AI3400" s="6" t="s">
        <v>3585</v>
      </c>
      <c r="AJ3400" s="3" t="s">
        <v>8230</v>
      </c>
      <c r="AK3400" t="s">
        <v>8230</v>
      </c>
      <c r="AV3400"/>
      <c r="AX3400"/>
      <c r="AZ3400" t="str">
        <f t="shared" si="329"/>
        <v/>
      </c>
      <c r="BA3400" t="str">
        <f t="shared" si="330"/>
        <v/>
      </c>
    </row>
    <row r="3401" spans="29:53" ht="13.5">
      <c r="AC3401" s="6" t="s">
        <v>1035</v>
      </c>
      <c r="AD3401" s="6" t="s">
        <v>7530</v>
      </c>
      <c r="AE3401" s="170" t="s">
        <v>5517</v>
      </c>
      <c r="AF3401" s="159" t="s">
        <v>8459</v>
      </c>
      <c r="AG3401" s="160" t="s">
        <v>1180</v>
      </c>
      <c r="AH3401" s="194" t="s">
        <v>679</v>
      </c>
      <c r="AI3401" s="6" t="s">
        <v>3587</v>
      </c>
      <c r="AJ3401" s="3" t="s">
        <v>8230</v>
      </c>
      <c r="AK3401" t="s">
        <v>8230</v>
      </c>
      <c r="AV3401"/>
      <c r="AX3401"/>
      <c r="AZ3401" t="str">
        <f t="shared" si="329"/>
        <v/>
      </c>
      <c r="BA3401" t="str">
        <f t="shared" si="330"/>
        <v/>
      </c>
    </row>
    <row r="3402" spans="29:53" ht="13.5">
      <c r="AC3402" s="6" t="s">
        <v>1371</v>
      </c>
      <c r="AD3402" s="6" t="s">
        <v>7530</v>
      </c>
      <c r="AE3402" s="170" t="s">
        <v>5489</v>
      </c>
      <c r="AF3402" s="159" t="s">
        <v>8300</v>
      </c>
      <c r="AG3402" s="160" t="s">
        <v>985</v>
      </c>
      <c r="AH3402" s="194" t="s">
        <v>679</v>
      </c>
      <c r="AI3402" s="6" t="s">
        <v>3594</v>
      </c>
      <c r="AJ3402" s="3" t="s">
        <v>8277</v>
      </c>
      <c r="AK3402" t="s">
        <v>8277</v>
      </c>
      <c r="AV3402"/>
      <c r="AX3402"/>
      <c r="AZ3402" t="str">
        <f t="shared" si="329"/>
        <v/>
      </c>
      <c r="BA3402" t="str">
        <f t="shared" si="330"/>
        <v/>
      </c>
    </row>
    <row r="3403" spans="29:53" ht="13.5">
      <c r="AC3403" s="6" t="s">
        <v>1453</v>
      </c>
      <c r="AD3403" s="6" t="s">
        <v>7530</v>
      </c>
      <c r="AE3403" s="170" t="s">
        <v>5518</v>
      </c>
      <c r="AF3403" s="159" t="s">
        <v>8459</v>
      </c>
      <c r="AG3403" s="160" t="s">
        <v>987</v>
      </c>
      <c r="AH3403" s="194" t="s">
        <v>679</v>
      </c>
      <c r="AI3403" s="6" t="s">
        <v>1910</v>
      </c>
      <c r="AJ3403" s="3" t="s">
        <v>8234</v>
      </c>
      <c r="AK3403" t="s">
        <v>8234</v>
      </c>
      <c r="AV3403"/>
      <c r="AX3403"/>
      <c r="AZ3403" t="str">
        <f t="shared" si="329"/>
        <v/>
      </c>
      <c r="BA3403" t="str">
        <f t="shared" si="330"/>
        <v/>
      </c>
    </row>
    <row r="3404" spans="29:53" ht="13.5">
      <c r="AC3404" s="6" t="s">
        <v>246</v>
      </c>
      <c r="AD3404" s="6" t="s">
        <v>7530</v>
      </c>
      <c r="AE3404" s="170" t="s">
        <v>1675</v>
      </c>
      <c r="AF3404" s="159" t="s">
        <v>8491</v>
      </c>
      <c r="AG3404" s="160" t="s">
        <v>1181</v>
      </c>
      <c r="AH3404" s="194" t="s">
        <v>679</v>
      </c>
      <c r="AI3404" s="6" t="s">
        <v>3613</v>
      </c>
      <c r="AJ3404" s="3" t="s">
        <v>8270</v>
      </c>
      <c r="AK3404" t="s">
        <v>8270</v>
      </c>
      <c r="AV3404"/>
      <c r="AX3404"/>
      <c r="AZ3404" t="str">
        <f t="shared" si="329"/>
        <v/>
      </c>
      <c r="BA3404" t="str">
        <f t="shared" si="330"/>
        <v/>
      </c>
    </row>
    <row r="3405" spans="29:53" ht="13.5">
      <c r="AC3405" s="6" t="s">
        <v>5510</v>
      </c>
      <c r="AD3405" s="6" t="s">
        <v>7530</v>
      </c>
      <c r="AE3405" s="170" t="s">
        <v>1013</v>
      </c>
      <c r="AF3405" s="159" t="s">
        <v>8391</v>
      </c>
      <c r="AG3405" s="160" t="s">
        <v>1182</v>
      </c>
      <c r="AH3405" s="194" t="s">
        <v>1314</v>
      </c>
      <c r="AI3405" s="6" t="s">
        <v>1746</v>
      </c>
      <c r="AJ3405" s="3" t="s">
        <v>8248</v>
      </c>
      <c r="AK3405" t="s">
        <v>8248</v>
      </c>
      <c r="AV3405"/>
      <c r="AX3405"/>
      <c r="AZ3405" t="str">
        <f t="shared" si="329"/>
        <v/>
      </c>
      <c r="BA3405" t="str">
        <f t="shared" si="330"/>
        <v/>
      </c>
    </row>
    <row r="3406" spans="29:53" ht="13.5">
      <c r="AC3406" s="6" t="s">
        <v>509</v>
      </c>
      <c r="AD3406" s="6" t="s">
        <v>7530</v>
      </c>
      <c r="AE3406" s="170" t="s">
        <v>1489</v>
      </c>
      <c r="AF3406" s="159" t="s">
        <v>8458</v>
      </c>
      <c r="AG3406" s="160" t="s">
        <v>1661</v>
      </c>
      <c r="AH3406" s="194" t="s">
        <v>679</v>
      </c>
      <c r="AI3406" s="6" t="s">
        <v>1748</v>
      </c>
      <c r="AJ3406" s="3" t="s">
        <v>8248</v>
      </c>
      <c r="AK3406" t="s">
        <v>8248</v>
      </c>
      <c r="AV3406"/>
      <c r="AX3406"/>
      <c r="AZ3406" t="str">
        <f t="shared" si="329"/>
        <v/>
      </c>
      <c r="BA3406" t="str">
        <f t="shared" si="330"/>
        <v/>
      </c>
    </row>
    <row r="3407" spans="29:53" ht="13.5">
      <c r="AC3407" s="6" t="s">
        <v>3977</v>
      </c>
      <c r="AD3407" s="6" t="s">
        <v>7530</v>
      </c>
      <c r="AE3407" s="170" t="s">
        <v>1490</v>
      </c>
      <c r="AF3407" s="159" t="s">
        <v>8459</v>
      </c>
      <c r="AG3407" s="160" t="s">
        <v>1183</v>
      </c>
      <c r="AH3407" s="194" t="s">
        <v>679</v>
      </c>
      <c r="AI3407" s="6" t="s">
        <v>1749</v>
      </c>
      <c r="AJ3407" s="3" t="s">
        <v>8248</v>
      </c>
      <c r="AK3407" t="s">
        <v>8248</v>
      </c>
      <c r="AV3407"/>
      <c r="AX3407"/>
      <c r="AZ3407" t="str">
        <f t="shared" si="329"/>
        <v/>
      </c>
      <c r="BA3407" t="str">
        <f t="shared" si="330"/>
        <v/>
      </c>
    </row>
    <row r="3408" spans="29:53" ht="13.5">
      <c r="AC3408" s="6" t="s">
        <v>471</v>
      </c>
      <c r="AD3408" s="6" t="s">
        <v>7530</v>
      </c>
      <c r="AE3408" s="170" t="s">
        <v>1492</v>
      </c>
      <c r="AF3408" s="159" t="s">
        <v>8459</v>
      </c>
      <c r="AG3408" s="160" t="s">
        <v>1184</v>
      </c>
      <c r="AH3408" s="194" t="s">
        <v>679</v>
      </c>
      <c r="AI3408" s="6" t="s">
        <v>1750</v>
      </c>
      <c r="AJ3408" s="3" t="s">
        <v>8248</v>
      </c>
      <c r="AK3408" t="s">
        <v>8248</v>
      </c>
      <c r="AV3408"/>
      <c r="AX3408"/>
      <c r="AZ3408" t="str">
        <f t="shared" si="329"/>
        <v/>
      </c>
      <c r="BA3408" t="str">
        <f t="shared" si="330"/>
        <v/>
      </c>
    </row>
    <row r="3409" spans="29:53" ht="13.5">
      <c r="AC3409" s="6" t="s">
        <v>3972</v>
      </c>
      <c r="AD3409" s="6" t="s">
        <v>7530</v>
      </c>
      <c r="AE3409" s="170" t="s">
        <v>1333</v>
      </c>
      <c r="AF3409" s="159" t="s">
        <v>8459</v>
      </c>
      <c r="AG3409" s="160" t="s">
        <v>970</v>
      </c>
      <c r="AH3409" s="194" t="s">
        <v>679</v>
      </c>
      <c r="AI3409" s="6" t="s">
        <v>1847</v>
      </c>
      <c r="AJ3409" s="3" t="s">
        <v>8248</v>
      </c>
      <c r="AK3409" t="s">
        <v>8248</v>
      </c>
      <c r="AV3409"/>
      <c r="AX3409"/>
      <c r="AZ3409" t="str">
        <f t="shared" si="329"/>
        <v/>
      </c>
      <c r="BA3409" t="str">
        <f t="shared" si="330"/>
        <v/>
      </c>
    </row>
    <row r="3410" spans="29:53" ht="13.5">
      <c r="AC3410" s="6" t="s">
        <v>257</v>
      </c>
      <c r="AD3410" s="6" t="s">
        <v>7530</v>
      </c>
      <c r="AE3410" s="170" t="s">
        <v>1483</v>
      </c>
      <c r="AF3410" s="159" t="s">
        <v>8459</v>
      </c>
      <c r="AG3410" s="160" t="s">
        <v>5412</v>
      </c>
      <c r="AH3410" s="194" t="s">
        <v>679</v>
      </c>
      <c r="AI3410" s="6" t="s">
        <v>2208</v>
      </c>
      <c r="AJ3410" s="3" t="s">
        <v>8248</v>
      </c>
      <c r="AK3410" t="s">
        <v>8248</v>
      </c>
      <c r="AV3410"/>
      <c r="AX3410"/>
      <c r="AZ3410" t="str">
        <f t="shared" si="329"/>
        <v/>
      </c>
      <c r="BA3410" t="str">
        <f t="shared" si="330"/>
        <v/>
      </c>
    </row>
    <row r="3411" spans="29:53" ht="13.5">
      <c r="AC3411" s="6" t="s">
        <v>312</v>
      </c>
      <c r="AD3411" s="6" t="s">
        <v>7530</v>
      </c>
      <c r="AE3411" s="170" t="s">
        <v>1108</v>
      </c>
      <c r="AF3411" s="159" t="s">
        <v>8391</v>
      </c>
      <c r="AG3411" s="160" t="s">
        <v>5315</v>
      </c>
      <c r="AH3411" s="194" t="s">
        <v>679</v>
      </c>
      <c r="AI3411" s="6" t="s">
        <v>3626</v>
      </c>
      <c r="AJ3411" s="3" t="s">
        <v>8283</v>
      </c>
      <c r="AK3411" t="s">
        <v>8283</v>
      </c>
      <c r="AV3411"/>
      <c r="AX3411"/>
      <c r="AZ3411" t="str">
        <f t="shared" si="329"/>
        <v/>
      </c>
      <c r="BA3411" t="str">
        <f t="shared" si="330"/>
        <v/>
      </c>
    </row>
    <row r="3412" spans="29:53" ht="13.5">
      <c r="AC3412" s="6" t="s">
        <v>1392</v>
      </c>
      <c r="AD3412" s="6" t="s">
        <v>7530</v>
      </c>
      <c r="AE3412" s="170" t="s">
        <v>604</v>
      </c>
      <c r="AF3412" s="159" t="s">
        <v>8459</v>
      </c>
      <c r="AG3412" s="160" t="s">
        <v>5327</v>
      </c>
      <c r="AH3412" s="194" t="s">
        <v>1314</v>
      </c>
      <c r="AI3412" s="6" t="s">
        <v>2618</v>
      </c>
      <c r="AJ3412" s="3" t="s">
        <v>8251</v>
      </c>
      <c r="AK3412" t="s">
        <v>8251</v>
      </c>
      <c r="AV3412"/>
      <c r="AX3412"/>
      <c r="AZ3412" t="str">
        <f t="shared" si="329"/>
        <v/>
      </c>
      <c r="BA3412" t="str">
        <f t="shared" si="330"/>
        <v/>
      </c>
    </row>
    <row r="3413" spans="29:53" ht="13.5">
      <c r="AC3413" s="6" t="s">
        <v>1044</v>
      </c>
      <c r="AD3413" s="6" t="s">
        <v>7530</v>
      </c>
      <c r="AE3413" s="170" t="s">
        <v>1488</v>
      </c>
      <c r="AF3413" s="159" t="s">
        <v>8459</v>
      </c>
      <c r="AG3413" s="160" t="s">
        <v>5320</v>
      </c>
      <c r="AH3413" s="194" t="s">
        <v>679</v>
      </c>
      <c r="AI3413" s="6" t="s">
        <v>3648</v>
      </c>
      <c r="AJ3413" s="3" t="s">
        <v>8241</v>
      </c>
      <c r="AK3413" t="s">
        <v>8675</v>
      </c>
      <c r="AV3413"/>
      <c r="AX3413"/>
      <c r="AZ3413" t="str">
        <f t="shared" si="329"/>
        <v/>
      </c>
      <c r="BA3413" t="str">
        <f t="shared" si="330"/>
        <v/>
      </c>
    </row>
    <row r="3414" spans="29:53" ht="13.5">
      <c r="AC3414" s="6" t="s">
        <v>4180</v>
      </c>
      <c r="AD3414" s="6" t="s">
        <v>7561</v>
      </c>
      <c r="AE3414" s="170" t="s">
        <v>605</v>
      </c>
      <c r="AF3414" s="159" t="s">
        <v>8391</v>
      </c>
      <c r="AG3414" s="160" t="s">
        <v>226</v>
      </c>
      <c r="AH3414" s="194" t="s">
        <v>678</v>
      </c>
      <c r="AI3414" s="6" t="s">
        <v>2480</v>
      </c>
      <c r="AJ3414" s="3" t="s">
        <v>8242</v>
      </c>
      <c r="AK3414" t="s">
        <v>8281</v>
      </c>
      <c r="AV3414"/>
      <c r="AX3414"/>
      <c r="AZ3414" t="str">
        <f t="shared" si="329"/>
        <v/>
      </c>
      <c r="BA3414" t="str">
        <f t="shared" si="330"/>
        <v/>
      </c>
    </row>
    <row r="3415" spans="29:53" ht="13.5">
      <c r="AC3415" s="6" t="s">
        <v>520</v>
      </c>
      <c r="AD3415" s="6" t="s">
        <v>7530</v>
      </c>
      <c r="AE3415" s="170" t="s">
        <v>1493</v>
      </c>
      <c r="AF3415" s="159" t="s">
        <v>8487</v>
      </c>
      <c r="AG3415" s="160" t="s">
        <v>227</v>
      </c>
      <c r="AH3415" s="194" t="s">
        <v>678</v>
      </c>
      <c r="AI3415" s="6" t="s">
        <v>2534</v>
      </c>
      <c r="AJ3415" s="3" t="s">
        <v>8242</v>
      </c>
      <c r="AK3415" t="s">
        <v>8281</v>
      </c>
      <c r="AV3415"/>
      <c r="AX3415"/>
      <c r="AZ3415" t="str">
        <f t="shared" si="329"/>
        <v/>
      </c>
      <c r="BA3415" t="str">
        <f t="shared" si="330"/>
        <v/>
      </c>
    </row>
    <row r="3416" spans="29:53" ht="13.5">
      <c r="AC3416" s="6" t="s">
        <v>987</v>
      </c>
      <c r="AD3416" s="6" t="s">
        <v>7530</v>
      </c>
      <c r="AE3416" s="170" t="s">
        <v>1494</v>
      </c>
      <c r="AF3416" s="159" t="s">
        <v>8459</v>
      </c>
      <c r="AG3416" s="160" t="s">
        <v>1342</v>
      </c>
      <c r="AH3416" s="194" t="s">
        <v>678</v>
      </c>
      <c r="AI3416" s="6" t="s">
        <v>2600</v>
      </c>
      <c r="AJ3416" s="3" t="s">
        <v>8242</v>
      </c>
      <c r="AK3416" t="s">
        <v>8281</v>
      </c>
      <c r="AV3416"/>
      <c r="AX3416"/>
      <c r="AZ3416" t="str">
        <f t="shared" si="329"/>
        <v/>
      </c>
      <c r="BA3416" t="str">
        <f t="shared" si="330"/>
        <v/>
      </c>
    </row>
    <row r="3417" spans="29:53" ht="13.5">
      <c r="AC3417" s="6" t="s">
        <v>5783</v>
      </c>
      <c r="AD3417" s="6" t="s">
        <v>7530</v>
      </c>
      <c r="AE3417" s="170" t="s">
        <v>606</v>
      </c>
      <c r="AF3417" s="159" t="s">
        <v>8458</v>
      </c>
      <c r="AG3417" s="160" t="s">
        <v>1343</v>
      </c>
      <c r="AH3417" s="194" t="s">
        <v>678</v>
      </c>
      <c r="AI3417" s="6" t="s">
        <v>2481</v>
      </c>
      <c r="AJ3417" s="3" t="s">
        <v>8255</v>
      </c>
      <c r="AK3417" t="s">
        <v>8255</v>
      </c>
      <c r="AV3417"/>
      <c r="AX3417"/>
      <c r="AZ3417" t="str">
        <f t="shared" si="329"/>
        <v/>
      </c>
      <c r="BA3417" t="str">
        <f t="shared" si="330"/>
        <v/>
      </c>
    </row>
    <row r="3418" spans="29:53" ht="13.5">
      <c r="AC3418" s="6" t="s">
        <v>241</v>
      </c>
      <c r="AD3418" s="6" t="s">
        <v>7530</v>
      </c>
      <c r="AE3418" s="170" t="s">
        <v>1495</v>
      </c>
      <c r="AF3418" s="159" t="s">
        <v>8459</v>
      </c>
      <c r="AG3418" s="160" t="s">
        <v>1344</v>
      </c>
      <c r="AH3418" s="194" t="s">
        <v>678</v>
      </c>
      <c r="AI3418" s="6" t="s">
        <v>2623</v>
      </c>
      <c r="AJ3418" s="3" t="s">
        <v>8254</v>
      </c>
      <c r="AK3418" t="s">
        <v>8254</v>
      </c>
      <c r="AV3418"/>
      <c r="AX3418"/>
      <c r="AZ3418" t="str">
        <f t="shared" si="329"/>
        <v/>
      </c>
      <c r="BA3418" t="str">
        <f t="shared" si="330"/>
        <v/>
      </c>
    </row>
    <row r="3419" spans="29:53" ht="13.5">
      <c r="AC3419" s="6" t="s">
        <v>985</v>
      </c>
      <c r="AD3419" s="6" t="s">
        <v>7530</v>
      </c>
      <c r="AE3419" s="170" t="s">
        <v>1548</v>
      </c>
      <c r="AF3419" s="159" t="s">
        <v>8492</v>
      </c>
      <c r="AG3419" s="160" t="s">
        <v>228</v>
      </c>
      <c r="AH3419" s="194" t="s">
        <v>678</v>
      </c>
      <c r="AI3419" s="6" t="s">
        <v>2801</v>
      </c>
      <c r="AJ3419" s="3" t="s">
        <v>8255</v>
      </c>
      <c r="AK3419" t="s">
        <v>8255</v>
      </c>
      <c r="AV3419"/>
      <c r="AX3419"/>
      <c r="AZ3419" t="str">
        <f t="shared" si="329"/>
        <v/>
      </c>
      <c r="BA3419" t="str">
        <f t="shared" si="330"/>
        <v/>
      </c>
    </row>
    <row r="3420" spans="29:53" ht="13.5">
      <c r="AC3420" s="6" t="s">
        <v>496</v>
      </c>
      <c r="AD3420" s="6" t="s">
        <v>7530</v>
      </c>
      <c r="AE3420" s="170" t="s">
        <v>1571</v>
      </c>
      <c r="AF3420" s="159" t="s">
        <v>8459</v>
      </c>
      <c r="AG3420" s="160" t="s">
        <v>1345</v>
      </c>
      <c r="AH3420" s="194" t="s">
        <v>678</v>
      </c>
      <c r="AI3420" s="6" t="s">
        <v>3680</v>
      </c>
      <c r="AJ3420" s="3" t="s">
        <v>8232</v>
      </c>
      <c r="AK3420" t="s">
        <v>8232</v>
      </c>
      <c r="AV3420"/>
      <c r="AX3420"/>
      <c r="AZ3420" t="str">
        <f t="shared" si="329"/>
        <v/>
      </c>
      <c r="BA3420" t="str">
        <f t="shared" si="330"/>
        <v/>
      </c>
    </row>
    <row r="3421" spans="29:53" ht="13.5">
      <c r="AC3421" s="6" t="s">
        <v>31</v>
      </c>
      <c r="AD3421" s="6" t="s">
        <v>7530</v>
      </c>
      <c r="AE3421" s="170" t="s">
        <v>1637</v>
      </c>
      <c r="AF3421" s="159" t="s">
        <v>8459</v>
      </c>
      <c r="AG3421" s="160" t="s">
        <v>229</v>
      </c>
      <c r="AH3421" s="194" t="s">
        <v>678</v>
      </c>
      <c r="AI3421" s="6" t="s">
        <v>2482</v>
      </c>
      <c r="AJ3421" s="3" t="s">
        <v>8274</v>
      </c>
      <c r="AK3421" t="s">
        <v>8274</v>
      </c>
      <c r="AV3421"/>
      <c r="AX3421"/>
      <c r="AZ3421" t="str">
        <f t="shared" si="329"/>
        <v/>
      </c>
      <c r="BA3421" t="str">
        <f t="shared" si="330"/>
        <v/>
      </c>
    </row>
    <row r="3422" spans="29:53" ht="13.5">
      <c r="AC3422" s="6" t="s">
        <v>345</v>
      </c>
      <c r="AD3422" s="6" t="s">
        <v>7530</v>
      </c>
      <c r="AE3422" s="170" t="s">
        <v>1638</v>
      </c>
      <c r="AF3422" s="159" t="s">
        <v>8459</v>
      </c>
      <c r="AG3422" s="160" t="s">
        <v>1346</v>
      </c>
      <c r="AH3422" s="194" t="s">
        <v>678</v>
      </c>
      <c r="AI3422" s="6" t="s">
        <v>2677</v>
      </c>
      <c r="AJ3422" s="3" t="s">
        <v>8274</v>
      </c>
      <c r="AK3422" t="s">
        <v>8274</v>
      </c>
      <c r="AV3422"/>
      <c r="AX3422"/>
      <c r="AZ3422" t="str">
        <f t="shared" si="329"/>
        <v/>
      </c>
      <c r="BA3422" t="str">
        <f t="shared" si="330"/>
        <v/>
      </c>
    </row>
    <row r="3423" spans="29:53" ht="13.5">
      <c r="AC3423" s="6" t="s">
        <v>369</v>
      </c>
      <c r="AD3423" s="6" t="s">
        <v>7530</v>
      </c>
      <c r="AE3423" s="170" t="s">
        <v>1639</v>
      </c>
      <c r="AF3423" s="159" t="s">
        <v>8459</v>
      </c>
      <c r="AG3423" s="160" t="s">
        <v>230</v>
      </c>
      <c r="AH3423" s="194" t="s">
        <v>678</v>
      </c>
      <c r="AI3423" s="6" t="s">
        <v>5346</v>
      </c>
      <c r="AJ3423" s="3" t="s">
        <v>8199</v>
      </c>
      <c r="AK3423" t="s">
        <v>8199</v>
      </c>
      <c r="AV3423"/>
      <c r="AX3423"/>
      <c r="AZ3423" t="str">
        <f t="shared" si="329"/>
        <v/>
      </c>
      <c r="BA3423" t="str">
        <f t="shared" si="330"/>
        <v/>
      </c>
    </row>
    <row r="3424" spans="29:53" ht="13.5">
      <c r="AC3424" s="6" t="s">
        <v>5413</v>
      </c>
      <c r="AD3424" s="6" t="s">
        <v>7530</v>
      </c>
      <c r="AE3424" s="170" t="s">
        <v>1640</v>
      </c>
      <c r="AF3424" s="159" t="s">
        <v>8459</v>
      </c>
      <c r="AG3424" s="160" t="s">
        <v>231</v>
      </c>
      <c r="AH3424" s="194" t="s">
        <v>678</v>
      </c>
      <c r="AI3424" s="6" t="s">
        <v>5347</v>
      </c>
      <c r="AJ3424" s="3" t="s">
        <v>8199</v>
      </c>
      <c r="AK3424" t="s">
        <v>8199</v>
      </c>
      <c r="AV3424"/>
      <c r="AX3424"/>
      <c r="AZ3424" t="str">
        <f t="shared" si="329"/>
        <v/>
      </c>
      <c r="BA3424" t="str">
        <f t="shared" si="330"/>
        <v/>
      </c>
    </row>
    <row r="3425" spans="29:53" ht="13.5">
      <c r="AC3425" s="6" t="s">
        <v>1390</v>
      </c>
      <c r="AD3425" s="6" t="s">
        <v>7530</v>
      </c>
      <c r="AE3425" s="170" t="s">
        <v>4446</v>
      </c>
      <c r="AF3425" s="159" t="s">
        <v>8459</v>
      </c>
      <c r="AG3425" s="160" t="s">
        <v>232</v>
      </c>
      <c r="AH3425" s="194" t="s">
        <v>678</v>
      </c>
      <c r="AI3425" s="6" t="s">
        <v>2749</v>
      </c>
      <c r="AJ3425" s="3" t="s">
        <v>8276</v>
      </c>
      <c r="AK3425" t="s">
        <v>8276</v>
      </c>
      <c r="AV3425"/>
      <c r="AX3425"/>
      <c r="AZ3425" t="str">
        <f t="shared" si="329"/>
        <v/>
      </c>
      <c r="BA3425" t="str">
        <f t="shared" si="330"/>
        <v/>
      </c>
    </row>
    <row r="3426" spans="29:53" ht="13.5">
      <c r="AC3426" s="6" t="s">
        <v>556</v>
      </c>
      <c r="AD3426" s="6" t="s">
        <v>7530</v>
      </c>
      <c r="AE3426" s="170" t="s">
        <v>125</v>
      </c>
      <c r="AF3426" s="159" t="s">
        <v>8465</v>
      </c>
      <c r="AG3426" s="160" t="s">
        <v>233</v>
      </c>
      <c r="AH3426" s="194" t="s">
        <v>678</v>
      </c>
      <c r="AI3426" s="6" t="s">
        <v>2034</v>
      </c>
      <c r="AJ3426" s="3" t="s">
        <v>8239</v>
      </c>
      <c r="AK3426" t="s">
        <v>8674</v>
      </c>
      <c r="AV3426"/>
      <c r="AX3426"/>
      <c r="AZ3426" t="str">
        <f t="shared" si="329"/>
        <v/>
      </c>
      <c r="BA3426" t="str">
        <f t="shared" si="330"/>
        <v/>
      </c>
    </row>
    <row r="3427" spans="29:53" ht="13.5">
      <c r="AC3427" s="6" t="s">
        <v>372</v>
      </c>
      <c r="AD3427" s="6" t="s">
        <v>7530</v>
      </c>
      <c r="AE3427" s="170" t="s">
        <v>1147</v>
      </c>
      <c r="AF3427" s="159" t="s">
        <v>8459</v>
      </c>
      <c r="AG3427" s="160" t="s">
        <v>234</v>
      </c>
      <c r="AH3427" s="194" t="s">
        <v>678</v>
      </c>
      <c r="AI3427" s="6" t="s">
        <v>5358</v>
      </c>
      <c r="AJ3427" s="3" t="s">
        <v>8258</v>
      </c>
      <c r="AK3427" t="s">
        <v>8258</v>
      </c>
      <c r="AV3427"/>
      <c r="AX3427"/>
      <c r="AZ3427" t="str">
        <f t="shared" si="329"/>
        <v/>
      </c>
      <c r="BA3427" t="str">
        <f t="shared" si="330"/>
        <v/>
      </c>
    </row>
    <row r="3428" spans="29:53" ht="13.5">
      <c r="AC3428" s="6" t="s">
        <v>251</v>
      </c>
      <c r="AD3428" s="6" t="s">
        <v>7530</v>
      </c>
      <c r="AE3428" s="170" t="s">
        <v>1487</v>
      </c>
      <c r="AF3428" s="159" t="s">
        <v>8460</v>
      </c>
      <c r="AG3428" s="160" t="s">
        <v>235</v>
      </c>
      <c r="AH3428" s="194" t="s">
        <v>4700</v>
      </c>
      <c r="AI3428" s="6" t="s">
        <v>5360</v>
      </c>
      <c r="AJ3428" s="3" t="s">
        <v>8258</v>
      </c>
      <c r="AK3428" t="s">
        <v>8258</v>
      </c>
      <c r="AV3428"/>
      <c r="AX3428"/>
      <c r="AZ3428" t="str">
        <f t="shared" si="329"/>
        <v/>
      </c>
      <c r="BA3428" t="str">
        <f t="shared" si="330"/>
        <v/>
      </c>
    </row>
    <row r="3429" spans="29:53" ht="13.5">
      <c r="AC3429" s="6" t="s">
        <v>1360</v>
      </c>
      <c r="AD3429" s="6" t="s">
        <v>7530</v>
      </c>
      <c r="AE3429" s="170" t="s">
        <v>1503</v>
      </c>
      <c r="AF3429" s="159" t="s">
        <v>8470</v>
      </c>
      <c r="AG3429" s="160" t="s">
        <v>1347</v>
      </c>
      <c r="AH3429" s="194" t="s">
        <v>678</v>
      </c>
      <c r="AI3429" s="6" t="s">
        <v>5361</v>
      </c>
      <c r="AJ3429" s="3" t="s">
        <v>8258</v>
      </c>
      <c r="AK3429" t="s">
        <v>8258</v>
      </c>
      <c r="AV3429"/>
      <c r="AX3429"/>
      <c r="AZ3429" t="str">
        <f t="shared" si="329"/>
        <v/>
      </c>
      <c r="BA3429" t="str">
        <f t="shared" si="330"/>
        <v/>
      </c>
    </row>
    <row r="3430" spans="29:53" ht="13.5">
      <c r="AC3430" s="6" t="s">
        <v>317</v>
      </c>
      <c r="AD3430" s="6" t="s">
        <v>7530</v>
      </c>
      <c r="AE3430" s="170" t="s">
        <v>1504</v>
      </c>
      <c r="AF3430" s="159" t="s">
        <v>8458</v>
      </c>
      <c r="AG3430" s="160" t="s">
        <v>236</v>
      </c>
      <c r="AH3430" s="194" t="s">
        <v>678</v>
      </c>
      <c r="AI3430" s="6" t="s">
        <v>2026</v>
      </c>
      <c r="AJ3430" s="3" t="s">
        <v>8239</v>
      </c>
      <c r="AK3430" t="s">
        <v>8674</v>
      </c>
      <c r="AV3430"/>
      <c r="AX3430"/>
      <c r="AZ3430" t="str">
        <f t="shared" si="329"/>
        <v/>
      </c>
      <c r="BA3430" t="str">
        <f t="shared" si="330"/>
        <v/>
      </c>
    </row>
    <row r="3431" spans="29:53" ht="13.5">
      <c r="AC3431" s="6" t="s">
        <v>961</v>
      </c>
      <c r="AD3431" s="6" t="s">
        <v>7530</v>
      </c>
      <c r="AE3431" s="170" t="s">
        <v>1505</v>
      </c>
      <c r="AF3431" s="159" t="s">
        <v>8458</v>
      </c>
      <c r="AG3431" s="160" t="s">
        <v>237</v>
      </c>
      <c r="AH3431" s="194" t="s">
        <v>678</v>
      </c>
      <c r="AI3431" s="6" t="s">
        <v>2483</v>
      </c>
      <c r="AJ3431" s="3" t="s">
        <v>8255</v>
      </c>
      <c r="AK3431" t="s">
        <v>8255</v>
      </c>
      <c r="AV3431"/>
      <c r="AX3431"/>
      <c r="AZ3431" t="str">
        <f t="shared" si="329"/>
        <v/>
      </c>
      <c r="BA3431" t="str">
        <f t="shared" si="330"/>
        <v/>
      </c>
    </row>
    <row r="3432" spans="29:53" ht="13.5">
      <c r="AC3432" s="6" t="s">
        <v>494</v>
      </c>
      <c r="AD3432" s="6" t="s">
        <v>7530</v>
      </c>
      <c r="AE3432" s="170" t="s">
        <v>1658</v>
      </c>
      <c r="AF3432" s="159" t="s">
        <v>8459</v>
      </c>
      <c r="AG3432" s="160" t="s">
        <v>238</v>
      </c>
      <c r="AH3432" s="194" t="s">
        <v>678</v>
      </c>
      <c r="AI3432" s="6" t="s">
        <v>2545</v>
      </c>
      <c r="AJ3432" s="3" t="s">
        <v>8271</v>
      </c>
      <c r="AK3432" t="s">
        <v>8271</v>
      </c>
      <c r="AV3432"/>
      <c r="AX3432"/>
      <c r="AZ3432" t="str">
        <f t="shared" si="329"/>
        <v/>
      </c>
      <c r="BA3432" t="str">
        <f t="shared" si="330"/>
        <v/>
      </c>
    </row>
    <row r="3433" spans="29:53" ht="13.5">
      <c r="AC3433" s="6" t="s">
        <v>1449</v>
      </c>
      <c r="AD3433" s="6" t="s">
        <v>7530</v>
      </c>
      <c r="AE3433" s="170">
        <v>335301</v>
      </c>
      <c r="AF3433" s="159" t="s">
        <v>8459</v>
      </c>
      <c r="AG3433" s="160" t="s">
        <v>239</v>
      </c>
      <c r="AH3433" s="194" t="s">
        <v>4700</v>
      </c>
      <c r="AI3433" s="6" t="s">
        <v>2605</v>
      </c>
      <c r="AJ3433" s="3" t="s">
        <v>8271</v>
      </c>
      <c r="AK3433" t="s">
        <v>8271</v>
      </c>
      <c r="AV3433"/>
      <c r="AX3433"/>
      <c r="AZ3433" t="str">
        <f t="shared" si="329"/>
        <v/>
      </c>
      <c r="BA3433" t="str">
        <f t="shared" si="330"/>
        <v/>
      </c>
    </row>
    <row r="3434" spans="29:53" ht="13.5">
      <c r="AC3434" s="6" t="s">
        <v>1084</v>
      </c>
      <c r="AD3434" s="6" t="s">
        <v>7530</v>
      </c>
      <c r="AE3434" s="170">
        <v>335302</v>
      </c>
      <c r="AF3434" s="159" t="s">
        <v>8459</v>
      </c>
      <c r="AG3434" s="160" t="s">
        <v>240</v>
      </c>
      <c r="AH3434" s="194" t="s">
        <v>679</v>
      </c>
      <c r="AI3434" s="6" t="s">
        <v>2631</v>
      </c>
      <c r="AJ3434" s="3" t="s">
        <v>8271</v>
      </c>
      <c r="AK3434" t="s">
        <v>8271</v>
      </c>
      <c r="AV3434"/>
      <c r="AX3434"/>
      <c r="AZ3434" t="str">
        <f t="shared" si="329"/>
        <v/>
      </c>
      <c r="BA3434" t="str">
        <f t="shared" si="330"/>
        <v/>
      </c>
    </row>
    <row r="3435" spans="29:53" ht="13.5">
      <c r="AC3435" s="6" t="s">
        <v>351</v>
      </c>
      <c r="AD3435" s="6" t="s">
        <v>7530</v>
      </c>
      <c r="AE3435" s="170">
        <v>335303</v>
      </c>
      <c r="AF3435" s="159" t="s">
        <v>8459</v>
      </c>
      <c r="AG3435" s="160" t="s">
        <v>241</v>
      </c>
      <c r="AH3435" s="194" t="s">
        <v>678</v>
      </c>
      <c r="AI3435" s="6" t="s">
        <v>2199</v>
      </c>
      <c r="AJ3435" s="3" t="s">
        <v>8221</v>
      </c>
      <c r="AK3435" t="s">
        <v>8669</v>
      </c>
      <c r="AV3435"/>
      <c r="AX3435"/>
      <c r="AZ3435" t="str">
        <f t="shared" si="329"/>
        <v/>
      </c>
      <c r="BA3435" t="str">
        <f t="shared" si="330"/>
        <v/>
      </c>
    </row>
    <row r="3436" spans="29:53" ht="13.5">
      <c r="AC3436" s="6" t="s">
        <v>398</v>
      </c>
      <c r="AD3436" s="6" t="s">
        <v>7530</v>
      </c>
      <c r="AE3436" s="170">
        <v>335409</v>
      </c>
      <c r="AF3436" s="159" t="s">
        <v>8459</v>
      </c>
      <c r="AG3436" s="160" t="s">
        <v>242</v>
      </c>
      <c r="AH3436" s="194" t="s">
        <v>4700</v>
      </c>
      <c r="AI3436" s="6" t="s">
        <v>2795</v>
      </c>
      <c r="AJ3436" s="3" t="s">
        <v>8256</v>
      </c>
      <c r="AK3436" t="s">
        <v>8256</v>
      </c>
      <c r="AV3436"/>
      <c r="AX3436"/>
      <c r="AZ3436" t="str">
        <f t="shared" si="329"/>
        <v/>
      </c>
      <c r="BA3436" t="str">
        <f t="shared" si="330"/>
        <v/>
      </c>
    </row>
    <row r="3437" spans="29:53" ht="13.5">
      <c r="AC3437" s="6" t="s">
        <v>1366</v>
      </c>
      <c r="AD3437" s="6" t="s">
        <v>7530</v>
      </c>
      <c r="AE3437" s="170">
        <v>335410</v>
      </c>
      <c r="AF3437" s="159" t="s">
        <v>8460</v>
      </c>
      <c r="AG3437" s="160" t="s">
        <v>243</v>
      </c>
      <c r="AH3437" s="194" t="s">
        <v>678</v>
      </c>
      <c r="AI3437" s="6" t="s">
        <v>2487</v>
      </c>
      <c r="AJ3437" s="3" t="s">
        <v>8255</v>
      </c>
      <c r="AK3437" t="s">
        <v>8255</v>
      </c>
      <c r="AV3437"/>
      <c r="AX3437"/>
      <c r="AZ3437" t="str">
        <f t="shared" si="329"/>
        <v/>
      </c>
      <c r="BA3437" t="str">
        <f t="shared" si="330"/>
        <v/>
      </c>
    </row>
    <row r="3438" spans="29:53" ht="13.5">
      <c r="AC3438" s="6" t="s">
        <v>573</v>
      </c>
      <c r="AD3438" s="6" t="s">
        <v>7530</v>
      </c>
      <c r="AE3438" s="170">
        <v>335411</v>
      </c>
      <c r="AF3438" s="159" t="s">
        <v>8458</v>
      </c>
      <c r="AG3438" s="160" t="s">
        <v>244</v>
      </c>
      <c r="AH3438" s="194" t="s">
        <v>4700</v>
      </c>
      <c r="AI3438" s="6" t="s">
        <v>2634</v>
      </c>
      <c r="AJ3438" s="3" t="s">
        <v>8255</v>
      </c>
      <c r="AK3438" t="s">
        <v>8255</v>
      </c>
      <c r="AV3438"/>
      <c r="AX3438"/>
      <c r="AZ3438" t="str">
        <f t="shared" si="329"/>
        <v/>
      </c>
      <c r="BA3438" t="str">
        <f t="shared" si="330"/>
        <v/>
      </c>
    </row>
    <row r="3439" spans="29:53" ht="13.5">
      <c r="AC3439" s="6" t="s">
        <v>204</v>
      </c>
      <c r="AD3439" s="6" t="s">
        <v>7530</v>
      </c>
      <c r="AE3439" s="170" t="s">
        <v>1154</v>
      </c>
      <c r="AF3439" s="159" t="s">
        <v>8459</v>
      </c>
      <c r="AG3439" s="160" t="s">
        <v>1348</v>
      </c>
      <c r="AH3439" s="194" t="s">
        <v>4700</v>
      </c>
      <c r="AI3439" s="6" t="s">
        <v>2814</v>
      </c>
      <c r="AJ3439" s="3" t="s">
        <v>8276</v>
      </c>
      <c r="AK3439" t="s">
        <v>8276</v>
      </c>
      <c r="AV3439"/>
      <c r="AX3439"/>
      <c r="AZ3439" t="str">
        <f t="shared" si="329"/>
        <v/>
      </c>
      <c r="BA3439" t="str">
        <f t="shared" si="330"/>
        <v/>
      </c>
    </row>
    <row r="3440" spans="29:53" ht="13.5">
      <c r="AC3440" s="6" t="s">
        <v>507</v>
      </c>
      <c r="AD3440" s="6" t="s">
        <v>7530</v>
      </c>
      <c r="AE3440" s="170" t="s">
        <v>1155</v>
      </c>
      <c r="AF3440" s="159" t="s">
        <v>8391</v>
      </c>
      <c r="AG3440" s="160" t="s">
        <v>245</v>
      </c>
      <c r="AH3440" s="194" t="s">
        <v>4700</v>
      </c>
      <c r="AI3440" s="6" t="s">
        <v>3860</v>
      </c>
      <c r="AJ3440" s="3" t="s">
        <v>8241</v>
      </c>
      <c r="AK3440" t="s">
        <v>8675</v>
      </c>
      <c r="AV3440"/>
      <c r="AX3440"/>
      <c r="AZ3440" t="str">
        <f t="shared" si="329"/>
        <v/>
      </c>
      <c r="BA3440" t="str">
        <f t="shared" si="330"/>
        <v/>
      </c>
    </row>
    <row r="3441" spans="29:53" ht="13.5">
      <c r="AC3441" s="6" t="s">
        <v>1667</v>
      </c>
      <c r="AD3441" s="6" t="s">
        <v>7530</v>
      </c>
      <c r="AE3441" s="170" t="s">
        <v>1156</v>
      </c>
      <c r="AF3441" s="159" t="s">
        <v>8472</v>
      </c>
      <c r="AG3441" s="160" t="s">
        <v>246</v>
      </c>
      <c r="AH3441" s="194" t="s">
        <v>678</v>
      </c>
      <c r="AI3441" s="6" t="s">
        <v>3861</v>
      </c>
      <c r="AJ3441" s="3" t="s">
        <v>8266</v>
      </c>
      <c r="AK3441" t="s">
        <v>8266</v>
      </c>
      <c r="AV3441"/>
      <c r="AX3441"/>
      <c r="AZ3441" t="str">
        <f t="shared" si="329"/>
        <v/>
      </c>
      <c r="BA3441" t="str">
        <f t="shared" si="330"/>
        <v/>
      </c>
    </row>
    <row r="3442" spans="29:53" ht="13.5">
      <c r="AC3442" s="6" t="s">
        <v>4513</v>
      </c>
      <c r="AD3442" s="6" t="s">
        <v>7530</v>
      </c>
      <c r="AE3442" s="170" t="s">
        <v>1157</v>
      </c>
      <c r="AF3442" s="159" t="s">
        <v>8391</v>
      </c>
      <c r="AG3442" s="160" t="s">
        <v>247</v>
      </c>
      <c r="AH3442" s="194" t="s">
        <v>678</v>
      </c>
      <c r="AI3442" s="6" t="s">
        <v>3877</v>
      </c>
      <c r="AJ3442" s="3" t="s">
        <v>8253</v>
      </c>
      <c r="AK3442" t="s">
        <v>8253</v>
      </c>
      <c r="AV3442"/>
      <c r="AX3442"/>
      <c r="AZ3442" t="str">
        <f t="shared" si="329"/>
        <v/>
      </c>
      <c r="BA3442" t="str">
        <f t="shared" si="330"/>
        <v/>
      </c>
    </row>
    <row r="3443" spans="29:53" ht="13.5">
      <c r="AC3443" s="6" t="s">
        <v>1033</v>
      </c>
      <c r="AD3443" s="6" t="s">
        <v>7530</v>
      </c>
      <c r="AE3443" s="170" t="s">
        <v>618</v>
      </c>
      <c r="AF3443" s="159" t="s">
        <v>8391</v>
      </c>
      <c r="AG3443" s="160" t="s">
        <v>248</v>
      </c>
      <c r="AH3443" s="194" t="s">
        <v>678</v>
      </c>
      <c r="AI3443" s="6" t="s">
        <v>3882</v>
      </c>
      <c r="AJ3443" s="3" t="s">
        <v>8280</v>
      </c>
      <c r="AK3443" t="s">
        <v>8280</v>
      </c>
      <c r="AV3443"/>
      <c r="AX3443"/>
      <c r="AZ3443" t="str">
        <f t="shared" si="329"/>
        <v/>
      </c>
      <c r="BA3443" t="str">
        <f t="shared" si="330"/>
        <v/>
      </c>
    </row>
    <row r="3444" spans="29:53" ht="13.5">
      <c r="AC3444" s="6" t="s">
        <v>1181</v>
      </c>
      <c r="AD3444" s="6" t="s">
        <v>7530</v>
      </c>
      <c r="AE3444" s="170" t="s">
        <v>619</v>
      </c>
      <c r="AF3444" s="159" t="s">
        <v>8493</v>
      </c>
      <c r="AG3444" s="160" t="s">
        <v>249</v>
      </c>
      <c r="AH3444" s="194" t="s">
        <v>678</v>
      </c>
      <c r="AI3444" s="6" t="s">
        <v>3883</v>
      </c>
      <c r="AJ3444" s="3" t="s">
        <v>8278</v>
      </c>
      <c r="AK3444" t="s">
        <v>8278</v>
      </c>
      <c r="AV3444"/>
      <c r="AX3444"/>
      <c r="AZ3444" t="str">
        <f t="shared" si="329"/>
        <v/>
      </c>
      <c r="BA3444" t="str">
        <f t="shared" si="330"/>
        <v/>
      </c>
    </row>
    <row r="3445" spans="29:53" ht="13.5">
      <c r="AC3445" s="6" t="s">
        <v>945</v>
      </c>
      <c r="AD3445" s="6" t="s">
        <v>7530</v>
      </c>
      <c r="AE3445" s="170" t="s">
        <v>620</v>
      </c>
      <c r="AF3445" s="159" t="s">
        <v>8391</v>
      </c>
      <c r="AG3445" s="160" t="s">
        <v>250</v>
      </c>
      <c r="AH3445" s="194" t="s">
        <v>678</v>
      </c>
      <c r="AI3445" s="6" t="s">
        <v>3884</v>
      </c>
      <c r="AJ3445" s="3" t="s">
        <v>8278</v>
      </c>
      <c r="AK3445" t="s">
        <v>8278</v>
      </c>
      <c r="AV3445"/>
      <c r="AX3445"/>
      <c r="AZ3445" t="str">
        <f t="shared" si="329"/>
        <v/>
      </c>
      <c r="BA3445" t="str">
        <f t="shared" si="330"/>
        <v/>
      </c>
    </row>
    <row r="3446" spans="29:53" ht="13.5">
      <c r="AC3446" s="6" t="s">
        <v>352</v>
      </c>
      <c r="AD3446" s="6" t="s">
        <v>7530</v>
      </c>
      <c r="AE3446" s="170" t="s">
        <v>146</v>
      </c>
      <c r="AF3446" s="159" t="s">
        <v>8391</v>
      </c>
      <c r="AG3446" s="160" t="s">
        <v>251</v>
      </c>
      <c r="AH3446" s="194" t="s">
        <v>4700</v>
      </c>
      <c r="AI3446" s="6" t="s">
        <v>80</v>
      </c>
      <c r="AJ3446" s="3" t="s">
        <v>8265</v>
      </c>
      <c r="AK3446" t="s">
        <v>8265</v>
      </c>
      <c r="AV3446"/>
      <c r="AX3446"/>
      <c r="AZ3446" t="str">
        <f t="shared" si="329"/>
        <v/>
      </c>
      <c r="BA3446" t="str">
        <f t="shared" si="330"/>
        <v/>
      </c>
    </row>
    <row r="3447" spans="29:53" ht="13.5">
      <c r="AC3447" s="6" t="s">
        <v>3971</v>
      </c>
      <c r="AD3447" s="6" t="s">
        <v>7530</v>
      </c>
      <c r="AE3447" s="170" t="s">
        <v>981</v>
      </c>
      <c r="AF3447" s="159" t="s">
        <v>8391</v>
      </c>
      <c r="AG3447" s="160" t="s">
        <v>1349</v>
      </c>
      <c r="AH3447" s="194" t="s">
        <v>4700</v>
      </c>
      <c r="AI3447" s="6" t="s">
        <v>3908</v>
      </c>
      <c r="AJ3447" s="3" t="s">
        <v>8265</v>
      </c>
      <c r="AK3447" t="s">
        <v>8265</v>
      </c>
      <c r="AV3447"/>
      <c r="AX3447"/>
      <c r="AZ3447" t="str">
        <f t="shared" si="329"/>
        <v/>
      </c>
      <c r="BA3447" t="str">
        <f t="shared" si="330"/>
        <v/>
      </c>
    </row>
    <row r="3448" spans="29:53" ht="13.5">
      <c r="AC3448" s="6" t="s">
        <v>598</v>
      </c>
      <c r="AD3448" s="6" t="s">
        <v>7530</v>
      </c>
      <c r="AE3448" s="170" t="s">
        <v>180</v>
      </c>
      <c r="AF3448" s="159" t="s">
        <v>8472</v>
      </c>
      <c r="AG3448" s="160" t="s">
        <v>252</v>
      </c>
      <c r="AH3448" s="194" t="s">
        <v>678</v>
      </c>
      <c r="AI3448" s="6" t="s">
        <v>2488</v>
      </c>
      <c r="AJ3448" s="3" t="s">
        <v>8255</v>
      </c>
      <c r="AK3448" t="s">
        <v>8255</v>
      </c>
      <c r="AV3448"/>
      <c r="AX3448"/>
      <c r="AZ3448" t="str">
        <f t="shared" si="329"/>
        <v/>
      </c>
      <c r="BA3448" t="str">
        <f t="shared" si="330"/>
        <v/>
      </c>
    </row>
    <row r="3449" spans="29:53" ht="13.5">
      <c r="AC3449" s="6" t="s">
        <v>1354</v>
      </c>
      <c r="AD3449" s="6" t="s">
        <v>7530</v>
      </c>
      <c r="AE3449" s="170" t="s">
        <v>181</v>
      </c>
      <c r="AF3449" s="159" t="s">
        <v>8391</v>
      </c>
      <c r="AG3449" s="160" t="s">
        <v>253</v>
      </c>
      <c r="AH3449" s="194" t="s">
        <v>678</v>
      </c>
      <c r="AI3449" s="6" t="s">
        <v>3913</v>
      </c>
      <c r="AJ3449" s="3" t="s">
        <v>8269</v>
      </c>
      <c r="AK3449" t="s">
        <v>8269</v>
      </c>
      <c r="AV3449"/>
      <c r="AX3449"/>
      <c r="AZ3449" t="str">
        <f t="shared" ref="AZ3449:AZ3512" si="331">IF(ISBLANK(AW3449),"",CONCATENATE("(",RIGHT(AW3449,5),"-",TEXT(AX3449,"h:mm;@"),")"))</f>
        <v/>
      </c>
      <c r="BA3449" t="str">
        <f t="shared" ref="BA3449:BA3512" si="332">IF(AV3465=AV3449,"",CONCATENATE(IF(AV3464=AV3449,BA3464,""),IF(AV3463=AV3449,BA3463,""),IF(AV3462=AV3449,BA3462,""),IF(AV3461=AV3449,BA3461,""),IF(AV3460=AV3449,BA3460,""),IF(AV3459=AV3449,BA3459,""),IF(AV3458=AV3449,BA3458,""),IF(AV3457=AV3449,BA3457,""),IF(AV3456=AV3449,BA3456,""),IF(AV3455=AV3449,BA3455,""),IF(AV3454=AV3449,BA3454,""),IF(AV3453=AV3449,BA3453,""),IF(AV3452=AV3449,BA3452,""),IF(AV3451=AV3449,BA3451,""),IF(AV3450=AV3449,BA3450,""),IF(AV3448=AV3449,BA3448,""),BA3449))</f>
        <v/>
      </c>
    </row>
    <row r="3450" spans="29:53" ht="13.5">
      <c r="AC3450" s="6" t="s">
        <v>283</v>
      </c>
      <c r="AD3450" s="6" t="s">
        <v>7530</v>
      </c>
      <c r="AE3450" s="170">
        <v>21939</v>
      </c>
      <c r="AF3450" s="159" t="s">
        <v>8391</v>
      </c>
      <c r="AG3450" s="160" t="s">
        <v>1350</v>
      </c>
      <c r="AH3450" s="194" t="s">
        <v>678</v>
      </c>
      <c r="AI3450" s="6" t="s">
        <v>2616</v>
      </c>
      <c r="AJ3450" s="3" t="s">
        <v>8254</v>
      </c>
      <c r="AK3450" t="s">
        <v>8254</v>
      </c>
      <c r="AV3450"/>
      <c r="AX3450"/>
      <c r="AZ3450" t="str">
        <f t="shared" si="331"/>
        <v/>
      </c>
      <c r="BA3450" t="str">
        <f t="shared" si="332"/>
        <v/>
      </c>
    </row>
    <row r="3451" spans="29:53" ht="13.5">
      <c r="AC3451" s="6" t="s">
        <v>1670</v>
      </c>
      <c r="AD3451" s="6" t="s">
        <v>7530</v>
      </c>
      <c r="AE3451" s="170">
        <v>25261</v>
      </c>
      <c r="AF3451" s="159" t="s">
        <v>8391</v>
      </c>
      <c r="AG3451" s="164" t="s">
        <v>254</v>
      </c>
      <c r="AH3451" s="194" t="s">
        <v>4700</v>
      </c>
      <c r="AI3451" s="6" t="s">
        <v>2536</v>
      </c>
      <c r="AJ3451" s="3" t="s">
        <v>8255</v>
      </c>
      <c r="AK3451" t="s">
        <v>8255</v>
      </c>
      <c r="AV3451"/>
      <c r="AX3451"/>
      <c r="AZ3451" t="str">
        <f t="shared" si="331"/>
        <v/>
      </c>
      <c r="BA3451" t="str">
        <f t="shared" si="332"/>
        <v/>
      </c>
    </row>
    <row r="3452" spans="29:53" ht="13.5">
      <c r="AC3452" s="6" t="s">
        <v>239</v>
      </c>
      <c r="AD3452" s="6" t="s">
        <v>7530</v>
      </c>
      <c r="AE3452" s="170">
        <v>25341</v>
      </c>
      <c r="AF3452" s="159" t="s">
        <v>8465</v>
      </c>
      <c r="AG3452" s="160" t="s">
        <v>1351</v>
      </c>
      <c r="AH3452" s="194" t="s">
        <v>678</v>
      </c>
      <c r="AI3452" s="6" t="s">
        <v>2645</v>
      </c>
      <c r="AJ3452" s="3" t="s">
        <v>8255</v>
      </c>
      <c r="AK3452" t="s">
        <v>8255</v>
      </c>
      <c r="AV3452"/>
      <c r="AX3452"/>
      <c r="AZ3452" t="str">
        <f t="shared" si="331"/>
        <v/>
      </c>
      <c r="BA3452" t="str">
        <f t="shared" si="332"/>
        <v/>
      </c>
    </row>
    <row r="3453" spans="29:53" ht="13.5">
      <c r="AC3453" s="6" t="s">
        <v>470</v>
      </c>
      <c r="AD3453" s="6" t="s">
        <v>7530</v>
      </c>
      <c r="AE3453" s="170">
        <v>25413</v>
      </c>
      <c r="AF3453" s="159" t="s">
        <v>8339</v>
      </c>
      <c r="AG3453" s="160" t="s">
        <v>255</v>
      </c>
      <c r="AH3453" s="194" t="s">
        <v>678</v>
      </c>
      <c r="AI3453" s="6" t="s">
        <v>2808</v>
      </c>
      <c r="AJ3453" s="3" t="s">
        <v>8255</v>
      </c>
      <c r="AK3453" t="s">
        <v>8255</v>
      </c>
      <c r="AV3453"/>
      <c r="AX3453"/>
      <c r="AZ3453" t="str">
        <f t="shared" si="331"/>
        <v/>
      </c>
      <c r="BA3453" t="str">
        <f t="shared" si="332"/>
        <v/>
      </c>
    </row>
    <row r="3454" spans="29:53" ht="13.5">
      <c r="AC3454" s="6" t="s">
        <v>1523</v>
      </c>
      <c r="AD3454" s="6" t="s">
        <v>7530</v>
      </c>
      <c r="AE3454" s="170">
        <v>75419</v>
      </c>
      <c r="AF3454" s="159" t="s">
        <v>8472</v>
      </c>
      <c r="AG3454" s="160" t="s">
        <v>1352</v>
      </c>
      <c r="AH3454" s="194" t="s">
        <v>678</v>
      </c>
      <c r="AI3454" s="6" t="s">
        <v>1781</v>
      </c>
      <c r="AJ3454" s="3" t="s">
        <v>8243</v>
      </c>
      <c r="AK3454" t="s">
        <v>8243</v>
      </c>
      <c r="AV3454"/>
      <c r="AX3454"/>
      <c r="AZ3454" t="str">
        <f t="shared" si="331"/>
        <v/>
      </c>
      <c r="BA3454" t="str">
        <f t="shared" si="332"/>
        <v/>
      </c>
    </row>
    <row r="3455" spans="29:53" ht="13.5">
      <c r="AC3455" s="6" t="s">
        <v>1651</v>
      </c>
      <c r="AD3455" s="6" t="s">
        <v>7530</v>
      </c>
      <c r="AE3455" s="170" t="s">
        <v>119</v>
      </c>
      <c r="AF3455" s="159" t="s">
        <v>8391</v>
      </c>
      <c r="AG3455" s="160" t="s">
        <v>256</v>
      </c>
      <c r="AH3455" s="194" t="s">
        <v>4700</v>
      </c>
      <c r="AI3455" s="6" t="s">
        <v>2756</v>
      </c>
      <c r="AJ3455" s="3" t="s">
        <v>8275</v>
      </c>
      <c r="AK3455" t="s">
        <v>8275</v>
      </c>
      <c r="AV3455"/>
      <c r="AX3455"/>
      <c r="AZ3455" t="str">
        <f t="shared" si="331"/>
        <v/>
      </c>
      <c r="BA3455" t="str">
        <f t="shared" si="332"/>
        <v/>
      </c>
    </row>
    <row r="3456" spans="29:53" ht="13.5">
      <c r="AC3456" s="6" t="s">
        <v>243</v>
      </c>
      <c r="AD3456" s="6" t="s">
        <v>7530</v>
      </c>
      <c r="AE3456" s="170" t="s">
        <v>120</v>
      </c>
      <c r="AF3456" s="159" t="s">
        <v>8391</v>
      </c>
      <c r="AG3456" s="160" t="s">
        <v>257</v>
      </c>
      <c r="AH3456" s="194" t="s">
        <v>678</v>
      </c>
      <c r="AI3456" s="6" t="s">
        <v>3925</v>
      </c>
      <c r="AJ3456" s="3" t="s">
        <v>8279</v>
      </c>
      <c r="AK3456" t="s">
        <v>8679</v>
      </c>
      <c r="AV3456"/>
      <c r="AX3456"/>
      <c r="AZ3456" t="str">
        <f t="shared" si="331"/>
        <v/>
      </c>
      <c r="BA3456" t="str">
        <f t="shared" si="332"/>
        <v/>
      </c>
    </row>
    <row r="3457" spans="29:53" ht="13.5">
      <c r="AC3457" s="6" t="s">
        <v>20</v>
      </c>
      <c r="AD3457" s="6" t="s">
        <v>7530</v>
      </c>
      <c r="AE3457" s="170">
        <v>223806</v>
      </c>
      <c r="AF3457" s="159" t="s">
        <v>8391</v>
      </c>
      <c r="AG3457" s="160" t="s">
        <v>258</v>
      </c>
      <c r="AH3457" s="194" t="s">
        <v>678</v>
      </c>
      <c r="AI3457" s="6" t="s">
        <v>3938</v>
      </c>
      <c r="AJ3457" s="3" t="s">
        <v>8236</v>
      </c>
      <c r="AK3457" t="s">
        <v>8236</v>
      </c>
      <c r="AV3457"/>
      <c r="AX3457"/>
      <c r="AZ3457" t="str">
        <f t="shared" si="331"/>
        <v/>
      </c>
      <c r="BA3457" t="str">
        <f t="shared" si="332"/>
        <v/>
      </c>
    </row>
    <row r="3458" spans="29:53" ht="13.5">
      <c r="AC3458" s="6" t="s">
        <v>3680</v>
      </c>
      <c r="AD3458" s="6" t="s">
        <v>7562</v>
      </c>
      <c r="AE3458" s="170">
        <v>225278</v>
      </c>
      <c r="AF3458" s="159" t="s">
        <v>8347</v>
      </c>
      <c r="AG3458" s="160" t="s">
        <v>259</v>
      </c>
      <c r="AH3458" s="194" t="s">
        <v>679</v>
      </c>
      <c r="AI3458" s="6" t="s">
        <v>3949</v>
      </c>
      <c r="AJ3458" s="3" t="s">
        <v>8260</v>
      </c>
      <c r="AK3458" t="s">
        <v>8678</v>
      </c>
      <c r="AV3458"/>
      <c r="AX3458"/>
      <c r="AZ3458" t="str">
        <f t="shared" si="331"/>
        <v/>
      </c>
      <c r="BA3458" t="str">
        <f t="shared" si="332"/>
        <v/>
      </c>
    </row>
    <row r="3459" spans="29:53" ht="13.5">
      <c r="AC3459" s="6" t="s">
        <v>1066</v>
      </c>
      <c r="AD3459" s="6" t="s">
        <v>7530</v>
      </c>
      <c r="AE3459" s="170">
        <v>295245</v>
      </c>
      <c r="AF3459" s="159" t="s">
        <v>8391</v>
      </c>
      <c r="AG3459" s="160" t="s">
        <v>260</v>
      </c>
      <c r="AH3459" s="194" t="s">
        <v>678</v>
      </c>
      <c r="AI3459" s="6" t="s">
        <v>3951</v>
      </c>
      <c r="AJ3459" s="3" t="s">
        <v>8279</v>
      </c>
      <c r="AK3459" t="s">
        <v>8679</v>
      </c>
      <c r="AV3459"/>
      <c r="AX3459"/>
      <c r="AZ3459" t="str">
        <f t="shared" si="331"/>
        <v/>
      </c>
      <c r="BA3459" t="str">
        <f t="shared" si="332"/>
        <v/>
      </c>
    </row>
    <row r="3460" spans="29:53" ht="13.5">
      <c r="AC3460" s="6" t="s">
        <v>1247</v>
      </c>
      <c r="AD3460" s="6" t="s">
        <v>7530</v>
      </c>
      <c r="AE3460" s="170">
        <v>295246</v>
      </c>
      <c r="AF3460" s="159" t="s">
        <v>8391</v>
      </c>
      <c r="AG3460" s="160" t="s">
        <v>261</v>
      </c>
      <c r="AH3460" s="194" t="s">
        <v>4700</v>
      </c>
      <c r="AI3460" s="6" t="s">
        <v>2023</v>
      </c>
      <c r="AJ3460" s="3" t="s">
        <v>8239</v>
      </c>
      <c r="AK3460" t="s">
        <v>8674</v>
      </c>
      <c r="AV3460"/>
      <c r="AX3460"/>
      <c r="AZ3460" t="str">
        <f t="shared" si="331"/>
        <v/>
      </c>
      <c r="BA3460" t="str">
        <f t="shared" si="332"/>
        <v/>
      </c>
    </row>
    <row r="3461" spans="29:53" ht="13.5">
      <c r="AC3461" s="6" t="s">
        <v>1083</v>
      </c>
      <c r="AD3461" s="6" t="s">
        <v>7530</v>
      </c>
      <c r="AE3461" s="170">
        <v>295292</v>
      </c>
      <c r="AF3461" s="159" t="s">
        <v>8391</v>
      </c>
      <c r="AG3461" s="160" t="s">
        <v>262</v>
      </c>
      <c r="AH3461" s="194" t="s">
        <v>678</v>
      </c>
      <c r="AI3461" s="6" t="s">
        <v>2024</v>
      </c>
      <c r="AJ3461" s="3" t="s">
        <v>8239</v>
      </c>
      <c r="AK3461" t="s">
        <v>8674</v>
      </c>
      <c r="AV3461"/>
      <c r="AX3461"/>
      <c r="AZ3461" t="str">
        <f t="shared" si="331"/>
        <v/>
      </c>
      <c r="BA3461" t="str">
        <f t="shared" si="332"/>
        <v/>
      </c>
    </row>
    <row r="3462" spans="29:53" ht="13.5">
      <c r="AC3462" s="6" t="s">
        <v>5433</v>
      </c>
      <c r="AD3462" s="6" t="s">
        <v>7530</v>
      </c>
      <c r="AE3462" s="170">
        <v>295293</v>
      </c>
      <c r="AF3462" s="159" t="s">
        <v>8464</v>
      </c>
      <c r="AG3462" s="160" t="s">
        <v>263</v>
      </c>
      <c r="AH3462" s="194" t="s">
        <v>4700</v>
      </c>
      <c r="AI3462" s="6" t="s">
        <v>3955</v>
      </c>
      <c r="AJ3462" s="3" t="s">
        <v>8280</v>
      </c>
      <c r="AK3462" t="s">
        <v>8280</v>
      </c>
      <c r="AV3462"/>
      <c r="AX3462"/>
      <c r="AZ3462" t="str">
        <f t="shared" si="331"/>
        <v/>
      </c>
      <c r="BA3462" t="str">
        <f t="shared" si="332"/>
        <v/>
      </c>
    </row>
    <row r="3463" spans="29:53" ht="13.5">
      <c r="AC3463" s="6" t="s">
        <v>1073</v>
      </c>
      <c r="AD3463" s="6" t="s">
        <v>7530</v>
      </c>
      <c r="AE3463" s="170">
        <v>515361</v>
      </c>
      <c r="AF3463" s="159" t="s">
        <v>8460</v>
      </c>
      <c r="AG3463" s="160" t="s">
        <v>264</v>
      </c>
      <c r="AH3463" s="194" t="s">
        <v>678</v>
      </c>
      <c r="AI3463" s="6" t="s">
        <v>3956</v>
      </c>
      <c r="AJ3463" s="3" t="s">
        <v>8280</v>
      </c>
      <c r="AK3463" t="s">
        <v>8280</v>
      </c>
      <c r="AV3463"/>
      <c r="AX3463"/>
      <c r="AZ3463" t="str">
        <f t="shared" si="331"/>
        <v/>
      </c>
      <c r="BA3463" t="str">
        <f t="shared" si="332"/>
        <v/>
      </c>
    </row>
    <row r="3464" spans="29:53" ht="13.5">
      <c r="AC3464" s="6" t="s">
        <v>1391</v>
      </c>
      <c r="AD3464" s="6" t="s">
        <v>7530</v>
      </c>
      <c r="AE3464" s="170">
        <v>515362</v>
      </c>
      <c r="AF3464" s="159" t="s">
        <v>8460</v>
      </c>
      <c r="AG3464" s="160" t="s">
        <v>1353</v>
      </c>
      <c r="AH3464" s="194" t="s">
        <v>4700</v>
      </c>
      <c r="AI3464" s="6" t="s">
        <v>3958</v>
      </c>
      <c r="AJ3464" s="3" t="s">
        <v>8280</v>
      </c>
      <c r="AK3464" t="s">
        <v>8280</v>
      </c>
      <c r="AV3464"/>
      <c r="AX3464"/>
      <c r="AZ3464" t="str">
        <f t="shared" si="331"/>
        <v/>
      </c>
      <c r="BA3464" t="str">
        <f t="shared" si="332"/>
        <v/>
      </c>
    </row>
    <row r="3465" spans="29:53" ht="13.5">
      <c r="AC3465" s="6" t="s">
        <v>1369</v>
      </c>
      <c r="AD3465" s="6" t="s">
        <v>7530</v>
      </c>
      <c r="AE3465" s="170">
        <v>515363</v>
      </c>
      <c r="AF3465" s="159" t="s">
        <v>8391</v>
      </c>
      <c r="AG3465" s="160" t="s">
        <v>265</v>
      </c>
      <c r="AH3465" s="194" t="s">
        <v>678</v>
      </c>
      <c r="AI3465" s="6" t="s">
        <v>3962</v>
      </c>
      <c r="AJ3465" s="3" t="s">
        <v>8236</v>
      </c>
      <c r="AK3465" t="s">
        <v>8236</v>
      </c>
      <c r="AV3465"/>
      <c r="AX3465"/>
      <c r="AZ3465" t="str">
        <f t="shared" si="331"/>
        <v/>
      </c>
      <c r="BA3465" t="str">
        <f t="shared" si="332"/>
        <v/>
      </c>
    </row>
    <row r="3466" spans="29:53" ht="13.5">
      <c r="AC3466" s="6" t="s">
        <v>5426</v>
      </c>
      <c r="AD3466" s="6" t="s">
        <v>7530</v>
      </c>
      <c r="AE3466" s="170" t="s">
        <v>965</v>
      </c>
      <c r="AF3466" s="159" t="s">
        <v>8391</v>
      </c>
      <c r="AG3466" s="160" t="s">
        <v>1354</v>
      </c>
      <c r="AH3466" s="194" t="s">
        <v>4700</v>
      </c>
      <c r="AI3466" s="6" t="s">
        <v>3963</v>
      </c>
      <c r="AJ3466" s="3" t="s">
        <v>8236</v>
      </c>
      <c r="AK3466" t="s">
        <v>8236</v>
      </c>
      <c r="AV3466"/>
      <c r="AX3466"/>
      <c r="AZ3466" t="str">
        <f t="shared" si="331"/>
        <v/>
      </c>
      <c r="BA3466" t="str">
        <f t="shared" si="332"/>
        <v/>
      </c>
    </row>
    <row r="3467" spans="29:53" ht="13.5">
      <c r="AC3467" s="6" t="s">
        <v>1389</v>
      </c>
      <c r="AD3467" s="6" t="s">
        <v>7530</v>
      </c>
      <c r="AE3467" s="170" t="s">
        <v>1526</v>
      </c>
      <c r="AF3467" s="159" t="s">
        <v>8460</v>
      </c>
      <c r="AG3467" s="160" t="s">
        <v>266</v>
      </c>
      <c r="AH3467" s="194" t="s">
        <v>678</v>
      </c>
      <c r="AI3467" s="6" t="s">
        <v>3964</v>
      </c>
      <c r="AJ3467" s="3" t="s">
        <v>8236</v>
      </c>
      <c r="AK3467" t="s">
        <v>8236</v>
      </c>
      <c r="AV3467"/>
      <c r="AX3467"/>
      <c r="AZ3467" t="str">
        <f t="shared" si="331"/>
        <v/>
      </c>
      <c r="BA3467" t="str">
        <f t="shared" si="332"/>
        <v/>
      </c>
    </row>
    <row r="3468" spans="29:53" ht="13.5">
      <c r="AC3468" s="6" t="s">
        <v>995</v>
      </c>
      <c r="AD3468" s="6" t="s">
        <v>7530</v>
      </c>
      <c r="AE3468" s="170" t="s">
        <v>4437</v>
      </c>
      <c r="AF3468" s="159" t="s">
        <v>8391</v>
      </c>
      <c r="AG3468" s="160" t="s">
        <v>1355</v>
      </c>
      <c r="AH3468" s="194" t="s">
        <v>4700</v>
      </c>
      <c r="AI3468" s="6" t="s">
        <v>3966</v>
      </c>
      <c r="AJ3468" s="3" t="s">
        <v>8236</v>
      </c>
      <c r="AK3468" t="s">
        <v>8236</v>
      </c>
      <c r="AV3468"/>
      <c r="AX3468"/>
      <c r="AZ3468" t="str">
        <f t="shared" si="331"/>
        <v/>
      </c>
      <c r="BA3468" t="str">
        <f t="shared" si="332"/>
        <v/>
      </c>
    </row>
    <row r="3469" spans="29:53" ht="13.5">
      <c r="AC3469" s="6" t="s">
        <v>249</v>
      </c>
      <c r="AD3469" s="6" t="s">
        <v>7530</v>
      </c>
      <c r="AE3469" s="170" t="s">
        <v>4438</v>
      </c>
      <c r="AF3469" s="159" t="s">
        <v>8391</v>
      </c>
      <c r="AG3469" s="160" t="s">
        <v>267</v>
      </c>
      <c r="AH3469" s="194" t="s">
        <v>678</v>
      </c>
      <c r="AI3469" s="6" t="s">
        <v>2642</v>
      </c>
      <c r="AJ3469" s="3" t="s">
        <v>8274</v>
      </c>
      <c r="AK3469" t="s">
        <v>8274</v>
      </c>
      <c r="AV3469"/>
      <c r="AX3469"/>
      <c r="AZ3469" t="str">
        <f t="shared" si="331"/>
        <v/>
      </c>
      <c r="BA3469" t="str">
        <f t="shared" si="332"/>
        <v/>
      </c>
    </row>
    <row r="3470" spans="29:53" ht="13.5">
      <c r="AC3470" s="6" t="s">
        <v>397</v>
      </c>
      <c r="AD3470" s="6" t="s">
        <v>7530</v>
      </c>
      <c r="AE3470" s="170" t="s">
        <v>5209</v>
      </c>
      <c r="AF3470" s="159" t="s">
        <v>8391</v>
      </c>
      <c r="AG3470" s="160" t="s">
        <v>268</v>
      </c>
      <c r="AH3470" s="194" t="s">
        <v>678</v>
      </c>
      <c r="AI3470" s="6" t="s">
        <v>2644</v>
      </c>
      <c r="AJ3470" s="3" t="s">
        <v>8274</v>
      </c>
      <c r="AK3470" t="s">
        <v>8274</v>
      </c>
      <c r="AV3470"/>
      <c r="AX3470"/>
      <c r="AZ3470" t="str">
        <f t="shared" si="331"/>
        <v/>
      </c>
      <c r="BA3470" t="str">
        <f t="shared" si="332"/>
        <v/>
      </c>
    </row>
    <row r="3471" spans="29:53" ht="13.5">
      <c r="AC3471" s="6" t="s">
        <v>5784</v>
      </c>
      <c r="AD3471" s="6" t="s">
        <v>7530</v>
      </c>
      <c r="AE3471" s="170" t="s">
        <v>633</v>
      </c>
      <c r="AF3471" s="159" t="s">
        <v>8461</v>
      </c>
      <c r="AG3471" s="160" t="s">
        <v>269</v>
      </c>
      <c r="AH3471" s="194" t="s">
        <v>678</v>
      </c>
      <c r="AI3471" s="6" t="s">
        <v>2672</v>
      </c>
      <c r="AJ3471" s="3" t="s">
        <v>8241</v>
      </c>
      <c r="AK3471" t="s">
        <v>8675</v>
      </c>
      <c r="AV3471"/>
      <c r="AX3471"/>
      <c r="AZ3471" t="str">
        <f t="shared" si="331"/>
        <v/>
      </c>
      <c r="BA3471" t="str">
        <f t="shared" si="332"/>
        <v/>
      </c>
    </row>
    <row r="3472" spans="29:53" ht="13.5">
      <c r="AC3472" s="6" t="s">
        <v>5438</v>
      </c>
      <c r="AD3472" s="6" t="s">
        <v>7530</v>
      </c>
      <c r="AE3472" s="170" t="s">
        <v>634</v>
      </c>
      <c r="AF3472" s="159" t="s">
        <v>8494</v>
      </c>
      <c r="AG3472" s="160" t="s">
        <v>270</v>
      </c>
      <c r="AH3472" s="194" t="s">
        <v>678</v>
      </c>
      <c r="AI3472" s="6" t="s">
        <v>2681</v>
      </c>
      <c r="AJ3472" s="3" t="s">
        <v>8274</v>
      </c>
      <c r="AK3472" t="s">
        <v>8274</v>
      </c>
      <c r="AV3472"/>
      <c r="AX3472"/>
      <c r="AZ3472" t="str">
        <f t="shared" si="331"/>
        <v/>
      </c>
      <c r="BA3472" t="str">
        <f t="shared" si="332"/>
        <v/>
      </c>
    </row>
    <row r="3473" spans="29:53" ht="13.5">
      <c r="AC3473" s="6" t="s">
        <v>382</v>
      </c>
      <c r="AD3473" s="6" t="s">
        <v>7530</v>
      </c>
      <c r="AE3473" s="170" t="s">
        <v>635</v>
      </c>
      <c r="AF3473" s="159" t="s">
        <v>8480</v>
      </c>
      <c r="AG3473" s="160" t="s">
        <v>1356</v>
      </c>
      <c r="AH3473" s="194" t="s">
        <v>678</v>
      </c>
      <c r="AI3473" s="6" t="s">
        <v>2727</v>
      </c>
      <c r="AJ3473" s="3" t="s">
        <v>8251</v>
      </c>
      <c r="AK3473" t="s">
        <v>8251</v>
      </c>
      <c r="AV3473"/>
      <c r="AX3473"/>
      <c r="AZ3473" t="str">
        <f t="shared" si="331"/>
        <v/>
      </c>
      <c r="BA3473" t="str">
        <f t="shared" si="332"/>
        <v/>
      </c>
    </row>
    <row r="3474" spans="29:53" ht="13.5">
      <c r="AC3474" s="6" t="s">
        <v>1205</v>
      </c>
      <c r="AD3474" s="6" t="s">
        <v>7530</v>
      </c>
      <c r="AE3474" s="170" t="s">
        <v>636</v>
      </c>
      <c r="AF3474" s="159" t="s">
        <v>8458</v>
      </c>
      <c r="AG3474" s="160" t="s">
        <v>271</v>
      </c>
      <c r="AH3474" s="194" t="s">
        <v>4700</v>
      </c>
      <c r="AI3474" s="6" t="s">
        <v>3980</v>
      </c>
      <c r="AJ3474" s="3" t="s">
        <v>8241</v>
      </c>
      <c r="AK3474" t="s">
        <v>8675</v>
      </c>
      <c r="AV3474"/>
      <c r="AX3474"/>
      <c r="AZ3474" t="str">
        <f t="shared" si="331"/>
        <v/>
      </c>
      <c r="BA3474" t="str">
        <f t="shared" si="332"/>
        <v/>
      </c>
    </row>
    <row r="3475" spans="29:53" ht="13.5">
      <c r="AC3475" s="6" t="s">
        <v>248</v>
      </c>
      <c r="AD3475" s="6" t="s">
        <v>7530</v>
      </c>
      <c r="AE3475" s="170" t="s">
        <v>637</v>
      </c>
      <c r="AF3475" s="159" t="s">
        <v>8391</v>
      </c>
      <c r="AG3475" s="160" t="s">
        <v>272</v>
      </c>
      <c r="AH3475" s="194" t="s">
        <v>678</v>
      </c>
      <c r="AI3475" s="6" t="s">
        <v>3981</v>
      </c>
      <c r="AJ3475" s="3" t="s">
        <v>8241</v>
      </c>
      <c r="AK3475" t="s">
        <v>8675</v>
      </c>
      <c r="AV3475"/>
      <c r="AX3475"/>
      <c r="AZ3475" t="str">
        <f t="shared" si="331"/>
        <v/>
      </c>
      <c r="BA3475" t="str">
        <f t="shared" si="332"/>
        <v/>
      </c>
    </row>
    <row r="3476" spans="29:53" ht="13.5">
      <c r="AC3476" s="6" t="s">
        <v>5432</v>
      </c>
      <c r="AD3476" s="6" t="s">
        <v>7530</v>
      </c>
      <c r="AE3476" s="170" t="s">
        <v>1415</v>
      </c>
      <c r="AF3476" s="159" t="s">
        <v>8391</v>
      </c>
      <c r="AG3476" s="160" t="s">
        <v>1357</v>
      </c>
      <c r="AH3476" s="194" t="s">
        <v>678</v>
      </c>
      <c r="AI3476" s="6" t="s">
        <v>3982</v>
      </c>
      <c r="AJ3476" s="3" t="s">
        <v>8241</v>
      </c>
      <c r="AK3476" t="s">
        <v>8675</v>
      </c>
      <c r="AV3476"/>
      <c r="AX3476"/>
      <c r="AZ3476" t="str">
        <f t="shared" si="331"/>
        <v/>
      </c>
      <c r="BA3476" t="str">
        <f t="shared" si="332"/>
        <v/>
      </c>
    </row>
    <row r="3477" spans="29:53" ht="13.5">
      <c r="AC3477" s="6" t="s">
        <v>1668</v>
      </c>
      <c r="AD3477" s="6" t="s">
        <v>7530</v>
      </c>
      <c r="AE3477" s="170" t="s">
        <v>638</v>
      </c>
      <c r="AF3477" s="159" t="s">
        <v>8339</v>
      </c>
      <c r="AG3477" s="160" t="s">
        <v>273</v>
      </c>
      <c r="AH3477" s="194" t="s">
        <v>678</v>
      </c>
      <c r="AI3477" s="6" t="s">
        <v>3983</v>
      </c>
      <c r="AJ3477" s="3" t="s">
        <v>8254</v>
      </c>
      <c r="AK3477" t="s">
        <v>8254</v>
      </c>
      <c r="AV3477"/>
      <c r="AX3477"/>
      <c r="AZ3477" t="str">
        <f t="shared" si="331"/>
        <v/>
      </c>
      <c r="BA3477" t="str">
        <f t="shared" si="332"/>
        <v/>
      </c>
    </row>
    <row r="3478" spans="29:53" ht="13.5">
      <c r="AC3478" s="6" t="s">
        <v>205</v>
      </c>
      <c r="AD3478" s="6" t="s">
        <v>7530</v>
      </c>
      <c r="AE3478" s="170" t="s">
        <v>639</v>
      </c>
      <c r="AF3478" s="159" t="s">
        <v>8339</v>
      </c>
      <c r="AG3478" s="160" t="s">
        <v>274</v>
      </c>
      <c r="AH3478" s="194" t="s">
        <v>4700</v>
      </c>
      <c r="AI3478" s="6" t="s">
        <v>2637</v>
      </c>
      <c r="AJ3478" s="3" t="s">
        <v>8241</v>
      </c>
      <c r="AK3478" t="s">
        <v>8675</v>
      </c>
      <c r="AV3478"/>
      <c r="AX3478"/>
      <c r="AZ3478" t="str">
        <f t="shared" si="331"/>
        <v/>
      </c>
      <c r="BA3478" t="str">
        <f t="shared" si="332"/>
        <v/>
      </c>
    </row>
    <row r="3479" spans="29:53" ht="13.5">
      <c r="AC3479" s="6" t="s">
        <v>4728</v>
      </c>
      <c r="AD3479" s="6" t="s">
        <v>7530</v>
      </c>
      <c r="AE3479" s="170" t="s">
        <v>640</v>
      </c>
      <c r="AF3479" s="159" t="s">
        <v>8351</v>
      </c>
      <c r="AG3479" s="160" t="s">
        <v>275</v>
      </c>
      <c r="AH3479" s="194" t="s">
        <v>678</v>
      </c>
      <c r="AI3479" s="6" t="s">
        <v>1245</v>
      </c>
      <c r="AJ3479" s="3" t="s">
        <v>8249</v>
      </c>
      <c r="AK3479" t="s">
        <v>8249</v>
      </c>
      <c r="AV3479"/>
      <c r="AX3479"/>
      <c r="AZ3479" t="str">
        <f t="shared" si="331"/>
        <v/>
      </c>
      <c r="BA3479" t="str">
        <f t="shared" si="332"/>
        <v/>
      </c>
    </row>
    <row r="3480" spans="29:53" ht="13.5">
      <c r="AC3480" s="6" t="s">
        <v>203</v>
      </c>
      <c r="AD3480" s="6" t="s">
        <v>7530</v>
      </c>
      <c r="AE3480" s="170" t="s">
        <v>26</v>
      </c>
      <c r="AF3480" s="159" t="s">
        <v>8495</v>
      </c>
      <c r="AG3480" s="160" t="s">
        <v>276</v>
      </c>
      <c r="AH3480" s="194" t="s">
        <v>678</v>
      </c>
      <c r="AI3480" s="6" t="s">
        <v>3995</v>
      </c>
      <c r="AJ3480" s="3" t="s">
        <v>8249</v>
      </c>
      <c r="AK3480" t="s">
        <v>8249</v>
      </c>
      <c r="AV3480"/>
      <c r="AX3480"/>
      <c r="AZ3480" t="str">
        <f t="shared" si="331"/>
        <v/>
      </c>
      <c r="BA3480" t="str">
        <f t="shared" si="332"/>
        <v/>
      </c>
    </row>
    <row r="3481" spans="29:53" ht="13.5">
      <c r="AC3481" s="6" t="s">
        <v>236</v>
      </c>
      <c r="AD3481" s="6" t="s">
        <v>7530</v>
      </c>
      <c r="AE3481" s="170" t="s">
        <v>641</v>
      </c>
      <c r="AF3481" s="159" t="s">
        <v>8312</v>
      </c>
      <c r="AG3481" s="160" t="s">
        <v>1358</v>
      </c>
      <c r="AH3481" s="194" t="s">
        <v>678</v>
      </c>
      <c r="AI3481" s="6" t="s">
        <v>2010</v>
      </c>
      <c r="AJ3481" s="3" t="s">
        <v>8248</v>
      </c>
      <c r="AK3481" t="s">
        <v>8248</v>
      </c>
      <c r="AV3481"/>
      <c r="AX3481"/>
      <c r="AZ3481" t="str">
        <f t="shared" si="331"/>
        <v/>
      </c>
      <c r="BA3481" t="str">
        <f t="shared" si="332"/>
        <v/>
      </c>
    </row>
    <row r="3482" spans="29:53" ht="13.5">
      <c r="AC3482" s="6" t="s">
        <v>1045</v>
      </c>
      <c r="AD3482" s="6" t="s">
        <v>7530</v>
      </c>
      <c r="AE3482" s="170" t="s">
        <v>642</v>
      </c>
      <c r="AF3482" s="159" t="s">
        <v>8391</v>
      </c>
      <c r="AG3482" s="160" t="s">
        <v>1359</v>
      </c>
      <c r="AH3482" s="194" t="s">
        <v>4700</v>
      </c>
      <c r="AI3482" s="6" t="s">
        <v>5272</v>
      </c>
      <c r="AJ3482" s="3" t="s">
        <v>8258</v>
      </c>
      <c r="AK3482" t="s">
        <v>8258</v>
      </c>
      <c r="AV3482"/>
      <c r="AX3482"/>
      <c r="AZ3482" t="str">
        <f t="shared" si="331"/>
        <v/>
      </c>
      <c r="BA3482" t="str">
        <f t="shared" si="332"/>
        <v/>
      </c>
    </row>
    <row r="3483" spans="29:53" ht="13.5">
      <c r="AC3483" s="6" t="s">
        <v>1347</v>
      </c>
      <c r="AD3483" s="6" t="s">
        <v>7530</v>
      </c>
      <c r="AE3483" s="170" t="s">
        <v>643</v>
      </c>
      <c r="AF3483" s="159" t="s">
        <v>8351</v>
      </c>
      <c r="AG3483" s="160" t="s">
        <v>1360</v>
      </c>
      <c r="AH3483" s="194" t="s">
        <v>678</v>
      </c>
      <c r="AI3483" s="6" t="s">
        <v>2612</v>
      </c>
      <c r="AJ3483" s="3" t="s">
        <v>8281</v>
      </c>
      <c r="AK3483" t="s">
        <v>8281</v>
      </c>
      <c r="AV3483"/>
      <c r="AX3483"/>
      <c r="AZ3483" t="str">
        <f t="shared" si="331"/>
        <v/>
      </c>
      <c r="BA3483" t="str">
        <f t="shared" si="332"/>
        <v/>
      </c>
    </row>
    <row r="3484" spans="29:53" ht="13.5">
      <c r="AC3484" s="6" t="s">
        <v>1373</v>
      </c>
      <c r="AD3484" s="6" t="s">
        <v>7530</v>
      </c>
      <c r="AE3484" s="170" t="s">
        <v>644</v>
      </c>
      <c r="AF3484" s="159" t="s">
        <v>8320</v>
      </c>
      <c r="AG3484" s="160" t="s">
        <v>277</v>
      </c>
      <c r="AH3484" s="194" t="s">
        <v>678</v>
      </c>
      <c r="AI3484" s="6" t="s">
        <v>2330</v>
      </c>
      <c r="AJ3484" s="3" t="s">
        <v>8256</v>
      </c>
      <c r="AK3484" t="s">
        <v>8256</v>
      </c>
      <c r="AV3484"/>
      <c r="AX3484"/>
      <c r="AZ3484" t="str">
        <f t="shared" si="331"/>
        <v/>
      </c>
      <c r="BA3484" t="str">
        <f t="shared" si="332"/>
        <v/>
      </c>
    </row>
    <row r="3485" spans="29:53" ht="13.5">
      <c r="AC3485" s="6" t="s">
        <v>434</v>
      </c>
      <c r="AD3485" s="6" t="s">
        <v>7530</v>
      </c>
      <c r="AE3485" s="170" t="s">
        <v>34</v>
      </c>
      <c r="AF3485" s="159" t="s">
        <v>8339</v>
      </c>
      <c r="AG3485" s="160" t="s">
        <v>278</v>
      </c>
      <c r="AH3485" s="194" t="s">
        <v>678</v>
      </c>
      <c r="AI3485" s="6" t="s">
        <v>2331</v>
      </c>
      <c r="AJ3485" s="3" t="s">
        <v>8256</v>
      </c>
      <c r="AK3485" t="s">
        <v>8256</v>
      </c>
      <c r="AV3485"/>
      <c r="AX3485"/>
      <c r="AZ3485" t="str">
        <f t="shared" si="331"/>
        <v/>
      </c>
      <c r="BA3485" t="str">
        <f t="shared" si="332"/>
        <v/>
      </c>
    </row>
    <row r="3486" spans="29:53" ht="13.5">
      <c r="AC3486" s="6" t="s">
        <v>5515</v>
      </c>
      <c r="AD3486" s="6" t="s">
        <v>7530</v>
      </c>
      <c r="AE3486" s="170" t="s">
        <v>645</v>
      </c>
      <c r="AF3486" s="159" t="s">
        <v>8458</v>
      </c>
      <c r="AG3486" s="160" t="s">
        <v>279</v>
      </c>
      <c r="AH3486" s="194" t="s">
        <v>678</v>
      </c>
      <c r="AI3486" s="6" t="s">
        <v>2332</v>
      </c>
      <c r="AJ3486" s="3" t="s">
        <v>8256</v>
      </c>
      <c r="AK3486" t="s">
        <v>8256</v>
      </c>
      <c r="AV3486"/>
      <c r="AX3486"/>
      <c r="AZ3486" t="str">
        <f t="shared" si="331"/>
        <v/>
      </c>
      <c r="BA3486" t="str">
        <f t="shared" si="332"/>
        <v/>
      </c>
    </row>
    <row r="3487" spans="29:53" ht="13.5">
      <c r="AC3487" s="6" t="s">
        <v>1176</v>
      </c>
      <c r="AD3487" s="6" t="s">
        <v>7530</v>
      </c>
      <c r="AE3487" s="170" t="s">
        <v>646</v>
      </c>
      <c r="AF3487" s="159" t="s">
        <v>8339</v>
      </c>
      <c r="AG3487" s="160" t="s">
        <v>280</v>
      </c>
      <c r="AH3487" s="194" t="s">
        <v>678</v>
      </c>
      <c r="AI3487" s="6" t="s">
        <v>2344</v>
      </c>
      <c r="AJ3487" s="3" t="s">
        <v>8256</v>
      </c>
      <c r="AK3487" t="s">
        <v>8256</v>
      </c>
      <c r="AV3487"/>
      <c r="AX3487"/>
      <c r="AZ3487" t="str">
        <f t="shared" si="331"/>
        <v/>
      </c>
      <c r="BA3487" t="str">
        <f t="shared" si="332"/>
        <v/>
      </c>
    </row>
    <row r="3488" spans="29:53" ht="13.5">
      <c r="AC3488" s="6" t="s">
        <v>282</v>
      </c>
      <c r="AD3488" s="6" t="s">
        <v>7530</v>
      </c>
      <c r="AE3488" s="170" t="s">
        <v>647</v>
      </c>
      <c r="AF3488" s="159" t="s">
        <v>8391</v>
      </c>
      <c r="AG3488" s="160" t="s">
        <v>281</v>
      </c>
      <c r="AH3488" s="194" t="s">
        <v>678</v>
      </c>
      <c r="AI3488" s="6" t="s">
        <v>2345</v>
      </c>
      <c r="AJ3488" s="3" t="s">
        <v>8256</v>
      </c>
      <c r="AK3488" t="s">
        <v>8256</v>
      </c>
      <c r="AV3488"/>
      <c r="AX3488"/>
      <c r="AZ3488" t="str">
        <f t="shared" si="331"/>
        <v/>
      </c>
      <c r="BA3488" t="str">
        <f t="shared" si="332"/>
        <v/>
      </c>
    </row>
    <row r="3489" spans="29:53" ht="13.5">
      <c r="AC3489" s="6" t="s">
        <v>572</v>
      </c>
      <c r="AD3489" s="6" t="s">
        <v>7530</v>
      </c>
      <c r="AE3489" s="170" t="s">
        <v>648</v>
      </c>
      <c r="AF3489" s="159" t="s">
        <v>8339</v>
      </c>
      <c r="AG3489" s="160" t="s">
        <v>282</v>
      </c>
      <c r="AH3489" s="194" t="s">
        <v>678</v>
      </c>
      <c r="AI3489" s="6" t="s">
        <v>1799</v>
      </c>
      <c r="AJ3489" s="3" t="s">
        <v>8238</v>
      </c>
      <c r="AK3489" t="s">
        <v>8673</v>
      </c>
      <c r="AV3489"/>
      <c r="AX3489"/>
      <c r="AZ3489" t="str">
        <f t="shared" si="331"/>
        <v/>
      </c>
      <c r="BA3489" t="str">
        <f t="shared" si="332"/>
        <v/>
      </c>
    </row>
    <row r="3490" spans="29:53" ht="13.5">
      <c r="AC3490" s="6" t="s">
        <v>24</v>
      </c>
      <c r="AD3490" s="6" t="s">
        <v>7530</v>
      </c>
      <c r="AE3490" s="170" t="s">
        <v>649</v>
      </c>
      <c r="AF3490" s="159" t="s">
        <v>8391</v>
      </c>
      <c r="AG3490" s="160" t="s">
        <v>283</v>
      </c>
      <c r="AH3490" s="194" t="s">
        <v>4700</v>
      </c>
      <c r="AI3490" s="6" t="s">
        <v>5713</v>
      </c>
      <c r="AJ3490" s="3" t="s">
        <v>8256</v>
      </c>
      <c r="AK3490" t="s">
        <v>8256</v>
      </c>
      <c r="AV3490"/>
      <c r="AX3490"/>
      <c r="AZ3490" t="str">
        <f t="shared" si="331"/>
        <v/>
      </c>
      <c r="BA3490" t="str">
        <f t="shared" si="332"/>
        <v/>
      </c>
    </row>
    <row r="3491" spans="29:53" ht="13.5">
      <c r="AC3491" s="6">
        <v>23802</v>
      </c>
      <c r="AD3491" s="6" t="s">
        <v>7559</v>
      </c>
      <c r="AE3491" s="170" t="s">
        <v>650</v>
      </c>
      <c r="AF3491" s="159" t="s">
        <v>8391</v>
      </c>
      <c r="AG3491" s="160" t="s">
        <v>284</v>
      </c>
      <c r="AH3491" s="194" t="s">
        <v>678</v>
      </c>
      <c r="AI3491" s="6" t="s">
        <v>5445</v>
      </c>
      <c r="AJ3491" s="3" t="s">
        <v>8238</v>
      </c>
      <c r="AK3491" t="s">
        <v>8673</v>
      </c>
      <c r="AV3491"/>
      <c r="AX3491"/>
      <c r="AZ3491" t="str">
        <f t="shared" si="331"/>
        <v/>
      </c>
      <c r="BA3491" t="str">
        <f t="shared" si="332"/>
        <v/>
      </c>
    </row>
    <row r="3492" spans="29:53" ht="13.5">
      <c r="AC3492" s="6" t="s">
        <v>38</v>
      </c>
      <c r="AD3492" s="6" t="s">
        <v>7530</v>
      </c>
      <c r="AE3492" s="170" t="s">
        <v>651</v>
      </c>
      <c r="AF3492" s="159" t="s">
        <v>8391</v>
      </c>
      <c r="AG3492" s="160" t="s">
        <v>285</v>
      </c>
      <c r="AH3492" s="194" t="s">
        <v>4700</v>
      </c>
      <c r="AI3492" s="6" t="s">
        <v>5446</v>
      </c>
      <c r="AJ3492" s="3" t="s">
        <v>8238</v>
      </c>
      <c r="AK3492" t="s">
        <v>8673</v>
      </c>
      <c r="AV3492"/>
      <c r="AX3492"/>
      <c r="AZ3492" t="str">
        <f t="shared" si="331"/>
        <v/>
      </c>
      <c r="BA3492" t="str">
        <f t="shared" si="332"/>
        <v/>
      </c>
    </row>
    <row r="3493" spans="29:53" ht="13.5">
      <c r="AC3493" s="6" t="s">
        <v>1387</v>
      </c>
      <c r="AD3493" s="6" t="s">
        <v>7530</v>
      </c>
      <c r="AE3493" s="170" t="s">
        <v>1123</v>
      </c>
      <c r="AF3493" s="159" t="s">
        <v>8391</v>
      </c>
      <c r="AG3493" s="160" t="s">
        <v>286</v>
      </c>
      <c r="AH3493" s="194" t="s">
        <v>4700</v>
      </c>
      <c r="AI3493" s="6" t="s">
        <v>4000</v>
      </c>
      <c r="AJ3493" s="3" t="s">
        <v>8241</v>
      </c>
      <c r="AK3493" t="s">
        <v>8675</v>
      </c>
      <c r="AV3493"/>
      <c r="AX3493"/>
      <c r="AZ3493" t="str">
        <f t="shared" si="331"/>
        <v/>
      </c>
      <c r="BA3493" t="str">
        <f t="shared" si="332"/>
        <v/>
      </c>
    </row>
    <row r="3494" spans="29:53" ht="13.5">
      <c r="AC3494" s="6" t="s">
        <v>214</v>
      </c>
      <c r="AD3494" s="6" t="s">
        <v>7530</v>
      </c>
      <c r="AE3494" s="170" t="s">
        <v>39</v>
      </c>
      <c r="AF3494" s="159" t="s">
        <v>8391</v>
      </c>
      <c r="AG3494" s="160" t="s">
        <v>287</v>
      </c>
      <c r="AH3494" s="194" t="s">
        <v>678</v>
      </c>
      <c r="AI3494" s="6" t="s">
        <v>4031</v>
      </c>
      <c r="AJ3494" s="3" t="s">
        <v>8267</v>
      </c>
      <c r="AK3494" t="s">
        <v>8280</v>
      </c>
      <c r="AV3494"/>
      <c r="AX3494"/>
      <c r="AZ3494" t="str">
        <f t="shared" si="331"/>
        <v/>
      </c>
      <c r="BA3494" t="str">
        <f t="shared" si="332"/>
        <v/>
      </c>
    </row>
    <row r="3495" spans="29:53" ht="13.5">
      <c r="AC3495" s="6" t="s">
        <v>495</v>
      </c>
      <c r="AD3495" s="6" t="s">
        <v>7530</v>
      </c>
      <c r="AE3495" s="170" t="s">
        <v>980</v>
      </c>
      <c r="AF3495" s="159" t="s">
        <v>8391</v>
      </c>
      <c r="AG3495" s="160" t="s">
        <v>288</v>
      </c>
      <c r="AH3495" s="194" t="s">
        <v>4700</v>
      </c>
      <c r="AI3495" s="6" t="s">
        <v>4034</v>
      </c>
      <c r="AJ3495" s="3" t="s">
        <v>8267</v>
      </c>
      <c r="AK3495" t="s">
        <v>8280</v>
      </c>
      <c r="AV3495"/>
      <c r="AX3495"/>
      <c r="AZ3495" t="str">
        <f t="shared" si="331"/>
        <v/>
      </c>
      <c r="BA3495" t="str">
        <f t="shared" si="332"/>
        <v/>
      </c>
    </row>
    <row r="3496" spans="29:53" ht="13.5">
      <c r="AC3496" s="6" t="s">
        <v>1315</v>
      </c>
      <c r="AD3496" s="6" t="s">
        <v>7530</v>
      </c>
      <c r="AE3496" s="170" t="s">
        <v>979</v>
      </c>
      <c r="AF3496" s="159" t="s">
        <v>8391</v>
      </c>
      <c r="AG3496" s="160" t="s">
        <v>289</v>
      </c>
      <c r="AH3496" s="194" t="s">
        <v>4700</v>
      </c>
      <c r="AI3496" s="6" t="s">
        <v>4035</v>
      </c>
      <c r="AJ3496" s="3" t="s">
        <v>8230</v>
      </c>
      <c r="AK3496" t="s">
        <v>8230</v>
      </c>
      <c r="AV3496"/>
      <c r="AX3496"/>
      <c r="AZ3496" t="str">
        <f t="shared" si="331"/>
        <v/>
      </c>
      <c r="BA3496" t="str">
        <f t="shared" si="332"/>
        <v/>
      </c>
    </row>
    <row r="3497" spans="29:53" ht="13.5">
      <c r="AC3497" s="6" t="s">
        <v>436</v>
      </c>
      <c r="AD3497" s="6" t="s">
        <v>7530</v>
      </c>
      <c r="AE3497" s="170" t="s">
        <v>977</v>
      </c>
      <c r="AF3497" s="159" t="s">
        <v>8391</v>
      </c>
      <c r="AG3497" s="160" t="s">
        <v>290</v>
      </c>
      <c r="AH3497" s="194" t="s">
        <v>678</v>
      </c>
      <c r="AI3497" s="6" t="s">
        <v>4036</v>
      </c>
      <c r="AJ3497" s="3" t="s">
        <v>8230</v>
      </c>
      <c r="AK3497" t="s">
        <v>8230</v>
      </c>
      <c r="AV3497"/>
      <c r="AX3497"/>
      <c r="AZ3497" t="str">
        <f t="shared" si="331"/>
        <v/>
      </c>
      <c r="BA3497" t="str">
        <f t="shared" si="332"/>
        <v/>
      </c>
    </row>
    <row r="3498" spans="29:53" ht="13.5">
      <c r="AC3498" s="6" t="s">
        <v>1448</v>
      </c>
      <c r="AD3498" s="6" t="s">
        <v>7530</v>
      </c>
      <c r="AE3498" s="170" t="s">
        <v>4434</v>
      </c>
      <c r="AF3498" s="159" t="s">
        <v>8391</v>
      </c>
      <c r="AG3498" s="160" t="s">
        <v>291</v>
      </c>
      <c r="AH3498" s="194" t="s">
        <v>678</v>
      </c>
      <c r="AI3498" s="6" t="s">
        <v>4039</v>
      </c>
      <c r="AJ3498" s="3" t="s">
        <v>8230</v>
      </c>
      <c r="AK3498" t="s">
        <v>8230</v>
      </c>
      <c r="AV3498"/>
      <c r="AX3498"/>
      <c r="AZ3498" t="str">
        <f t="shared" si="331"/>
        <v/>
      </c>
      <c r="BA3498" t="str">
        <f t="shared" si="332"/>
        <v/>
      </c>
    </row>
    <row r="3499" spans="29:53" ht="13.5">
      <c r="AC3499" s="6" t="s">
        <v>1177</v>
      </c>
      <c r="AD3499" s="6" t="s">
        <v>7530</v>
      </c>
      <c r="AE3499" s="170" t="s">
        <v>4435</v>
      </c>
      <c r="AF3499" s="159" t="s">
        <v>8391</v>
      </c>
      <c r="AG3499" s="160" t="s">
        <v>292</v>
      </c>
      <c r="AH3499" s="194" t="s">
        <v>678</v>
      </c>
      <c r="AI3499" s="6" t="s">
        <v>4041</v>
      </c>
      <c r="AJ3499" s="3" t="s">
        <v>8230</v>
      </c>
      <c r="AK3499" t="s">
        <v>8230</v>
      </c>
      <c r="AV3499"/>
      <c r="AX3499"/>
      <c r="AZ3499" t="str">
        <f t="shared" si="331"/>
        <v/>
      </c>
      <c r="BA3499" t="str">
        <f t="shared" si="332"/>
        <v/>
      </c>
    </row>
    <row r="3500" spans="29:53" ht="13.5">
      <c r="AC3500" s="6" t="s">
        <v>1039</v>
      </c>
      <c r="AD3500" s="6" t="s">
        <v>7530</v>
      </c>
      <c r="AE3500" s="170" t="s">
        <v>5078</v>
      </c>
      <c r="AF3500" s="159" t="s">
        <v>8391</v>
      </c>
      <c r="AG3500" s="160" t="s">
        <v>293</v>
      </c>
      <c r="AH3500" s="194" t="s">
        <v>4700</v>
      </c>
      <c r="AI3500" s="6" t="s">
        <v>2597</v>
      </c>
      <c r="AJ3500" s="3" t="s">
        <v>8274</v>
      </c>
      <c r="AK3500" t="s">
        <v>8274</v>
      </c>
      <c r="AV3500"/>
      <c r="AX3500"/>
      <c r="AZ3500" t="str">
        <f t="shared" si="331"/>
        <v/>
      </c>
      <c r="BA3500" t="str">
        <f t="shared" si="332"/>
        <v/>
      </c>
    </row>
    <row r="3501" spans="29:53" ht="13.5">
      <c r="AC3501" s="6" t="s">
        <v>986</v>
      </c>
      <c r="AD3501" s="6" t="s">
        <v>7530</v>
      </c>
      <c r="AE3501" s="170" t="s">
        <v>5182</v>
      </c>
      <c r="AF3501" s="159" t="s">
        <v>8391</v>
      </c>
      <c r="AG3501" s="160" t="s">
        <v>294</v>
      </c>
      <c r="AH3501" s="194" t="s">
        <v>678</v>
      </c>
      <c r="AI3501" s="6" t="s">
        <v>2598</v>
      </c>
      <c r="AJ3501" s="3" t="s">
        <v>8274</v>
      </c>
      <c r="AK3501" t="s">
        <v>8274</v>
      </c>
      <c r="AV3501"/>
      <c r="AX3501"/>
      <c r="AZ3501" t="str">
        <f t="shared" si="331"/>
        <v/>
      </c>
      <c r="BA3501" t="str">
        <f t="shared" si="332"/>
        <v/>
      </c>
    </row>
    <row r="3502" spans="29:53" ht="13.5">
      <c r="AC3502" s="6" t="s">
        <v>435</v>
      </c>
      <c r="AD3502" s="6" t="s">
        <v>7530</v>
      </c>
      <c r="AE3502" s="170" t="s">
        <v>5155</v>
      </c>
      <c r="AF3502" s="159" t="s">
        <v>8391</v>
      </c>
      <c r="AG3502" s="160" t="s">
        <v>295</v>
      </c>
      <c r="AH3502" s="194" t="s">
        <v>679</v>
      </c>
      <c r="AI3502" s="6" t="s">
        <v>2599</v>
      </c>
      <c r="AJ3502" s="3" t="s">
        <v>8274</v>
      </c>
      <c r="AK3502" t="s">
        <v>8274</v>
      </c>
      <c r="AV3502"/>
      <c r="AX3502"/>
      <c r="AZ3502" t="str">
        <f t="shared" si="331"/>
        <v/>
      </c>
      <c r="BA3502" t="str">
        <f t="shared" si="332"/>
        <v/>
      </c>
    </row>
    <row r="3503" spans="29:53" ht="13.5">
      <c r="AC3503" s="6" t="s">
        <v>1170</v>
      </c>
      <c r="AD3503" s="6" t="s">
        <v>7530</v>
      </c>
      <c r="AE3503" s="170" t="s">
        <v>5225</v>
      </c>
      <c r="AF3503" s="159" t="s">
        <v>8391</v>
      </c>
      <c r="AG3503" s="160" t="s">
        <v>1361</v>
      </c>
      <c r="AH3503" s="194" t="s">
        <v>678</v>
      </c>
      <c r="AI3503" s="6" t="s">
        <v>2705</v>
      </c>
      <c r="AJ3503" s="3" t="s">
        <v>8242</v>
      </c>
      <c r="AK3503" t="s">
        <v>8281</v>
      </c>
      <c r="AV3503"/>
      <c r="AX3503"/>
      <c r="AZ3503" t="str">
        <f t="shared" si="331"/>
        <v/>
      </c>
      <c r="BA3503" t="str">
        <f t="shared" si="332"/>
        <v/>
      </c>
    </row>
    <row r="3504" spans="29:53" ht="13.5">
      <c r="AC3504" s="6" t="s">
        <v>341</v>
      </c>
      <c r="AD3504" s="6" t="s">
        <v>7530</v>
      </c>
      <c r="AE3504" s="170" t="s">
        <v>5188</v>
      </c>
      <c r="AF3504" s="159" t="s">
        <v>8391</v>
      </c>
      <c r="AG3504" s="160" t="s">
        <v>1362</v>
      </c>
      <c r="AH3504" s="194" t="s">
        <v>4700</v>
      </c>
      <c r="AI3504" s="6" t="s">
        <v>2325</v>
      </c>
      <c r="AJ3504" s="3" t="s">
        <v>8242</v>
      </c>
      <c r="AK3504" t="s">
        <v>8281</v>
      </c>
      <c r="AV3504"/>
      <c r="AX3504"/>
      <c r="AZ3504" t="str">
        <f t="shared" si="331"/>
        <v/>
      </c>
      <c r="BA3504" t="str">
        <f t="shared" si="332"/>
        <v/>
      </c>
    </row>
    <row r="3505" spans="29:53" ht="13.5">
      <c r="AC3505" s="6" t="s">
        <v>1103</v>
      </c>
      <c r="AD3505" s="6" t="s">
        <v>7530</v>
      </c>
      <c r="AE3505" s="170" t="s">
        <v>5475</v>
      </c>
      <c r="AF3505" s="159" t="s">
        <v>8391</v>
      </c>
      <c r="AG3505" s="160" t="s">
        <v>296</v>
      </c>
      <c r="AH3505" s="194" t="s">
        <v>678</v>
      </c>
      <c r="AI3505" s="6" t="s">
        <v>2537</v>
      </c>
      <c r="AJ3505" s="3" t="s">
        <v>8241</v>
      </c>
      <c r="AK3505" t="s">
        <v>8675</v>
      </c>
      <c r="AV3505"/>
      <c r="AX3505"/>
      <c r="AZ3505" t="str">
        <f t="shared" si="331"/>
        <v/>
      </c>
      <c r="BA3505" t="str">
        <f t="shared" si="332"/>
        <v/>
      </c>
    </row>
    <row r="3506" spans="29:53" ht="13.5">
      <c r="AC3506" s="6" t="s">
        <v>1279</v>
      </c>
      <c r="AD3506" s="6" t="s">
        <v>7530</v>
      </c>
      <c r="AE3506" s="170" t="s">
        <v>5094</v>
      </c>
      <c r="AF3506" s="159" t="s">
        <v>8391</v>
      </c>
      <c r="AG3506" s="160" t="s">
        <v>1363</v>
      </c>
      <c r="AH3506" s="194" t="s">
        <v>678</v>
      </c>
      <c r="AI3506" s="6" t="s">
        <v>2689</v>
      </c>
      <c r="AJ3506" s="3" t="s">
        <v>8241</v>
      </c>
      <c r="AK3506" t="s">
        <v>8675</v>
      </c>
      <c r="AV3506"/>
      <c r="AX3506"/>
      <c r="AZ3506" t="str">
        <f t="shared" si="331"/>
        <v/>
      </c>
      <c r="BA3506" t="str">
        <f t="shared" si="332"/>
        <v/>
      </c>
    </row>
    <row r="3507" spans="29:53" ht="13.5">
      <c r="AC3507" s="6" t="s">
        <v>216</v>
      </c>
      <c r="AD3507" s="6" t="s">
        <v>7530</v>
      </c>
      <c r="AE3507" s="170" t="s">
        <v>5519</v>
      </c>
      <c r="AF3507" s="159" t="s">
        <v>8391</v>
      </c>
      <c r="AG3507" s="160" t="s">
        <v>297</v>
      </c>
      <c r="AH3507" s="194" t="s">
        <v>678</v>
      </c>
      <c r="AI3507" s="6" t="s">
        <v>2797</v>
      </c>
      <c r="AJ3507" s="3" t="s">
        <v>8242</v>
      </c>
      <c r="AK3507" t="s">
        <v>8281</v>
      </c>
      <c r="AV3507"/>
      <c r="AX3507"/>
      <c r="AZ3507" t="str">
        <f t="shared" si="331"/>
        <v/>
      </c>
      <c r="BA3507" t="str">
        <f t="shared" si="332"/>
        <v/>
      </c>
    </row>
    <row r="3508" spans="29:53" ht="13.5">
      <c r="AC3508" s="6" t="s">
        <v>7</v>
      </c>
      <c r="AD3508" s="6" t="s">
        <v>7530</v>
      </c>
      <c r="AE3508" s="170" t="s">
        <v>1674</v>
      </c>
      <c r="AF3508" s="159" t="s">
        <v>8496</v>
      </c>
      <c r="AG3508" s="160" t="s">
        <v>298</v>
      </c>
      <c r="AH3508" s="194" t="s">
        <v>678</v>
      </c>
      <c r="AI3508" s="6" t="s">
        <v>2586</v>
      </c>
      <c r="AJ3508" s="3" t="s">
        <v>8242</v>
      </c>
      <c r="AK3508" t="s">
        <v>8281</v>
      </c>
      <c r="AV3508"/>
      <c r="AX3508"/>
      <c r="AZ3508" t="str">
        <f t="shared" si="331"/>
        <v/>
      </c>
      <c r="BA3508" t="str">
        <f t="shared" si="332"/>
        <v/>
      </c>
    </row>
    <row r="3509" spans="29:53" ht="13.5">
      <c r="AC3509" s="6" t="s">
        <v>1349</v>
      </c>
      <c r="AD3509" s="6" t="s">
        <v>7530</v>
      </c>
      <c r="AE3509" s="170" t="s">
        <v>1433</v>
      </c>
      <c r="AF3509" s="159" t="s">
        <v>8459</v>
      </c>
      <c r="AG3509" s="160" t="s">
        <v>299</v>
      </c>
      <c r="AH3509" s="194" t="s">
        <v>678</v>
      </c>
      <c r="AI3509" s="6" t="s">
        <v>5709</v>
      </c>
      <c r="AJ3509" s="3" t="s">
        <v>8281</v>
      </c>
      <c r="AK3509" t="s">
        <v>8281</v>
      </c>
      <c r="AV3509"/>
      <c r="AX3509"/>
      <c r="AZ3509" t="str">
        <f t="shared" si="331"/>
        <v/>
      </c>
      <c r="BA3509" t="str">
        <f t="shared" si="332"/>
        <v/>
      </c>
    </row>
    <row r="3510" spans="29:53" ht="13.5">
      <c r="AC3510" s="6" t="s">
        <v>244</v>
      </c>
      <c r="AD3510" s="6" t="s">
        <v>7530</v>
      </c>
      <c r="AE3510" s="170" t="s">
        <v>4445</v>
      </c>
      <c r="AF3510" s="159" t="s">
        <v>8391</v>
      </c>
      <c r="AG3510" s="160" t="s">
        <v>300</v>
      </c>
      <c r="AH3510" s="194" t="s">
        <v>678</v>
      </c>
      <c r="AI3510" s="6" t="s">
        <v>2636</v>
      </c>
      <c r="AJ3510" s="3" t="s">
        <v>8281</v>
      </c>
      <c r="AK3510" t="s">
        <v>8281</v>
      </c>
      <c r="AV3510"/>
      <c r="AX3510"/>
      <c r="AZ3510" t="str">
        <f t="shared" si="331"/>
        <v/>
      </c>
      <c r="BA3510" t="str">
        <f t="shared" si="332"/>
        <v/>
      </c>
    </row>
    <row r="3511" spans="29:53" ht="13.5">
      <c r="AC3511" s="6" t="s">
        <v>1317</v>
      </c>
      <c r="AD3511" s="6" t="s">
        <v>7530</v>
      </c>
      <c r="AE3511" s="170" t="s">
        <v>4778</v>
      </c>
      <c r="AF3511" s="159" t="s">
        <v>8391</v>
      </c>
      <c r="AG3511" s="160" t="s">
        <v>301</v>
      </c>
      <c r="AH3511" s="194" t="s">
        <v>4700</v>
      </c>
      <c r="AI3511" s="6" t="s">
        <v>2684</v>
      </c>
      <c r="AJ3511" s="3" t="s">
        <v>8281</v>
      </c>
      <c r="AK3511" t="s">
        <v>8281</v>
      </c>
      <c r="AV3511"/>
      <c r="AX3511"/>
      <c r="AZ3511" t="str">
        <f t="shared" si="331"/>
        <v/>
      </c>
      <c r="BA3511" t="str">
        <f t="shared" si="332"/>
        <v/>
      </c>
    </row>
    <row r="3512" spans="29:53" ht="13.5">
      <c r="AC3512" s="6" t="s">
        <v>9</v>
      </c>
      <c r="AD3512" s="6" t="s">
        <v>7530</v>
      </c>
      <c r="AE3512" s="170" t="s">
        <v>4782</v>
      </c>
      <c r="AF3512" s="159" t="s">
        <v>8391</v>
      </c>
      <c r="AG3512" s="160" t="s">
        <v>302</v>
      </c>
      <c r="AH3512" s="194" t="s">
        <v>4700</v>
      </c>
      <c r="AI3512" s="6" t="s">
        <v>2716</v>
      </c>
      <c r="AJ3512" s="3" t="s">
        <v>8242</v>
      </c>
      <c r="AK3512" t="s">
        <v>8281</v>
      </c>
      <c r="AV3512"/>
      <c r="AX3512"/>
      <c r="AZ3512" t="str">
        <f t="shared" si="331"/>
        <v/>
      </c>
      <c r="BA3512" t="str">
        <f t="shared" si="332"/>
        <v/>
      </c>
    </row>
    <row r="3513" spans="29:53" ht="13.5">
      <c r="AC3513" s="6" t="s">
        <v>233</v>
      </c>
      <c r="AD3513" s="6" t="s">
        <v>7530</v>
      </c>
      <c r="AE3513" s="170" t="s">
        <v>4454</v>
      </c>
      <c r="AF3513" s="159" t="s">
        <v>8391</v>
      </c>
      <c r="AG3513" s="160" t="s">
        <v>303</v>
      </c>
      <c r="AH3513" s="194" t="s">
        <v>678</v>
      </c>
      <c r="AI3513" s="6" t="s">
        <v>4076</v>
      </c>
      <c r="AJ3513" s="3" t="s">
        <v>8268</v>
      </c>
      <c r="AK3513" t="s">
        <v>8268</v>
      </c>
      <c r="AV3513"/>
      <c r="AX3513"/>
      <c r="AZ3513" t="str">
        <f t="shared" ref="AZ3513:AZ3576" si="333">IF(ISBLANK(AW3513),"",CONCATENATE("(",RIGHT(AW3513,5),"-",TEXT(AX3513,"h:mm;@"),")"))</f>
        <v/>
      </c>
      <c r="BA3513" t="str">
        <f t="shared" ref="BA3513:BA3576" si="334">IF(AV3529=AV3513,"",CONCATENATE(IF(AV3528=AV3513,BA3528,""),IF(AV3527=AV3513,BA3527,""),IF(AV3526=AV3513,BA3526,""),IF(AV3525=AV3513,BA3525,""),IF(AV3524=AV3513,BA3524,""),IF(AV3523=AV3513,BA3523,""),IF(AV3522=AV3513,BA3522,""),IF(AV3521=AV3513,BA3521,""),IF(AV3520=AV3513,BA3520,""),IF(AV3519=AV3513,BA3519,""),IF(AV3518=AV3513,BA3518,""),IF(AV3517=AV3513,BA3517,""),IF(AV3516=AV3513,BA3516,""),IF(AV3515=AV3513,BA3515,""),IF(AV3514=AV3513,BA3514,""),IF(AV3512=AV3513,BA3512,""),BA3513))</f>
        <v/>
      </c>
    </row>
    <row r="3514" spans="29:53" ht="13.5">
      <c r="AC3514" s="6" t="s">
        <v>1061</v>
      </c>
      <c r="AD3514" s="6" t="s">
        <v>7530</v>
      </c>
      <c r="AE3514" s="170" t="s">
        <v>4517</v>
      </c>
      <c r="AF3514" s="159" t="s">
        <v>8300</v>
      </c>
      <c r="AG3514" s="160" t="s">
        <v>304</v>
      </c>
      <c r="AH3514" s="194" t="s">
        <v>678</v>
      </c>
      <c r="AI3514" s="6" t="s">
        <v>2506</v>
      </c>
      <c r="AJ3514" s="3" t="s">
        <v>8251</v>
      </c>
      <c r="AK3514" t="s">
        <v>8251</v>
      </c>
      <c r="AV3514"/>
      <c r="AX3514"/>
      <c r="AZ3514" t="str">
        <f t="shared" si="333"/>
        <v/>
      </c>
      <c r="BA3514" t="str">
        <f t="shared" si="334"/>
        <v/>
      </c>
    </row>
    <row r="3515" spans="29:53" ht="13.5">
      <c r="AC3515" s="6" t="s">
        <v>5428</v>
      </c>
      <c r="AD3515" s="6" t="s">
        <v>7530</v>
      </c>
      <c r="AE3515" s="170" t="s">
        <v>4443</v>
      </c>
      <c r="AF3515" s="159" t="s">
        <v>8459</v>
      </c>
      <c r="AG3515" s="160" t="s">
        <v>305</v>
      </c>
      <c r="AH3515" s="194" t="s">
        <v>4700</v>
      </c>
      <c r="AI3515" s="6" t="s">
        <v>2692</v>
      </c>
      <c r="AJ3515" s="3" t="s">
        <v>8251</v>
      </c>
      <c r="AK3515" t="s">
        <v>8251</v>
      </c>
      <c r="AV3515"/>
      <c r="AX3515"/>
      <c r="AZ3515" t="str">
        <f t="shared" si="333"/>
        <v/>
      </c>
      <c r="BA3515" t="str">
        <f t="shared" si="334"/>
        <v/>
      </c>
    </row>
    <row r="3516" spans="29:53" ht="13.5">
      <c r="AC3516" s="6" t="s">
        <v>6</v>
      </c>
      <c r="AD3516" s="6" t="s">
        <v>7530</v>
      </c>
      <c r="AE3516" s="170" t="s">
        <v>4411</v>
      </c>
      <c r="AF3516" s="159" t="s">
        <v>8459</v>
      </c>
      <c r="AG3516" s="160" t="s">
        <v>306</v>
      </c>
      <c r="AH3516" s="194" t="s">
        <v>678</v>
      </c>
      <c r="AI3516" s="6" t="s">
        <v>5465</v>
      </c>
      <c r="AJ3516" s="3" t="s">
        <v>8251</v>
      </c>
      <c r="AK3516" t="s">
        <v>8251</v>
      </c>
      <c r="AV3516"/>
      <c r="AX3516"/>
      <c r="AZ3516" t="str">
        <f t="shared" si="333"/>
        <v/>
      </c>
      <c r="BA3516" t="str">
        <f t="shared" si="334"/>
        <v/>
      </c>
    </row>
    <row r="3517" spans="29:53" ht="13.5">
      <c r="AC3517" s="6" t="s">
        <v>1184</v>
      </c>
      <c r="AD3517" s="6" t="s">
        <v>7530</v>
      </c>
      <c r="AE3517" s="170" t="s">
        <v>4703</v>
      </c>
      <c r="AF3517" s="159" t="s">
        <v>8459</v>
      </c>
      <c r="AG3517" s="160" t="s">
        <v>307</v>
      </c>
      <c r="AH3517" s="194" t="s">
        <v>678</v>
      </c>
      <c r="AI3517" s="6" t="s">
        <v>2653</v>
      </c>
      <c r="AJ3517" s="3" t="s">
        <v>8226</v>
      </c>
      <c r="AK3517" t="s">
        <v>8671</v>
      </c>
      <c r="AV3517"/>
      <c r="AX3517"/>
      <c r="AZ3517" t="str">
        <f t="shared" si="333"/>
        <v/>
      </c>
      <c r="BA3517" t="str">
        <f t="shared" si="334"/>
        <v/>
      </c>
    </row>
    <row r="3518" spans="29:53" ht="13.5">
      <c r="AC3518" s="6" t="s">
        <v>238</v>
      </c>
      <c r="AD3518" s="6" t="s">
        <v>7530</v>
      </c>
      <c r="AE3518" s="170" t="s">
        <v>4714</v>
      </c>
      <c r="AF3518" s="159" t="s">
        <v>8459</v>
      </c>
      <c r="AG3518" s="160" t="s">
        <v>308</v>
      </c>
      <c r="AH3518" s="194" t="s">
        <v>678</v>
      </c>
      <c r="AI3518" s="6" t="s">
        <v>2654</v>
      </c>
      <c r="AJ3518" s="3" t="s">
        <v>8226</v>
      </c>
      <c r="AK3518" t="s">
        <v>8671</v>
      </c>
      <c r="AV3518"/>
      <c r="AX3518"/>
      <c r="AZ3518" t="str">
        <f t="shared" si="333"/>
        <v/>
      </c>
      <c r="BA3518" t="str">
        <f t="shared" si="334"/>
        <v/>
      </c>
    </row>
    <row r="3519" spans="29:53" ht="13.5">
      <c r="AC3519" s="6" t="s">
        <v>972</v>
      </c>
      <c r="AD3519" s="6" t="s">
        <v>7530</v>
      </c>
      <c r="AE3519" s="170" t="s">
        <v>4712</v>
      </c>
      <c r="AF3519" s="159" t="s">
        <v>8459</v>
      </c>
      <c r="AG3519" s="160" t="s">
        <v>309</v>
      </c>
      <c r="AH3519" s="194" t="s">
        <v>678</v>
      </c>
      <c r="AI3519" s="6" t="s">
        <v>2658</v>
      </c>
      <c r="AJ3519" s="3" t="s">
        <v>8226</v>
      </c>
      <c r="AK3519" t="s">
        <v>8671</v>
      </c>
      <c r="AV3519"/>
      <c r="AX3519"/>
      <c r="AZ3519" t="str">
        <f t="shared" si="333"/>
        <v/>
      </c>
      <c r="BA3519" t="str">
        <f t="shared" si="334"/>
        <v/>
      </c>
    </row>
    <row r="3520" spans="29:53" ht="13.5">
      <c r="AC3520" s="6" t="s">
        <v>428</v>
      </c>
      <c r="AD3520" s="6" t="s">
        <v>7530</v>
      </c>
      <c r="AE3520" s="170" t="s">
        <v>110</v>
      </c>
      <c r="AF3520" s="159" t="s">
        <v>8497</v>
      </c>
      <c r="AG3520" s="160" t="s">
        <v>310</v>
      </c>
      <c r="AH3520" s="194" t="s">
        <v>678</v>
      </c>
      <c r="AI3520" s="6" t="s">
        <v>2670</v>
      </c>
      <c r="AJ3520" s="3" t="s">
        <v>8226</v>
      </c>
      <c r="AK3520" t="s">
        <v>8671</v>
      </c>
      <c r="AV3520"/>
      <c r="AX3520"/>
      <c r="AZ3520" t="str">
        <f t="shared" si="333"/>
        <v/>
      </c>
      <c r="BA3520" t="str">
        <f t="shared" si="334"/>
        <v/>
      </c>
    </row>
    <row r="3521" spans="29:53" ht="13.5">
      <c r="AC3521" s="6" t="s">
        <v>223</v>
      </c>
      <c r="AD3521" s="6" t="s">
        <v>7530</v>
      </c>
      <c r="AE3521" s="170" t="s">
        <v>17</v>
      </c>
      <c r="AF3521" s="159" t="s">
        <v>8391</v>
      </c>
      <c r="AG3521" s="160" t="s">
        <v>1364</v>
      </c>
      <c r="AH3521" s="194" t="s">
        <v>4700</v>
      </c>
      <c r="AI3521" s="6" t="s">
        <v>2723</v>
      </c>
      <c r="AJ3521" s="3" t="s">
        <v>8276</v>
      </c>
      <c r="AK3521" t="s">
        <v>8276</v>
      </c>
      <c r="AV3521"/>
      <c r="AX3521"/>
      <c r="AZ3521" t="str">
        <f t="shared" si="333"/>
        <v/>
      </c>
      <c r="BA3521" t="str">
        <f t="shared" si="334"/>
        <v/>
      </c>
    </row>
    <row r="3522" spans="29:53" ht="13.5">
      <c r="AC3522" s="6" t="s">
        <v>5507</v>
      </c>
      <c r="AD3522" s="6" t="s">
        <v>7530</v>
      </c>
      <c r="AE3522" s="170" t="s">
        <v>111</v>
      </c>
      <c r="AF3522" s="159" t="s">
        <v>8391</v>
      </c>
      <c r="AG3522" s="160" t="s">
        <v>311</v>
      </c>
      <c r="AH3522" s="194" t="s">
        <v>678</v>
      </c>
      <c r="AI3522" s="6" t="s">
        <v>2737</v>
      </c>
      <c r="AJ3522" s="3" t="s">
        <v>8226</v>
      </c>
      <c r="AK3522" t="s">
        <v>8671</v>
      </c>
      <c r="AV3522"/>
      <c r="AX3522"/>
      <c r="AZ3522" t="str">
        <f t="shared" si="333"/>
        <v/>
      </c>
      <c r="BA3522" t="str">
        <f t="shared" si="334"/>
        <v/>
      </c>
    </row>
    <row r="3523" spans="29:53" ht="13.5">
      <c r="AC3523" s="6" t="s">
        <v>1388</v>
      </c>
      <c r="AD3523" s="6" t="s">
        <v>7530</v>
      </c>
      <c r="AE3523" s="170" t="s">
        <v>112</v>
      </c>
      <c r="AF3523" s="159" t="s">
        <v>8488</v>
      </c>
      <c r="AG3523" s="160" t="s">
        <v>312</v>
      </c>
      <c r="AH3523" s="194" t="s">
        <v>678</v>
      </c>
      <c r="AI3523" s="6" t="s">
        <v>2738</v>
      </c>
      <c r="AJ3523" s="3" t="s">
        <v>8226</v>
      </c>
      <c r="AK3523" t="s">
        <v>8671</v>
      </c>
      <c r="AV3523"/>
      <c r="AX3523"/>
      <c r="AZ3523" t="str">
        <f t="shared" si="333"/>
        <v/>
      </c>
      <c r="BA3523" t="str">
        <f t="shared" si="334"/>
        <v/>
      </c>
    </row>
    <row r="3524" spans="29:53" ht="13.5">
      <c r="AC3524" s="6" t="s">
        <v>383</v>
      </c>
      <c r="AD3524" s="6" t="s">
        <v>7530</v>
      </c>
      <c r="AE3524" s="170" t="s">
        <v>1138</v>
      </c>
      <c r="AF3524" s="159" t="s">
        <v>8459</v>
      </c>
      <c r="AG3524" s="160" t="s">
        <v>313</v>
      </c>
      <c r="AH3524" s="194" t="s">
        <v>678</v>
      </c>
      <c r="AI3524" s="6" t="s">
        <v>1300</v>
      </c>
      <c r="AJ3524" s="3" t="s">
        <v>8251</v>
      </c>
      <c r="AK3524" t="s">
        <v>8251</v>
      </c>
      <c r="AV3524"/>
      <c r="AX3524"/>
      <c r="AZ3524" t="str">
        <f t="shared" si="333"/>
        <v/>
      </c>
      <c r="BA3524" t="str">
        <f t="shared" si="334"/>
        <v/>
      </c>
    </row>
    <row r="3525" spans="29:53" ht="13.5">
      <c r="AC3525" s="6" t="s">
        <v>3976</v>
      </c>
      <c r="AD3525" s="6" t="s">
        <v>7530</v>
      </c>
      <c r="AE3525" s="170" t="s">
        <v>1139</v>
      </c>
      <c r="AF3525" s="159" t="s">
        <v>8459</v>
      </c>
      <c r="AG3525" s="160" t="s">
        <v>314</v>
      </c>
      <c r="AH3525" s="194" t="s">
        <v>678</v>
      </c>
      <c r="AI3525" s="6" t="s">
        <v>2706</v>
      </c>
      <c r="AJ3525" s="3" t="s">
        <v>8274</v>
      </c>
      <c r="AK3525" t="s">
        <v>8274</v>
      </c>
      <c r="AV3525"/>
      <c r="AX3525"/>
      <c r="AZ3525" t="str">
        <f t="shared" si="333"/>
        <v/>
      </c>
      <c r="BA3525" t="str">
        <f t="shared" si="334"/>
        <v/>
      </c>
    </row>
    <row r="3526" spans="29:53" ht="13.5">
      <c r="AC3526" s="6" t="s">
        <v>1274</v>
      </c>
      <c r="AD3526" s="6" t="s">
        <v>7530</v>
      </c>
      <c r="AE3526" s="170" t="s">
        <v>127</v>
      </c>
      <c r="AF3526" s="159" t="s">
        <v>8391</v>
      </c>
      <c r="AG3526" s="160" t="s">
        <v>1365</v>
      </c>
      <c r="AH3526" s="194" t="s">
        <v>678</v>
      </c>
      <c r="AI3526" s="6" t="s">
        <v>4087</v>
      </c>
      <c r="AJ3526" s="3" t="s">
        <v>8253</v>
      </c>
      <c r="AK3526" t="s">
        <v>8253</v>
      </c>
      <c r="AV3526"/>
      <c r="AX3526"/>
      <c r="AZ3526" t="str">
        <f t="shared" si="333"/>
        <v/>
      </c>
      <c r="BA3526" t="str">
        <f t="shared" si="334"/>
        <v/>
      </c>
    </row>
    <row r="3527" spans="29:53" ht="13.5">
      <c r="AC3527" s="6" t="s">
        <v>1164</v>
      </c>
      <c r="AD3527" s="6" t="s">
        <v>7530</v>
      </c>
      <c r="AE3527" s="170" t="s">
        <v>128</v>
      </c>
      <c r="AF3527" s="159" t="s">
        <v>8458</v>
      </c>
      <c r="AG3527" s="160" t="s">
        <v>315</v>
      </c>
      <c r="AH3527" s="194" t="s">
        <v>678</v>
      </c>
      <c r="AI3527" s="6" t="s">
        <v>4088</v>
      </c>
      <c r="AJ3527" s="3" t="s">
        <v>8253</v>
      </c>
      <c r="AK3527" t="s">
        <v>8253</v>
      </c>
      <c r="AV3527"/>
      <c r="AX3527"/>
      <c r="AZ3527" t="str">
        <f t="shared" si="333"/>
        <v/>
      </c>
      <c r="BA3527" t="str">
        <f t="shared" si="334"/>
        <v/>
      </c>
    </row>
    <row r="3528" spans="29:53" ht="13.5">
      <c r="AC3528" s="6" t="s">
        <v>571</v>
      </c>
      <c r="AD3528" s="6" t="s">
        <v>7530</v>
      </c>
      <c r="AE3528" s="170" t="s">
        <v>1146</v>
      </c>
      <c r="AF3528" s="159" t="s">
        <v>8391</v>
      </c>
      <c r="AG3528" s="160" t="s">
        <v>316</v>
      </c>
      <c r="AH3528" s="194" t="s">
        <v>678</v>
      </c>
      <c r="AI3528" s="6" t="s">
        <v>5321</v>
      </c>
      <c r="AJ3528" s="3" t="s">
        <v>8271</v>
      </c>
      <c r="AK3528" t="s">
        <v>8271</v>
      </c>
      <c r="AV3528"/>
      <c r="AX3528"/>
      <c r="AZ3528" t="str">
        <f t="shared" si="333"/>
        <v/>
      </c>
      <c r="BA3528" t="str">
        <f t="shared" si="334"/>
        <v/>
      </c>
    </row>
    <row r="3529" spans="29:53" ht="13.5">
      <c r="AC3529" s="6" t="s">
        <v>974</v>
      </c>
      <c r="AD3529" s="6" t="s">
        <v>7530</v>
      </c>
      <c r="AE3529" s="170" t="s">
        <v>129</v>
      </c>
      <c r="AF3529" s="159" t="s">
        <v>8460</v>
      </c>
      <c r="AG3529" s="160" t="s">
        <v>317</v>
      </c>
      <c r="AH3529" s="194" t="s">
        <v>678</v>
      </c>
      <c r="AI3529" s="6" t="s">
        <v>4096</v>
      </c>
      <c r="AJ3529" s="3" t="s">
        <v>8260</v>
      </c>
      <c r="AK3529" t="s">
        <v>8678</v>
      </c>
      <c r="AV3529"/>
      <c r="AX3529"/>
      <c r="AZ3529" t="str">
        <f t="shared" si="333"/>
        <v/>
      </c>
      <c r="BA3529" t="str">
        <f t="shared" si="334"/>
        <v/>
      </c>
    </row>
    <row r="3530" spans="29:53" ht="13.5">
      <c r="AC3530" s="6" t="s">
        <v>390</v>
      </c>
      <c r="AD3530" s="6" t="s">
        <v>7530</v>
      </c>
      <c r="AE3530" s="170" t="s">
        <v>1509</v>
      </c>
      <c r="AF3530" s="159" t="s">
        <v>8459</v>
      </c>
      <c r="AG3530" s="160" t="s">
        <v>318</v>
      </c>
      <c r="AH3530" s="194" t="s">
        <v>678</v>
      </c>
      <c r="AI3530" s="6" t="s">
        <v>4097</v>
      </c>
      <c r="AJ3530" s="3" t="s">
        <v>8260</v>
      </c>
      <c r="AK3530" t="s">
        <v>8678</v>
      </c>
      <c r="AV3530"/>
      <c r="AX3530"/>
      <c r="AZ3530" t="str">
        <f t="shared" si="333"/>
        <v/>
      </c>
      <c r="BA3530" t="str">
        <f t="shared" si="334"/>
        <v/>
      </c>
    </row>
    <row r="3531" spans="29:53" ht="13.5">
      <c r="AC3531" s="6" t="s">
        <v>242</v>
      </c>
      <c r="AD3531" s="6" t="s">
        <v>7530</v>
      </c>
      <c r="AE3531" s="170">
        <v>325299</v>
      </c>
      <c r="AF3531" s="159" t="s">
        <v>8466</v>
      </c>
      <c r="AG3531" s="160" t="s">
        <v>319</v>
      </c>
      <c r="AH3531" s="194" t="s">
        <v>678</v>
      </c>
      <c r="AI3531" s="6" t="s">
        <v>4118</v>
      </c>
      <c r="AJ3531" s="3" t="s">
        <v>8265</v>
      </c>
      <c r="AK3531" t="s">
        <v>8265</v>
      </c>
      <c r="AV3531"/>
      <c r="AX3531"/>
      <c r="AZ3531" t="str">
        <f t="shared" si="333"/>
        <v/>
      </c>
      <c r="BA3531" t="str">
        <f t="shared" si="334"/>
        <v/>
      </c>
    </row>
    <row r="3532" spans="29:53" ht="13.5">
      <c r="AC3532" s="6" t="s">
        <v>973</v>
      </c>
      <c r="AD3532" s="6" t="s">
        <v>7530</v>
      </c>
      <c r="AE3532" s="170">
        <v>365324</v>
      </c>
      <c r="AF3532" s="159" t="s">
        <v>8460</v>
      </c>
      <c r="AG3532" s="160" t="s">
        <v>320</v>
      </c>
      <c r="AH3532" s="194" t="s">
        <v>678</v>
      </c>
      <c r="AI3532" s="6" t="s">
        <v>2541</v>
      </c>
      <c r="AJ3532" s="3" t="s">
        <v>8271</v>
      </c>
      <c r="AK3532" t="s">
        <v>8271</v>
      </c>
      <c r="AV3532"/>
      <c r="AX3532"/>
      <c r="AZ3532" t="str">
        <f t="shared" si="333"/>
        <v/>
      </c>
      <c r="BA3532" t="str">
        <f t="shared" si="334"/>
        <v/>
      </c>
    </row>
    <row r="3533" spans="29:53" ht="13.5">
      <c r="AC3533" s="6" t="s">
        <v>5793</v>
      </c>
      <c r="AD3533" s="6" t="s">
        <v>7530</v>
      </c>
      <c r="AE3533" s="170">
        <v>475350</v>
      </c>
      <c r="AF3533" s="159" t="s">
        <v>8458</v>
      </c>
      <c r="AG3533" s="160" t="s">
        <v>1366</v>
      </c>
      <c r="AH3533" s="194" t="s">
        <v>679</v>
      </c>
      <c r="AI3533" s="6" t="s">
        <v>2575</v>
      </c>
      <c r="AJ3533" s="3" t="s">
        <v>8254</v>
      </c>
      <c r="AK3533" t="s">
        <v>8254</v>
      </c>
      <c r="AV3533"/>
      <c r="AX3533"/>
      <c r="AZ3533" t="str">
        <f t="shared" si="333"/>
        <v/>
      </c>
      <c r="BA3533" t="str">
        <f t="shared" si="334"/>
        <v/>
      </c>
    </row>
    <row r="3534" spans="29:53" ht="13.5">
      <c r="AC3534" s="6" t="s">
        <v>1521</v>
      </c>
      <c r="AD3534" s="6" t="s">
        <v>7530</v>
      </c>
      <c r="AE3534" s="170">
        <v>485355</v>
      </c>
      <c r="AF3534" s="159" t="s">
        <v>8488</v>
      </c>
      <c r="AG3534" s="160" t="s">
        <v>321</v>
      </c>
      <c r="AH3534" s="194" t="s">
        <v>678</v>
      </c>
      <c r="AI3534" s="6" t="s">
        <v>2608</v>
      </c>
      <c r="AJ3534" s="3" t="s">
        <v>8254</v>
      </c>
      <c r="AK3534" t="s">
        <v>8254</v>
      </c>
      <c r="AV3534"/>
      <c r="AX3534"/>
      <c r="AZ3534" t="str">
        <f t="shared" si="333"/>
        <v/>
      </c>
      <c r="BA3534" t="str">
        <f t="shared" si="334"/>
        <v/>
      </c>
    </row>
    <row r="3535" spans="29:53" ht="13.5">
      <c r="AC3535" s="6" t="s">
        <v>4709</v>
      </c>
      <c r="AD3535" s="6" t="s">
        <v>7530</v>
      </c>
      <c r="AE3535" s="170" t="s">
        <v>1152</v>
      </c>
      <c r="AF3535" s="159" t="s">
        <v>8391</v>
      </c>
      <c r="AG3535" s="160" t="s">
        <v>322</v>
      </c>
      <c r="AH3535" s="194" t="s">
        <v>678</v>
      </c>
      <c r="AI3535" s="6" t="s">
        <v>2515</v>
      </c>
      <c r="AJ3535" s="3" t="s">
        <v>8255</v>
      </c>
      <c r="AK3535" t="s">
        <v>8255</v>
      </c>
      <c r="AV3535"/>
      <c r="AX3535"/>
      <c r="AZ3535" t="str">
        <f t="shared" si="333"/>
        <v/>
      </c>
      <c r="BA3535" t="str">
        <f t="shared" si="334"/>
        <v/>
      </c>
    </row>
    <row r="3536" spans="29:53" ht="13.5">
      <c r="AC3536" s="6" t="s">
        <v>1098</v>
      </c>
      <c r="AD3536" s="6" t="s">
        <v>7530</v>
      </c>
      <c r="AE3536" s="170" t="s">
        <v>1153</v>
      </c>
      <c r="AF3536" s="159" t="s">
        <v>8458</v>
      </c>
      <c r="AG3536" s="160" t="s">
        <v>323</v>
      </c>
      <c r="AH3536" s="194" t="s">
        <v>4700</v>
      </c>
      <c r="AI3536" s="6" t="s">
        <v>2516</v>
      </c>
      <c r="AJ3536" s="3" t="s">
        <v>8255</v>
      </c>
      <c r="AK3536" t="s">
        <v>8255</v>
      </c>
      <c r="AV3536"/>
      <c r="AX3536"/>
      <c r="AZ3536" t="str">
        <f t="shared" si="333"/>
        <v/>
      </c>
      <c r="BA3536" t="str">
        <f t="shared" si="334"/>
        <v/>
      </c>
    </row>
    <row r="3537" spans="29:53" ht="13.5">
      <c r="AC3537" s="6" t="s">
        <v>5291</v>
      </c>
      <c r="AD3537" s="6" t="s">
        <v>7530</v>
      </c>
      <c r="AE3537" s="170">
        <v>525364</v>
      </c>
      <c r="AF3537" s="159" t="s">
        <v>8459</v>
      </c>
      <c r="AG3537" s="160" t="s">
        <v>324</v>
      </c>
      <c r="AH3537" s="194" t="s">
        <v>678</v>
      </c>
      <c r="AI3537" s="6" t="s">
        <v>2542</v>
      </c>
      <c r="AJ3537" s="3" t="s">
        <v>8255</v>
      </c>
      <c r="AK3537" t="s">
        <v>8255</v>
      </c>
      <c r="AV3537"/>
      <c r="AX3537"/>
      <c r="AZ3537" t="str">
        <f t="shared" si="333"/>
        <v/>
      </c>
      <c r="BA3537" t="str">
        <f t="shared" si="334"/>
        <v/>
      </c>
    </row>
    <row r="3538" spans="29:53" ht="13.5">
      <c r="AC3538" s="6" t="s">
        <v>1168</v>
      </c>
      <c r="AD3538" s="6" t="s">
        <v>7530</v>
      </c>
      <c r="AE3538" s="170">
        <v>525365</v>
      </c>
      <c r="AF3538" s="159" t="s">
        <v>8487</v>
      </c>
      <c r="AG3538" s="160" t="s">
        <v>325</v>
      </c>
      <c r="AH3538" s="194" t="s">
        <v>678</v>
      </c>
      <c r="AI3538" s="6" t="s">
        <v>2585</v>
      </c>
      <c r="AJ3538" s="3" t="s">
        <v>8255</v>
      </c>
      <c r="AK3538" t="s">
        <v>8255</v>
      </c>
      <c r="AV3538"/>
      <c r="AX3538"/>
      <c r="AZ3538" t="str">
        <f t="shared" si="333"/>
        <v/>
      </c>
      <c r="BA3538" t="str">
        <f t="shared" si="334"/>
        <v/>
      </c>
    </row>
    <row r="3539" spans="29:53" ht="13.5">
      <c r="AC3539" s="6" t="s">
        <v>1171</v>
      </c>
      <c r="AD3539" s="6" t="s">
        <v>7530</v>
      </c>
      <c r="AE3539" s="170">
        <v>525366</v>
      </c>
      <c r="AF3539" s="159" t="s">
        <v>8472</v>
      </c>
      <c r="AG3539" s="160" t="s">
        <v>326</v>
      </c>
      <c r="AH3539" s="194" t="s">
        <v>679</v>
      </c>
      <c r="AI3539" s="6" t="s">
        <v>2591</v>
      </c>
      <c r="AJ3539" s="3" t="s">
        <v>8255</v>
      </c>
      <c r="AK3539" t="s">
        <v>8255</v>
      </c>
      <c r="AV3539"/>
      <c r="AX3539"/>
      <c r="AZ3539" t="str">
        <f t="shared" si="333"/>
        <v/>
      </c>
      <c r="BA3539" t="str">
        <f t="shared" si="334"/>
        <v/>
      </c>
    </row>
    <row r="3540" spans="29:53" ht="13.5">
      <c r="AC3540" s="6" t="s">
        <v>232</v>
      </c>
      <c r="AD3540" s="6" t="s">
        <v>7530</v>
      </c>
      <c r="AE3540" s="170">
        <v>625368</v>
      </c>
      <c r="AF3540" s="159" t="s">
        <v>8474</v>
      </c>
      <c r="AG3540" s="160" t="s">
        <v>327</v>
      </c>
      <c r="AH3540" s="194" t="s">
        <v>678</v>
      </c>
      <c r="AI3540" s="6" t="s">
        <v>2617</v>
      </c>
      <c r="AJ3540" s="3" t="s">
        <v>8255</v>
      </c>
      <c r="AK3540" t="s">
        <v>8255</v>
      </c>
      <c r="AV3540"/>
      <c r="AX3540"/>
      <c r="AZ3540" t="str">
        <f t="shared" si="333"/>
        <v/>
      </c>
      <c r="BA3540" t="str">
        <f t="shared" si="334"/>
        <v/>
      </c>
    </row>
    <row r="3541" spans="29:53" ht="13.5">
      <c r="AC3541" s="6" t="s">
        <v>966</v>
      </c>
      <c r="AD3541" s="6" t="s">
        <v>7530</v>
      </c>
      <c r="AE3541" s="170" t="s">
        <v>610</v>
      </c>
      <c r="AF3541" s="159" t="s">
        <v>8448</v>
      </c>
      <c r="AG3541" s="160" t="s">
        <v>328</v>
      </c>
      <c r="AH3541" s="194" t="s">
        <v>678</v>
      </c>
      <c r="AI3541" s="6" t="s">
        <v>2720</v>
      </c>
      <c r="AJ3541" s="3" t="s">
        <v>8255</v>
      </c>
      <c r="AK3541" t="s">
        <v>8255</v>
      </c>
      <c r="AV3541"/>
      <c r="AX3541"/>
      <c r="AZ3541" t="str">
        <f t="shared" si="333"/>
        <v/>
      </c>
      <c r="BA3541" t="str">
        <f t="shared" si="334"/>
        <v/>
      </c>
    </row>
    <row r="3542" spans="29:53" ht="13.5">
      <c r="AC3542" s="6" t="s">
        <v>1082</v>
      </c>
      <c r="AD3542" s="6" t="s">
        <v>7530</v>
      </c>
      <c r="AE3542" s="170" t="s">
        <v>611</v>
      </c>
      <c r="AF3542" s="159" t="s">
        <v>8490</v>
      </c>
      <c r="AG3542" s="160" t="s">
        <v>329</v>
      </c>
      <c r="AH3542" s="194" t="s">
        <v>679</v>
      </c>
      <c r="AI3542" s="6" t="s">
        <v>4141</v>
      </c>
      <c r="AJ3542" s="3" t="s">
        <v>8270</v>
      </c>
      <c r="AK3542" t="s">
        <v>8270</v>
      </c>
      <c r="AV3542"/>
      <c r="AX3542"/>
      <c r="AZ3542" t="str">
        <f t="shared" si="333"/>
        <v/>
      </c>
      <c r="BA3542" t="str">
        <f t="shared" si="334"/>
        <v/>
      </c>
    </row>
    <row r="3543" spans="29:53" ht="13.5">
      <c r="AC3543" s="6" t="s">
        <v>1167</v>
      </c>
      <c r="AD3543" s="6" t="s">
        <v>7530</v>
      </c>
      <c r="AE3543" s="170" t="s">
        <v>612</v>
      </c>
      <c r="AF3543" s="159" t="s">
        <v>8472</v>
      </c>
      <c r="AG3543" s="160" t="s">
        <v>330</v>
      </c>
      <c r="AH3543" s="194" t="s">
        <v>678</v>
      </c>
      <c r="AI3543" s="6" t="s">
        <v>4143</v>
      </c>
      <c r="AJ3543" s="3" t="s">
        <v>8270</v>
      </c>
      <c r="AK3543" t="s">
        <v>8270</v>
      </c>
      <c r="AV3543"/>
      <c r="AX3543"/>
      <c r="AZ3543" t="str">
        <f t="shared" si="333"/>
        <v/>
      </c>
      <c r="BA3543" t="str">
        <f t="shared" si="334"/>
        <v/>
      </c>
    </row>
    <row r="3544" spans="29:53" ht="13.5">
      <c r="AC3544" s="6" t="s">
        <v>1038</v>
      </c>
      <c r="AD3544" s="6" t="s">
        <v>7530</v>
      </c>
      <c r="AE3544" s="170" t="s">
        <v>613</v>
      </c>
      <c r="AF3544" s="159" t="s">
        <v>8472</v>
      </c>
      <c r="AG3544" s="160" t="s">
        <v>331</v>
      </c>
      <c r="AH3544" s="194" t="s">
        <v>678</v>
      </c>
      <c r="AI3544" s="6" t="s">
        <v>2611</v>
      </c>
      <c r="AJ3544" s="3" t="s">
        <v>8255</v>
      </c>
      <c r="AK3544" t="s">
        <v>8255</v>
      </c>
      <c r="AV3544"/>
      <c r="AX3544"/>
      <c r="AZ3544" t="str">
        <f t="shared" si="333"/>
        <v/>
      </c>
      <c r="BA3544" t="str">
        <f t="shared" si="334"/>
        <v/>
      </c>
    </row>
    <row r="3545" spans="29:53" ht="13.5">
      <c r="AC3545" s="6" t="s">
        <v>1183</v>
      </c>
      <c r="AD3545" s="6" t="s">
        <v>7530</v>
      </c>
      <c r="AE3545" s="170" t="s">
        <v>614</v>
      </c>
      <c r="AF3545" s="159" t="s">
        <v>8391</v>
      </c>
      <c r="AG3545" s="160" t="s">
        <v>332</v>
      </c>
      <c r="AH3545" s="194" t="s">
        <v>4700</v>
      </c>
      <c r="AI3545" s="6" t="s">
        <v>2731</v>
      </c>
      <c r="AJ3545" s="3" t="s">
        <v>8275</v>
      </c>
      <c r="AK3545" t="s">
        <v>8275</v>
      </c>
      <c r="AV3545"/>
      <c r="AX3545"/>
      <c r="AZ3545" t="str">
        <f t="shared" si="333"/>
        <v/>
      </c>
      <c r="BA3545" t="str">
        <f t="shared" si="334"/>
        <v/>
      </c>
    </row>
    <row r="3546" spans="29:53" ht="13.5">
      <c r="AC3546" s="6" t="s">
        <v>4839</v>
      </c>
      <c r="AD3546" s="6" t="s">
        <v>7530</v>
      </c>
      <c r="AE3546" s="170" t="s">
        <v>30</v>
      </c>
      <c r="AF3546" s="159" t="s">
        <v>8391</v>
      </c>
      <c r="AG3546" s="160" t="s">
        <v>333</v>
      </c>
      <c r="AH3546" s="194" t="s">
        <v>4700</v>
      </c>
      <c r="AI3546" s="6" t="s">
        <v>2733</v>
      </c>
      <c r="AJ3546" s="3" t="s">
        <v>8275</v>
      </c>
      <c r="AK3546" t="s">
        <v>8275</v>
      </c>
      <c r="AV3546"/>
      <c r="AX3546"/>
      <c r="AZ3546" t="str">
        <f t="shared" si="333"/>
        <v/>
      </c>
      <c r="BA3546" t="str">
        <f t="shared" si="334"/>
        <v/>
      </c>
    </row>
    <row r="3547" spans="29:53" ht="13.5">
      <c r="AC3547" s="6" t="s">
        <v>1062</v>
      </c>
      <c r="AD3547" s="6" t="s">
        <v>7530</v>
      </c>
      <c r="AE3547" s="170" t="s">
        <v>4791</v>
      </c>
      <c r="AF3547" s="159" t="s">
        <v>8391</v>
      </c>
      <c r="AG3547" s="160" t="s">
        <v>1367</v>
      </c>
      <c r="AH3547" s="194" t="s">
        <v>678</v>
      </c>
      <c r="AI3547" s="6" t="s">
        <v>2804</v>
      </c>
      <c r="AJ3547" s="3" t="s">
        <v>8275</v>
      </c>
      <c r="AK3547" t="s">
        <v>8275</v>
      </c>
      <c r="AV3547"/>
      <c r="AX3547"/>
      <c r="AZ3547" t="str">
        <f t="shared" si="333"/>
        <v/>
      </c>
      <c r="BA3547" t="str">
        <f t="shared" si="334"/>
        <v/>
      </c>
    </row>
    <row r="3548" spans="29:53" ht="13.5">
      <c r="AC3548" s="6" t="s">
        <v>222</v>
      </c>
      <c r="AD3548" s="6" t="s">
        <v>7530</v>
      </c>
      <c r="AE3548" s="170" t="s">
        <v>5246</v>
      </c>
      <c r="AF3548" s="159" t="s">
        <v>8391</v>
      </c>
      <c r="AG3548" s="160" t="s">
        <v>334</v>
      </c>
      <c r="AH3548" s="194" t="s">
        <v>678</v>
      </c>
      <c r="AI3548" s="6" t="s">
        <v>2786</v>
      </c>
      <c r="AJ3548" s="3" t="s">
        <v>8275</v>
      </c>
      <c r="AK3548" t="s">
        <v>8275</v>
      </c>
      <c r="AV3548"/>
      <c r="AX3548"/>
      <c r="AZ3548" t="str">
        <f t="shared" si="333"/>
        <v/>
      </c>
      <c r="BA3548" t="str">
        <f t="shared" si="334"/>
        <v/>
      </c>
    </row>
    <row r="3549" spans="29:53" ht="13.5">
      <c r="AC3549" s="6" t="s">
        <v>558</v>
      </c>
      <c r="AD3549" s="6" t="s">
        <v>7530</v>
      </c>
      <c r="AE3549" s="170" t="s">
        <v>615</v>
      </c>
      <c r="AF3549" s="159" t="s">
        <v>8464</v>
      </c>
      <c r="AG3549" s="160" t="s">
        <v>7</v>
      </c>
      <c r="AH3549" s="194" t="s">
        <v>678</v>
      </c>
      <c r="AI3549" s="6" t="s">
        <v>1842</v>
      </c>
      <c r="AJ3549" s="3" t="s">
        <v>8227</v>
      </c>
      <c r="AK3549" t="s">
        <v>8227</v>
      </c>
      <c r="AV3549"/>
      <c r="AX3549"/>
      <c r="AZ3549" t="str">
        <f t="shared" si="333"/>
        <v/>
      </c>
      <c r="BA3549" t="str">
        <f t="shared" si="334"/>
        <v/>
      </c>
    </row>
    <row r="3550" spans="29:53" ht="13.5">
      <c r="AC3550" s="6" t="s">
        <v>1320</v>
      </c>
      <c r="AD3550" s="6" t="s">
        <v>7530</v>
      </c>
      <c r="AE3550" s="170" t="s">
        <v>616</v>
      </c>
      <c r="AF3550" s="159" t="s">
        <v>8391</v>
      </c>
      <c r="AG3550" s="160" t="s">
        <v>12</v>
      </c>
      <c r="AH3550" s="194" t="s">
        <v>678</v>
      </c>
      <c r="AI3550" s="6" t="s">
        <v>2519</v>
      </c>
      <c r="AJ3550" s="3" t="s">
        <v>8255</v>
      </c>
      <c r="AK3550" t="s">
        <v>8255</v>
      </c>
      <c r="AV3550"/>
      <c r="AX3550"/>
      <c r="AZ3550" t="str">
        <f t="shared" si="333"/>
        <v/>
      </c>
      <c r="BA3550" t="str">
        <f t="shared" si="334"/>
        <v/>
      </c>
    </row>
    <row r="3551" spans="29:53" ht="13.5">
      <c r="AC3551" s="6" t="s">
        <v>982</v>
      </c>
      <c r="AD3551" s="6" t="s">
        <v>7530</v>
      </c>
      <c r="AE3551" s="170" t="s">
        <v>617</v>
      </c>
      <c r="AF3551" s="159" t="s">
        <v>8391</v>
      </c>
      <c r="AG3551" s="160" t="s">
        <v>335</v>
      </c>
      <c r="AH3551" s="194" t="s">
        <v>678</v>
      </c>
      <c r="AI3551" s="6" t="s">
        <v>2213</v>
      </c>
      <c r="AJ3551" s="3" t="s">
        <v>8257</v>
      </c>
      <c r="AK3551" t="s">
        <v>8257</v>
      </c>
      <c r="AV3551"/>
      <c r="AX3551"/>
      <c r="AZ3551" t="str">
        <f t="shared" si="333"/>
        <v/>
      </c>
      <c r="BA3551" t="str">
        <f t="shared" si="334"/>
        <v/>
      </c>
    </row>
    <row r="3552" spans="29:53" ht="13.5">
      <c r="AC3552" s="6" t="s">
        <v>342</v>
      </c>
      <c r="AD3552" s="6" t="s">
        <v>7530</v>
      </c>
      <c r="AE3552" s="170" t="s">
        <v>621</v>
      </c>
      <c r="AF3552" s="159" t="s">
        <v>8391</v>
      </c>
      <c r="AG3552" s="160" t="s">
        <v>336</v>
      </c>
      <c r="AH3552" s="194" t="s">
        <v>678</v>
      </c>
      <c r="AI3552" s="6" t="s">
        <v>2336</v>
      </c>
      <c r="AJ3552" s="3" t="s">
        <v>8237</v>
      </c>
      <c r="AK3552" t="s">
        <v>8237</v>
      </c>
      <c r="AV3552"/>
      <c r="AX3552"/>
      <c r="AZ3552" t="str">
        <f t="shared" si="333"/>
        <v/>
      </c>
      <c r="BA3552" t="str">
        <f t="shared" si="334"/>
        <v/>
      </c>
    </row>
    <row r="3553" spans="29:53" ht="13.5">
      <c r="AC3553" s="6" t="s">
        <v>1099</v>
      </c>
      <c r="AD3553" s="6" t="s">
        <v>7530</v>
      </c>
      <c r="AE3553" s="170" t="s">
        <v>622</v>
      </c>
      <c r="AF3553" s="159" t="s">
        <v>8493</v>
      </c>
      <c r="AG3553" s="160" t="s">
        <v>337</v>
      </c>
      <c r="AH3553" s="194" t="s">
        <v>678</v>
      </c>
      <c r="AI3553" s="6" t="s">
        <v>4172</v>
      </c>
      <c r="AJ3553" s="3" t="s">
        <v>8278</v>
      </c>
      <c r="AK3553" t="s">
        <v>8278</v>
      </c>
      <c r="AV3553"/>
      <c r="AX3553"/>
      <c r="AZ3553" t="str">
        <f t="shared" si="333"/>
        <v/>
      </c>
      <c r="BA3553" t="str">
        <f t="shared" si="334"/>
        <v/>
      </c>
    </row>
    <row r="3554" spans="29:53" ht="13.5">
      <c r="AC3554" s="6" t="s">
        <v>230</v>
      </c>
      <c r="AD3554" s="6" t="s">
        <v>7530</v>
      </c>
      <c r="AE3554" s="170" t="s">
        <v>1187</v>
      </c>
      <c r="AF3554" s="159" t="s">
        <v>8391</v>
      </c>
      <c r="AG3554" s="160" t="s">
        <v>1368</v>
      </c>
      <c r="AH3554" s="194" t="s">
        <v>678</v>
      </c>
      <c r="AI3554" s="6" t="s">
        <v>2044</v>
      </c>
      <c r="AJ3554" s="3" t="s">
        <v>8239</v>
      </c>
      <c r="AK3554" t="s">
        <v>8674</v>
      </c>
      <c r="AV3554"/>
      <c r="AX3554"/>
      <c r="AZ3554" t="str">
        <f t="shared" si="333"/>
        <v/>
      </c>
      <c r="BA3554" t="str">
        <f t="shared" si="334"/>
        <v/>
      </c>
    </row>
    <row r="3555" spans="29:53" ht="13.5">
      <c r="AC3555" s="6" t="s">
        <v>421</v>
      </c>
      <c r="AD3555" s="6" t="s">
        <v>7530</v>
      </c>
      <c r="AE3555" s="170" t="s">
        <v>623</v>
      </c>
      <c r="AF3555" s="159" t="s">
        <v>8461</v>
      </c>
      <c r="AG3555" s="160" t="s">
        <v>338</v>
      </c>
      <c r="AH3555" s="194" t="s">
        <v>678</v>
      </c>
      <c r="AI3555" s="6" t="s">
        <v>2046</v>
      </c>
      <c r="AJ3555" s="3" t="s">
        <v>8239</v>
      </c>
      <c r="AK3555" t="s">
        <v>8674</v>
      </c>
      <c r="AV3555"/>
      <c r="AX3555"/>
      <c r="AZ3555" t="str">
        <f t="shared" si="333"/>
        <v/>
      </c>
      <c r="BA3555" t="str">
        <f t="shared" si="334"/>
        <v/>
      </c>
    </row>
    <row r="3556" spans="29:53" ht="13.5">
      <c r="AC3556" s="6" t="s">
        <v>570</v>
      </c>
      <c r="AD3556" s="6" t="s">
        <v>7530</v>
      </c>
      <c r="AE3556" s="170" t="s">
        <v>5135</v>
      </c>
      <c r="AF3556" s="159" t="s">
        <v>8459</v>
      </c>
      <c r="AG3556" s="160" t="s">
        <v>339</v>
      </c>
      <c r="AH3556" s="194" t="s">
        <v>678</v>
      </c>
      <c r="AI3556" s="6" t="s">
        <v>2695</v>
      </c>
      <c r="AJ3556" s="3" t="s">
        <v>8256</v>
      </c>
      <c r="AK3556" t="s">
        <v>8256</v>
      </c>
      <c r="AV3556"/>
      <c r="AX3556"/>
      <c r="AZ3556" t="str">
        <f t="shared" si="333"/>
        <v/>
      </c>
      <c r="BA3556" t="str">
        <f t="shared" si="334"/>
        <v/>
      </c>
    </row>
    <row r="3557" spans="29:53" ht="13.5">
      <c r="AC3557" s="6" t="s">
        <v>37</v>
      </c>
      <c r="AD3557" s="6" t="s">
        <v>7530</v>
      </c>
      <c r="AE3557" s="170" t="s">
        <v>624</v>
      </c>
      <c r="AF3557" s="159" t="s">
        <v>8460</v>
      </c>
      <c r="AG3557" s="160" t="s">
        <v>340</v>
      </c>
      <c r="AH3557" s="194" t="s">
        <v>678</v>
      </c>
      <c r="AI3557" s="6" t="s">
        <v>1682</v>
      </c>
      <c r="AJ3557" s="3" t="s">
        <v>8253</v>
      </c>
      <c r="AK3557" t="s">
        <v>8253</v>
      </c>
      <c r="AV3557"/>
      <c r="AX3557"/>
      <c r="AZ3557" t="str">
        <f t="shared" si="333"/>
        <v/>
      </c>
      <c r="BA3557" t="str">
        <f t="shared" si="334"/>
        <v/>
      </c>
    </row>
    <row r="3558" spans="29:53" ht="13.5">
      <c r="AC3558" s="6" t="s">
        <v>322</v>
      </c>
      <c r="AD3558" s="6" t="s">
        <v>7530</v>
      </c>
      <c r="AE3558" s="170" t="s">
        <v>1673</v>
      </c>
      <c r="AF3558" s="159" t="s">
        <v>8391</v>
      </c>
      <c r="AG3558" s="160" t="s">
        <v>341</v>
      </c>
      <c r="AH3558" s="194" t="s">
        <v>678</v>
      </c>
      <c r="AI3558" s="6" t="s">
        <v>4214</v>
      </c>
      <c r="AJ3558" s="3" t="s">
        <v>8236</v>
      </c>
      <c r="AK3558" t="s">
        <v>8236</v>
      </c>
      <c r="AV3558"/>
      <c r="AX3558"/>
      <c r="AZ3558" t="str">
        <f t="shared" si="333"/>
        <v/>
      </c>
      <c r="BA3558" t="str">
        <f t="shared" si="334"/>
        <v/>
      </c>
    </row>
    <row r="3559" spans="29:53" ht="13.5">
      <c r="AC3559" s="6" t="s">
        <v>343</v>
      </c>
      <c r="AD3559" s="6" t="s">
        <v>7530</v>
      </c>
      <c r="AE3559" s="170" t="s">
        <v>1674</v>
      </c>
      <c r="AF3559" s="159" t="s">
        <v>8459</v>
      </c>
      <c r="AG3559" s="160" t="s">
        <v>342</v>
      </c>
      <c r="AH3559" s="194" t="s">
        <v>678</v>
      </c>
      <c r="AI3559" s="6" t="s">
        <v>4230</v>
      </c>
      <c r="AJ3559" s="3" t="s">
        <v>8253</v>
      </c>
      <c r="AK3559" t="s">
        <v>8253</v>
      </c>
      <c r="AV3559"/>
      <c r="AX3559"/>
      <c r="AZ3559" t="str">
        <f t="shared" si="333"/>
        <v/>
      </c>
      <c r="BA3559" t="str">
        <f t="shared" si="334"/>
        <v/>
      </c>
    </row>
    <row r="3560" spans="29:53" ht="13.5">
      <c r="AC3560" s="6" t="s">
        <v>5430</v>
      </c>
      <c r="AD3560" s="6" t="s">
        <v>7530</v>
      </c>
      <c r="AE3560" s="170" t="s">
        <v>629</v>
      </c>
      <c r="AF3560" s="159" t="s">
        <v>8391</v>
      </c>
      <c r="AG3560" s="160" t="s">
        <v>343</v>
      </c>
      <c r="AH3560" s="194" t="s">
        <v>678</v>
      </c>
      <c r="AI3560" s="6" t="s">
        <v>2784</v>
      </c>
      <c r="AJ3560" s="3" t="s">
        <v>8254</v>
      </c>
      <c r="AK3560" t="s">
        <v>8254</v>
      </c>
      <c r="AV3560"/>
      <c r="AX3560"/>
      <c r="AZ3560" t="str">
        <f t="shared" si="333"/>
        <v/>
      </c>
      <c r="BA3560" t="str">
        <f t="shared" si="334"/>
        <v/>
      </c>
    </row>
    <row r="3561" spans="29:53" ht="13.5">
      <c r="AC3561" s="6" t="s">
        <v>426</v>
      </c>
      <c r="AD3561" s="6" t="s">
        <v>7530</v>
      </c>
      <c r="AE3561" s="170" t="s">
        <v>630</v>
      </c>
      <c r="AF3561" s="159" t="s">
        <v>8391</v>
      </c>
      <c r="AG3561" s="160" t="s">
        <v>344</v>
      </c>
      <c r="AH3561" s="194" t="s">
        <v>678</v>
      </c>
      <c r="AI3561" s="6" t="s">
        <v>4234</v>
      </c>
      <c r="AJ3561" s="3" t="s">
        <v>8253</v>
      </c>
      <c r="AK3561" t="s">
        <v>8253</v>
      </c>
      <c r="AV3561"/>
      <c r="AX3561"/>
      <c r="AZ3561" t="str">
        <f t="shared" si="333"/>
        <v/>
      </c>
      <c r="BA3561" t="str">
        <f t="shared" si="334"/>
        <v/>
      </c>
    </row>
    <row r="3562" spans="29:53" ht="13.5">
      <c r="AC3562" s="6">
        <v>493631</v>
      </c>
      <c r="AD3562" s="6" t="s">
        <v>7550</v>
      </c>
      <c r="AE3562" s="170" t="s">
        <v>1316</v>
      </c>
      <c r="AF3562" s="159" t="s">
        <v>8459</v>
      </c>
      <c r="AG3562" s="160" t="s">
        <v>345</v>
      </c>
      <c r="AH3562" s="194" t="s">
        <v>678</v>
      </c>
      <c r="AI3562" s="6" t="s">
        <v>2165</v>
      </c>
      <c r="AJ3562" s="3" t="s">
        <v>8221</v>
      </c>
      <c r="AK3562" t="s">
        <v>8669</v>
      </c>
      <c r="AV3562"/>
      <c r="AX3562"/>
      <c r="AZ3562" t="str">
        <f t="shared" si="333"/>
        <v/>
      </c>
      <c r="BA3562" t="str">
        <f t="shared" si="334"/>
        <v/>
      </c>
    </row>
    <row r="3563" spans="29:53" ht="13.5">
      <c r="AC3563" s="6" t="s">
        <v>1166</v>
      </c>
      <c r="AD3563" s="6" t="s">
        <v>7530</v>
      </c>
      <c r="AE3563" s="170" t="s">
        <v>652</v>
      </c>
      <c r="AF3563" s="159" t="s">
        <v>8459</v>
      </c>
      <c r="AG3563" s="160" t="s">
        <v>346</v>
      </c>
      <c r="AH3563" s="194" t="s">
        <v>678</v>
      </c>
      <c r="AI3563" s="6" t="s">
        <v>2166</v>
      </c>
      <c r="AJ3563" s="3" t="s">
        <v>8221</v>
      </c>
      <c r="AK3563" t="s">
        <v>8669</v>
      </c>
      <c r="AV3563"/>
      <c r="AX3563"/>
      <c r="AZ3563" t="str">
        <f t="shared" si="333"/>
        <v/>
      </c>
      <c r="BA3563" t="str">
        <f t="shared" si="334"/>
        <v/>
      </c>
    </row>
    <row r="3564" spans="29:53" ht="13.5">
      <c r="AC3564" s="6" t="s">
        <v>5440</v>
      </c>
      <c r="AD3564" s="6" t="s">
        <v>7530</v>
      </c>
      <c r="AE3564" s="170" t="s">
        <v>653</v>
      </c>
      <c r="AF3564" s="159" t="s">
        <v>8459</v>
      </c>
      <c r="AG3564" s="160" t="s">
        <v>347</v>
      </c>
      <c r="AH3564" s="194" t="s">
        <v>679</v>
      </c>
      <c r="AI3564" s="6" t="s">
        <v>2167</v>
      </c>
      <c r="AJ3564" s="3" t="s">
        <v>8221</v>
      </c>
      <c r="AK3564" t="s">
        <v>8669</v>
      </c>
      <c r="AV3564"/>
      <c r="AX3564"/>
      <c r="AZ3564" t="str">
        <f t="shared" si="333"/>
        <v/>
      </c>
      <c r="BA3564" t="str">
        <f t="shared" si="334"/>
        <v/>
      </c>
    </row>
    <row r="3565" spans="29:53" ht="13.5">
      <c r="AC3565" s="6" t="s">
        <v>320</v>
      </c>
      <c r="AD3565" s="6" t="s">
        <v>7530</v>
      </c>
      <c r="AE3565" s="170" t="s">
        <v>654</v>
      </c>
      <c r="AF3565" s="159" t="s">
        <v>8488</v>
      </c>
      <c r="AG3565" s="160" t="s">
        <v>348</v>
      </c>
      <c r="AH3565" s="194" t="s">
        <v>4700</v>
      </c>
      <c r="AI3565" s="6" t="s">
        <v>2168</v>
      </c>
      <c r="AJ3565" s="3" t="s">
        <v>8221</v>
      </c>
      <c r="AK3565" t="s">
        <v>8669</v>
      </c>
      <c r="AV3565"/>
      <c r="AX3565"/>
      <c r="AZ3565" t="str">
        <f t="shared" si="333"/>
        <v/>
      </c>
      <c r="BA3565" t="str">
        <f t="shared" si="334"/>
        <v/>
      </c>
    </row>
    <row r="3566" spans="29:53" ht="13.5">
      <c r="AC3566" s="6" t="s">
        <v>559</v>
      </c>
      <c r="AD3566" s="6" t="s">
        <v>7530</v>
      </c>
      <c r="AE3566" s="170" t="s">
        <v>655</v>
      </c>
      <c r="AF3566" s="159" t="s">
        <v>8459</v>
      </c>
      <c r="AG3566" s="160" t="s">
        <v>349</v>
      </c>
      <c r="AH3566" s="194" t="s">
        <v>678</v>
      </c>
      <c r="AI3566" s="6" t="s">
        <v>2169</v>
      </c>
      <c r="AJ3566" s="3" t="s">
        <v>8221</v>
      </c>
      <c r="AK3566" t="s">
        <v>8669</v>
      </c>
      <c r="AV3566"/>
      <c r="AX3566"/>
      <c r="AZ3566" t="str">
        <f t="shared" si="333"/>
        <v/>
      </c>
      <c r="BA3566" t="str">
        <f t="shared" si="334"/>
        <v/>
      </c>
    </row>
    <row r="3567" spans="29:53" ht="13.5">
      <c r="AC3567" s="6" t="s">
        <v>1329</v>
      </c>
      <c r="AD3567" s="6" t="s">
        <v>7530</v>
      </c>
      <c r="AE3567" s="170" t="s">
        <v>1434</v>
      </c>
      <c r="AF3567" s="159" t="s">
        <v>8300</v>
      </c>
      <c r="AG3567" s="160" t="s">
        <v>350</v>
      </c>
      <c r="AH3567" s="194" t="s">
        <v>678</v>
      </c>
      <c r="AI3567" s="6" t="s">
        <v>1972</v>
      </c>
      <c r="AJ3567" s="3" t="s">
        <v>8234</v>
      </c>
      <c r="AK3567" t="s">
        <v>8234</v>
      </c>
      <c r="AV3567"/>
      <c r="AX3567"/>
      <c r="AZ3567" t="str">
        <f t="shared" si="333"/>
        <v/>
      </c>
      <c r="BA3567" t="str">
        <f t="shared" si="334"/>
        <v/>
      </c>
    </row>
    <row r="3568" spans="29:53" ht="13.5">
      <c r="AC3568" s="6" t="s">
        <v>221</v>
      </c>
      <c r="AD3568" s="6" t="s">
        <v>7530</v>
      </c>
      <c r="AE3568" s="170" t="s">
        <v>1124</v>
      </c>
      <c r="AF3568" s="159" t="s">
        <v>8459</v>
      </c>
      <c r="AG3568" s="160" t="s">
        <v>351</v>
      </c>
      <c r="AH3568" s="194" t="s">
        <v>679</v>
      </c>
      <c r="AI3568" s="6" t="s">
        <v>2523</v>
      </c>
      <c r="AJ3568" s="3" t="s">
        <v>8242</v>
      </c>
      <c r="AK3568" t="s">
        <v>8281</v>
      </c>
      <c r="AV3568"/>
      <c r="AX3568"/>
      <c r="AZ3568" t="str">
        <f t="shared" si="333"/>
        <v/>
      </c>
      <c r="BA3568" t="str">
        <f t="shared" si="334"/>
        <v/>
      </c>
    </row>
    <row r="3569" spans="29:53" ht="13.5">
      <c r="AC3569" s="6" t="s">
        <v>1662</v>
      </c>
      <c r="AD3569" s="6" t="s">
        <v>7530</v>
      </c>
      <c r="AE3569" s="170" t="s">
        <v>656</v>
      </c>
      <c r="AF3569" s="159" t="s">
        <v>8459</v>
      </c>
      <c r="AG3569" s="160" t="s">
        <v>352</v>
      </c>
      <c r="AH3569" s="194" t="s">
        <v>678</v>
      </c>
      <c r="AI3569" s="6" t="s">
        <v>2526</v>
      </c>
      <c r="AJ3569" s="3" t="s">
        <v>8241</v>
      </c>
      <c r="AK3569" t="s">
        <v>8675</v>
      </c>
      <c r="AV3569"/>
      <c r="AX3569"/>
      <c r="AZ3569" t="str">
        <f t="shared" si="333"/>
        <v/>
      </c>
      <c r="BA3569" t="str">
        <f t="shared" si="334"/>
        <v/>
      </c>
    </row>
    <row r="3570" spans="29:53" ht="13.5">
      <c r="AC3570" s="6" t="s">
        <v>1096</v>
      </c>
      <c r="AD3570" s="6" t="s">
        <v>7530</v>
      </c>
      <c r="AE3570" s="170" t="s">
        <v>657</v>
      </c>
      <c r="AF3570" s="159" t="s">
        <v>8459</v>
      </c>
      <c r="AG3570" s="160" t="s">
        <v>1369</v>
      </c>
      <c r="AH3570" s="194" t="s">
        <v>678</v>
      </c>
      <c r="AI3570" s="6" t="s">
        <v>2509</v>
      </c>
      <c r="AJ3570" s="3" t="s">
        <v>8274</v>
      </c>
      <c r="AK3570" t="s">
        <v>8274</v>
      </c>
      <c r="AV3570"/>
      <c r="AX3570"/>
      <c r="AZ3570" t="str">
        <f t="shared" si="333"/>
        <v/>
      </c>
      <c r="BA3570" t="str">
        <f t="shared" si="334"/>
        <v/>
      </c>
    </row>
    <row r="3571" spans="29:53" ht="13.5">
      <c r="AC3571" s="6" t="s">
        <v>1346</v>
      </c>
      <c r="AD3571" s="6" t="s">
        <v>7530</v>
      </c>
      <c r="AE3571" s="170" t="s">
        <v>658</v>
      </c>
      <c r="AF3571" s="159" t="s">
        <v>8459</v>
      </c>
      <c r="AG3571" s="160" t="s">
        <v>1370</v>
      </c>
      <c r="AH3571" s="194" t="s">
        <v>678</v>
      </c>
      <c r="AI3571" s="6" t="s">
        <v>2533</v>
      </c>
      <c r="AJ3571" s="3" t="s">
        <v>8275</v>
      </c>
      <c r="AK3571" t="s">
        <v>8275</v>
      </c>
      <c r="AV3571"/>
      <c r="AX3571"/>
      <c r="AZ3571" t="str">
        <f t="shared" si="333"/>
        <v/>
      </c>
      <c r="BA3571" t="str">
        <f t="shared" si="334"/>
        <v/>
      </c>
    </row>
    <row r="3572" spans="29:53" ht="13.5">
      <c r="AC3572" s="6" t="s">
        <v>502</v>
      </c>
      <c r="AD3572" s="6" t="s">
        <v>7530</v>
      </c>
      <c r="AE3572" s="170" t="s">
        <v>1125</v>
      </c>
      <c r="AF3572" s="159" t="s">
        <v>8459</v>
      </c>
      <c r="AG3572" s="160" t="s">
        <v>1371</v>
      </c>
      <c r="AH3572" s="194" t="s">
        <v>4700</v>
      </c>
      <c r="AI3572" s="6">
        <v>23462</v>
      </c>
      <c r="AJ3572" s="3" t="s">
        <v>8227</v>
      </c>
      <c r="AK3572" t="s">
        <v>8227</v>
      </c>
      <c r="AV3572"/>
      <c r="AX3572"/>
      <c r="AZ3572" t="str">
        <f t="shared" si="333"/>
        <v/>
      </c>
      <c r="BA3572" t="str">
        <f t="shared" si="334"/>
        <v/>
      </c>
    </row>
    <row r="3573" spans="29:53" ht="13.5">
      <c r="AC3573" s="6" t="s">
        <v>1095</v>
      </c>
      <c r="AD3573" s="6" t="s">
        <v>7530</v>
      </c>
      <c r="AE3573" s="170" t="s">
        <v>659</v>
      </c>
      <c r="AF3573" s="159" t="s">
        <v>8465</v>
      </c>
      <c r="AG3573" s="160" t="s">
        <v>353</v>
      </c>
      <c r="AH3573" s="194" t="s">
        <v>678</v>
      </c>
      <c r="AI3573" s="6">
        <v>95630</v>
      </c>
      <c r="AJ3573" s="3" t="s">
        <v>8267</v>
      </c>
      <c r="AK3573" t="s">
        <v>8280</v>
      </c>
      <c r="AV3573"/>
      <c r="AX3573"/>
      <c r="AZ3573" t="str">
        <f t="shared" si="333"/>
        <v/>
      </c>
      <c r="BA3573" t="str">
        <f t="shared" si="334"/>
        <v/>
      </c>
    </row>
    <row r="3574" spans="29:53" ht="13.5">
      <c r="AC3574" s="6" t="s">
        <v>28</v>
      </c>
      <c r="AD3574" s="6" t="s">
        <v>7530</v>
      </c>
      <c r="AE3574" s="170" t="s">
        <v>660</v>
      </c>
      <c r="AF3574" s="159" t="s">
        <v>8458</v>
      </c>
      <c r="AG3574" s="160" t="s">
        <v>354</v>
      </c>
      <c r="AH3574" s="194" t="s">
        <v>678</v>
      </c>
      <c r="AI3574" s="6">
        <v>105576</v>
      </c>
      <c r="AJ3574" s="3" t="s">
        <v>8283</v>
      </c>
      <c r="AK3574" t="s">
        <v>8283</v>
      </c>
      <c r="AV3574"/>
      <c r="AX3574"/>
      <c r="AZ3574" t="str">
        <f t="shared" si="333"/>
        <v/>
      </c>
      <c r="BA3574" t="str">
        <f t="shared" si="334"/>
        <v/>
      </c>
    </row>
    <row r="3575" spans="29:53" ht="13.5">
      <c r="AC3575" s="6" t="s">
        <v>427</v>
      </c>
      <c r="AD3575" s="6" t="s">
        <v>7530</v>
      </c>
      <c r="AE3575" s="170" t="s">
        <v>4455</v>
      </c>
      <c r="AF3575" s="159" t="s">
        <v>8459</v>
      </c>
      <c r="AG3575" s="160" t="s">
        <v>355</v>
      </c>
      <c r="AH3575" s="194" t="s">
        <v>678</v>
      </c>
      <c r="AI3575" s="6">
        <v>105577</v>
      </c>
      <c r="AJ3575" s="3" t="s">
        <v>8282</v>
      </c>
      <c r="AK3575" t="s">
        <v>8282</v>
      </c>
      <c r="AV3575"/>
      <c r="AX3575"/>
      <c r="AZ3575" t="str">
        <f t="shared" si="333"/>
        <v/>
      </c>
      <c r="BA3575" t="str">
        <f t="shared" si="334"/>
        <v/>
      </c>
    </row>
    <row r="3576" spans="29:53" ht="13.5">
      <c r="AC3576" s="6" t="s">
        <v>1063</v>
      </c>
      <c r="AD3576" s="6" t="s">
        <v>7530</v>
      </c>
      <c r="AE3576" s="170" t="s">
        <v>4456</v>
      </c>
      <c r="AF3576" s="159" t="s">
        <v>8459</v>
      </c>
      <c r="AG3576" s="160" t="s">
        <v>356</v>
      </c>
      <c r="AH3576" s="194" t="s">
        <v>679</v>
      </c>
      <c r="AI3576" s="6">
        <v>105580</v>
      </c>
      <c r="AJ3576" s="3" t="s">
        <v>8282</v>
      </c>
      <c r="AK3576" t="s">
        <v>8282</v>
      </c>
      <c r="AV3576"/>
      <c r="AX3576"/>
      <c r="AZ3576" t="str">
        <f t="shared" si="333"/>
        <v/>
      </c>
      <c r="BA3576" t="str">
        <f t="shared" si="334"/>
        <v/>
      </c>
    </row>
    <row r="3577" spans="29:53" ht="13.5">
      <c r="AC3577" s="6" t="s">
        <v>420</v>
      </c>
      <c r="AD3577" s="6" t="s">
        <v>7530</v>
      </c>
      <c r="AE3577" s="170" t="s">
        <v>1527</v>
      </c>
      <c r="AF3577" s="159" t="s">
        <v>8459</v>
      </c>
      <c r="AG3577" s="160" t="s">
        <v>357</v>
      </c>
      <c r="AH3577" s="194" t="s">
        <v>4700</v>
      </c>
      <c r="AI3577" s="6">
        <v>105584</v>
      </c>
      <c r="AJ3577" s="3" t="s">
        <v>8259</v>
      </c>
      <c r="AK3577" t="s">
        <v>8677</v>
      </c>
      <c r="AV3577"/>
      <c r="AX3577"/>
      <c r="AZ3577" t="str">
        <f t="shared" ref="AZ3577:AZ3640" si="335">IF(ISBLANK(AW3577),"",CONCATENATE("(",RIGHT(AW3577,5),"-",TEXT(AX3577,"h:mm;@"),")"))</f>
        <v/>
      </c>
      <c r="BA3577" t="str">
        <f t="shared" ref="BA3577:BA3640" si="336">IF(AV3593=AV3577,"",CONCATENATE(IF(AV3592=AV3577,BA3592,""),IF(AV3591=AV3577,BA3591,""),IF(AV3590=AV3577,BA3590,""),IF(AV3589=AV3577,BA3589,""),IF(AV3588=AV3577,BA3588,""),IF(AV3587=AV3577,BA3587,""),IF(AV3586=AV3577,BA3586,""),IF(AV3585=AV3577,BA3585,""),IF(AV3584=AV3577,BA3584,""),IF(AV3583=AV3577,BA3583,""),IF(AV3582=AV3577,BA3582,""),IF(AV3581=AV3577,BA3581,""),IF(AV3580=AV3577,BA3580,""),IF(AV3579=AV3577,BA3579,""),IF(AV3578=AV3577,BA3578,""),IF(AV3576=AV3577,BA3576,""),BA3577))</f>
        <v/>
      </c>
    </row>
    <row r="3578" spans="29:53" ht="13.5">
      <c r="AC3578" s="6" t="s">
        <v>557</v>
      </c>
      <c r="AD3578" s="6" t="s">
        <v>7530</v>
      </c>
      <c r="AE3578" s="170" t="s">
        <v>1550</v>
      </c>
      <c r="AF3578" s="159" t="s">
        <v>8339</v>
      </c>
      <c r="AG3578" s="160" t="s">
        <v>358</v>
      </c>
      <c r="AH3578" s="194" t="s">
        <v>4700</v>
      </c>
      <c r="AI3578" s="6">
        <v>115596</v>
      </c>
      <c r="AJ3578" s="3" t="s">
        <v>8214</v>
      </c>
      <c r="AK3578" t="s">
        <v>8214</v>
      </c>
      <c r="AV3578"/>
      <c r="AX3578"/>
      <c r="AZ3578" t="str">
        <f t="shared" si="335"/>
        <v/>
      </c>
      <c r="BA3578" t="str">
        <f t="shared" si="336"/>
        <v/>
      </c>
    </row>
    <row r="3579" spans="29:53" ht="13.5">
      <c r="AC3579" s="6" t="s">
        <v>266</v>
      </c>
      <c r="AD3579" s="6" t="s">
        <v>7530</v>
      </c>
      <c r="AE3579" s="170" t="s">
        <v>1552</v>
      </c>
      <c r="AF3579" s="159" t="s">
        <v>8465</v>
      </c>
      <c r="AG3579" s="160" t="s">
        <v>359</v>
      </c>
      <c r="AH3579" s="194" t="s">
        <v>678</v>
      </c>
      <c r="AI3579" s="6">
        <v>115598</v>
      </c>
      <c r="AJ3579" s="3" t="s">
        <v>8250</v>
      </c>
      <c r="AK3579" t="s">
        <v>8250</v>
      </c>
      <c r="AV3579"/>
      <c r="AX3579"/>
      <c r="AZ3579" t="str">
        <f t="shared" si="335"/>
        <v/>
      </c>
      <c r="BA3579" t="str">
        <f t="shared" si="336"/>
        <v/>
      </c>
    </row>
    <row r="3580" spans="29:53" ht="13.5">
      <c r="AC3580" s="6" t="s">
        <v>237</v>
      </c>
      <c r="AD3580" s="6" t="s">
        <v>7530</v>
      </c>
      <c r="AE3580" s="170" t="s">
        <v>1553</v>
      </c>
      <c r="AF3580" s="159" t="s">
        <v>8300</v>
      </c>
      <c r="AG3580" s="160" t="s">
        <v>360</v>
      </c>
      <c r="AH3580" s="194" t="s">
        <v>679</v>
      </c>
      <c r="AI3580" s="6">
        <v>115602</v>
      </c>
      <c r="AJ3580" s="3" t="s">
        <v>8259</v>
      </c>
      <c r="AK3580" t="s">
        <v>8677</v>
      </c>
      <c r="AV3580"/>
      <c r="AX3580"/>
      <c r="AZ3580" t="str">
        <f t="shared" si="335"/>
        <v/>
      </c>
      <c r="BA3580" t="str">
        <f t="shared" si="336"/>
        <v/>
      </c>
    </row>
    <row r="3581" spans="29:53" ht="13.5">
      <c r="AC3581" s="6" t="s">
        <v>1324</v>
      </c>
      <c r="AD3581" s="6" t="s">
        <v>7530</v>
      </c>
      <c r="AE3581" s="170" t="s">
        <v>1558</v>
      </c>
      <c r="AF3581" s="159" t="s">
        <v>8300</v>
      </c>
      <c r="AG3581" s="160" t="s">
        <v>361</v>
      </c>
      <c r="AH3581" s="194" t="s">
        <v>678</v>
      </c>
      <c r="AI3581" s="6">
        <v>125621</v>
      </c>
      <c r="AJ3581" s="3" t="s">
        <v>8265</v>
      </c>
      <c r="AK3581" t="s">
        <v>8265</v>
      </c>
      <c r="AV3581"/>
      <c r="AX3581"/>
      <c r="AZ3581" t="str">
        <f t="shared" si="335"/>
        <v/>
      </c>
      <c r="BA3581" t="str">
        <f t="shared" si="336"/>
        <v/>
      </c>
    </row>
    <row r="3582" spans="29:53" ht="13.5">
      <c r="AC3582" s="6" t="s">
        <v>1396</v>
      </c>
      <c r="AD3582" s="6" t="s">
        <v>7530</v>
      </c>
      <c r="AE3582" s="170" t="s">
        <v>1560</v>
      </c>
      <c r="AF3582" s="159" t="s">
        <v>8459</v>
      </c>
      <c r="AG3582" s="160" t="s">
        <v>1372</v>
      </c>
      <c r="AH3582" s="194" t="s">
        <v>678</v>
      </c>
      <c r="AI3582" s="6">
        <v>125623</v>
      </c>
      <c r="AJ3582" s="3" t="s">
        <v>8229</v>
      </c>
      <c r="AK3582" t="s">
        <v>8229</v>
      </c>
      <c r="AV3582"/>
      <c r="AX3582"/>
      <c r="AZ3582" t="str">
        <f t="shared" si="335"/>
        <v/>
      </c>
      <c r="BA3582" t="str">
        <f t="shared" si="336"/>
        <v/>
      </c>
    </row>
    <row r="3583" spans="29:53" ht="13.5">
      <c r="AC3583" s="6" t="s">
        <v>270</v>
      </c>
      <c r="AD3583" s="6" t="s">
        <v>7530</v>
      </c>
      <c r="AE3583" s="170" t="s">
        <v>1561</v>
      </c>
      <c r="AF3583" s="159" t="s">
        <v>8300</v>
      </c>
      <c r="AG3583" s="160" t="s">
        <v>362</v>
      </c>
      <c r="AH3583" s="194" t="s">
        <v>678</v>
      </c>
      <c r="AI3583" s="6">
        <v>135615</v>
      </c>
      <c r="AJ3583" s="3" t="s">
        <v>8280</v>
      </c>
      <c r="AK3583" t="s">
        <v>8280</v>
      </c>
      <c r="AV3583"/>
      <c r="AX3583"/>
      <c r="AZ3583" t="str">
        <f t="shared" si="335"/>
        <v/>
      </c>
      <c r="BA3583" t="str">
        <f t="shared" si="336"/>
        <v/>
      </c>
    </row>
    <row r="3584" spans="29:53" ht="13.5">
      <c r="AC3584" s="6" t="s">
        <v>1322</v>
      </c>
      <c r="AD3584" s="6" t="s">
        <v>7530</v>
      </c>
      <c r="AE3584" s="170" t="s">
        <v>661</v>
      </c>
      <c r="AF3584" s="159" t="s">
        <v>8300</v>
      </c>
      <c r="AG3584" s="160" t="s">
        <v>363</v>
      </c>
      <c r="AH3584" s="194" t="s">
        <v>678</v>
      </c>
      <c r="AI3584" s="6">
        <v>135616</v>
      </c>
      <c r="AJ3584" s="3" t="s">
        <v>8280</v>
      </c>
      <c r="AK3584" t="s">
        <v>8280</v>
      </c>
      <c r="AV3584"/>
      <c r="AX3584"/>
      <c r="AZ3584" t="str">
        <f t="shared" si="335"/>
        <v/>
      </c>
      <c r="BA3584" t="str">
        <f t="shared" si="336"/>
        <v/>
      </c>
    </row>
    <row r="3585" spans="29:53" ht="13.5">
      <c r="AC3585" s="6" t="s">
        <v>1334</v>
      </c>
      <c r="AD3585" s="6" t="s">
        <v>7530</v>
      </c>
      <c r="AE3585" s="170" t="s">
        <v>1569</v>
      </c>
      <c r="AF3585" s="159" t="s">
        <v>8459</v>
      </c>
      <c r="AG3585" s="160" t="s">
        <v>364</v>
      </c>
      <c r="AH3585" s="194" t="s">
        <v>678</v>
      </c>
      <c r="AI3585" s="6">
        <v>135617</v>
      </c>
      <c r="AJ3585" s="3" t="s">
        <v>8267</v>
      </c>
      <c r="AK3585" t="s">
        <v>8280</v>
      </c>
      <c r="AV3585"/>
      <c r="AX3585"/>
      <c r="AZ3585" t="str">
        <f t="shared" si="335"/>
        <v/>
      </c>
      <c r="BA3585" t="str">
        <f t="shared" si="336"/>
        <v/>
      </c>
    </row>
    <row r="3586" spans="29:53" ht="13.5">
      <c r="AC3586" s="6" t="s">
        <v>1338</v>
      </c>
      <c r="AD3586" s="6" t="s">
        <v>7530</v>
      </c>
      <c r="AE3586" s="170" t="s">
        <v>1570</v>
      </c>
      <c r="AF3586" s="159" t="s">
        <v>8300</v>
      </c>
      <c r="AG3586" s="160" t="s">
        <v>365</v>
      </c>
      <c r="AH3586" s="194" t="s">
        <v>678</v>
      </c>
      <c r="AI3586" s="6">
        <v>135849</v>
      </c>
      <c r="AJ3586" s="3" t="s">
        <v>8280</v>
      </c>
      <c r="AK3586" t="s">
        <v>8280</v>
      </c>
      <c r="AV3586"/>
      <c r="AX3586"/>
      <c r="AZ3586" t="str">
        <f t="shared" si="335"/>
        <v/>
      </c>
      <c r="BA3586" t="str">
        <f t="shared" si="336"/>
        <v/>
      </c>
    </row>
    <row r="3587" spans="29:53" ht="13.5">
      <c r="AC3587" s="6" t="s">
        <v>5425</v>
      </c>
      <c r="AD3587" s="6" t="s">
        <v>7530</v>
      </c>
      <c r="AE3587" s="170" t="s">
        <v>663</v>
      </c>
      <c r="AF3587" s="159" t="s">
        <v>8459</v>
      </c>
      <c r="AG3587" s="160" t="s">
        <v>366</v>
      </c>
      <c r="AH3587" s="194" t="s">
        <v>678</v>
      </c>
      <c r="AI3587" s="6">
        <v>145625</v>
      </c>
      <c r="AJ3587" s="3" t="s">
        <v>8214</v>
      </c>
      <c r="AK3587" t="s">
        <v>8214</v>
      </c>
      <c r="AV3587"/>
      <c r="AX3587"/>
      <c r="AZ3587" t="str">
        <f t="shared" si="335"/>
        <v/>
      </c>
      <c r="BA3587" t="str">
        <f t="shared" si="336"/>
        <v/>
      </c>
    </row>
    <row r="3588" spans="29:53" ht="13.5">
      <c r="AC3588" s="6" t="s">
        <v>1321</v>
      </c>
      <c r="AD3588" s="6" t="s">
        <v>7530</v>
      </c>
      <c r="AE3588" s="170" t="s">
        <v>664</v>
      </c>
      <c r="AF3588" s="159" t="s">
        <v>8300</v>
      </c>
      <c r="AG3588" s="160" t="s">
        <v>367</v>
      </c>
      <c r="AH3588" s="194" t="s">
        <v>678</v>
      </c>
      <c r="AI3588" s="6">
        <v>165815</v>
      </c>
      <c r="AJ3588" s="3" t="s">
        <v>8269</v>
      </c>
      <c r="AK3588" t="s">
        <v>8269</v>
      </c>
      <c r="AV3588"/>
      <c r="AX3588"/>
      <c r="AZ3588" t="str">
        <f t="shared" si="335"/>
        <v/>
      </c>
      <c r="BA3588" t="str">
        <f t="shared" si="336"/>
        <v/>
      </c>
    </row>
    <row r="3589" spans="29:53" ht="13.5">
      <c r="AC3589" s="6" t="s">
        <v>231</v>
      </c>
      <c r="AD3589" s="6" t="s">
        <v>7530</v>
      </c>
      <c r="AE3589" s="170" t="s">
        <v>1614</v>
      </c>
      <c r="AF3589" s="159" t="s">
        <v>8448</v>
      </c>
      <c r="AG3589" s="160" t="s">
        <v>368</v>
      </c>
      <c r="AH3589" s="194" t="s">
        <v>678</v>
      </c>
      <c r="AI3589" s="6">
        <v>165817</v>
      </c>
      <c r="AJ3589" s="3" t="s">
        <v>8269</v>
      </c>
      <c r="AK3589" t="s">
        <v>8269</v>
      </c>
      <c r="AV3589"/>
      <c r="AX3589"/>
      <c r="AZ3589" t="str">
        <f t="shared" si="335"/>
        <v/>
      </c>
      <c r="BA3589" t="str">
        <f t="shared" si="336"/>
        <v/>
      </c>
    </row>
    <row r="3590" spans="29:53" ht="13.5">
      <c r="AC3590" s="6" t="s">
        <v>1654</v>
      </c>
      <c r="AD3590" s="6" t="s">
        <v>7530</v>
      </c>
      <c r="AE3590" s="170" t="s">
        <v>665</v>
      </c>
      <c r="AF3590" s="159" t="s">
        <v>8459</v>
      </c>
      <c r="AG3590" s="160" t="s">
        <v>369</v>
      </c>
      <c r="AH3590" s="194" t="s">
        <v>4700</v>
      </c>
      <c r="AI3590" s="6">
        <v>165824</v>
      </c>
      <c r="AJ3590" s="3" t="s">
        <v>8278</v>
      </c>
      <c r="AK3590" t="s">
        <v>8278</v>
      </c>
      <c r="AV3590"/>
      <c r="AX3590"/>
      <c r="AZ3590" t="str">
        <f t="shared" si="335"/>
        <v/>
      </c>
      <c r="BA3590" t="str">
        <f t="shared" si="336"/>
        <v/>
      </c>
    </row>
    <row r="3591" spans="29:53" ht="13.5">
      <c r="AC3591" s="6" t="s">
        <v>425</v>
      </c>
      <c r="AD3591" s="6" t="s">
        <v>7530</v>
      </c>
      <c r="AE3591" s="170" t="s">
        <v>1615</v>
      </c>
      <c r="AF3591" s="159" t="s">
        <v>8459</v>
      </c>
      <c r="AG3591" s="160" t="s">
        <v>1373</v>
      </c>
      <c r="AH3591" s="194" t="s">
        <v>678</v>
      </c>
      <c r="AI3591" s="6">
        <v>165825</v>
      </c>
      <c r="AJ3591" s="3" t="s">
        <v>8278</v>
      </c>
      <c r="AK3591" t="s">
        <v>8278</v>
      </c>
      <c r="AV3591"/>
      <c r="AX3591"/>
      <c r="AZ3591" t="str">
        <f t="shared" si="335"/>
        <v/>
      </c>
      <c r="BA3591" t="str">
        <f t="shared" si="336"/>
        <v/>
      </c>
    </row>
    <row r="3592" spans="29:53" ht="13.5">
      <c r="AC3592" s="6" t="s">
        <v>5279</v>
      </c>
      <c r="AD3592" s="6" t="s">
        <v>7530</v>
      </c>
      <c r="AE3592" s="170" t="s">
        <v>1616</v>
      </c>
      <c r="AF3592" s="159" t="s">
        <v>8339</v>
      </c>
      <c r="AG3592" s="160" t="s">
        <v>370</v>
      </c>
      <c r="AH3592" s="194" t="s">
        <v>678</v>
      </c>
      <c r="AI3592" s="6">
        <v>166474</v>
      </c>
      <c r="AJ3592" s="3" t="s">
        <v>8278</v>
      </c>
      <c r="AK3592" t="s">
        <v>8278</v>
      </c>
      <c r="AV3592"/>
      <c r="AX3592"/>
      <c r="AZ3592" t="str">
        <f t="shared" si="335"/>
        <v/>
      </c>
      <c r="BA3592" t="str">
        <f t="shared" si="336"/>
        <v/>
      </c>
    </row>
    <row r="3593" spans="29:53" ht="13.5">
      <c r="AC3593" s="6" t="s">
        <v>4720</v>
      </c>
      <c r="AD3593" s="6" t="s">
        <v>7530</v>
      </c>
      <c r="AE3593" s="170" t="s">
        <v>1618</v>
      </c>
      <c r="AF3593" s="159" t="s">
        <v>8458</v>
      </c>
      <c r="AG3593" s="160" t="s">
        <v>371</v>
      </c>
      <c r="AH3593" s="194" t="s">
        <v>678</v>
      </c>
      <c r="AI3593" s="6">
        <v>175834</v>
      </c>
      <c r="AJ3593" s="3" t="s">
        <v>8241</v>
      </c>
      <c r="AK3593" t="s">
        <v>8675</v>
      </c>
      <c r="AV3593"/>
      <c r="AX3593"/>
      <c r="AZ3593" t="str">
        <f t="shared" si="335"/>
        <v/>
      </c>
      <c r="BA3593" t="str">
        <f t="shared" si="336"/>
        <v/>
      </c>
    </row>
    <row r="3594" spans="29:53" ht="13.5">
      <c r="AC3594" s="6" t="s">
        <v>220</v>
      </c>
      <c r="AD3594" s="6" t="s">
        <v>7530</v>
      </c>
      <c r="AE3594" s="170" t="s">
        <v>1619</v>
      </c>
      <c r="AF3594" s="159" t="s">
        <v>8459</v>
      </c>
      <c r="AG3594" s="160" t="s">
        <v>372</v>
      </c>
      <c r="AH3594" s="194" t="s">
        <v>678</v>
      </c>
      <c r="AI3594" s="6">
        <v>175836</v>
      </c>
      <c r="AJ3594" s="3" t="s">
        <v>8241</v>
      </c>
      <c r="AK3594" t="s">
        <v>8675</v>
      </c>
      <c r="AV3594"/>
      <c r="AX3594"/>
      <c r="AZ3594" t="str">
        <f t="shared" si="335"/>
        <v/>
      </c>
      <c r="BA3594" t="str">
        <f t="shared" si="336"/>
        <v/>
      </c>
    </row>
    <row r="3595" spans="29:53" ht="13.5">
      <c r="AC3595" s="6" t="s">
        <v>1328</v>
      </c>
      <c r="AD3595" s="6" t="s">
        <v>7530</v>
      </c>
      <c r="AE3595" s="170" t="s">
        <v>1620</v>
      </c>
      <c r="AF3595" s="159" t="s">
        <v>8299</v>
      </c>
      <c r="AG3595" s="160" t="s">
        <v>373</v>
      </c>
      <c r="AH3595" s="194" t="s">
        <v>678</v>
      </c>
      <c r="AI3595" s="6">
        <v>175839</v>
      </c>
      <c r="AJ3595" s="3" t="s">
        <v>8270</v>
      </c>
      <c r="AK3595" t="s">
        <v>8270</v>
      </c>
      <c r="AV3595"/>
      <c r="AX3595"/>
      <c r="AZ3595" t="str">
        <f t="shared" si="335"/>
        <v/>
      </c>
      <c r="BA3595" t="str">
        <f t="shared" si="336"/>
        <v/>
      </c>
    </row>
    <row r="3596" spans="29:53" ht="13.5">
      <c r="AC3596" s="6" t="s">
        <v>1323</v>
      </c>
      <c r="AD3596" s="6" t="s">
        <v>7530</v>
      </c>
      <c r="AE3596" s="170" t="s">
        <v>1621</v>
      </c>
      <c r="AF3596" s="159" t="s">
        <v>8459</v>
      </c>
      <c r="AG3596" s="160" t="s">
        <v>1374</v>
      </c>
      <c r="AH3596" s="194" t="s">
        <v>678</v>
      </c>
      <c r="AI3596" s="6">
        <v>175840</v>
      </c>
      <c r="AJ3596" s="3" t="s">
        <v>8270</v>
      </c>
      <c r="AK3596" t="s">
        <v>8270</v>
      </c>
      <c r="AV3596"/>
      <c r="AX3596"/>
      <c r="AZ3596" t="str">
        <f t="shared" si="335"/>
        <v/>
      </c>
      <c r="BA3596" t="str">
        <f t="shared" si="336"/>
        <v/>
      </c>
    </row>
    <row r="3597" spans="29:53" ht="13.5">
      <c r="AC3597" s="6" t="s">
        <v>255</v>
      </c>
      <c r="AD3597" s="6" t="s">
        <v>7530</v>
      </c>
      <c r="AE3597" s="170" t="s">
        <v>666</v>
      </c>
      <c r="AF3597" s="159" t="s">
        <v>8299</v>
      </c>
      <c r="AG3597" s="160" t="s">
        <v>374</v>
      </c>
      <c r="AH3597" s="194" t="s">
        <v>678</v>
      </c>
      <c r="AI3597" s="6">
        <v>185846</v>
      </c>
      <c r="AJ3597" s="3" t="s">
        <v>8242</v>
      </c>
      <c r="AK3597" t="s">
        <v>8281</v>
      </c>
      <c r="AV3597"/>
      <c r="AX3597"/>
      <c r="AZ3597" t="str">
        <f t="shared" si="335"/>
        <v/>
      </c>
      <c r="BA3597" t="str">
        <f t="shared" si="336"/>
        <v/>
      </c>
    </row>
    <row r="3598" spans="29:53" ht="13.5">
      <c r="AC3598" s="6" t="s">
        <v>561</v>
      </c>
      <c r="AD3598" s="6" t="s">
        <v>7530</v>
      </c>
      <c r="AE3598" s="170" t="s">
        <v>667</v>
      </c>
      <c r="AF3598" s="159" t="s">
        <v>8459</v>
      </c>
      <c r="AG3598" s="160" t="s">
        <v>375</v>
      </c>
      <c r="AH3598" s="194" t="s">
        <v>678</v>
      </c>
      <c r="AI3598" s="6" t="s">
        <v>4246</v>
      </c>
      <c r="AJ3598" s="3" t="s">
        <v>8269</v>
      </c>
      <c r="AK3598" t="s">
        <v>8269</v>
      </c>
      <c r="AV3598"/>
      <c r="AX3598"/>
      <c r="AZ3598" t="str">
        <f t="shared" si="335"/>
        <v/>
      </c>
      <c r="BA3598" t="str">
        <f t="shared" si="336"/>
        <v/>
      </c>
    </row>
    <row r="3599" spans="29:53" ht="13.5">
      <c r="AC3599" s="6" t="s">
        <v>1343</v>
      </c>
      <c r="AD3599" s="6" t="s">
        <v>7530</v>
      </c>
      <c r="AE3599" s="170" t="s">
        <v>668</v>
      </c>
      <c r="AF3599" s="159" t="s">
        <v>8459</v>
      </c>
      <c r="AG3599" s="160" t="s">
        <v>376</v>
      </c>
      <c r="AH3599" s="194" t="s">
        <v>678</v>
      </c>
      <c r="AI3599" s="6" t="s">
        <v>4247</v>
      </c>
      <c r="AJ3599" s="3" t="s">
        <v>8269</v>
      </c>
      <c r="AK3599" t="s">
        <v>8269</v>
      </c>
      <c r="AV3599"/>
      <c r="AX3599"/>
      <c r="AZ3599" t="str">
        <f t="shared" si="335"/>
        <v/>
      </c>
      <c r="BA3599" t="str">
        <f t="shared" si="336"/>
        <v/>
      </c>
    </row>
    <row r="3600" spans="29:53" ht="13.5">
      <c r="AC3600" s="6" t="s">
        <v>1326</v>
      </c>
      <c r="AD3600" s="6" t="s">
        <v>7530</v>
      </c>
      <c r="AE3600" s="170" t="s">
        <v>1622</v>
      </c>
      <c r="AF3600" s="159" t="s">
        <v>8353</v>
      </c>
      <c r="AG3600" s="160" t="s">
        <v>377</v>
      </c>
      <c r="AH3600" s="194" t="s">
        <v>678</v>
      </c>
      <c r="AI3600" s="6" t="s">
        <v>4248</v>
      </c>
      <c r="AJ3600" s="3" t="s">
        <v>8269</v>
      </c>
      <c r="AK3600" t="s">
        <v>8269</v>
      </c>
      <c r="AV3600"/>
      <c r="AX3600"/>
      <c r="AZ3600" t="str">
        <f t="shared" si="335"/>
        <v/>
      </c>
      <c r="BA3600" t="str">
        <f t="shared" si="336"/>
        <v/>
      </c>
    </row>
    <row r="3601" spans="29:53" ht="13.5">
      <c r="AC3601" s="6" t="s">
        <v>1104</v>
      </c>
      <c r="AD3601" s="6" t="s">
        <v>7530</v>
      </c>
      <c r="AE3601" s="170" t="s">
        <v>1623</v>
      </c>
      <c r="AF3601" s="159" t="s">
        <v>8459</v>
      </c>
      <c r="AG3601" s="160" t="s">
        <v>1375</v>
      </c>
      <c r="AH3601" s="194" t="s">
        <v>678</v>
      </c>
      <c r="AI3601" s="6" t="s">
        <v>4254</v>
      </c>
      <c r="AJ3601" s="3" t="s">
        <v>8236</v>
      </c>
      <c r="AK3601" t="s">
        <v>8236</v>
      </c>
      <c r="AV3601"/>
      <c r="AX3601"/>
      <c r="AZ3601" t="str">
        <f t="shared" si="335"/>
        <v/>
      </c>
      <c r="BA3601" t="str">
        <f t="shared" si="336"/>
        <v/>
      </c>
    </row>
    <row r="3602" spans="29:53" ht="13.5">
      <c r="AC3602" s="6" t="s">
        <v>12</v>
      </c>
      <c r="AD3602" s="6" t="s">
        <v>7530</v>
      </c>
      <c r="AE3602" s="170" t="s">
        <v>669</v>
      </c>
      <c r="AF3602" s="159" t="s">
        <v>8459</v>
      </c>
      <c r="AG3602" s="160" t="s">
        <v>1376</v>
      </c>
      <c r="AH3602" s="194" t="s">
        <v>678</v>
      </c>
      <c r="AI3602" s="6" t="s">
        <v>4255</v>
      </c>
      <c r="AJ3602" s="3" t="s">
        <v>8236</v>
      </c>
      <c r="AK3602" t="s">
        <v>8236</v>
      </c>
      <c r="AV3602"/>
      <c r="AX3602"/>
      <c r="AZ3602" t="str">
        <f t="shared" si="335"/>
        <v/>
      </c>
      <c r="BA3602" t="str">
        <f t="shared" si="336"/>
        <v/>
      </c>
    </row>
    <row r="3603" spans="29:53" ht="13.5">
      <c r="AC3603" s="6" t="s">
        <v>1397</v>
      </c>
      <c r="AD3603" s="6" t="s">
        <v>7530</v>
      </c>
      <c r="AE3603" s="170" t="s">
        <v>1624</v>
      </c>
      <c r="AF3603" s="159" t="s">
        <v>8300</v>
      </c>
      <c r="AG3603" s="160" t="s">
        <v>378</v>
      </c>
      <c r="AH3603" s="194" t="s">
        <v>678</v>
      </c>
      <c r="AI3603" s="6" t="s">
        <v>4256</v>
      </c>
      <c r="AJ3603" s="3" t="s">
        <v>8269</v>
      </c>
      <c r="AK3603" t="s">
        <v>8269</v>
      </c>
      <c r="AV3603"/>
      <c r="AX3603"/>
      <c r="AZ3603" t="str">
        <f t="shared" si="335"/>
        <v/>
      </c>
      <c r="BA3603" t="str">
        <f t="shared" si="336"/>
        <v/>
      </c>
    </row>
    <row r="3604" spans="29:53" ht="13.5">
      <c r="AC3604" s="6" t="s">
        <v>983</v>
      </c>
      <c r="AD3604" s="6" t="s">
        <v>7530</v>
      </c>
      <c r="AE3604" s="170" t="s">
        <v>1625</v>
      </c>
      <c r="AF3604" s="159" t="s">
        <v>8339</v>
      </c>
      <c r="AG3604" s="160" t="s">
        <v>379</v>
      </c>
      <c r="AH3604" s="194" t="s">
        <v>4700</v>
      </c>
      <c r="AI3604" s="6" t="s">
        <v>4257</v>
      </c>
      <c r="AJ3604" s="3" t="s">
        <v>8230</v>
      </c>
      <c r="AK3604" t="s">
        <v>8230</v>
      </c>
      <c r="AV3604"/>
      <c r="AX3604"/>
      <c r="AZ3604" t="str">
        <f t="shared" si="335"/>
        <v/>
      </c>
      <c r="BA3604" t="str">
        <f t="shared" si="336"/>
        <v/>
      </c>
    </row>
    <row r="3605" spans="29:53" ht="13.5">
      <c r="AC3605" s="6" t="s">
        <v>4718</v>
      </c>
      <c r="AD3605" s="6" t="s">
        <v>7530</v>
      </c>
      <c r="AE3605" s="170" t="s">
        <v>670</v>
      </c>
      <c r="AF3605" s="159" t="s">
        <v>8320</v>
      </c>
      <c r="AG3605" s="160" t="s">
        <v>380</v>
      </c>
      <c r="AH3605" s="194" t="s">
        <v>679</v>
      </c>
      <c r="AI3605" s="6" t="s">
        <v>4258</v>
      </c>
      <c r="AJ3605" s="3" t="s">
        <v>8230</v>
      </c>
      <c r="AK3605" t="s">
        <v>8230</v>
      </c>
      <c r="AV3605"/>
      <c r="AX3605"/>
      <c r="AZ3605" t="str">
        <f t="shared" si="335"/>
        <v/>
      </c>
      <c r="BA3605" t="str">
        <f t="shared" si="336"/>
        <v/>
      </c>
    </row>
    <row r="3606" spans="29:53" ht="13.5">
      <c r="AC3606" s="6" t="s">
        <v>1345</v>
      </c>
      <c r="AD3606" s="6" t="s">
        <v>7530</v>
      </c>
      <c r="AE3606" s="170" t="s">
        <v>1626</v>
      </c>
      <c r="AF3606" s="159" t="s">
        <v>8459</v>
      </c>
      <c r="AG3606" s="160" t="s">
        <v>381</v>
      </c>
      <c r="AH3606" s="194" t="s">
        <v>678</v>
      </c>
      <c r="AI3606" s="6" t="s">
        <v>4259</v>
      </c>
      <c r="AJ3606" s="3" t="s">
        <v>8230</v>
      </c>
      <c r="AK3606" t="s">
        <v>8230</v>
      </c>
      <c r="AV3606"/>
      <c r="AX3606"/>
      <c r="AZ3606" t="str">
        <f t="shared" si="335"/>
        <v/>
      </c>
      <c r="BA3606" t="str">
        <f t="shared" si="336"/>
        <v/>
      </c>
    </row>
    <row r="3607" spans="29:53" ht="13.5">
      <c r="AC3607" s="6" t="s">
        <v>1172</v>
      </c>
      <c r="AD3607" s="6" t="s">
        <v>7530</v>
      </c>
      <c r="AE3607" s="170" t="s">
        <v>1627</v>
      </c>
      <c r="AF3607" s="159" t="s">
        <v>8300</v>
      </c>
      <c r="AG3607" s="160" t="s">
        <v>382</v>
      </c>
      <c r="AH3607" s="194" t="s">
        <v>678</v>
      </c>
      <c r="AI3607" s="6" t="s">
        <v>4260</v>
      </c>
      <c r="AJ3607" s="3" t="s">
        <v>8230</v>
      </c>
      <c r="AK3607" t="s">
        <v>8230</v>
      </c>
      <c r="AV3607"/>
      <c r="AX3607"/>
      <c r="AZ3607" t="str">
        <f t="shared" si="335"/>
        <v/>
      </c>
      <c r="BA3607" t="str">
        <f t="shared" si="336"/>
        <v/>
      </c>
    </row>
    <row r="3608" spans="29:53" ht="13.5">
      <c r="AC3608" s="6" t="s">
        <v>1663</v>
      </c>
      <c r="AD3608" s="6" t="s">
        <v>7530</v>
      </c>
      <c r="AE3608" s="170" t="s">
        <v>1628</v>
      </c>
      <c r="AF3608" s="159" t="s">
        <v>8459</v>
      </c>
      <c r="AG3608" s="160" t="s">
        <v>383</v>
      </c>
      <c r="AH3608" s="194" t="s">
        <v>4700</v>
      </c>
      <c r="AI3608" s="6" t="s">
        <v>4262</v>
      </c>
      <c r="AJ3608" s="3" t="s">
        <v>8266</v>
      </c>
      <c r="AK3608" t="s">
        <v>8266</v>
      </c>
      <c r="AV3608"/>
      <c r="AX3608"/>
      <c r="AZ3608" t="str">
        <f t="shared" si="335"/>
        <v/>
      </c>
      <c r="BA3608" t="str">
        <f t="shared" si="336"/>
        <v/>
      </c>
    </row>
    <row r="3609" spans="29:53" ht="13.5">
      <c r="AC3609" s="6" t="s">
        <v>950</v>
      </c>
      <c r="AD3609" s="6" t="s">
        <v>7530</v>
      </c>
      <c r="AE3609" s="170" t="s">
        <v>671</v>
      </c>
      <c r="AF3609" s="159" t="s">
        <v>8458</v>
      </c>
      <c r="AG3609" s="160" t="s">
        <v>384</v>
      </c>
      <c r="AH3609" s="194" t="s">
        <v>678</v>
      </c>
      <c r="AI3609" s="6" t="s">
        <v>3549</v>
      </c>
      <c r="AJ3609" s="3" t="s">
        <v>8261</v>
      </c>
      <c r="AK3609" t="s">
        <v>8261</v>
      </c>
      <c r="AV3609"/>
      <c r="AX3609"/>
      <c r="AZ3609" t="str">
        <f t="shared" si="335"/>
        <v/>
      </c>
      <c r="BA3609" t="str">
        <f t="shared" si="336"/>
        <v/>
      </c>
    </row>
    <row r="3610" spans="29:53" ht="13.5">
      <c r="AC3610" s="6" t="s">
        <v>1443</v>
      </c>
      <c r="AD3610" s="6" t="s">
        <v>7530</v>
      </c>
      <c r="AE3610" s="170" t="s">
        <v>1630</v>
      </c>
      <c r="AF3610" s="159" t="s">
        <v>8459</v>
      </c>
      <c r="AG3610" s="160" t="s">
        <v>385</v>
      </c>
      <c r="AH3610" s="194" t="s">
        <v>4700</v>
      </c>
      <c r="AI3610" s="6" t="s">
        <v>3548</v>
      </c>
      <c r="AJ3610" s="3" t="s">
        <v>8229</v>
      </c>
      <c r="AK3610" t="s">
        <v>8229</v>
      </c>
      <c r="AV3610"/>
      <c r="AX3610"/>
      <c r="AZ3610" t="str">
        <f t="shared" si="335"/>
        <v/>
      </c>
      <c r="BA3610" t="str">
        <f t="shared" si="336"/>
        <v/>
      </c>
    </row>
    <row r="3611" spans="29:53" ht="13.5">
      <c r="AC3611" s="6" t="s">
        <v>4716</v>
      </c>
      <c r="AD3611" s="6" t="s">
        <v>7530</v>
      </c>
      <c r="AE3611" s="170" t="s">
        <v>672</v>
      </c>
      <c r="AF3611" s="159" t="s">
        <v>8488</v>
      </c>
      <c r="AG3611" s="160" t="s">
        <v>386</v>
      </c>
      <c r="AH3611" s="194" t="s">
        <v>679</v>
      </c>
      <c r="AI3611" s="6" t="s">
        <v>4268</v>
      </c>
      <c r="AJ3611" s="3" t="s">
        <v>8229</v>
      </c>
      <c r="AK3611" t="s">
        <v>8229</v>
      </c>
      <c r="AV3611"/>
      <c r="AX3611"/>
      <c r="AZ3611" t="str">
        <f t="shared" si="335"/>
        <v/>
      </c>
      <c r="BA3611" t="str">
        <f t="shared" si="336"/>
        <v/>
      </c>
    </row>
    <row r="3612" spans="29:53" ht="13.5">
      <c r="AC3612" s="6" t="s">
        <v>1656</v>
      </c>
      <c r="AD3612" s="6" t="s">
        <v>7530</v>
      </c>
      <c r="AE3612" s="170" t="s">
        <v>673</v>
      </c>
      <c r="AF3612" s="159" t="s">
        <v>8339</v>
      </c>
      <c r="AG3612" s="160" t="s">
        <v>387</v>
      </c>
      <c r="AH3612" s="194" t="s">
        <v>679</v>
      </c>
      <c r="AI3612" s="6" t="s">
        <v>4277</v>
      </c>
      <c r="AJ3612" s="3" t="s">
        <v>8253</v>
      </c>
      <c r="AK3612" t="s">
        <v>8253</v>
      </c>
      <c r="AV3612"/>
      <c r="AX3612"/>
      <c r="AZ3612" t="str">
        <f t="shared" si="335"/>
        <v/>
      </c>
      <c r="BA3612" t="str">
        <f t="shared" si="336"/>
        <v/>
      </c>
    </row>
    <row r="3613" spans="29:53" ht="13.5">
      <c r="AC3613" s="6" t="s">
        <v>984</v>
      </c>
      <c r="AD3613" s="6" t="s">
        <v>7530</v>
      </c>
      <c r="AE3613" s="170" t="s">
        <v>674</v>
      </c>
      <c r="AF3613" s="159" t="s">
        <v>8366</v>
      </c>
      <c r="AG3613" s="160" t="s">
        <v>388</v>
      </c>
      <c r="AH3613" s="194" t="s">
        <v>678</v>
      </c>
      <c r="AI3613" s="6" t="s">
        <v>4281</v>
      </c>
      <c r="AJ3613" s="3" t="s">
        <v>8232</v>
      </c>
      <c r="AK3613" t="s">
        <v>8232</v>
      </c>
      <c r="AV3613"/>
      <c r="AX3613"/>
      <c r="AZ3613" t="str">
        <f t="shared" si="335"/>
        <v/>
      </c>
      <c r="BA3613" t="str">
        <f t="shared" si="336"/>
        <v/>
      </c>
    </row>
    <row r="3614" spans="29:53" ht="13.5">
      <c r="AC3614" s="6" t="s">
        <v>1325</v>
      </c>
      <c r="AD3614" s="6" t="s">
        <v>7530</v>
      </c>
      <c r="AE3614" s="170" t="s">
        <v>1631</v>
      </c>
      <c r="AF3614" s="159" t="s">
        <v>8459</v>
      </c>
      <c r="AG3614" s="160" t="s">
        <v>1377</v>
      </c>
      <c r="AH3614" s="194" t="s">
        <v>679</v>
      </c>
      <c r="AI3614" s="6" t="s">
        <v>1133</v>
      </c>
      <c r="AJ3614" s="3" t="s">
        <v>8244</v>
      </c>
      <c r="AK3614" t="s">
        <v>8244</v>
      </c>
      <c r="AV3614"/>
      <c r="AX3614"/>
      <c r="AZ3614" t="str">
        <f t="shared" si="335"/>
        <v/>
      </c>
      <c r="BA3614" t="str">
        <f t="shared" si="336"/>
        <v/>
      </c>
    </row>
    <row r="3615" spans="29:53" ht="13.5">
      <c r="AC3615" s="6" t="s">
        <v>1446</v>
      </c>
      <c r="AD3615" s="6" t="s">
        <v>7530</v>
      </c>
      <c r="AE3615" s="170" t="s">
        <v>5477</v>
      </c>
      <c r="AF3615" s="159" t="s">
        <v>8459</v>
      </c>
      <c r="AG3615" s="160" t="s">
        <v>1378</v>
      </c>
      <c r="AH3615" s="194" t="s">
        <v>678</v>
      </c>
      <c r="AI3615" s="6" t="s">
        <v>4297</v>
      </c>
      <c r="AJ3615" s="3" t="s">
        <v>8236</v>
      </c>
      <c r="AK3615" t="s">
        <v>8236</v>
      </c>
      <c r="AV3615"/>
      <c r="AX3615"/>
      <c r="AZ3615" t="str">
        <f t="shared" si="335"/>
        <v/>
      </c>
      <c r="BA3615" t="str">
        <f t="shared" si="336"/>
        <v/>
      </c>
    </row>
    <row r="3616" spans="29:53" ht="13.5">
      <c r="AC3616" s="6" t="s">
        <v>1173</v>
      </c>
      <c r="AD3616" s="6" t="s">
        <v>7530</v>
      </c>
      <c r="AE3616" s="170" t="s">
        <v>5097</v>
      </c>
      <c r="AF3616" s="159" t="s">
        <v>8459</v>
      </c>
      <c r="AG3616" s="160" t="s">
        <v>389</v>
      </c>
      <c r="AH3616" s="194" t="s">
        <v>678</v>
      </c>
      <c r="AI3616" s="6" t="s">
        <v>4298</v>
      </c>
      <c r="AJ3616" s="3" t="s">
        <v>8236</v>
      </c>
      <c r="AK3616" t="s">
        <v>8236</v>
      </c>
      <c r="AV3616"/>
      <c r="AX3616"/>
      <c r="AZ3616" t="str">
        <f t="shared" si="335"/>
        <v/>
      </c>
      <c r="BA3616" t="str">
        <f t="shared" si="336"/>
        <v/>
      </c>
    </row>
    <row r="3617" spans="29:53" ht="13.5">
      <c r="AC3617" s="6" t="s">
        <v>413</v>
      </c>
      <c r="AD3617" s="6" t="s">
        <v>7530</v>
      </c>
      <c r="AE3617" s="170" t="s">
        <v>5104</v>
      </c>
      <c r="AF3617" s="159" t="s">
        <v>8459</v>
      </c>
      <c r="AG3617" s="160" t="s">
        <v>390</v>
      </c>
      <c r="AH3617" s="194" t="s">
        <v>678</v>
      </c>
      <c r="AI3617" s="6" t="s">
        <v>3547</v>
      </c>
      <c r="AJ3617" s="3" t="s">
        <v>8266</v>
      </c>
      <c r="AK3617" t="s">
        <v>8266</v>
      </c>
      <c r="AV3617"/>
      <c r="AX3617"/>
      <c r="AZ3617" t="str">
        <f t="shared" si="335"/>
        <v/>
      </c>
      <c r="BA3617" t="str">
        <f t="shared" si="336"/>
        <v/>
      </c>
    </row>
    <row r="3618" spans="29:53" ht="13.5">
      <c r="AC3618" s="6" t="s">
        <v>1064</v>
      </c>
      <c r="AD3618" s="6" t="s">
        <v>7530</v>
      </c>
      <c r="AE3618" s="170" t="s">
        <v>5105</v>
      </c>
      <c r="AF3618" s="159" t="s">
        <v>8459</v>
      </c>
      <c r="AG3618" s="160" t="s">
        <v>391</v>
      </c>
      <c r="AH3618" s="194" t="s">
        <v>678</v>
      </c>
      <c r="AI3618" s="6" t="s">
        <v>4303</v>
      </c>
      <c r="AJ3618" s="3" t="s">
        <v>8266</v>
      </c>
      <c r="AK3618" t="s">
        <v>8266</v>
      </c>
      <c r="AV3618"/>
      <c r="AX3618"/>
      <c r="AZ3618" t="str">
        <f t="shared" si="335"/>
        <v/>
      </c>
      <c r="BA3618" t="str">
        <f t="shared" si="336"/>
        <v/>
      </c>
    </row>
    <row r="3619" spans="29:53" ht="13.5">
      <c r="AC3619" s="6" t="s">
        <v>412</v>
      </c>
      <c r="AD3619" s="6" t="s">
        <v>7530</v>
      </c>
      <c r="AE3619" s="170" t="s">
        <v>5185</v>
      </c>
      <c r="AF3619" s="159" t="s">
        <v>8459</v>
      </c>
      <c r="AG3619" s="160" t="s">
        <v>392</v>
      </c>
      <c r="AH3619" s="194" t="s">
        <v>678</v>
      </c>
      <c r="AI3619" s="6" t="s">
        <v>4305</v>
      </c>
      <c r="AJ3619" s="3" t="s">
        <v>8199</v>
      </c>
      <c r="AK3619" t="s">
        <v>8199</v>
      </c>
      <c r="AV3619"/>
      <c r="AX3619"/>
      <c r="AZ3619" t="str">
        <f t="shared" si="335"/>
        <v/>
      </c>
      <c r="BA3619" t="str">
        <f t="shared" si="336"/>
        <v/>
      </c>
    </row>
    <row r="3620" spans="29:53" ht="13.5">
      <c r="AC3620" s="6" t="s">
        <v>1661</v>
      </c>
      <c r="AD3620" s="6" t="s">
        <v>7530</v>
      </c>
      <c r="AE3620" s="170" t="s">
        <v>5194</v>
      </c>
      <c r="AF3620" s="159" t="s">
        <v>8459</v>
      </c>
      <c r="AG3620" s="160" t="s">
        <v>393</v>
      </c>
      <c r="AH3620" s="194" t="s">
        <v>678</v>
      </c>
      <c r="AI3620" s="6" t="s">
        <v>4309</v>
      </c>
      <c r="AJ3620" s="3" t="s">
        <v>8266</v>
      </c>
      <c r="AK3620" t="s">
        <v>8266</v>
      </c>
      <c r="AV3620"/>
      <c r="AX3620"/>
      <c r="AZ3620" t="str">
        <f t="shared" si="335"/>
        <v/>
      </c>
      <c r="BA3620" t="str">
        <f t="shared" si="336"/>
        <v/>
      </c>
    </row>
    <row r="3621" spans="29:53" ht="13.5">
      <c r="AC3621" s="6" t="s">
        <v>1665</v>
      </c>
      <c r="AD3621" s="6" t="s">
        <v>7530</v>
      </c>
      <c r="AE3621" s="170" t="s">
        <v>5086</v>
      </c>
      <c r="AF3621" s="159" t="s">
        <v>8459</v>
      </c>
      <c r="AG3621" s="160" t="s">
        <v>394</v>
      </c>
      <c r="AH3621" s="194" t="s">
        <v>678</v>
      </c>
      <c r="AI3621" s="6" t="s">
        <v>1140</v>
      </c>
      <c r="AJ3621" s="3" t="s">
        <v>8266</v>
      </c>
      <c r="AK3621" t="s">
        <v>8266</v>
      </c>
      <c r="AV3621"/>
      <c r="AX3621"/>
      <c r="AZ3621" t="str">
        <f t="shared" si="335"/>
        <v/>
      </c>
      <c r="BA3621" t="str">
        <f t="shared" si="336"/>
        <v/>
      </c>
    </row>
    <row r="3622" spans="29:53" ht="13.5">
      <c r="AC3622" s="6" t="s">
        <v>1413</v>
      </c>
      <c r="AD3622" s="6" t="s">
        <v>7530</v>
      </c>
      <c r="AE3622" s="170" t="s">
        <v>5241</v>
      </c>
      <c r="AF3622" s="159" t="s">
        <v>8459</v>
      </c>
      <c r="AG3622" s="160" t="s">
        <v>1032</v>
      </c>
      <c r="AH3622" s="194" t="s">
        <v>678</v>
      </c>
      <c r="AI3622" s="6" t="s">
        <v>1143</v>
      </c>
      <c r="AJ3622" s="3" t="s">
        <v>8225</v>
      </c>
      <c r="AK3622" t="s">
        <v>8225</v>
      </c>
      <c r="AV3622"/>
      <c r="AX3622"/>
      <c r="AZ3622" t="str">
        <f t="shared" si="335"/>
        <v/>
      </c>
      <c r="BA3622" t="str">
        <f t="shared" si="336"/>
        <v/>
      </c>
    </row>
    <row r="3623" spans="29:53" ht="13.5">
      <c r="AC3623" s="6" t="s">
        <v>344</v>
      </c>
      <c r="AD3623" s="6" t="s">
        <v>7530</v>
      </c>
      <c r="AE3623" s="170" t="s">
        <v>1549</v>
      </c>
      <c r="AF3623" s="159" t="s">
        <v>8498</v>
      </c>
      <c r="AG3623" s="160" t="s">
        <v>395</v>
      </c>
      <c r="AH3623" s="194" t="s">
        <v>678</v>
      </c>
      <c r="AI3623" s="6" t="s">
        <v>4315</v>
      </c>
      <c r="AJ3623" s="3" t="s">
        <v>8230</v>
      </c>
      <c r="AK3623" t="s">
        <v>8230</v>
      </c>
      <c r="AV3623"/>
      <c r="AX3623"/>
      <c r="AZ3623" t="str">
        <f t="shared" si="335"/>
        <v/>
      </c>
      <c r="BA3623" t="str">
        <f t="shared" si="336"/>
        <v/>
      </c>
    </row>
    <row r="3624" spans="29:53" ht="13.5">
      <c r="AC3624" s="6" t="s">
        <v>235</v>
      </c>
      <c r="AD3624" s="6" t="s">
        <v>7530</v>
      </c>
      <c r="AE3624" s="170" t="s">
        <v>1551</v>
      </c>
      <c r="AF3624" s="159" t="s">
        <v>8341</v>
      </c>
      <c r="AG3624" s="160" t="s">
        <v>396</v>
      </c>
      <c r="AH3624" s="194" t="s">
        <v>4700</v>
      </c>
      <c r="AI3624" s="6" t="s">
        <v>4316</v>
      </c>
      <c r="AJ3624" s="3" t="s">
        <v>8230</v>
      </c>
      <c r="AK3624" t="s">
        <v>8230</v>
      </c>
      <c r="AV3624"/>
      <c r="AX3624"/>
      <c r="AZ3624" t="str">
        <f t="shared" si="335"/>
        <v/>
      </c>
      <c r="BA3624" t="str">
        <f t="shared" si="336"/>
        <v/>
      </c>
    </row>
    <row r="3625" spans="29:53" ht="13.5">
      <c r="AC3625" s="6" t="s">
        <v>1336</v>
      </c>
      <c r="AD3625" s="6" t="s">
        <v>7530</v>
      </c>
      <c r="AE3625" s="170" t="s">
        <v>1554</v>
      </c>
      <c r="AF3625" s="159" t="s">
        <v>8499</v>
      </c>
      <c r="AG3625" s="160" t="s">
        <v>9</v>
      </c>
      <c r="AH3625" s="194" t="s">
        <v>678</v>
      </c>
      <c r="AI3625" s="6" t="s">
        <v>4317</v>
      </c>
      <c r="AJ3625" s="3" t="s">
        <v>8230</v>
      </c>
      <c r="AK3625" t="s">
        <v>8230</v>
      </c>
      <c r="AV3625"/>
      <c r="AX3625"/>
      <c r="AZ3625" t="str">
        <f t="shared" si="335"/>
        <v/>
      </c>
      <c r="BA3625" t="str">
        <f t="shared" si="336"/>
        <v/>
      </c>
    </row>
    <row r="3626" spans="29:53" ht="13.5">
      <c r="AC3626" s="6" t="s">
        <v>1524</v>
      </c>
      <c r="AD3626" s="6" t="s">
        <v>7530</v>
      </c>
      <c r="AE3626" s="170" t="s">
        <v>1555</v>
      </c>
      <c r="AF3626" s="159" t="s">
        <v>8440</v>
      </c>
      <c r="AG3626" s="160" t="s">
        <v>397</v>
      </c>
      <c r="AH3626" s="194" t="s">
        <v>4700</v>
      </c>
      <c r="AI3626" s="6" t="s">
        <v>4318</v>
      </c>
      <c r="AJ3626" s="3" t="s">
        <v>8230</v>
      </c>
      <c r="AK3626" t="s">
        <v>8230</v>
      </c>
      <c r="AV3626"/>
      <c r="AX3626"/>
      <c r="AZ3626" t="str">
        <f t="shared" si="335"/>
        <v/>
      </c>
      <c r="BA3626" t="str">
        <f t="shared" si="336"/>
        <v/>
      </c>
    </row>
    <row r="3627" spans="29:53" ht="13.5">
      <c r="AC3627" s="6" t="s">
        <v>969</v>
      </c>
      <c r="AD3627" s="6" t="s">
        <v>7530</v>
      </c>
      <c r="AE3627" s="170" t="s">
        <v>1556</v>
      </c>
      <c r="AF3627" s="159" t="s">
        <v>8500</v>
      </c>
      <c r="AG3627" s="160" t="s">
        <v>4513</v>
      </c>
      <c r="AH3627" s="194" t="s">
        <v>678</v>
      </c>
      <c r="AI3627" s="6" t="s">
        <v>4321</v>
      </c>
      <c r="AJ3627" s="3" t="s">
        <v>8230</v>
      </c>
      <c r="AK3627" t="s">
        <v>8230</v>
      </c>
      <c r="AV3627"/>
      <c r="AX3627"/>
      <c r="AZ3627" t="str">
        <f t="shared" si="335"/>
        <v/>
      </c>
      <c r="BA3627" t="str">
        <f t="shared" si="336"/>
        <v/>
      </c>
    </row>
    <row r="3628" spans="29:53" ht="13.5">
      <c r="AC3628" s="6" t="s">
        <v>1335</v>
      </c>
      <c r="AD3628" s="6" t="s">
        <v>7530</v>
      </c>
      <c r="AE3628" s="170" t="s">
        <v>1557</v>
      </c>
      <c r="AF3628" s="159" t="s">
        <v>8363</v>
      </c>
      <c r="AG3628" s="160" t="s">
        <v>945</v>
      </c>
      <c r="AH3628" s="194" t="s">
        <v>678</v>
      </c>
      <c r="AI3628" s="6" t="s">
        <v>4322</v>
      </c>
      <c r="AJ3628" s="3" t="s">
        <v>8230</v>
      </c>
      <c r="AK3628" t="s">
        <v>8230</v>
      </c>
      <c r="AV3628"/>
      <c r="AX3628"/>
      <c r="AZ3628" t="str">
        <f t="shared" si="335"/>
        <v/>
      </c>
      <c r="BA3628" t="str">
        <f t="shared" si="336"/>
        <v/>
      </c>
    </row>
    <row r="3629" spans="29:53" ht="13.5">
      <c r="AC3629" s="6" t="s">
        <v>5422</v>
      </c>
      <c r="AD3629" s="6" t="s">
        <v>7530</v>
      </c>
      <c r="AE3629" s="170" t="s">
        <v>1559</v>
      </c>
      <c r="AF3629" s="159" t="s">
        <v>8423</v>
      </c>
      <c r="AG3629" s="160" t="s">
        <v>1033</v>
      </c>
      <c r="AH3629" s="194" t="s">
        <v>678</v>
      </c>
      <c r="AI3629" s="6">
        <v>205588</v>
      </c>
      <c r="AJ3629" s="3" t="s">
        <v>8266</v>
      </c>
      <c r="AK3629" t="s">
        <v>8266</v>
      </c>
      <c r="AV3629"/>
      <c r="AX3629"/>
      <c r="AZ3629" t="str">
        <f t="shared" si="335"/>
        <v/>
      </c>
      <c r="BA3629" t="str">
        <f t="shared" si="336"/>
        <v/>
      </c>
    </row>
    <row r="3630" spans="29:53" ht="13.5">
      <c r="AC3630" s="6" t="s">
        <v>5280</v>
      </c>
      <c r="AD3630" s="6" t="s">
        <v>7530</v>
      </c>
      <c r="AE3630" s="170" t="s">
        <v>662</v>
      </c>
      <c r="AF3630" s="159" t="s">
        <v>8300</v>
      </c>
      <c r="AG3630" s="160" t="s">
        <v>398</v>
      </c>
      <c r="AH3630" s="194" t="s">
        <v>678</v>
      </c>
      <c r="AI3630" s="6">
        <v>206416</v>
      </c>
      <c r="AJ3630" s="3" t="s">
        <v>8268</v>
      </c>
      <c r="AK3630" t="s">
        <v>8268</v>
      </c>
      <c r="AV3630"/>
      <c r="AX3630"/>
      <c r="AZ3630" t="str">
        <f t="shared" si="335"/>
        <v/>
      </c>
      <c r="BA3630" t="str">
        <f t="shared" si="336"/>
        <v/>
      </c>
    </row>
    <row r="3631" spans="29:53" ht="13.5">
      <c r="AC3631" s="6" t="s">
        <v>1525</v>
      </c>
      <c r="AD3631" s="6" t="s">
        <v>7530</v>
      </c>
      <c r="AE3631" s="170" t="s">
        <v>1617</v>
      </c>
      <c r="AF3631" s="159" t="s">
        <v>8311</v>
      </c>
      <c r="AG3631" s="160" t="s">
        <v>3971</v>
      </c>
      <c r="AH3631" s="194" t="s">
        <v>678</v>
      </c>
      <c r="AI3631" s="6">
        <v>245209</v>
      </c>
      <c r="AJ3631" s="3" t="s">
        <v>8277</v>
      </c>
      <c r="AK3631" t="s">
        <v>8277</v>
      </c>
      <c r="AV3631"/>
      <c r="AX3631"/>
      <c r="AZ3631" t="str">
        <f t="shared" si="335"/>
        <v/>
      </c>
      <c r="BA3631" t="str">
        <f t="shared" si="336"/>
        <v/>
      </c>
    </row>
    <row r="3632" spans="29:53" ht="13.5">
      <c r="AC3632" s="6" t="s">
        <v>5423</v>
      </c>
      <c r="AD3632" s="6" t="s">
        <v>7530</v>
      </c>
      <c r="AE3632" s="170" t="s">
        <v>1629</v>
      </c>
      <c r="AF3632" s="159" t="s">
        <v>8353</v>
      </c>
      <c r="AG3632" s="160" t="s">
        <v>399</v>
      </c>
      <c r="AH3632" s="194" t="s">
        <v>678</v>
      </c>
      <c r="AI3632" s="6">
        <v>245211</v>
      </c>
      <c r="AJ3632" s="3" t="s">
        <v>8275</v>
      </c>
      <c r="AK3632" t="s">
        <v>8275</v>
      </c>
      <c r="AV3632"/>
      <c r="AX3632"/>
      <c r="AZ3632" t="str">
        <f t="shared" si="335"/>
        <v/>
      </c>
      <c r="BA3632" t="str">
        <f t="shared" si="336"/>
        <v/>
      </c>
    </row>
    <row r="3633" spans="29:53" ht="13.5">
      <c r="AC3633" s="6" t="s">
        <v>967</v>
      </c>
      <c r="AD3633" s="6" t="s">
        <v>7530</v>
      </c>
      <c r="AE3633" s="170" t="s">
        <v>5285</v>
      </c>
      <c r="AF3633" s="159" t="s">
        <v>8300</v>
      </c>
      <c r="AG3633" s="160" t="s">
        <v>400</v>
      </c>
      <c r="AH3633" s="194" t="s">
        <v>678</v>
      </c>
      <c r="AI3633" s="6">
        <v>275290</v>
      </c>
      <c r="AJ3633" s="3" t="s">
        <v>8244</v>
      </c>
      <c r="AK3633" t="s">
        <v>8244</v>
      </c>
      <c r="AV3633"/>
      <c r="AX3633"/>
      <c r="AZ3633" t="str">
        <f t="shared" si="335"/>
        <v/>
      </c>
      <c r="BA3633" t="str">
        <f t="shared" si="336"/>
        <v/>
      </c>
    </row>
    <row r="3634" spans="29:53" ht="13.5">
      <c r="AC3634" s="6" t="s">
        <v>6623</v>
      </c>
      <c r="AD3634" s="6" t="s">
        <v>7530</v>
      </c>
      <c r="AE3634" s="170" t="s">
        <v>5212</v>
      </c>
      <c r="AF3634" s="159" t="s">
        <v>8391</v>
      </c>
      <c r="AG3634" s="160" t="s">
        <v>401</v>
      </c>
      <c r="AH3634" s="194" t="s">
        <v>678</v>
      </c>
      <c r="AI3634" s="6" t="s">
        <v>4328</v>
      </c>
      <c r="AJ3634" s="3" t="s">
        <v>8230</v>
      </c>
      <c r="AK3634" t="s">
        <v>8230</v>
      </c>
      <c r="AV3634"/>
      <c r="AX3634"/>
      <c r="AZ3634" t="str">
        <f t="shared" si="335"/>
        <v/>
      </c>
      <c r="BA3634" t="str">
        <f t="shared" si="336"/>
        <v/>
      </c>
    </row>
    <row r="3635" spans="29:53" ht="13.5">
      <c r="AC3635" s="6" t="s">
        <v>1337</v>
      </c>
      <c r="AD3635" s="6" t="s">
        <v>7530</v>
      </c>
      <c r="AE3635" s="170" t="s">
        <v>5114</v>
      </c>
      <c r="AF3635" s="159" t="s">
        <v>8391</v>
      </c>
      <c r="AG3635" s="160" t="s">
        <v>402</v>
      </c>
      <c r="AH3635" s="194" t="s">
        <v>678</v>
      </c>
      <c r="AI3635" s="6" t="s">
        <v>4329</v>
      </c>
      <c r="AJ3635" s="3" t="s">
        <v>8269</v>
      </c>
      <c r="AK3635" t="s">
        <v>8269</v>
      </c>
      <c r="AV3635"/>
      <c r="AX3635"/>
      <c r="AZ3635" t="str">
        <f t="shared" si="335"/>
        <v/>
      </c>
      <c r="BA3635" t="str">
        <f t="shared" si="336"/>
        <v/>
      </c>
    </row>
    <row r="3636" spans="29:53" ht="13.5">
      <c r="AC3636" s="6" t="s">
        <v>1340</v>
      </c>
      <c r="AD3636" s="6" t="s">
        <v>7530</v>
      </c>
      <c r="AE3636" s="170" t="s">
        <v>5217</v>
      </c>
      <c r="AF3636" s="159" t="s">
        <v>8391</v>
      </c>
      <c r="AG3636" s="160" t="s">
        <v>403</v>
      </c>
      <c r="AH3636" s="194" t="s">
        <v>678</v>
      </c>
      <c r="AI3636" s="6" t="s">
        <v>4333</v>
      </c>
      <c r="AJ3636" s="3" t="s">
        <v>8230</v>
      </c>
      <c r="AK3636" t="s">
        <v>8230</v>
      </c>
      <c r="AV3636"/>
      <c r="AX3636"/>
      <c r="AZ3636" t="str">
        <f t="shared" si="335"/>
        <v/>
      </c>
      <c r="BA3636" t="str">
        <f t="shared" si="336"/>
        <v/>
      </c>
    </row>
    <row r="3637" spans="29:53" ht="13.5">
      <c r="AC3637" s="6" t="s">
        <v>1202</v>
      </c>
      <c r="AD3637" s="6" t="s">
        <v>7530</v>
      </c>
      <c r="AE3637" s="170" t="s">
        <v>5449</v>
      </c>
      <c r="AF3637" s="159" t="s">
        <v>8391</v>
      </c>
      <c r="AG3637" s="160" t="s">
        <v>404</v>
      </c>
      <c r="AH3637" s="194" t="s">
        <v>678</v>
      </c>
      <c r="AI3637" s="6" t="s">
        <v>4336</v>
      </c>
      <c r="AJ3637" s="3" t="s">
        <v>8236</v>
      </c>
      <c r="AK3637" t="s">
        <v>8236</v>
      </c>
      <c r="AV3637"/>
      <c r="AX3637"/>
      <c r="AZ3637" t="str">
        <f t="shared" si="335"/>
        <v/>
      </c>
      <c r="BA3637" t="str">
        <f t="shared" si="336"/>
        <v/>
      </c>
    </row>
    <row r="3638" spans="29:53" ht="13.5">
      <c r="AC3638" s="6" t="s">
        <v>1386</v>
      </c>
      <c r="AD3638" s="6" t="s">
        <v>7530</v>
      </c>
      <c r="AE3638" s="170" t="s">
        <v>5460</v>
      </c>
      <c r="AF3638" s="159" t="s">
        <v>8391</v>
      </c>
      <c r="AG3638" s="160" t="s">
        <v>405</v>
      </c>
      <c r="AH3638" s="194" t="s">
        <v>678</v>
      </c>
      <c r="AI3638" s="6" t="s">
        <v>4338</v>
      </c>
      <c r="AJ3638" s="3" t="s">
        <v>8236</v>
      </c>
      <c r="AK3638" t="s">
        <v>8236</v>
      </c>
      <c r="AV3638"/>
      <c r="AX3638"/>
      <c r="AZ3638" t="str">
        <f t="shared" si="335"/>
        <v/>
      </c>
      <c r="BA3638" t="str">
        <f t="shared" si="336"/>
        <v/>
      </c>
    </row>
    <row r="3639" spans="29:53" ht="13.5">
      <c r="AC3639" s="6" t="s">
        <v>566</v>
      </c>
      <c r="AD3639" s="6" t="s">
        <v>7530</v>
      </c>
      <c r="AE3639" s="170" t="s">
        <v>1106</v>
      </c>
      <c r="AF3639" s="159" t="s">
        <v>8339</v>
      </c>
      <c r="AG3639" s="160" t="s">
        <v>406</v>
      </c>
      <c r="AH3639" s="194" t="s">
        <v>678</v>
      </c>
      <c r="AI3639" s="6" t="s">
        <v>2271</v>
      </c>
      <c r="AJ3639" s="3" t="s">
        <v>8232</v>
      </c>
      <c r="AK3639" t="s">
        <v>8232</v>
      </c>
      <c r="AV3639"/>
      <c r="AX3639"/>
      <c r="AZ3639" t="str">
        <f t="shared" si="335"/>
        <v/>
      </c>
      <c r="BA3639" t="str">
        <f t="shared" si="336"/>
        <v/>
      </c>
    </row>
    <row r="3640" spans="29:53" ht="13.5">
      <c r="AC3640" s="6" t="s">
        <v>1088</v>
      </c>
      <c r="AD3640" s="6" t="s">
        <v>7530</v>
      </c>
      <c r="AE3640" s="170" t="s">
        <v>5448</v>
      </c>
      <c r="AF3640" s="159" t="s">
        <v>8391</v>
      </c>
      <c r="AG3640" s="160" t="s">
        <v>4724</v>
      </c>
      <c r="AH3640" s="194" t="s">
        <v>678</v>
      </c>
      <c r="AI3640" s="6" t="s">
        <v>2092</v>
      </c>
      <c r="AJ3640" s="3" t="s">
        <v>8213</v>
      </c>
      <c r="AK3640" t="s">
        <v>8213</v>
      </c>
      <c r="AV3640"/>
      <c r="AX3640"/>
      <c r="AZ3640" t="str">
        <f t="shared" si="335"/>
        <v/>
      </c>
      <c r="BA3640" t="str">
        <f t="shared" si="336"/>
        <v/>
      </c>
    </row>
    <row r="3641" spans="29:53" ht="13.5">
      <c r="AC3641" s="6" t="s">
        <v>315</v>
      </c>
      <c r="AD3641" s="6" t="s">
        <v>7530</v>
      </c>
      <c r="AE3641" s="170" t="s">
        <v>5461</v>
      </c>
      <c r="AF3641" s="159" t="s">
        <v>8391</v>
      </c>
      <c r="AG3641" s="160" t="s">
        <v>1379</v>
      </c>
      <c r="AH3641" s="194" t="s">
        <v>678</v>
      </c>
      <c r="AI3641" s="6" t="s">
        <v>2106</v>
      </c>
      <c r="AJ3641" s="3" t="s">
        <v>8227</v>
      </c>
      <c r="AK3641" t="s">
        <v>8227</v>
      </c>
      <c r="AV3641"/>
      <c r="AX3641"/>
      <c r="AZ3641" t="str">
        <f t="shared" ref="AZ3641:AZ3704" si="337">IF(ISBLANK(AW3641),"",CONCATENATE("(",RIGHT(AW3641,5),"-",TEXT(AX3641,"h:mm;@"),")"))</f>
        <v/>
      </c>
      <c r="BA3641" t="str">
        <f t="shared" ref="BA3641:BA3704" si="338">IF(AV3657=AV3641,"",CONCATENATE(IF(AV3656=AV3641,BA3656,""),IF(AV3655=AV3641,BA3655,""),IF(AV3654=AV3641,BA3654,""),IF(AV3653=AV3641,BA3653,""),IF(AV3652=AV3641,BA3652,""),IF(AV3651=AV3641,BA3651,""),IF(AV3650=AV3641,BA3650,""),IF(AV3649=AV3641,BA3649,""),IF(AV3648=AV3641,BA3648,""),IF(AV3647=AV3641,BA3647,""),IF(AV3646=AV3641,BA3646,""),IF(AV3645=AV3641,BA3645,""),IF(AV3644=AV3641,BA3644,""),IF(AV3643=AV3641,BA3643,""),IF(AV3642=AV3641,BA3642,""),IF(AV3640=AV3641,BA3640,""),BA3641))</f>
        <v/>
      </c>
    </row>
    <row r="3642" spans="29:53" ht="13.5">
      <c r="AC3642" s="6" t="s">
        <v>1339</v>
      </c>
      <c r="AD3642" s="6" t="s">
        <v>7530</v>
      </c>
      <c r="AE3642" s="170" t="s">
        <v>5478</v>
      </c>
      <c r="AF3642" s="159" t="s">
        <v>8459</v>
      </c>
      <c r="AG3642" s="160" t="s">
        <v>1380</v>
      </c>
      <c r="AH3642" s="194" t="s">
        <v>678</v>
      </c>
      <c r="AI3642" s="6" t="s">
        <v>2084</v>
      </c>
      <c r="AJ3642" s="3" t="s">
        <v>8227</v>
      </c>
      <c r="AK3642" t="s">
        <v>8227</v>
      </c>
      <c r="AV3642"/>
      <c r="AX3642"/>
      <c r="AZ3642" t="str">
        <f t="shared" si="337"/>
        <v/>
      </c>
      <c r="BA3642" t="str">
        <f t="shared" si="338"/>
        <v/>
      </c>
    </row>
    <row r="3643" spans="29:53" ht="13.5">
      <c r="AC3643" s="6" t="s">
        <v>1344</v>
      </c>
      <c r="AD3643" s="6" t="s">
        <v>7530</v>
      </c>
      <c r="AE3643" s="170" t="s">
        <v>5479</v>
      </c>
      <c r="AF3643" s="159" t="s">
        <v>8459</v>
      </c>
      <c r="AG3643" s="160" t="s">
        <v>1381</v>
      </c>
      <c r="AH3643" s="194" t="s">
        <v>678</v>
      </c>
      <c r="AI3643" s="6" t="s">
        <v>130</v>
      </c>
      <c r="AJ3643" s="3" t="s">
        <v>8217</v>
      </c>
      <c r="AK3643" t="s">
        <v>8668</v>
      </c>
      <c r="AV3643"/>
      <c r="AX3643"/>
      <c r="AZ3643" t="str">
        <f t="shared" si="337"/>
        <v/>
      </c>
      <c r="BA3643" t="str">
        <f t="shared" si="338"/>
        <v/>
      </c>
    </row>
    <row r="3644" spans="29:53" ht="13.5">
      <c r="AC3644" s="6" t="s">
        <v>424</v>
      </c>
      <c r="AD3644" s="6" t="s">
        <v>7530</v>
      </c>
      <c r="AE3644" s="170" t="s">
        <v>5480</v>
      </c>
      <c r="AF3644" s="159" t="s">
        <v>8459</v>
      </c>
      <c r="AG3644" s="160" t="s">
        <v>407</v>
      </c>
      <c r="AH3644" s="194" t="s">
        <v>678</v>
      </c>
      <c r="AI3644" s="6" t="s">
        <v>2109</v>
      </c>
      <c r="AJ3644" s="3" t="s">
        <v>8227</v>
      </c>
      <c r="AK3644" t="s">
        <v>8227</v>
      </c>
      <c r="AV3644"/>
      <c r="AX3644"/>
      <c r="AZ3644" t="str">
        <f t="shared" si="337"/>
        <v/>
      </c>
      <c r="BA3644" t="str">
        <f t="shared" si="338"/>
        <v/>
      </c>
    </row>
    <row r="3645" spans="29:53" ht="13.5">
      <c r="AC3645" s="6" t="s">
        <v>5513</v>
      </c>
      <c r="AD3645" s="6" t="s">
        <v>7530</v>
      </c>
      <c r="AE3645" s="170" t="s">
        <v>5520</v>
      </c>
      <c r="AF3645" s="159" t="s">
        <v>8391</v>
      </c>
      <c r="AG3645" s="160" t="s">
        <v>1034</v>
      </c>
      <c r="AH3645" s="194" t="s">
        <v>678</v>
      </c>
      <c r="AI3645" s="6" t="s">
        <v>4349</v>
      </c>
      <c r="AJ3645" s="3" t="s">
        <v>8232</v>
      </c>
      <c r="AK3645" t="s">
        <v>8232</v>
      </c>
      <c r="AV3645"/>
      <c r="AX3645"/>
      <c r="AZ3645" t="str">
        <f t="shared" si="337"/>
        <v/>
      </c>
      <c r="BA3645" t="str">
        <f t="shared" si="338"/>
        <v/>
      </c>
    </row>
    <row r="3646" spans="29:53" ht="13.5">
      <c r="AC3646" s="6" t="s">
        <v>1319</v>
      </c>
      <c r="AD3646" s="6" t="s">
        <v>7530</v>
      </c>
      <c r="AE3646" s="170" t="s">
        <v>5521</v>
      </c>
      <c r="AF3646" s="159" t="s">
        <v>8391</v>
      </c>
      <c r="AG3646" s="160" t="s">
        <v>408</v>
      </c>
      <c r="AH3646" s="194" t="s">
        <v>678</v>
      </c>
      <c r="AI3646" s="6" t="s">
        <v>2110</v>
      </c>
      <c r="AJ3646" s="3" t="s">
        <v>8227</v>
      </c>
      <c r="AK3646" t="s">
        <v>8227</v>
      </c>
      <c r="AV3646"/>
      <c r="AX3646"/>
      <c r="AZ3646" t="str">
        <f t="shared" si="337"/>
        <v/>
      </c>
      <c r="BA3646" t="str">
        <f t="shared" si="338"/>
        <v/>
      </c>
    </row>
    <row r="3647" spans="29:53" ht="13.5">
      <c r="AC3647" s="6">
        <v>75420</v>
      </c>
      <c r="AD3647" s="6" t="s">
        <v>7563</v>
      </c>
      <c r="AE3647" s="170" t="s">
        <v>5488</v>
      </c>
      <c r="AF3647" s="159" t="s">
        <v>8459</v>
      </c>
      <c r="AG3647" s="160" t="s">
        <v>409</v>
      </c>
      <c r="AH3647" s="194" t="s">
        <v>4700</v>
      </c>
      <c r="AI3647" s="6" t="s">
        <v>2113</v>
      </c>
      <c r="AJ3647" s="3" t="s">
        <v>8252</v>
      </c>
      <c r="AK3647" t="s">
        <v>8252</v>
      </c>
      <c r="AV3647"/>
      <c r="AX3647"/>
      <c r="AZ3647" t="str">
        <f t="shared" si="337"/>
        <v/>
      </c>
      <c r="BA3647" t="str">
        <f t="shared" si="338"/>
        <v/>
      </c>
    </row>
    <row r="3648" spans="29:53" ht="13.5">
      <c r="AC3648" s="6" t="s">
        <v>391</v>
      </c>
      <c r="AD3648" s="6" t="s">
        <v>7530</v>
      </c>
      <c r="AE3648" s="170">
        <v>25342</v>
      </c>
      <c r="AF3648" s="159" t="s">
        <v>8458</v>
      </c>
      <c r="AG3648" s="160" t="s">
        <v>1382</v>
      </c>
      <c r="AH3648" s="194" t="s">
        <v>678</v>
      </c>
      <c r="AI3648" s="6" t="s">
        <v>2118</v>
      </c>
      <c r="AJ3648" s="3" t="s">
        <v>8243</v>
      </c>
      <c r="AK3648" t="s">
        <v>8243</v>
      </c>
      <c r="AV3648"/>
      <c r="AX3648"/>
      <c r="AZ3648" t="str">
        <f t="shared" si="337"/>
        <v/>
      </c>
      <c r="BA3648" t="str">
        <f t="shared" si="338"/>
        <v/>
      </c>
    </row>
    <row r="3649" spans="29:53" ht="13.5">
      <c r="AC3649" s="6" t="s">
        <v>1365</v>
      </c>
      <c r="AD3649" s="6" t="s">
        <v>7530</v>
      </c>
      <c r="AE3649" s="170" t="s">
        <v>5459</v>
      </c>
      <c r="AF3649" s="159" t="s">
        <v>8391</v>
      </c>
      <c r="AG3649" s="160" t="s">
        <v>410</v>
      </c>
      <c r="AH3649" s="194" t="s">
        <v>678</v>
      </c>
      <c r="AI3649" s="6" t="s">
        <v>2119</v>
      </c>
      <c r="AJ3649" s="3" t="s">
        <v>8232</v>
      </c>
      <c r="AK3649" t="s">
        <v>8232</v>
      </c>
      <c r="AV3649"/>
      <c r="AX3649"/>
      <c r="AZ3649" t="str">
        <f t="shared" si="337"/>
        <v/>
      </c>
      <c r="BA3649" t="str">
        <f t="shared" si="338"/>
        <v/>
      </c>
    </row>
    <row r="3650" spans="29:53" ht="13.5">
      <c r="AC3650" s="6" t="s">
        <v>970</v>
      </c>
      <c r="AD3650" s="6" t="s">
        <v>7530</v>
      </c>
      <c r="AE3650" s="170" t="s">
        <v>5767</v>
      </c>
      <c r="AF3650" s="159" t="s">
        <v>8501</v>
      </c>
      <c r="AG3650" s="160" t="s">
        <v>411</v>
      </c>
      <c r="AH3650" s="194" t="s">
        <v>678</v>
      </c>
      <c r="AI3650" s="6" t="s">
        <v>4351</v>
      </c>
      <c r="AJ3650" s="3" t="s">
        <v>8232</v>
      </c>
      <c r="AK3650" t="s">
        <v>8232</v>
      </c>
      <c r="AV3650"/>
      <c r="AX3650"/>
      <c r="AZ3650" t="str">
        <f t="shared" si="337"/>
        <v/>
      </c>
      <c r="BA3650" t="str">
        <f t="shared" si="338"/>
        <v/>
      </c>
    </row>
    <row r="3651" spans="29:53" ht="13.5">
      <c r="AC3651" s="6" t="s">
        <v>1165</v>
      </c>
      <c r="AD3651" s="6" t="s">
        <v>7530</v>
      </c>
      <c r="AE3651" s="170" t="s">
        <v>5768</v>
      </c>
      <c r="AF3651" s="159" t="s">
        <v>8502</v>
      </c>
      <c r="AG3651" s="160" t="s">
        <v>412</v>
      </c>
      <c r="AH3651" s="194" t="s">
        <v>679</v>
      </c>
      <c r="AI3651" s="6" t="s">
        <v>4352</v>
      </c>
      <c r="AJ3651" s="3" t="s">
        <v>8232</v>
      </c>
      <c r="AK3651" t="s">
        <v>8232</v>
      </c>
      <c r="AV3651"/>
      <c r="AX3651"/>
      <c r="AZ3651" t="str">
        <f t="shared" si="337"/>
        <v/>
      </c>
      <c r="BA3651" t="str">
        <f t="shared" si="338"/>
        <v/>
      </c>
    </row>
    <row r="3652" spans="29:53" ht="13.5">
      <c r="AC3652" s="6">
        <v>505359</v>
      </c>
      <c r="AD3652" s="6" t="s">
        <v>7564</v>
      </c>
      <c r="AE3652" s="170" t="s">
        <v>5133</v>
      </c>
      <c r="AF3652" s="159" t="s">
        <v>8300</v>
      </c>
      <c r="AG3652" s="160" t="s">
        <v>413</v>
      </c>
      <c r="AH3652" s="194" t="s">
        <v>678</v>
      </c>
      <c r="AI3652" s="6" t="s">
        <v>4353</v>
      </c>
      <c r="AJ3652" s="3" t="s">
        <v>8232</v>
      </c>
      <c r="AK3652" t="s">
        <v>8232</v>
      </c>
      <c r="AV3652"/>
      <c r="AX3652"/>
      <c r="AZ3652" t="str">
        <f t="shared" si="337"/>
        <v/>
      </c>
      <c r="BA3652" t="str">
        <f t="shared" si="338"/>
        <v/>
      </c>
    </row>
    <row r="3653" spans="29:53" ht="13.5">
      <c r="AC3653" s="6" t="s">
        <v>1520</v>
      </c>
      <c r="AD3653" s="6" t="s">
        <v>7530</v>
      </c>
      <c r="AE3653" s="170" t="s">
        <v>5444</v>
      </c>
      <c r="AF3653" s="159" t="s">
        <v>8300</v>
      </c>
      <c r="AG3653" s="160" t="s">
        <v>414</v>
      </c>
      <c r="AH3653" s="194" t="s">
        <v>678</v>
      </c>
      <c r="AI3653" s="6" t="s">
        <v>4354</v>
      </c>
      <c r="AJ3653" s="3" t="s">
        <v>8232</v>
      </c>
      <c r="AK3653" t="s">
        <v>8232</v>
      </c>
      <c r="AV3653"/>
      <c r="AX3653"/>
      <c r="AZ3653" t="str">
        <f t="shared" si="337"/>
        <v/>
      </c>
      <c r="BA3653" t="str">
        <f t="shared" si="338"/>
        <v/>
      </c>
    </row>
    <row r="3654" spans="29:53" ht="13.5">
      <c r="AC3654" s="6" t="s">
        <v>419</v>
      </c>
      <c r="AD3654" s="6" t="s">
        <v>7530</v>
      </c>
      <c r="AE3654" s="170" t="s">
        <v>5121</v>
      </c>
      <c r="AF3654" s="159" t="s">
        <v>8300</v>
      </c>
      <c r="AG3654" s="160" t="s">
        <v>415</v>
      </c>
      <c r="AH3654" s="194" t="s">
        <v>678</v>
      </c>
      <c r="AI3654" s="6" t="s">
        <v>4355</v>
      </c>
      <c r="AJ3654" s="3" t="s">
        <v>8232</v>
      </c>
      <c r="AK3654" t="s">
        <v>8232</v>
      </c>
      <c r="AV3654"/>
      <c r="AX3654"/>
      <c r="AZ3654" t="str">
        <f t="shared" si="337"/>
        <v/>
      </c>
      <c r="BA3654" t="str">
        <f t="shared" si="338"/>
        <v/>
      </c>
    </row>
    <row r="3655" spans="29:53" ht="13.5">
      <c r="AC3655" s="6" t="s">
        <v>1653</v>
      </c>
      <c r="AD3655" s="6" t="s">
        <v>7530</v>
      </c>
      <c r="AE3655" s="170" t="s">
        <v>5072</v>
      </c>
      <c r="AF3655" s="159" t="s">
        <v>8300</v>
      </c>
      <c r="AG3655" s="160" t="s">
        <v>8</v>
      </c>
      <c r="AH3655" s="194" t="s">
        <v>678</v>
      </c>
      <c r="AI3655" s="6" t="s">
        <v>4359</v>
      </c>
      <c r="AJ3655" s="3" t="s">
        <v>8243</v>
      </c>
      <c r="AK3655" t="s">
        <v>8243</v>
      </c>
      <c r="AV3655"/>
      <c r="AX3655"/>
      <c r="AZ3655" t="str">
        <f t="shared" si="337"/>
        <v/>
      </c>
      <c r="BA3655" t="str">
        <f t="shared" si="338"/>
        <v/>
      </c>
    </row>
    <row r="3656" spans="29:53" ht="13.5">
      <c r="AC3656" s="6" t="s">
        <v>1445</v>
      </c>
      <c r="AD3656" s="6" t="s">
        <v>7530</v>
      </c>
      <c r="AE3656" s="170" t="s">
        <v>5152</v>
      </c>
      <c r="AF3656" s="159" t="s">
        <v>8300</v>
      </c>
      <c r="AG3656" s="160" t="s">
        <v>416</v>
      </c>
      <c r="AH3656" s="194" t="s">
        <v>678</v>
      </c>
      <c r="AI3656" s="6">
        <v>313508</v>
      </c>
      <c r="AJ3656" s="3" t="s">
        <v>8256</v>
      </c>
      <c r="AK3656" t="s">
        <v>8256</v>
      </c>
      <c r="AV3656"/>
      <c r="AX3656"/>
      <c r="AZ3656" t="str">
        <f t="shared" si="337"/>
        <v/>
      </c>
      <c r="BA3656" t="str">
        <f t="shared" si="338"/>
        <v/>
      </c>
    </row>
    <row r="3657" spans="29:53" ht="13.5">
      <c r="AC3657" s="6" t="s">
        <v>560</v>
      </c>
      <c r="AD3657" s="6" t="s">
        <v>7530</v>
      </c>
      <c r="AE3657" s="170" t="s">
        <v>5117</v>
      </c>
      <c r="AF3657" s="159" t="s">
        <v>8300</v>
      </c>
      <c r="AG3657" s="160" t="s">
        <v>14</v>
      </c>
      <c r="AH3657" s="194" t="s">
        <v>678</v>
      </c>
      <c r="AI3657" s="6">
        <v>313509</v>
      </c>
      <c r="AJ3657" s="3" t="s">
        <v>8256</v>
      </c>
      <c r="AK3657" t="s">
        <v>8256</v>
      </c>
      <c r="AV3657"/>
      <c r="AX3657"/>
      <c r="AZ3657" t="str">
        <f t="shared" si="337"/>
        <v/>
      </c>
      <c r="BA3657" t="str">
        <f t="shared" si="338"/>
        <v/>
      </c>
    </row>
    <row r="3658" spans="29:53" ht="13.5">
      <c r="AC3658" s="6" t="s">
        <v>316</v>
      </c>
      <c r="AD3658" s="6" t="s">
        <v>7530</v>
      </c>
      <c r="AE3658" s="170" t="s">
        <v>5233</v>
      </c>
      <c r="AF3658" s="159" t="s">
        <v>8300</v>
      </c>
      <c r="AG3658" s="160" t="s">
        <v>1383</v>
      </c>
      <c r="AH3658" s="194" t="s">
        <v>678</v>
      </c>
      <c r="AI3658" s="6">
        <v>345241</v>
      </c>
      <c r="AJ3658" s="3" t="s">
        <v>8269</v>
      </c>
      <c r="AK3658" t="s">
        <v>8269</v>
      </c>
      <c r="AV3658"/>
      <c r="AX3658"/>
      <c r="AZ3658" t="str">
        <f t="shared" si="337"/>
        <v/>
      </c>
      <c r="BA3658" t="str">
        <f t="shared" si="338"/>
        <v/>
      </c>
    </row>
    <row r="3659" spans="29:53" ht="13.5">
      <c r="AC3659" s="6" t="s">
        <v>1275</v>
      </c>
      <c r="AD3659" s="6" t="s">
        <v>7530</v>
      </c>
      <c r="AE3659" s="170" t="s">
        <v>5134</v>
      </c>
      <c r="AF3659" s="159" t="s">
        <v>8300</v>
      </c>
      <c r="AG3659" s="160" t="s">
        <v>1384</v>
      </c>
      <c r="AH3659" s="194" t="s">
        <v>678</v>
      </c>
      <c r="AI3659" s="6">
        <v>375604</v>
      </c>
      <c r="AJ3659" s="3" t="s">
        <v>8270</v>
      </c>
      <c r="AK3659" t="s">
        <v>8270</v>
      </c>
      <c r="AV3659"/>
      <c r="AX3659"/>
      <c r="AZ3659" t="str">
        <f t="shared" si="337"/>
        <v/>
      </c>
      <c r="BA3659" t="str">
        <f t="shared" si="338"/>
        <v/>
      </c>
    </row>
    <row r="3660" spans="29:53" ht="13.5">
      <c r="AC3660" s="6" t="s">
        <v>5412</v>
      </c>
      <c r="AD3660" s="6" t="s">
        <v>7530</v>
      </c>
      <c r="AE3660" s="170" t="s">
        <v>5139</v>
      </c>
      <c r="AF3660" s="159" t="s">
        <v>8300</v>
      </c>
      <c r="AG3660" s="160" t="s">
        <v>417</v>
      </c>
      <c r="AH3660" s="194" t="s">
        <v>678</v>
      </c>
      <c r="AI3660" s="6">
        <v>375639</v>
      </c>
      <c r="AJ3660" s="3" t="s">
        <v>8283</v>
      </c>
      <c r="AK3660" t="s">
        <v>8283</v>
      </c>
      <c r="AV3660"/>
      <c r="AX3660"/>
      <c r="AZ3660" t="str">
        <f t="shared" si="337"/>
        <v/>
      </c>
      <c r="BA3660" t="str">
        <f t="shared" si="338"/>
        <v/>
      </c>
    </row>
    <row r="3661" spans="29:53" ht="13.5">
      <c r="AC3661" s="6" t="s">
        <v>229</v>
      </c>
      <c r="AD3661" s="6" t="s">
        <v>7530</v>
      </c>
      <c r="AE3661" s="170" t="s">
        <v>5174</v>
      </c>
      <c r="AF3661" s="159" t="s">
        <v>8300</v>
      </c>
      <c r="AG3661" s="160" t="s">
        <v>418</v>
      </c>
      <c r="AH3661" s="194" t="s">
        <v>678</v>
      </c>
      <c r="AI3661" s="6">
        <v>375640</v>
      </c>
      <c r="AJ3661" s="3" t="s">
        <v>8283</v>
      </c>
      <c r="AK3661" t="s">
        <v>8283</v>
      </c>
      <c r="AV3661"/>
      <c r="AX3661"/>
      <c r="AZ3661" t="str">
        <f t="shared" si="337"/>
        <v/>
      </c>
      <c r="BA3661" t="str">
        <f t="shared" si="338"/>
        <v/>
      </c>
    </row>
    <row r="3662" spans="29:53" ht="13.5">
      <c r="AC3662" s="6" t="s">
        <v>422</v>
      </c>
      <c r="AD3662" s="6" t="s">
        <v>7530</v>
      </c>
      <c r="AE3662" s="170" t="s">
        <v>5327</v>
      </c>
      <c r="AF3662" s="159" t="s">
        <v>8339</v>
      </c>
      <c r="AG3662" s="160" t="s">
        <v>419</v>
      </c>
      <c r="AH3662" s="194" t="s">
        <v>678</v>
      </c>
      <c r="AI3662" s="6">
        <v>375641</v>
      </c>
      <c r="AJ3662" s="3" t="s">
        <v>8270</v>
      </c>
      <c r="AK3662" t="s">
        <v>8270</v>
      </c>
      <c r="AV3662"/>
      <c r="AX3662"/>
      <c r="AZ3662" t="str">
        <f t="shared" si="337"/>
        <v/>
      </c>
      <c r="BA3662" t="str">
        <f t="shared" si="338"/>
        <v/>
      </c>
    </row>
    <row r="3663" spans="29:53" ht="13.5">
      <c r="AC3663" s="6" t="s">
        <v>5424</v>
      </c>
      <c r="AD3663" s="6" t="s">
        <v>7530</v>
      </c>
      <c r="AE3663" s="170" t="s">
        <v>5320</v>
      </c>
      <c r="AF3663" s="159" t="s">
        <v>8339</v>
      </c>
      <c r="AG3663" s="160" t="s">
        <v>420</v>
      </c>
      <c r="AH3663" s="194" t="s">
        <v>678</v>
      </c>
      <c r="AI3663" s="6">
        <v>385655</v>
      </c>
      <c r="AJ3663" s="3" t="s">
        <v>8255</v>
      </c>
      <c r="AK3663" t="s">
        <v>8255</v>
      </c>
      <c r="AV3663"/>
      <c r="AX3663"/>
      <c r="AZ3663" t="str">
        <f t="shared" si="337"/>
        <v/>
      </c>
      <c r="BA3663" t="str">
        <f t="shared" si="338"/>
        <v/>
      </c>
    </row>
    <row r="3664" spans="29:53" ht="13.5">
      <c r="AC3664" s="6" t="s">
        <v>999</v>
      </c>
      <c r="AD3664" s="6" t="s">
        <v>7530</v>
      </c>
      <c r="AE3664" s="170" t="s">
        <v>5413</v>
      </c>
      <c r="AF3664" s="159" t="s">
        <v>8339</v>
      </c>
      <c r="AG3664" s="160" t="s">
        <v>421</v>
      </c>
      <c r="AH3664" s="194" t="s">
        <v>678</v>
      </c>
      <c r="AI3664" s="6">
        <v>385657</v>
      </c>
      <c r="AJ3664" s="3" t="s">
        <v>8255</v>
      </c>
      <c r="AK3664" t="s">
        <v>8255</v>
      </c>
      <c r="AV3664"/>
      <c r="AX3664"/>
      <c r="AZ3664" t="str">
        <f t="shared" si="337"/>
        <v/>
      </c>
      <c r="BA3664" t="str">
        <f t="shared" si="338"/>
        <v/>
      </c>
    </row>
    <row r="3665" spans="29:53" ht="13.5">
      <c r="AC3665" s="6" t="s">
        <v>1000</v>
      </c>
      <c r="AD3665" s="6" t="s">
        <v>7530</v>
      </c>
      <c r="AE3665" s="170" t="s">
        <v>5417</v>
      </c>
      <c r="AF3665" s="159" t="s">
        <v>8339</v>
      </c>
      <c r="AG3665" s="160" t="s">
        <v>422</v>
      </c>
      <c r="AH3665" s="194" t="s">
        <v>4700</v>
      </c>
      <c r="AI3665" s="6">
        <v>385658</v>
      </c>
      <c r="AJ3665" s="3" t="s">
        <v>8255</v>
      </c>
      <c r="AK3665" t="s">
        <v>8255</v>
      </c>
      <c r="AV3665"/>
      <c r="AX3665"/>
      <c r="AZ3665" t="str">
        <f t="shared" si="337"/>
        <v/>
      </c>
      <c r="BA3665" t="str">
        <f t="shared" si="338"/>
        <v/>
      </c>
    </row>
    <row r="3666" spans="29:53" ht="13.5">
      <c r="AC3666" s="6" t="s">
        <v>997</v>
      </c>
      <c r="AD3666" s="6" t="s">
        <v>7530</v>
      </c>
      <c r="AE3666" s="170" t="s">
        <v>5418</v>
      </c>
      <c r="AF3666" s="159" t="s">
        <v>8339</v>
      </c>
      <c r="AG3666" s="160" t="s">
        <v>423</v>
      </c>
      <c r="AH3666" s="194" t="s">
        <v>678</v>
      </c>
      <c r="AI3666" s="6">
        <v>385659</v>
      </c>
      <c r="AJ3666" s="3" t="s">
        <v>8274</v>
      </c>
      <c r="AK3666" t="s">
        <v>8274</v>
      </c>
      <c r="AV3666"/>
      <c r="AX3666"/>
      <c r="AZ3666" t="str">
        <f t="shared" si="337"/>
        <v/>
      </c>
      <c r="BA3666" t="str">
        <f t="shared" si="338"/>
        <v/>
      </c>
    </row>
    <row r="3667" spans="29:53" ht="13.5">
      <c r="AC3667" s="6" t="s">
        <v>998</v>
      </c>
      <c r="AD3667" s="6" t="s">
        <v>7530</v>
      </c>
      <c r="AE3667" s="170" t="s">
        <v>5421</v>
      </c>
      <c r="AF3667" s="159" t="s">
        <v>8339</v>
      </c>
      <c r="AG3667" s="160" t="s">
        <v>1385</v>
      </c>
      <c r="AH3667" s="194" t="s">
        <v>678</v>
      </c>
      <c r="AI3667" s="6">
        <v>385660</v>
      </c>
      <c r="AJ3667" s="3" t="s">
        <v>8274</v>
      </c>
      <c r="AK3667" t="s">
        <v>8274</v>
      </c>
      <c r="AV3667"/>
      <c r="AX3667"/>
      <c r="AZ3667" t="str">
        <f t="shared" si="337"/>
        <v/>
      </c>
      <c r="BA3667" t="str">
        <f t="shared" si="338"/>
        <v/>
      </c>
    </row>
    <row r="3668" spans="29:53" ht="13.5">
      <c r="AC3668" s="6" t="s">
        <v>1331</v>
      </c>
      <c r="AD3668" s="6" t="s">
        <v>7530</v>
      </c>
      <c r="AE3668" s="170" t="s">
        <v>5422</v>
      </c>
      <c r="AF3668" s="159" t="s">
        <v>8339</v>
      </c>
      <c r="AG3668" s="160" t="s">
        <v>424</v>
      </c>
      <c r="AH3668" s="194" t="s">
        <v>678</v>
      </c>
      <c r="AI3668" s="6">
        <v>385664</v>
      </c>
      <c r="AJ3668" s="3" t="s">
        <v>8242</v>
      </c>
      <c r="AK3668" t="s">
        <v>8281</v>
      </c>
      <c r="AV3668"/>
      <c r="AX3668"/>
      <c r="AZ3668" t="str">
        <f t="shared" si="337"/>
        <v/>
      </c>
      <c r="BA3668" t="str">
        <f t="shared" si="338"/>
        <v/>
      </c>
    </row>
    <row r="3669" spans="29:53" ht="13.5">
      <c r="AC3669" s="6" t="s">
        <v>1332</v>
      </c>
      <c r="AD3669" s="6" t="s">
        <v>7530</v>
      </c>
      <c r="AE3669" s="170" t="s">
        <v>5423</v>
      </c>
      <c r="AF3669" s="159" t="s">
        <v>8339</v>
      </c>
      <c r="AG3669" s="160" t="s">
        <v>1386</v>
      </c>
      <c r="AH3669" s="194" t="s">
        <v>4700</v>
      </c>
      <c r="AI3669" s="6">
        <v>385665</v>
      </c>
      <c r="AJ3669" s="3" t="s">
        <v>8242</v>
      </c>
      <c r="AK3669" t="s">
        <v>8281</v>
      </c>
      <c r="AV3669"/>
      <c r="AX3669"/>
      <c r="AZ3669" t="str">
        <f t="shared" si="337"/>
        <v/>
      </c>
      <c r="BA3669" t="str">
        <f t="shared" si="338"/>
        <v/>
      </c>
    </row>
    <row r="3670" spans="29:53" ht="13.5">
      <c r="AC3670" s="6" t="s">
        <v>281</v>
      </c>
      <c r="AD3670" s="6" t="s">
        <v>7530</v>
      </c>
      <c r="AE3670" s="170" t="s">
        <v>5427</v>
      </c>
      <c r="AF3670" s="159" t="s">
        <v>8339</v>
      </c>
      <c r="AG3670" s="160" t="s">
        <v>425</v>
      </c>
      <c r="AH3670" s="194" t="s">
        <v>678</v>
      </c>
      <c r="AI3670" s="6">
        <v>386346</v>
      </c>
      <c r="AJ3670" s="3" t="s">
        <v>8242</v>
      </c>
      <c r="AK3670" t="s">
        <v>8281</v>
      </c>
      <c r="AV3670"/>
      <c r="AX3670"/>
      <c r="AZ3670" t="str">
        <f t="shared" si="337"/>
        <v/>
      </c>
      <c r="BA3670" t="str">
        <f t="shared" si="338"/>
        <v/>
      </c>
    </row>
    <row r="3671" spans="29:53" ht="13.5">
      <c r="AC3671" s="6" t="s">
        <v>414</v>
      </c>
      <c r="AD3671" s="6" t="s">
        <v>7530</v>
      </c>
      <c r="AE3671" s="170" t="s">
        <v>5430</v>
      </c>
      <c r="AF3671" s="159" t="s">
        <v>8339</v>
      </c>
      <c r="AG3671" s="160" t="s">
        <v>426</v>
      </c>
      <c r="AH3671" s="194" t="s">
        <v>678</v>
      </c>
      <c r="AI3671" s="6">
        <v>386400</v>
      </c>
      <c r="AJ3671" s="3" t="s">
        <v>8242</v>
      </c>
      <c r="AK3671" t="s">
        <v>8281</v>
      </c>
      <c r="AV3671"/>
      <c r="AX3671"/>
      <c r="AZ3671" t="str">
        <f t="shared" si="337"/>
        <v/>
      </c>
      <c r="BA3671" t="str">
        <f t="shared" si="338"/>
        <v/>
      </c>
    </row>
    <row r="3672" spans="29:53" ht="13.5">
      <c r="AC3672" s="6" t="s">
        <v>569</v>
      </c>
      <c r="AD3672" s="6" t="s">
        <v>7530</v>
      </c>
      <c r="AE3672" s="170" t="s">
        <v>5431</v>
      </c>
      <c r="AF3672" s="159" t="s">
        <v>8339</v>
      </c>
      <c r="AG3672" s="160" t="s">
        <v>427</v>
      </c>
      <c r="AH3672" s="194" t="s">
        <v>678</v>
      </c>
      <c r="AI3672" s="6" t="s">
        <v>4360</v>
      </c>
      <c r="AJ3672" s="3" t="s">
        <v>8249</v>
      </c>
      <c r="AK3672" t="s">
        <v>8249</v>
      </c>
      <c r="AV3672"/>
      <c r="AX3672"/>
      <c r="AZ3672" t="str">
        <f t="shared" si="337"/>
        <v/>
      </c>
      <c r="BA3672" t="str">
        <f t="shared" si="338"/>
        <v/>
      </c>
    </row>
    <row r="3673" spans="29:53" ht="13.5">
      <c r="AC3673" s="6" t="s">
        <v>234</v>
      </c>
      <c r="AD3673" s="6" t="s">
        <v>7530</v>
      </c>
      <c r="AE3673" s="170" t="s">
        <v>5432</v>
      </c>
      <c r="AF3673" s="159" t="s">
        <v>8339</v>
      </c>
      <c r="AG3673" s="160" t="s">
        <v>428</v>
      </c>
      <c r="AH3673" s="194" t="s">
        <v>678</v>
      </c>
      <c r="AI3673" s="6" t="s">
        <v>2131</v>
      </c>
      <c r="AJ3673" s="3" t="s">
        <v>8232</v>
      </c>
      <c r="AK3673" t="s">
        <v>8232</v>
      </c>
      <c r="AV3673"/>
      <c r="AX3673"/>
      <c r="AZ3673" t="str">
        <f t="shared" si="337"/>
        <v/>
      </c>
      <c r="BA3673" t="str">
        <f t="shared" si="338"/>
        <v/>
      </c>
    </row>
    <row r="3674" spans="29:53" ht="13.5">
      <c r="AC3674" s="6" t="s">
        <v>313</v>
      </c>
      <c r="AD3674" s="6" t="s">
        <v>7530</v>
      </c>
      <c r="AE3674" s="170" t="s">
        <v>5433</v>
      </c>
      <c r="AF3674" s="159" t="s">
        <v>8339</v>
      </c>
      <c r="AG3674" s="160" t="s">
        <v>1387</v>
      </c>
      <c r="AH3674" s="194" t="s">
        <v>678</v>
      </c>
      <c r="AI3674" s="6" t="s">
        <v>4361</v>
      </c>
      <c r="AJ3674" s="3" t="s">
        <v>8249</v>
      </c>
      <c r="AK3674" t="s">
        <v>8249</v>
      </c>
      <c r="AV3674"/>
      <c r="AX3674"/>
      <c r="AZ3674" t="str">
        <f t="shared" si="337"/>
        <v/>
      </c>
      <c r="BA3674" t="str">
        <f t="shared" si="338"/>
        <v/>
      </c>
    </row>
    <row r="3675" spans="29:53" ht="13.5">
      <c r="AC3675" s="6" t="s">
        <v>1522</v>
      </c>
      <c r="AD3675" s="6" t="s">
        <v>7530</v>
      </c>
      <c r="AE3675" s="170" t="s">
        <v>5438</v>
      </c>
      <c r="AF3675" s="159" t="s">
        <v>8339</v>
      </c>
      <c r="AG3675" s="160" t="s">
        <v>1388</v>
      </c>
      <c r="AH3675" s="194" t="s">
        <v>678</v>
      </c>
      <c r="AI3675" s="6" t="s">
        <v>4363</v>
      </c>
      <c r="AJ3675" s="3" t="s">
        <v>8249</v>
      </c>
      <c r="AK3675" t="s">
        <v>8249</v>
      </c>
      <c r="AV3675"/>
      <c r="AX3675"/>
      <c r="AZ3675" t="str">
        <f t="shared" si="337"/>
        <v/>
      </c>
      <c r="BA3675" t="str">
        <f t="shared" si="338"/>
        <v/>
      </c>
    </row>
    <row r="3676" spans="29:53" ht="13.5">
      <c r="AC3676" s="6" t="s">
        <v>1385</v>
      </c>
      <c r="AD3676" s="6" t="s">
        <v>7530</v>
      </c>
      <c r="AE3676" s="170" t="s">
        <v>5292</v>
      </c>
      <c r="AF3676" s="159" t="s">
        <v>8339</v>
      </c>
      <c r="AG3676" s="160" t="s">
        <v>1205</v>
      </c>
      <c r="AH3676" s="194" t="s">
        <v>678</v>
      </c>
      <c r="AI3676" s="6" t="s">
        <v>2265</v>
      </c>
      <c r="AJ3676" s="3" t="s">
        <v>8232</v>
      </c>
      <c r="AK3676" t="s">
        <v>8232</v>
      </c>
      <c r="AV3676"/>
      <c r="AX3676"/>
      <c r="AZ3676" t="str">
        <f t="shared" si="337"/>
        <v/>
      </c>
      <c r="BA3676" t="str">
        <f t="shared" si="338"/>
        <v/>
      </c>
    </row>
    <row r="3677" spans="29:53" ht="13.5">
      <c r="AC3677" s="6" t="s">
        <v>1659</v>
      </c>
      <c r="AD3677" s="6" t="s">
        <v>7530</v>
      </c>
      <c r="AE3677" s="170" t="s">
        <v>5184</v>
      </c>
      <c r="AF3677" s="159" t="s">
        <v>8300</v>
      </c>
      <c r="AG3677" s="160" t="s">
        <v>1389</v>
      </c>
      <c r="AH3677" s="194" t="s">
        <v>4700</v>
      </c>
      <c r="AI3677" s="6" t="s">
        <v>2135</v>
      </c>
      <c r="AJ3677" s="3" t="s">
        <v>8248</v>
      </c>
      <c r="AK3677" t="s">
        <v>8248</v>
      </c>
      <c r="AV3677"/>
      <c r="AX3677"/>
      <c r="AZ3677" t="str">
        <f t="shared" si="337"/>
        <v/>
      </c>
      <c r="BA3677" t="str">
        <f t="shared" si="338"/>
        <v/>
      </c>
    </row>
    <row r="3678" spans="29:53" ht="13.5">
      <c r="AC3678" s="6" t="s">
        <v>1655</v>
      </c>
      <c r="AD3678" s="6" t="s">
        <v>7530</v>
      </c>
      <c r="AE3678" s="170" t="s">
        <v>5240</v>
      </c>
      <c r="AF3678" s="159" t="s">
        <v>8300</v>
      </c>
      <c r="AG3678" s="160" t="s">
        <v>961</v>
      </c>
      <c r="AH3678" s="194" t="s">
        <v>678</v>
      </c>
      <c r="AI3678" s="6" t="s">
        <v>2140</v>
      </c>
      <c r="AJ3678" s="3" t="s">
        <v>8252</v>
      </c>
      <c r="AK3678" t="s">
        <v>8252</v>
      </c>
      <c r="AV3678"/>
      <c r="AX3678"/>
      <c r="AZ3678" t="str">
        <f t="shared" si="337"/>
        <v/>
      </c>
      <c r="BA3678" t="str">
        <f t="shared" si="338"/>
        <v/>
      </c>
    </row>
    <row r="3679" spans="29:53" ht="13.5">
      <c r="AC3679" s="6" t="s">
        <v>1074</v>
      </c>
      <c r="AD3679" s="6" t="s">
        <v>7530</v>
      </c>
      <c r="AE3679" s="170" t="s">
        <v>5180</v>
      </c>
      <c r="AF3679" s="159" t="s">
        <v>8300</v>
      </c>
      <c r="AG3679" s="160" t="s">
        <v>1390</v>
      </c>
      <c r="AH3679" s="194" t="s">
        <v>678</v>
      </c>
      <c r="AI3679" s="6" t="s">
        <v>2141</v>
      </c>
      <c r="AJ3679" s="3" t="s">
        <v>8252</v>
      </c>
      <c r="AK3679" t="s">
        <v>8252</v>
      </c>
      <c r="AV3679"/>
      <c r="AX3679"/>
      <c r="AZ3679" t="str">
        <f t="shared" si="337"/>
        <v/>
      </c>
      <c r="BA3679" t="str">
        <f t="shared" si="338"/>
        <v/>
      </c>
    </row>
    <row r="3680" spans="29:53" ht="13.5">
      <c r="AC3680" s="6" t="s">
        <v>564</v>
      </c>
      <c r="AD3680" s="6" t="s">
        <v>7530</v>
      </c>
      <c r="AE3680" s="170" t="s">
        <v>5154</v>
      </c>
      <c r="AF3680" s="159" t="s">
        <v>8300</v>
      </c>
      <c r="AG3680" s="160" t="s">
        <v>1391</v>
      </c>
      <c r="AH3680" s="194" t="s">
        <v>678</v>
      </c>
      <c r="AI3680" s="6" t="s">
        <v>2142</v>
      </c>
      <c r="AJ3680" s="3" t="s">
        <v>8252</v>
      </c>
      <c r="AK3680" t="s">
        <v>8252</v>
      </c>
      <c r="AV3680"/>
      <c r="AX3680"/>
      <c r="AZ3680" t="str">
        <f t="shared" si="337"/>
        <v/>
      </c>
      <c r="BA3680" t="str">
        <f t="shared" si="338"/>
        <v/>
      </c>
    </row>
    <row r="3681" spans="29:53" ht="13.5">
      <c r="AC3681" s="6" t="s">
        <v>1330</v>
      </c>
      <c r="AD3681" s="6" t="s">
        <v>7530</v>
      </c>
      <c r="AE3681" s="170" t="s">
        <v>5084</v>
      </c>
      <c r="AF3681" s="159" t="s">
        <v>8300</v>
      </c>
      <c r="AG3681" s="160" t="s">
        <v>5413</v>
      </c>
      <c r="AH3681" s="194" t="s">
        <v>678</v>
      </c>
      <c r="AI3681" s="6" t="s">
        <v>2144</v>
      </c>
      <c r="AJ3681" s="3" t="s">
        <v>8252</v>
      </c>
      <c r="AK3681" t="s">
        <v>8252</v>
      </c>
      <c r="AV3681"/>
      <c r="AX3681"/>
      <c r="AZ3681" t="str">
        <f t="shared" si="337"/>
        <v/>
      </c>
      <c r="BA3681" t="str">
        <f t="shared" si="338"/>
        <v/>
      </c>
    </row>
    <row r="3682" spans="29:53" ht="13.5">
      <c r="AC3682" s="6" t="s">
        <v>563</v>
      </c>
      <c r="AD3682" s="6" t="s">
        <v>7530</v>
      </c>
      <c r="AE3682" s="170" t="s">
        <v>5181</v>
      </c>
      <c r="AF3682" s="159" t="s">
        <v>8300</v>
      </c>
      <c r="AG3682" s="160" t="s">
        <v>1392</v>
      </c>
      <c r="AH3682" s="194" t="s">
        <v>678</v>
      </c>
      <c r="AI3682" s="6" t="s">
        <v>2145</v>
      </c>
      <c r="AJ3682" s="3" t="s">
        <v>8252</v>
      </c>
      <c r="AK3682" t="s">
        <v>8252</v>
      </c>
      <c r="AV3682"/>
      <c r="AX3682"/>
      <c r="AZ3682" t="str">
        <f t="shared" si="337"/>
        <v/>
      </c>
      <c r="BA3682" t="str">
        <f t="shared" si="338"/>
        <v/>
      </c>
    </row>
    <row r="3683" spans="29:53" ht="13.5">
      <c r="AC3683" s="6" t="s">
        <v>971</v>
      </c>
      <c r="AD3683" s="6" t="s">
        <v>7530</v>
      </c>
      <c r="AE3683" s="170" t="s">
        <v>5257</v>
      </c>
      <c r="AF3683" s="159" t="s">
        <v>8300</v>
      </c>
      <c r="AG3683" s="160" t="s">
        <v>1393</v>
      </c>
      <c r="AH3683" s="194" t="s">
        <v>678</v>
      </c>
      <c r="AI3683" s="6" t="s">
        <v>2147</v>
      </c>
      <c r="AJ3683" s="3" t="s">
        <v>8243</v>
      </c>
      <c r="AK3683" t="s">
        <v>8243</v>
      </c>
      <c r="AV3683"/>
      <c r="AX3683"/>
      <c r="AZ3683" t="str">
        <f t="shared" si="337"/>
        <v/>
      </c>
      <c r="BA3683" t="str">
        <f t="shared" si="338"/>
        <v/>
      </c>
    </row>
    <row r="3684" spans="29:53" ht="13.5">
      <c r="AC3684" s="6" t="s">
        <v>4058</v>
      </c>
      <c r="AD3684" s="6" t="s">
        <v>7565</v>
      </c>
      <c r="AE3684" s="170" t="s">
        <v>1672</v>
      </c>
      <c r="AF3684" s="159" t="s">
        <v>8503</v>
      </c>
      <c r="AG3684" s="160" t="s">
        <v>1394</v>
      </c>
      <c r="AH3684" s="194" t="s">
        <v>678</v>
      </c>
      <c r="AI3684" s="6" t="s">
        <v>2148</v>
      </c>
      <c r="AJ3684" s="3" t="s">
        <v>8227</v>
      </c>
      <c r="AK3684" t="s">
        <v>8227</v>
      </c>
      <c r="AV3684"/>
      <c r="AX3684"/>
      <c r="AZ3684" t="str">
        <f t="shared" si="337"/>
        <v/>
      </c>
      <c r="BA3684" t="str">
        <f t="shared" si="338"/>
        <v/>
      </c>
    </row>
    <row r="3685" spans="29:53" ht="13.5">
      <c r="AC3685" s="6" t="s">
        <v>1327</v>
      </c>
      <c r="AD3685" s="6" t="s">
        <v>7530</v>
      </c>
      <c r="AE3685" s="170" t="s">
        <v>1431</v>
      </c>
      <c r="AF3685" s="159" t="s">
        <v>8300</v>
      </c>
      <c r="AG3685" s="160" t="s">
        <v>18</v>
      </c>
      <c r="AH3685" s="194" t="s">
        <v>678</v>
      </c>
      <c r="AI3685" s="6" t="s">
        <v>2348</v>
      </c>
      <c r="AJ3685" s="3" t="s">
        <v>8237</v>
      </c>
      <c r="AK3685" t="s">
        <v>8237</v>
      </c>
      <c r="AV3685"/>
      <c r="AX3685"/>
      <c r="AZ3685" t="str">
        <f t="shared" si="337"/>
        <v/>
      </c>
      <c r="BA3685" t="str">
        <f t="shared" si="338"/>
        <v/>
      </c>
    </row>
    <row r="3686" spans="29:53" ht="13.5">
      <c r="AC3686" s="6" t="s">
        <v>1363</v>
      </c>
      <c r="AD3686" s="6" t="s">
        <v>7530</v>
      </c>
      <c r="AE3686" s="170" t="s">
        <v>131</v>
      </c>
      <c r="AF3686" s="159" t="s">
        <v>8300</v>
      </c>
      <c r="AG3686" s="160" t="s">
        <v>429</v>
      </c>
      <c r="AH3686" s="194" t="s">
        <v>678</v>
      </c>
      <c r="AI3686" s="6" t="s">
        <v>2349</v>
      </c>
      <c r="AJ3686" s="3" t="s">
        <v>8206</v>
      </c>
      <c r="AK3686" t="s">
        <v>8206</v>
      </c>
      <c r="AV3686"/>
      <c r="AX3686"/>
      <c r="AZ3686" t="str">
        <f t="shared" si="337"/>
        <v/>
      </c>
      <c r="BA3686" t="str">
        <f t="shared" si="338"/>
        <v/>
      </c>
    </row>
    <row r="3687" spans="29:53" ht="13.5">
      <c r="AC3687" s="6" t="s">
        <v>418</v>
      </c>
      <c r="AD3687" s="6" t="s">
        <v>7530</v>
      </c>
      <c r="AE3687" s="170" t="s">
        <v>1001</v>
      </c>
      <c r="AF3687" s="159" t="s">
        <v>8300</v>
      </c>
      <c r="AG3687" s="160" t="s">
        <v>1035</v>
      </c>
      <c r="AH3687" s="194" t="s">
        <v>678</v>
      </c>
      <c r="AI3687" s="6" t="s">
        <v>2350</v>
      </c>
      <c r="AJ3687" s="3" t="s">
        <v>8206</v>
      </c>
      <c r="AK3687" t="s">
        <v>8206</v>
      </c>
      <c r="AV3687"/>
      <c r="AX3687"/>
      <c r="AZ3687" t="str">
        <f t="shared" si="337"/>
        <v/>
      </c>
      <c r="BA3687" t="str">
        <f t="shared" si="338"/>
        <v/>
      </c>
    </row>
    <row r="3688" spans="29:53" ht="13.5">
      <c r="AC3688" s="6" t="s">
        <v>565</v>
      </c>
      <c r="AD3688" s="6" t="s">
        <v>7530</v>
      </c>
      <c r="AE3688" s="170" t="s">
        <v>182</v>
      </c>
      <c r="AF3688" s="159" t="s">
        <v>8331</v>
      </c>
      <c r="AG3688" s="160" t="s">
        <v>430</v>
      </c>
      <c r="AH3688" s="194" t="s">
        <v>678</v>
      </c>
      <c r="AI3688" s="6" t="s">
        <v>2353</v>
      </c>
      <c r="AJ3688" s="3" t="s">
        <v>8206</v>
      </c>
      <c r="AK3688" t="s">
        <v>8206</v>
      </c>
      <c r="AV3688"/>
      <c r="AX3688"/>
      <c r="AZ3688" t="str">
        <f t="shared" si="337"/>
        <v/>
      </c>
      <c r="BA3688" t="str">
        <f t="shared" si="338"/>
        <v/>
      </c>
    </row>
    <row r="3689" spans="29:53" ht="13.5">
      <c r="AC3689" s="6" t="s">
        <v>5776</v>
      </c>
      <c r="AD3689" s="6" t="s">
        <v>7530</v>
      </c>
      <c r="AE3689" s="170" t="s">
        <v>183</v>
      </c>
      <c r="AF3689" s="159" t="s">
        <v>8300</v>
      </c>
      <c r="AG3689" s="160" t="s">
        <v>1395</v>
      </c>
      <c r="AH3689" s="194" t="s">
        <v>678</v>
      </c>
      <c r="AI3689" s="6" t="s">
        <v>2355</v>
      </c>
      <c r="AJ3689" s="3" t="s">
        <v>8256</v>
      </c>
      <c r="AK3689" t="s">
        <v>8256</v>
      </c>
      <c r="AV3689"/>
      <c r="AX3689"/>
      <c r="AZ3689" t="str">
        <f t="shared" si="337"/>
        <v/>
      </c>
      <c r="BA3689" t="str">
        <f t="shared" si="338"/>
        <v/>
      </c>
    </row>
    <row r="3690" spans="29:53" ht="13.5">
      <c r="AC3690" s="6" t="s">
        <v>1065</v>
      </c>
      <c r="AD3690" s="6" t="s">
        <v>7530</v>
      </c>
      <c r="AE3690" s="170" t="s">
        <v>184</v>
      </c>
      <c r="AF3690" s="159" t="s">
        <v>8300</v>
      </c>
      <c r="AG3690" s="160" t="s">
        <v>431</v>
      </c>
      <c r="AH3690" s="194" t="s">
        <v>678</v>
      </c>
      <c r="AI3690" s="6" t="s">
        <v>2359</v>
      </c>
      <c r="AJ3690" s="3" t="s">
        <v>8206</v>
      </c>
      <c r="AK3690" t="s">
        <v>8206</v>
      </c>
      <c r="AV3690"/>
      <c r="AX3690"/>
      <c r="AZ3690" t="str">
        <f t="shared" si="337"/>
        <v/>
      </c>
      <c r="BA3690" t="str">
        <f t="shared" si="338"/>
        <v/>
      </c>
    </row>
    <row r="3691" spans="29:53" ht="13.5">
      <c r="AC3691" s="6" t="s">
        <v>1342</v>
      </c>
      <c r="AD3691" s="6" t="s">
        <v>7530</v>
      </c>
      <c r="AE3691" s="170" t="s">
        <v>185</v>
      </c>
      <c r="AF3691" s="159" t="s">
        <v>8300</v>
      </c>
      <c r="AG3691" s="160" t="s">
        <v>1036</v>
      </c>
      <c r="AH3691" s="194" t="s">
        <v>678</v>
      </c>
      <c r="AI3691" s="6" t="s">
        <v>2361</v>
      </c>
      <c r="AJ3691" s="3" t="s">
        <v>8237</v>
      </c>
      <c r="AK3691" t="s">
        <v>8237</v>
      </c>
      <c r="AV3691"/>
      <c r="AX3691"/>
      <c r="AZ3691" t="str">
        <f t="shared" si="337"/>
        <v/>
      </c>
      <c r="BA3691" t="str">
        <f t="shared" si="338"/>
        <v/>
      </c>
    </row>
    <row r="3692" spans="29:53" ht="13.5">
      <c r="AC3692" s="6" t="s">
        <v>228</v>
      </c>
      <c r="AD3692" s="6" t="s">
        <v>7530</v>
      </c>
      <c r="AE3692" s="170" t="s">
        <v>186</v>
      </c>
      <c r="AF3692" s="159" t="s">
        <v>8300</v>
      </c>
      <c r="AG3692" s="160" t="s">
        <v>432</v>
      </c>
      <c r="AH3692" s="194" t="s">
        <v>4700</v>
      </c>
      <c r="AI3692" s="6" t="s">
        <v>4367</v>
      </c>
      <c r="AJ3692" s="3" t="s">
        <v>8279</v>
      </c>
      <c r="AK3692" t="s">
        <v>8679</v>
      </c>
      <c r="AV3692"/>
      <c r="AX3692"/>
      <c r="AZ3692" t="str">
        <f t="shared" si="337"/>
        <v/>
      </c>
      <c r="BA3692" t="str">
        <f t="shared" si="338"/>
        <v/>
      </c>
    </row>
    <row r="3693" spans="29:53" ht="13.5">
      <c r="AC3693" s="6" t="s">
        <v>5436</v>
      </c>
      <c r="AD3693" s="6" t="s">
        <v>7530</v>
      </c>
      <c r="AE3693" s="170" t="s">
        <v>187</v>
      </c>
      <c r="AF3693" s="159" t="s">
        <v>8299</v>
      </c>
      <c r="AG3693" s="160" t="s">
        <v>1193</v>
      </c>
      <c r="AH3693" s="194" t="s">
        <v>679</v>
      </c>
      <c r="AI3693" s="6" t="s">
        <v>2772</v>
      </c>
      <c r="AJ3693" s="3" t="s">
        <v>8274</v>
      </c>
      <c r="AK3693" t="s">
        <v>8274</v>
      </c>
      <c r="AV3693"/>
      <c r="AX3693"/>
      <c r="AZ3693" t="str">
        <f t="shared" si="337"/>
        <v/>
      </c>
      <c r="BA3693" t="str">
        <f t="shared" si="338"/>
        <v/>
      </c>
    </row>
    <row r="3694" spans="29:53" ht="13.5">
      <c r="AC3694" s="6" t="s">
        <v>5421</v>
      </c>
      <c r="AD3694" s="6" t="s">
        <v>7530</v>
      </c>
      <c r="AE3694" s="170" t="s">
        <v>188</v>
      </c>
      <c r="AF3694" s="159" t="s">
        <v>8309</v>
      </c>
      <c r="AG3694" s="160" t="s">
        <v>1037</v>
      </c>
      <c r="AH3694" s="194" t="s">
        <v>678</v>
      </c>
      <c r="AI3694" s="6" t="s">
        <v>4370</v>
      </c>
      <c r="AJ3694" s="3" t="s">
        <v>8279</v>
      </c>
      <c r="AK3694" t="s">
        <v>8679</v>
      </c>
      <c r="AV3694"/>
      <c r="AX3694"/>
      <c r="AZ3694" t="str">
        <f t="shared" si="337"/>
        <v/>
      </c>
      <c r="BA3694" t="str">
        <f t="shared" si="338"/>
        <v/>
      </c>
    </row>
    <row r="3695" spans="29:53" ht="13.5">
      <c r="AC3695" s="6" t="s">
        <v>4710</v>
      </c>
      <c r="AD3695" s="6" t="s">
        <v>7530</v>
      </c>
      <c r="AE3695" s="170" t="s">
        <v>189</v>
      </c>
      <c r="AF3695" s="159" t="s">
        <v>8300</v>
      </c>
      <c r="AG3695" s="160" t="s">
        <v>433</v>
      </c>
      <c r="AH3695" s="194" t="s">
        <v>678</v>
      </c>
      <c r="AI3695" s="6" t="s">
        <v>4372</v>
      </c>
      <c r="AJ3695" s="3" t="s">
        <v>8279</v>
      </c>
      <c r="AK3695" t="s">
        <v>8679</v>
      </c>
      <c r="AV3695"/>
      <c r="AX3695"/>
      <c r="AZ3695" t="str">
        <f t="shared" si="337"/>
        <v/>
      </c>
      <c r="BA3695" t="str">
        <f t="shared" si="338"/>
        <v/>
      </c>
    </row>
    <row r="3696" spans="29:53" ht="13.5">
      <c r="AC3696" s="6" t="s">
        <v>1105</v>
      </c>
      <c r="AD3696" s="6" t="s">
        <v>7530</v>
      </c>
      <c r="AE3696" s="170" t="s">
        <v>190</v>
      </c>
      <c r="AF3696" s="159" t="s">
        <v>8321</v>
      </c>
      <c r="AG3696" s="160" t="s">
        <v>31</v>
      </c>
      <c r="AH3696" s="194" t="s">
        <v>678</v>
      </c>
      <c r="AI3696" s="6" t="s">
        <v>4375</v>
      </c>
      <c r="AJ3696" s="3" t="s">
        <v>8268</v>
      </c>
      <c r="AK3696" t="s">
        <v>8268</v>
      </c>
      <c r="AV3696"/>
      <c r="AX3696"/>
      <c r="AZ3696" t="str">
        <f t="shared" si="337"/>
        <v/>
      </c>
      <c r="BA3696" t="str">
        <f t="shared" si="338"/>
        <v/>
      </c>
    </row>
    <row r="3697" spans="29:53" ht="13.5">
      <c r="AC3697" s="6" t="s">
        <v>1348</v>
      </c>
      <c r="AD3697" s="6" t="s">
        <v>7530</v>
      </c>
      <c r="AE3697" s="170" t="s">
        <v>191</v>
      </c>
      <c r="AF3697" s="159" t="s">
        <v>8300</v>
      </c>
      <c r="AG3697" s="160" t="s">
        <v>434</v>
      </c>
      <c r="AH3697" s="194" t="s">
        <v>678</v>
      </c>
      <c r="AI3697" s="6" t="s">
        <v>4377</v>
      </c>
      <c r="AJ3697" s="3" t="s">
        <v>8268</v>
      </c>
      <c r="AK3697" t="s">
        <v>8268</v>
      </c>
      <c r="AV3697"/>
      <c r="AX3697"/>
      <c r="AZ3697" t="str">
        <f t="shared" si="337"/>
        <v/>
      </c>
      <c r="BA3697" t="str">
        <f t="shared" si="338"/>
        <v/>
      </c>
    </row>
    <row r="3698" spans="29:53" ht="13.5">
      <c r="AC3698" s="6" t="s">
        <v>954</v>
      </c>
      <c r="AD3698" s="6" t="s">
        <v>7530</v>
      </c>
      <c r="AE3698" s="170" t="s">
        <v>192</v>
      </c>
      <c r="AF3698" s="159" t="s">
        <v>8299</v>
      </c>
      <c r="AG3698" s="160" t="s">
        <v>435</v>
      </c>
      <c r="AH3698" s="194" t="s">
        <v>678</v>
      </c>
      <c r="AI3698" s="6" t="s">
        <v>2765</v>
      </c>
      <c r="AJ3698" s="3" t="s">
        <v>8254</v>
      </c>
      <c r="AK3698" t="s">
        <v>8254</v>
      </c>
      <c r="AV3698"/>
      <c r="AX3698"/>
      <c r="AZ3698" t="str">
        <f t="shared" si="337"/>
        <v/>
      </c>
      <c r="BA3698" t="str">
        <f t="shared" si="338"/>
        <v/>
      </c>
    </row>
    <row r="3699" spans="29:53" ht="13.5">
      <c r="AC3699" s="6" t="s">
        <v>1411</v>
      </c>
      <c r="AD3699" s="6" t="s">
        <v>7530</v>
      </c>
      <c r="AE3699" s="170" t="s">
        <v>193</v>
      </c>
      <c r="AF3699" s="159" t="s">
        <v>8492</v>
      </c>
      <c r="AG3699" s="160" t="s">
        <v>436</v>
      </c>
      <c r="AH3699" s="194" t="s">
        <v>678</v>
      </c>
      <c r="AI3699" s="6" t="s">
        <v>2771</v>
      </c>
      <c r="AJ3699" s="3" t="s">
        <v>8254</v>
      </c>
      <c r="AK3699" t="s">
        <v>8254</v>
      </c>
      <c r="AV3699"/>
      <c r="AX3699"/>
      <c r="AZ3699" t="str">
        <f t="shared" si="337"/>
        <v/>
      </c>
      <c r="BA3699" t="str">
        <f t="shared" si="338"/>
        <v/>
      </c>
    </row>
    <row r="3700" spans="29:53" ht="13.5">
      <c r="AC3700" s="6" t="s">
        <v>552</v>
      </c>
      <c r="AD3700" s="6" t="s">
        <v>7530</v>
      </c>
      <c r="AE3700" s="170" t="s">
        <v>194</v>
      </c>
      <c r="AF3700" s="159" t="s">
        <v>8300</v>
      </c>
      <c r="AG3700" s="160" t="s">
        <v>1038</v>
      </c>
      <c r="AH3700" s="194" t="s">
        <v>678</v>
      </c>
      <c r="AI3700" s="6">
        <v>405677</v>
      </c>
      <c r="AJ3700" s="3" t="s">
        <v>8271</v>
      </c>
      <c r="AK3700" t="s">
        <v>8271</v>
      </c>
      <c r="AV3700"/>
      <c r="AX3700"/>
      <c r="AZ3700" t="str">
        <f t="shared" si="337"/>
        <v/>
      </c>
      <c r="BA3700" t="str">
        <f t="shared" si="338"/>
        <v/>
      </c>
    </row>
    <row r="3701" spans="29:53" ht="13.5">
      <c r="AC3701" s="6" t="s">
        <v>4516</v>
      </c>
      <c r="AD3701" s="6" t="s">
        <v>7566</v>
      </c>
      <c r="AE3701" s="170" t="s">
        <v>195</v>
      </c>
      <c r="AF3701" s="159" t="s">
        <v>8300</v>
      </c>
      <c r="AG3701" s="160" t="s">
        <v>1396</v>
      </c>
      <c r="AH3701" s="194" t="s">
        <v>678</v>
      </c>
      <c r="AI3701" s="6">
        <v>405678</v>
      </c>
      <c r="AJ3701" s="3" t="s">
        <v>8271</v>
      </c>
      <c r="AK3701" t="s">
        <v>8271</v>
      </c>
      <c r="AV3701"/>
      <c r="AX3701"/>
      <c r="AZ3701" t="str">
        <f t="shared" si="337"/>
        <v/>
      </c>
      <c r="BA3701" t="str">
        <f t="shared" si="338"/>
        <v/>
      </c>
    </row>
    <row r="3702" spans="29:53" ht="13.5">
      <c r="AC3702" s="6" t="s">
        <v>1367</v>
      </c>
      <c r="AD3702" s="6" t="s">
        <v>7530</v>
      </c>
      <c r="AE3702" s="170" t="s">
        <v>196</v>
      </c>
      <c r="AF3702" s="159" t="s">
        <v>8300</v>
      </c>
      <c r="AG3702" s="160" t="s">
        <v>1397</v>
      </c>
      <c r="AH3702" s="194" t="s">
        <v>678</v>
      </c>
      <c r="AI3702" s="6">
        <v>405679</v>
      </c>
      <c r="AJ3702" s="3" t="s">
        <v>8271</v>
      </c>
      <c r="AK3702" t="s">
        <v>8271</v>
      </c>
      <c r="AV3702"/>
      <c r="AX3702"/>
      <c r="AZ3702" t="str">
        <f t="shared" si="337"/>
        <v/>
      </c>
      <c r="BA3702" t="str">
        <f t="shared" si="338"/>
        <v/>
      </c>
    </row>
    <row r="3703" spans="29:53" ht="13.5">
      <c r="AC3703" s="6" t="s">
        <v>5775</v>
      </c>
      <c r="AD3703" s="6" t="s">
        <v>7530</v>
      </c>
      <c r="AE3703" s="170" t="s">
        <v>197</v>
      </c>
      <c r="AF3703" s="159" t="s">
        <v>8297</v>
      </c>
      <c r="AG3703" s="160" t="s">
        <v>1039</v>
      </c>
      <c r="AH3703" s="194" t="s">
        <v>678</v>
      </c>
      <c r="AI3703" s="6">
        <v>405680</v>
      </c>
      <c r="AJ3703" s="3" t="s">
        <v>8281</v>
      </c>
      <c r="AK3703" t="s">
        <v>8281</v>
      </c>
      <c r="AV3703"/>
      <c r="AX3703"/>
      <c r="AZ3703" t="str">
        <f t="shared" si="337"/>
        <v/>
      </c>
      <c r="BA3703" t="str">
        <f t="shared" si="338"/>
        <v/>
      </c>
    </row>
    <row r="3704" spans="29:53" ht="13.5">
      <c r="AC3704" s="6" t="s">
        <v>311</v>
      </c>
      <c r="AD3704" s="6" t="s">
        <v>7530</v>
      </c>
      <c r="AE3704" s="170" t="s">
        <v>198</v>
      </c>
      <c r="AF3704" s="159" t="s">
        <v>8309</v>
      </c>
      <c r="AG3704" s="160" t="s">
        <v>24</v>
      </c>
      <c r="AH3704" s="194" t="s">
        <v>4700</v>
      </c>
      <c r="AI3704" s="6">
        <v>415681</v>
      </c>
      <c r="AJ3704" s="3" t="s">
        <v>8256</v>
      </c>
      <c r="AK3704" t="s">
        <v>8256</v>
      </c>
      <c r="AV3704"/>
      <c r="AX3704"/>
      <c r="AZ3704" t="str">
        <f t="shared" si="337"/>
        <v/>
      </c>
      <c r="BA3704" t="str">
        <f t="shared" si="338"/>
        <v/>
      </c>
    </row>
    <row r="3705" spans="29:53" ht="13.5">
      <c r="AC3705" s="6" t="s">
        <v>1169</v>
      </c>
      <c r="AD3705" s="6" t="s">
        <v>7530</v>
      </c>
      <c r="AE3705" s="170" t="s">
        <v>199</v>
      </c>
      <c r="AF3705" s="159" t="s">
        <v>8300</v>
      </c>
      <c r="AG3705" s="160" t="s">
        <v>1398</v>
      </c>
      <c r="AH3705" s="194" t="s">
        <v>678</v>
      </c>
      <c r="AI3705" s="6">
        <v>425706</v>
      </c>
      <c r="AJ3705" s="3" t="s">
        <v>8251</v>
      </c>
      <c r="AK3705" t="s">
        <v>8251</v>
      </c>
      <c r="AV3705"/>
      <c r="AX3705"/>
      <c r="AZ3705" t="str">
        <f t="shared" ref="AZ3705:AZ3768" si="339">IF(ISBLANK(AW3705),"",CONCATENATE("(",RIGHT(AW3705,5),"-",TEXT(AX3705,"h:mm;@"),")"))</f>
        <v/>
      </c>
      <c r="BA3705" t="str">
        <f t="shared" ref="BA3705:BA3768" si="340">IF(AV3721=AV3705,"",CONCATENATE(IF(AV3720=AV3705,BA3720,""),IF(AV3719=AV3705,BA3719,""),IF(AV3718=AV3705,BA3718,""),IF(AV3717=AV3705,BA3717,""),IF(AV3716=AV3705,BA3716,""),IF(AV3715=AV3705,BA3715,""),IF(AV3714=AV3705,BA3714,""),IF(AV3713=AV3705,BA3713,""),IF(AV3712=AV3705,BA3712,""),IF(AV3711=AV3705,BA3711,""),IF(AV3710=AV3705,BA3710,""),IF(AV3709=AV3705,BA3709,""),IF(AV3708=AV3705,BA3708,""),IF(AV3707=AV3705,BA3707,""),IF(AV3706=AV3705,BA3706,""),IF(AV3704=AV3705,BA3704,""),BA3705))</f>
        <v/>
      </c>
    </row>
    <row r="3706" spans="29:53" ht="13.5">
      <c r="AC3706" s="6" t="s">
        <v>1034</v>
      </c>
      <c r="AD3706" s="6" t="s">
        <v>7530</v>
      </c>
      <c r="AE3706" s="170" t="s">
        <v>200</v>
      </c>
      <c r="AF3706" s="159" t="s">
        <v>8300</v>
      </c>
      <c r="AG3706" s="160" t="s">
        <v>1399</v>
      </c>
      <c r="AH3706" s="194" t="s">
        <v>678</v>
      </c>
      <c r="AI3706" s="6">
        <v>425707</v>
      </c>
      <c r="AJ3706" s="3" t="s">
        <v>8251</v>
      </c>
      <c r="AK3706" t="s">
        <v>8251</v>
      </c>
      <c r="AV3706"/>
      <c r="AX3706"/>
      <c r="AZ3706" t="str">
        <f t="shared" si="339"/>
        <v/>
      </c>
      <c r="BA3706" t="str">
        <f t="shared" si="340"/>
        <v/>
      </c>
    </row>
    <row r="3707" spans="29:53" ht="13.5">
      <c r="AC3707" s="6" t="s">
        <v>541</v>
      </c>
      <c r="AD3707" s="6" t="s">
        <v>7530</v>
      </c>
      <c r="AE3707" s="170" t="s">
        <v>201</v>
      </c>
      <c r="AF3707" s="159" t="s">
        <v>8300</v>
      </c>
      <c r="AG3707" s="160" t="s">
        <v>437</v>
      </c>
      <c r="AH3707" s="194" t="s">
        <v>678</v>
      </c>
      <c r="AI3707" s="6">
        <v>425708</v>
      </c>
      <c r="AJ3707" s="3" t="s">
        <v>8251</v>
      </c>
      <c r="AK3707" t="s">
        <v>8251</v>
      </c>
      <c r="AV3707"/>
      <c r="AX3707"/>
      <c r="AZ3707" t="str">
        <f t="shared" si="339"/>
        <v/>
      </c>
      <c r="BA3707" t="str">
        <f t="shared" si="340"/>
        <v/>
      </c>
    </row>
    <row r="3708" spans="29:53" ht="13.5">
      <c r="AC3708" s="6" t="s">
        <v>957</v>
      </c>
      <c r="AD3708" s="6" t="s">
        <v>7530</v>
      </c>
      <c r="AE3708" s="170" t="s">
        <v>202</v>
      </c>
      <c r="AF3708" s="159" t="s">
        <v>8300</v>
      </c>
      <c r="AG3708" s="160" t="s">
        <v>19</v>
      </c>
      <c r="AH3708" s="194" t="s">
        <v>678</v>
      </c>
      <c r="AI3708" s="6">
        <v>426374</v>
      </c>
      <c r="AJ3708" s="3" t="s">
        <v>8214</v>
      </c>
      <c r="AK3708" t="s">
        <v>8214</v>
      </c>
      <c r="AV3708"/>
      <c r="AX3708"/>
      <c r="AZ3708" t="str">
        <f t="shared" si="339"/>
        <v/>
      </c>
      <c r="BA3708" t="str">
        <f t="shared" si="340"/>
        <v/>
      </c>
    </row>
    <row r="3709" spans="29:53" ht="13.5">
      <c r="AC3709" s="6" t="s">
        <v>1380</v>
      </c>
      <c r="AD3709" s="6" t="s">
        <v>7530</v>
      </c>
      <c r="AE3709" s="170" t="s">
        <v>1030</v>
      </c>
      <c r="AF3709" s="159" t="s">
        <v>8300</v>
      </c>
      <c r="AG3709" s="160" t="s">
        <v>1400</v>
      </c>
      <c r="AH3709" s="194" t="s">
        <v>678</v>
      </c>
      <c r="AI3709" s="6">
        <v>426478</v>
      </c>
      <c r="AJ3709" s="3" t="s">
        <v>8251</v>
      </c>
      <c r="AK3709" t="s">
        <v>8251</v>
      </c>
      <c r="AV3709"/>
      <c r="AX3709"/>
      <c r="AZ3709" t="str">
        <f t="shared" si="339"/>
        <v/>
      </c>
      <c r="BA3709" t="str">
        <f t="shared" si="340"/>
        <v/>
      </c>
    </row>
    <row r="3710" spans="29:53" ht="13.5">
      <c r="AC3710" s="6" t="s">
        <v>1350</v>
      </c>
      <c r="AD3710" s="6" t="s">
        <v>7530</v>
      </c>
      <c r="AE3710" s="170" t="s">
        <v>1031</v>
      </c>
      <c r="AF3710" s="159" t="s">
        <v>8300</v>
      </c>
      <c r="AG3710" s="160" t="s">
        <v>11</v>
      </c>
      <c r="AH3710" s="194" t="s">
        <v>678</v>
      </c>
      <c r="AI3710" s="6">
        <v>435739</v>
      </c>
      <c r="AJ3710" s="3" t="s">
        <v>8255</v>
      </c>
      <c r="AK3710" t="s">
        <v>8255</v>
      </c>
      <c r="AV3710"/>
      <c r="AX3710"/>
      <c r="AZ3710" t="str">
        <f t="shared" si="339"/>
        <v/>
      </c>
      <c r="BA3710" t="str">
        <f t="shared" si="340"/>
        <v/>
      </c>
    </row>
    <row r="3711" spans="29:53" ht="13.5">
      <c r="AC3711" s="6" t="s">
        <v>1444</v>
      </c>
      <c r="AD3711" s="6" t="s">
        <v>7530</v>
      </c>
      <c r="AE3711" s="170" t="s">
        <v>1194</v>
      </c>
      <c r="AF3711" s="159" t="s">
        <v>8300</v>
      </c>
      <c r="AG3711" s="160" t="s">
        <v>438</v>
      </c>
      <c r="AH3711" s="194" t="s">
        <v>678</v>
      </c>
      <c r="AI3711" s="6">
        <v>435741</v>
      </c>
      <c r="AJ3711" s="3" t="s">
        <v>8255</v>
      </c>
      <c r="AK3711" t="s">
        <v>8255</v>
      </c>
      <c r="AV3711"/>
      <c r="AX3711"/>
      <c r="AZ3711" t="str">
        <f t="shared" si="339"/>
        <v/>
      </c>
      <c r="BA3711" t="str">
        <f t="shared" si="340"/>
        <v/>
      </c>
    </row>
    <row r="3712" spans="29:53" ht="13.5">
      <c r="AC3712" s="6" t="s">
        <v>14</v>
      </c>
      <c r="AD3712" s="6" t="s">
        <v>7530</v>
      </c>
      <c r="AE3712" s="170" t="s">
        <v>4450</v>
      </c>
      <c r="AF3712" s="159" t="s">
        <v>8300</v>
      </c>
      <c r="AG3712" s="160" t="s">
        <v>439</v>
      </c>
      <c r="AH3712" s="194" t="s">
        <v>678</v>
      </c>
      <c r="AI3712" s="6">
        <v>435742</v>
      </c>
      <c r="AJ3712" s="3" t="s">
        <v>8254</v>
      </c>
      <c r="AK3712" t="s">
        <v>8254</v>
      </c>
      <c r="AV3712"/>
      <c r="AX3712"/>
      <c r="AZ3712" t="str">
        <f t="shared" si="339"/>
        <v/>
      </c>
      <c r="BA3712" t="str">
        <f t="shared" si="340"/>
        <v/>
      </c>
    </row>
    <row r="3713" spans="29:53" ht="13.5">
      <c r="AC3713" s="6">
        <v>25339</v>
      </c>
      <c r="AD3713" s="6" t="s">
        <v>7559</v>
      </c>
      <c r="AE3713" s="170" t="s">
        <v>4451</v>
      </c>
      <c r="AF3713" s="159" t="s">
        <v>8299</v>
      </c>
      <c r="AG3713" s="160" t="s">
        <v>440</v>
      </c>
      <c r="AH3713" s="194" t="s">
        <v>678</v>
      </c>
      <c r="AI3713" s="6">
        <v>436425</v>
      </c>
      <c r="AJ3713" s="3" t="s">
        <v>8254</v>
      </c>
      <c r="AK3713" t="s">
        <v>8254</v>
      </c>
      <c r="AV3713"/>
      <c r="AX3713"/>
      <c r="AZ3713" t="str">
        <f t="shared" si="339"/>
        <v/>
      </c>
      <c r="BA3713" t="str">
        <f t="shared" si="340"/>
        <v/>
      </c>
    </row>
    <row r="3714" spans="29:53" ht="13.5">
      <c r="AC3714" s="6">
        <v>75281</v>
      </c>
      <c r="AD3714" s="6" t="s">
        <v>7563</v>
      </c>
      <c r="AE3714" s="170">
        <v>115599</v>
      </c>
      <c r="AF3714" s="159" t="s">
        <v>8297</v>
      </c>
      <c r="AG3714" s="160" t="s">
        <v>441</v>
      </c>
      <c r="AH3714" s="194" t="s">
        <v>678</v>
      </c>
      <c r="AI3714" s="6">
        <v>445745</v>
      </c>
      <c r="AJ3714" s="3" t="s">
        <v>8255</v>
      </c>
      <c r="AK3714" t="s">
        <v>8255</v>
      </c>
      <c r="AV3714"/>
      <c r="AX3714"/>
      <c r="AZ3714" t="str">
        <f t="shared" si="339"/>
        <v/>
      </c>
      <c r="BA3714" t="str">
        <f t="shared" si="340"/>
        <v/>
      </c>
    </row>
    <row r="3715" spans="29:53" ht="13.5">
      <c r="AC3715" s="6" t="s">
        <v>5807</v>
      </c>
      <c r="AD3715" s="6" t="s">
        <v>7530</v>
      </c>
      <c r="AE3715" s="170">
        <v>115605</v>
      </c>
      <c r="AF3715" s="159" t="s">
        <v>8299</v>
      </c>
      <c r="AG3715" s="160" t="s">
        <v>442</v>
      </c>
      <c r="AH3715" s="194" t="s">
        <v>678</v>
      </c>
      <c r="AI3715" s="6">
        <v>445746</v>
      </c>
      <c r="AJ3715" s="3" t="s">
        <v>8255</v>
      </c>
      <c r="AK3715" t="s">
        <v>8255</v>
      </c>
      <c r="AV3715"/>
      <c r="AX3715"/>
      <c r="AZ3715" t="str">
        <f t="shared" si="339"/>
        <v/>
      </c>
      <c r="BA3715" t="str">
        <f t="shared" si="340"/>
        <v/>
      </c>
    </row>
    <row r="3716" spans="29:53" ht="13.5">
      <c r="AC3716" s="6" t="s">
        <v>568</v>
      </c>
      <c r="AD3716" s="6" t="s">
        <v>7530</v>
      </c>
      <c r="AE3716" s="170">
        <v>115607</v>
      </c>
      <c r="AF3716" s="159" t="s">
        <v>8332</v>
      </c>
      <c r="AG3716" s="160" t="s">
        <v>443</v>
      </c>
      <c r="AH3716" s="194" t="s">
        <v>678</v>
      </c>
      <c r="AI3716" s="6">
        <v>455747</v>
      </c>
      <c r="AJ3716" s="3" t="s">
        <v>8241</v>
      </c>
      <c r="AK3716" t="s">
        <v>8675</v>
      </c>
      <c r="AV3716"/>
      <c r="AX3716"/>
      <c r="AZ3716" t="str">
        <f t="shared" si="339"/>
        <v/>
      </c>
      <c r="BA3716" t="str">
        <f t="shared" si="340"/>
        <v/>
      </c>
    </row>
    <row r="3717" spans="29:53" ht="13.5">
      <c r="AC3717" s="6" t="s">
        <v>553</v>
      </c>
      <c r="AD3717" s="6" t="s">
        <v>7530</v>
      </c>
      <c r="AE3717" s="170" t="s">
        <v>117</v>
      </c>
      <c r="AF3717" s="159" t="s">
        <v>8299</v>
      </c>
      <c r="AG3717" s="160" t="s">
        <v>444</v>
      </c>
      <c r="AH3717" s="194" t="s">
        <v>679</v>
      </c>
      <c r="AI3717" s="6">
        <v>456476</v>
      </c>
      <c r="AJ3717" s="3" t="s">
        <v>8242</v>
      </c>
      <c r="AK3717" t="s">
        <v>8281</v>
      </c>
      <c r="AV3717"/>
      <c r="AX3717"/>
      <c r="AZ3717" t="str">
        <f t="shared" si="339"/>
        <v/>
      </c>
      <c r="BA3717" t="str">
        <f t="shared" si="340"/>
        <v/>
      </c>
    </row>
    <row r="3718" spans="29:53" ht="13.5">
      <c r="AC3718" s="6" t="s">
        <v>334</v>
      </c>
      <c r="AD3718" s="6" t="s">
        <v>7530</v>
      </c>
      <c r="AE3718" s="170">
        <v>233700</v>
      </c>
      <c r="AF3718" s="159" t="s">
        <v>8300</v>
      </c>
      <c r="AG3718" s="160" t="s">
        <v>445</v>
      </c>
      <c r="AH3718" s="194" t="s">
        <v>4700</v>
      </c>
      <c r="AI3718" s="6" t="s">
        <v>2828</v>
      </c>
      <c r="AJ3718" s="3" t="s">
        <v>8242</v>
      </c>
      <c r="AK3718" t="s">
        <v>8281</v>
      </c>
      <c r="AV3718"/>
      <c r="AX3718"/>
      <c r="AZ3718" t="str">
        <f t="shared" si="339"/>
        <v/>
      </c>
      <c r="BA3718" t="str">
        <f t="shared" si="340"/>
        <v/>
      </c>
    </row>
    <row r="3719" spans="29:53" ht="13.5">
      <c r="AC3719" s="6" t="s">
        <v>1351</v>
      </c>
      <c r="AD3719" s="6" t="s">
        <v>7530</v>
      </c>
      <c r="AE3719" s="171">
        <v>235279</v>
      </c>
      <c r="AF3719" s="159" t="s">
        <v>8320</v>
      </c>
      <c r="AG3719" s="160" t="s">
        <v>446</v>
      </c>
      <c r="AH3719" s="194" t="s">
        <v>678</v>
      </c>
      <c r="AI3719" s="6" t="s">
        <v>4391</v>
      </c>
      <c r="AJ3719" s="3" t="s">
        <v>8268</v>
      </c>
      <c r="AK3719" t="s">
        <v>8268</v>
      </c>
      <c r="AV3719"/>
      <c r="AX3719"/>
      <c r="AZ3719" t="str">
        <f t="shared" si="339"/>
        <v/>
      </c>
      <c r="BA3719" t="str">
        <f t="shared" si="340"/>
        <v/>
      </c>
    </row>
    <row r="3720" spans="29:53" ht="13.5">
      <c r="AC3720" s="6" t="s">
        <v>1438</v>
      </c>
      <c r="AD3720" s="6" t="s">
        <v>7530</v>
      </c>
      <c r="AE3720" s="171">
        <v>235325</v>
      </c>
      <c r="AF3720" s="159" t="s">
        <v>8299</v>
      </c>
      <c r="AG3720" s="160" t="s">
        <v>32</v>
      </c>
      <c r="AH3720" s="194" t="s">
        <v>678</v>
      </c>
      <c r="AI3720" s="6" t="s">
        <v>4392</v>
      </c>
      <c r="AJ3720" s="3" t="s">
        <v>8268</v>
      </c>
      <c r="AK3720" t="s">
        <v>8268</v>
      </c>
      <c r="AV3720"/>
      <c r="AX3720"/>
      <c r="AZ3720" t="str">
        <f t="shared" si="339"/>
        <v/>
      </c>
      <c r="BA3720" t="str">
        <f t="shared" si="340"/>
        <v/>
      </c>
    </row>
    <row r="3721" spans="29:53" ht="13.5">
      <c r="AC3721" s="6" t="s">
        <v>417</v>
      </c>
      <c r="AD3721" s="6" t="s">
        <v>7530</v>
      </c>
      <c r="AE3721" s="171">
        <v>771614</v>
      </c>
      <c r="AF3721" s="159" t="s">
        <v>8299</v>
      </c>
      <c r="AG3721" s="160" t="s">
        <v>447</v>
      </c>
      <c r="AH3721" s="194" t="s">
        <v>678</v>
      </c>
      <c r="AI3721" s="6" t="s">
        <v>4393</v>
      </c>
      <c r="AJ3721" s="3" t="s">
        <v>8268</v>
      </c>
      <c r="AK3721" t="s">
        <v>8268</v>
      </c>
      <c r="AV3721"/>
      <c r="AX3721"/>
      <c r="AZ3721" t="str">
        <f t="shared" si="339"/>
        <v/>
      </c>
      <c r="BA3721" t="str">
        <f t="shared" si="340"/>
        <v/>
      </c>
    </row>
    <row r="3722" spans="29:53" ht="13.5">
      <c r="AC3722" s="6" t="s">
        <v>1414</v>
      </c>
      <c r="AD3722" s="6" t="s">
        <v>7530</v>
      </c>
      <c r="AE3722" s="171">
        <v>771615</v>
      </c>
      <c r="AF3722" s="159" t="s">
        <v>8300</v>
      </c>
      <c r="AG3722" s="160" t="s">
        <v>448</v>
      </c>
      <c r="AH3722" s="194" t="s">
        <v>678</v>
      </c>
      <c r="AI3722" s="6">
        <v>541618</v>
      </c>
      <c r="AJ3722" s="3" t="s">
        <v>8238</v>
      </c>
      <c r="AK3722" t="s">
        <v>8673</v>
      </c>
      <c r="AV3722"/>
      <c r="AX3722"/>
      <c r="AZ3722" t="str">
        <f t="shared" si="339"/>
        <v/>
      </c>
      <c r="BA3722" t="str">
        <f t="shared" si="340"/>
        <v/>
      </c>
    </row>
    <row r="3723" spans="29:53" ht="13.5">
      <c r="AC3723" s="6" t="s">
        <v>1101</v>
      </c>
      <c r="AD3723" s="6" t="s">
        <v>7530</v>
      </c>
      <c r="AE3723" s="171" t="s">
        <v>5269</v>
      </c>
      <c r="AF3723" s="159" t="s">
        <v>8300</v>
      </c>
      <c r="AG3723" s="160" t="s">
        <v>449</v>
      </c>
      <c r="AH3723" s="194" t="s">
        <v>678</v>
      </c>
      <c r="AI3723" s="6">
        <v>541619</v>
      </c>
      <c r="AJ3723" s="3" t="s">
        <v>8238</v>
      </c>
      <c r="AK3723" t="s">
        <v>8673</v>
      </c>
      <c r="AV3723"/>
      <c r="AX3723"/>
      <c r="AZ3723" t="str">
        <f t="shared" si="339"/>
        <v/>
      </c>
      <c r="BA3723" t="str">
        <f t="shared" si="340"/>
        <v/>
      </c>
    </row>
    <row r="3724" spans="29:53" ht="13.5">
      <c r="AC3724" s="6" t="s">
        <v>408</v>
      </c>
      <c r="AD3724" s="6" t="s">
        <v>7530</v>
      </c>
      <c r="AE3724" s="171" t="s">
        <v>5411</v>
      </c>
      <c r="AF3724" s="159" t="s">
        <v>8300</v>
      </c>
      <c r="AG3724" s="160" t="s">
        <v>450</v>
      </c>
      <c r="AH3724" s="194" t="s">
        <v>4700</v>
      </c>
      <c r="AI3724" s="6">
        <v>541620</v>
      </c>
      <c r="AJ3724" s="3" t="s">
        <v>8238</v>
      </c>
      <c r="AK3724" t="s">
        <v>8673</v>
      </c>
      <c r="AV3724"/>
      <c r="AX3724"/>
      <c r="AZ3724" t="str">
        <f t="shared" si="339"/>
        <v/>
      </c>
      <c r="BA3724" t="str">
        <f t="shared" si="340"/>
        <v/>
      </c>
    </row>
    <row r="3725" spans="29:53" ht="13.5">
      <c r="AC3725" s="6" t="s">
        <v>1087</v>
      </c>
      <c r="AD3725" s="6" t="s">
        <v>7530</v>
      </c>
      <c r="AE3725" s="171" t="s">
        <v>5410</v>
      </c>
      <c r="AF3725" s="159" t="s">
        <v>8300</v>
      </c>
      <c r="AG3725" s="161" t="s">
        <v>1401</v>
      </c>
      <c r="AH3725" s="194" t="s">
        <v>4700</v>
      </c>
      <c r="AI3725" s="6">
        <v>543134</v>
      </c>
      <c r="AJ3725" s="3" t="s">
        <v>8194</v>
      </c>
      <c r="AK3725" t="s">
        <v>8194</v>
      </c>
      <c r="AV3725"/>
      <c r="AX3725"/>
      <c r="AZ3725" t="str">
        <f t="shared" si="339"/>
        <v/>
      </c>
      <c r="BA3725" t="str">
        <f t="shared" si="340"/>
        <v/>
      </c>
    </row>
    <row r="3726" spans="29:53" ht="13.5">
      <c r="AC3726" s="6" t="s">
        <v>555</v>
      </c>
      <c r="AD3726" s="6" t="s">
        <v>7530</v>
      </c>
      <c r="AE3726" s="171" t="s">
        <v>1676</v>
      </c>
      <c r="AF3726" s="159" t="s">
        <v>8287</v>
      </c>
      <c r="AG3726" s="161" t="s">
        <v>1040</v>
      </c>
      <c r="AH3726" s="194" t="s">
        <v>678</v>
      </c>
      <c r="AI3726" s="6">
        <v>585389</v>
      </c>
      <c r="AJ3726" s="3" t="s">
        <v>8248</v>
      </c>
      <c r="AK3726" t="s">
        <v>8248</v>
      </c>
      <c r="AV3726"/>
      <c r="AX3726"/>
      <c r="AZ3726" t="str">
        <f t="shared" si="339"/>
        <v/>
      </c>
      <c r="BA3726" t="str">
        <f t="shared" si="340"/>
        <v/>
      </c>
    </row>
    <row r="3727" spans="29:53" ht="13.5">
      <c r="AC3727" s="6" t="s">
        <v>6647</v>
      </c>
      <c r="AD3727" s="6" t="s">
        <v>7530</v>
      </c>
      <c r="AE3727" s="171" t="s">
        <v>1677</v>
      </c>
      <c r="AF3727" s="159" t="s">
        <v>8322</v>
      </c>
      <c r="AG3727" s="160" t="s">
        <v>451</v>
      </c>
      <c r="AH3727" s="194" t="s">
        <v>678</v>
      </c>
      <c r="AI3727" s="6">
        <v>595396</v>
      </c>
      <c r="AJ3727" s="3" t="s">
        <v>8249</v>
      </c>
      <c r="AK3727" t="s">
        <v>8249</v>
      </c>
      <c r="AV3727"/>
      <c r="AX3727"/>
      <c r="AZ3727" t="str">
        <f t="shared" si="339"/>
        <v/>
      </c>
      <c r="BA3727" t="str">
        <f t="shared" si="340"/>
        <v/>
      </c>
    </row>
    <row r="3728" spans="29:53" ht="13.5">
      <c r="AC3728" s="6" t="s">
        <v>554</v>
      </c>
      <c r="AD3728" s="6" t="s">
        <v>7530</v>
      </c>
      <c r="AE3728" s="171" t="s">
        <v>132</v>
      </c>
      <c r="AF3728" s="159" t="s">
        <v>8320</v>
      </c>
      <c r="AG3728" s="160" t="s">
        <v>452</v>
      </c>
      <c r="AH3728" s="194" t="s">
        <v>678</v>
      </c>
      <c r="AI3728" s="6">
        <v>595397</v>
      </c>
      <c r="AJ3728" s="3" t="s">
        <v>8249</v>
      </c>
      <c r="AK3728" t="s">
        <v>8249</v>
      </c>
      <c r="AV3728"/>
      <c r="AX3728"/>
      <c r="AZ3728" t="str">
        <f t="shared" si="339"/>
        <v/>
      </c>
      <c r="BA3728" t="str">
        <f t="shared" si="340"/>
        <v/>
      </c>
    </row>
    <row r="3729" spans="29:53" ht="13.5">
      <c r="AC3729" s="6" t="s">
        <v>1188</v>
      </c>
      <c r="AD3729" s="6" t="s">
        <v>7530</v>
      </c>
      <c r="AE3729" s="171" t="s">
        <v>133</v>
      </c>
      <c r="AF3729" s="159" t="s">
        <v>8300</v>
      </c>
      <c r="AG3729" s="160" t="s">
        <v>453</v>
      </c>
      <c r="AH3729" s="194" t="s">
        <v>678</v>
      </c>
      <c r="AI3729" s="6" t="s">
        <v>1159</v>
      </c>
      <c r="AJ3729" s="3" t="s">
        <v>8229</v>
      </c>
      <c r="AK3729" t="s">
        <v>8229</v>
      </c>
      <c r="AV3729"/>
      <c r="AX3729"/>
      <c r="AZ3729" t="str">
        <f t="shared" si="339"/>
        <v/>
      </c>
      <c r="BA3729" t="str">
        <f t="shared" si="340"/>
        <v/>
      </c>
    </row>
    <row r="3730" spans="29:53" ht="13.5">
      <c r="AC3730" s="6" t="s">
        <v>1412</v>
      </c>
      <c r="AD3730" s="6" t="s">
        <v>7530</v>
      </c>
      <c r="AE3730" s="171" t="s">
        <v>134</v>
      </c>
      <c r="AF3730" s="159" t="s">
        <v>8300</v>
      </c>
      <c r="AG3730" s="160" t="s">
        <v>1402</v>
      </c>
      <c r="AH3730" s="194" t="s">
        <v>678</v>
      </c>
      <c r="AI3730" s="6" t="s">
        <v>4396</v>
      </c>
      <c r="AJ3730" s="3" t="s">
        <v>8229</v>
      </c>
      <c r="AK3730" t="s">
        <v>8229</v>
      </c>
      <c r="AV3730"/>
      <c r="AX3730"/>
      <c r="AZ3730" t="str">
        <f t="shared" si="339"/>
        <v/>
      </c>
      <c r="BA3730" t="str">
        <f t="shared" si="340"/>
        <v/>
      </c>
    </row>
    <row r="3731" spans="29:53" ht="13.5">
      <c r="AC3731" s="6" t="s">
        <v>1276</v>
      </c>
      <c r="AD3731" s="6" t="s">
        <v>7530</v>
      </c>
      <c r="AE3731" s="171" t="s">
        <v>135</v>
      </c>
      <c r="AF3731" s="159" t="s">
        <v>8300</v>
      </c>
      <c r="AG3731" s="160" t="s">
        <v>939</v>
      </c>
      <c r="AH3731" s="194" t="s">
        <v>678</v>
      </c>
      <c r="AI3731" s="6">
        <v>695442</v>
      </c>
      <c r="AJ3731" s="3" t="s">
        <v>8221</v>
      </c>
      <c r="AK3731" t="s">
        <v>8669</v>
      </c>
      <c r="AV3731"/>
      <c r="AX3731"/>
      <c r="AZ3731" t="str">
        <f t="shared" si="339"/>
        <v/>
      </c>
      <c r="BA3731" t="str">
        <f t="shared" si="340"/>
        <v/>
      </c>
    </row>
    <row r="3732" spans="29:53" ht="13.5">
      <c r="AC3732" s="6" t="s">
        <v>415</v>
      </c>
      <c r="AD3732" s="6" t="s">
        <v>7530</v>
      </c>
      <c r="AE3732" s="171" t="s">
        <v>1472</v>
      </c>
      <c r="AF3732" s="159" t="s">
        <v>8300</v>
      </c>
      <c r="AG3732" s="160" t="s">
        <v>454</v>
      </c>
      <c r="AH3732" s="194" t="s">
        <v>678</v>
      </c>
      <c r="AI3732" s="6">
        <v>705444</v>
      </c>
      <c r="AJ3732" s="3" t="s">
        <v>8221</v>
      </c>
      <c r="AK3732" t="s">
        <v>8669</v>
      </c>
      <c r="AV3732"/>
      <c r="AX3732"/>
      <c r="AZ3732" t="str">
        <f t="shared" si="339"/>
        <v/>
      </c>
      <c r="BA3732" t="str">
        <f t="shared" si="340"/>
        <v/>
      </c>
    </row>
    <row r="3733" spans="29:53" ht="13.5">
      <c r="AC3733" s="6" t="s">
        <v>5276</v>
      </c>
      <c r="AD3733" s="6" t="s">
        <v>7530</v>
      </c>
      <c r="AE3733" s="171" t="s">
        <v>1644</v>
      </c>
      <c r="AF3733" s="159" t="s">
        <v>8324</v>
      </c>
      <c r="AG3733" s="160" t="s">
        <v>455</v>
      </c>
      <c r="AH3733" s="194" t="s">
        <v>678</v>
      </c>
      <c r="AI3733" s="6">
        <v>705445</v>
      </c>
      <c r="AJ3733" s="3" t="s">
        <v>8221</v>
      </c>
      <c r="AK3733" t="s">
        <v>8669</v>
      </c>
      <c r="AV3733"/>
      <c r="AX3733"/>
      <c r="AZ3733" t="str">
        <f t="shared" si="339"/>
        <v/>
      </c>
      <c r="BA3733" t="str">
        <f t="shared" si="340"/>
        <v/>
      </c>
    </row>
    <row r="3734" spans="29:53" ht="13.5">
      <c r="AC3734" s="6" t="s">
        <v>5431</v>
      </c>
      <c r="AD3734" s="6" t="s">
        <v>7530</v>
      </c>
      <c r="AE3734" s="171" t="s">
        <v>136</v>
      </c>
      <c r="AF3734" s="159" t="s">
        <v>8325</v>
      </c>
      <c r="AG3734" s="160" t="s">
        <v>456</v>
      </c>
      <c r="AH3734" s="194" t="s">
        <v>678</v>
      </c>
      <c r="AI3734" s="6">
        <v>765224</v>
      </c>
      <c r="AJ3734" s="3" t="s">
        <v>8230</v>
      </c>
      <c r="AK3734" t="s">
        <v>8230</v>
      </c>
      <c r="AV3734"/>
      <c r="AX3734"/>
      <c r="AZ3734" t="str">
        <f t="shared" si="339"/>
        <v/>
      </c>
      <c r="BA3734" t="str">
        <f t="shared" si="340"/>
        <v/>
      </c>
    </row>
    <row r="3735" spans="29:53" ht="13.5">
      <c r="AC3735" s="6" t="s">
        <v>1437</v>
      </c>
      <c r="AD3735" s="6" t="s">
        <v>7530</v>
      </c>
      <c r="AE3735" s="171" t="s">
        <v>138</v>
      </c>
      <c r="AF3735" s="159" t="s">
        <v>8324</v>
      </c>
      <c r="AG3735" s="160" t="s">
        <v>457</v>
      </c>
      <c r="AH3735" s="194" t="s">
        <v>678</v>
      </c>
      <c r="AI3735" s="6">
        <v>765225</v>
      </c>
      <c r="AJ3735" s="3" t="s">
        <v>8230</v>
      </c>
      <c r="AK3735" t="s">
        <v>8230</v>
      </c>
      <c r="AV3735"/>
      <c r="AX3735"/>
      <c r="AZ3735" t="str">
        <f t="shared" si="339"/>
        <v/>
      </c>
      <c r="BA3735" t="str">
        <f t="shared" si="340"/>
        <v/>
      </c>
    </row>
    <row r="3736" spans="29:53" ht="13.5">
      <c r="AC3736" s="6" t="s">
        <v>1379</v>
      </c>
      <c r="AD3736" s="6" t="s">
        <v>7530</v>
      </c>
      <c r="AE3736" s="171" t="s">
        <v>139</v>
      </c>
      <c r="AF3736" s="159" t="s">
        <v>8300</v>
      </c>
      <c r="AG3736" s="160" t="s">
        <v>458</v>
      </c>
      <c r="AH3736" s="194" t="s">
        <v>678</v>
      </c>
      <c r="AI3736" s="6">
        <v>765226</v>
      </c>
      <c r="AJ3736" s="3" t="s">
        <v>8236</v>
      </c>
      <c r="AK3736" t="s">
        <v>8236</v>
      </c>
      <c r="AV3736"/>
      <c r="AX3736"/>
      <c r="AZ3736" t="str">
        <f t="shared" si="339"/>
        <v/>
      </c>
      <c r="BA3736" t="str">
        <f t="shared" si="340"/>
        <v/>
      </c>
    </row>
    <row r="3737" spans="29:53" ht="13.5">
      <c r="AC3737" s="6" t="s">
        <v>280</v>
      </c>
      <c r="AD3737" s="6" t="s">
        <v>7530</v>
      </c>
      <c r="AE3737" s="171" t="s">
        <v>140</v>
      </c>
      <c r="AF3737" s="159" t="s">
        <v>8300</v>
      </c>
      <c r="AG3737" s="160" t="s">
        <v>459</v>
      </c>
      <c r="AH3737" s="194" t="s">
        <v>4700</v>
      </c>
      <c r="AI3737" s="6">
        <v>765230</v>
      </c>
      <c r="AJ3737" s="3" t="s">
        <v>8236</v>
      </c>
      <c r="AK3737" t="s">
        <v>8236</v>
      </c>
      <c r="AV3737"/>
      <c r="AX3737"/>
      <c r="AZ3737" t="str">
        <f t="shared" si="339"/>
        <v/>
      </c>
      <c r="BA3737" t="str">
        <f t="shared" si="340"/>
        <v/>
      </c>
    </row>
    <row r="3738" spans="29:53" ht="13.5">
      <c r="AC3738" s="6" t="s">
        <v>411</v>
      </c>
      <c r="AD3738" s="6" t="s">
        <v>7530</v>
      </c>
      <c r="AE3738" s="171" t="s">
        <v>141</v>
      </c>
      <c r="AF3738" s="159" t="s">
        <v>8300</v>
      </c>
      <c r="AG3738" s="160" t="s">
        <v>936</v>
      </c>
      <c r="AH3738" s="194" t="s">
        <v>678</v>
      </c>
      <c r="AI3738" s="6">
        <v>765231</v>
      </c>
      <c r="AJ3738" s="3" t="s">
        <v>8236</v>
      </c>
      <c r="AK3738" t="s">
        <v>8236</v>
      </c>
      <c r="AV3738"/>
      <c r="AX3738"/>
      <c r="AZ3738" t="str">
        <f t="shared" si="339"/>
        <v/>
      </c>
      <c r="BA3738" t="str">
        <f t="shared" si="340"/>
        <v/>
      </c>
    </row>
    <row r="3739" spans="29:53" ht="13.5">
      <c r="AC3739" s="6" t="s">
        <v>407</v>
      </c>
      <c r="AD3739" s="6" t="s">
        <v>7530</v>
      </c>
      <c r="AE3739" s="171" t="s">
        <v>142</v>
      </c>
      <c r="AF3739" s="159" t="s">
        <v>8300</v>
      </c>
      <c r="AG3739" s="160" t="s">
        <v>460</v>
      </c>
      <c r="AH3739" s="194" t="s">
        <v>678</v>
      </c>
      <c r="AI3739" s="6">
        <v>765233</v>
      </c>
      <c r="AJ3739" s="3" t="s">
        <v>8269</v>
      </c>
      <c r="AK3739" t="s">
        <v>8269</v>
      </c>
      <c r="AV3739"/>
      <c r="AX3739"/>
      <c r="AZ3739" t="str">
        <f t="shared" si="339"/>
        <v/>
      </c>
      <c r="BA3739" t="str">
        <f t="shared" si="340"/>
        <v/>
      </c>
    </row>
    <row r="3740" spans="29:53" ht="13.5">
      <c r="AC3740" s="6" t="s">
        <v>1358</v>
      </c>
      <c r="AD3740" s="6" t="s">
        <v>7530</v>
      </c>
      <c r="AE3740" s="171" t="s">
        <v>1480</v>
      </c>
      <c r="AF3740" s="159" t="s">
        <v>8300</v>
      </c>
      <c r="AG3740" s="160" t="s">
        <v>1403</v>
      </c>
      <c r="AH3740" s="194" t="s">
        <v>678</v>
      </c>
      <c r="AI3740" s="6">
        <v>826345</v>
      </c>
      <c r="AJ3740" s="3" t="s">
        <v>8242</v>
      </c>
      <c r="AK3740" t="s">
        <v>8281</v>
      </c>
      <c r="AV3740"/>
      <c r="AX3740"/>
      <c r="AZ3740" t="str">
        <f t="shared" si="339"/>
        <v/>
      </c>
      <c r="BA3740" t="str">
        <f t="shared" si="340"/>
        <v/>
      </c>
    </row>
    <row r="3741" spans="29:53" ht="13.5">
      <c r="AC3741" s="6" t="s">
        <v>5800</v>
      </c>
      <c r="AD3741" s="6" t="s">
        <v>7530</v>
      </c>
      <c r="AE3741" s="171" t="s">
        <v>1484</v>
      </c>
      <c r="AF3741" s="159" t="s">
        <v>8300</v>
      </c>
      <c r="AG3741" s="160" t="s">
        <v>461</v>
      </c>
      <c r="AH3741" s="194" t="s">
        <v>678</v>
      </c>
      <c r="AI3741" s="6">
        <v>876393</v>
      </c>
      <c r="AJ3741" s="3" t="s">
        <v>8276</v>
      </c>
      <c r="AK3741" t="s">
        <v>8276</v>
      </c>
      <c r="AV3741"/>
      <c r="AX3741"/>
      <c r="AZ3741" t="str">
        <f t="shared" si="339"/>
        <v/>
      </c>
      <c r="BA3741" t="str">
        <f t="shared" si="340"/>
        <v/>
      </c>
    </row>
    <row r="3742" spans="29:53" ht="13.5">
      <c r="AC3742" s="6" t="s">
        <v>1436</v>
      </c>
      <c r="AD3742" s="6" t="s">
        <v>7530</v>
      </c>
      <c r="AE3742" s="171" t="s">
        <v>1485</v>
      </c>
      <c r="AF3742" s="159" t="s">
        <v>8297</v>
      </c>
      <c r="AG3742" s="160" t="s">
        <v>462</v>
      </c>
      <c r="AH3742" s="194" t="s">
        <v>678</v>
      </c>
      <c r="AI3742" s="6">
        <v>876394</v>
      </c>
      <c r="AJ3742" s="3" t="s">
        <v>8276</v>
      </c>
      <c r="AK3742" t="s">
        <v>8276</v>
      </c>
      <c r="AV3742"/>
      <c r="AX3742"/>
      <c r="AZ3742" t="str">
        <f t="shared" si="339"/>
        <v/>
      </c>
      <c r="BA3742" t="str">
        <f t="shared" si="340"/>
        <v/>
      </c>
    </row>
    <row r="3743" spans="29:53" ht="13.5">
      <c r="AC3743" s="6" t="s">
        <v>1370</v>
      </c>
      <c r="AD3743" s="6" t="s">
        <v>7530</v>
      </c>
      <c r="AE3743" s="171" t="s">
        <v>33</v>
      </c>
      <c r="AF3743" s="159" t="s">
        <v>8339</v>
      </c>
      <c r="AG3743" s="160" t="s">
        <v>1404</v>
      </c>
      <c r="AH3743" s="194" t="s">
        <v>4700</v>
      </c>
      <c r="AI3743" s="6">
        <v>896412</v>
      </c>
      <c r="AJ3743" s="3" t="s">
        <v>8266</v>
      </c>
      <c r="AK3743" t="s">
        <v>8266</v>
      </c>
      <c r="AV3743"/>
      <c r="AX3743"/>
      <c r="AZ3743" t="str">
        <f t="shared" si="339"/>
        <v/>
      </c>
      <c r="BA3743" t="str">
        <f t="shared" si="340"/>
        <v/>
      </c>
    </row>
    <row r="3744" spans="29:53" ht="13.5">
      <c r="AC3744" s="6" t="s">
        <v>423</v>
      </c>
      <c r="AD3744" s="6" t="s">
        <v>7530</v>
      </c>
      <c r="AE3744" s="172" t="s">
        <v>143</v>
      </c>
      <c r="AF3744" s="159" t="s">
        <v>8309</v>
      </c>
      <c r="AG3744" s="160" t="s">
        <v>1405</v>
      </c>
      <c r="AH3744" s="194" t="s">
        <v>679</v>
      </c>
      <c r="AI3744" s="6">
        <v>896413</v>
      </c>
      <c r="AJ3744" s="3" t="s">
        <v>8266</v>
      </c>
      <c r="AK3744" t="s">
        <v>8266</v>
      </c>
      <c r="AV3744"/>
      <c r="AX3744"/>
      <c r="AZ3744" t="str">
        <f t="shared" si="339"/>
        <v/>
      </c>
      <c r="BA3744" t="str">
        <f t="shared" si="340"/>
        <v/>
      </c>
    </row>
    <row r="3745" spans="29:53" ht="13.5">
      <c r="AC3745" s="6" t="s">
        <v>4711</v>
      </c>
      <c r="AD3745" s="6" t="s">
        <v>7530</v>
      </c>
      <c r="AE3745" s="171" t="s">
        <v>144</v>
      </c>
      <c r="AF3745" s="159" t="s">
        <v>8300</v>
      </c>
      <c r="AG3745" s="160" t="s">
        <v>1406</v>
      </c>
      <c r="AH3745" s="194" t="s">
        <v>678</v>
      </c>
      <c r="AI3745" s="6">
        <v>896414</v>
      </c>
      <c r="AJ3745" s="3" t="s">
        <v>8268</v>
      </c>
      <c r="AK3745" t="s">
        <v>8268</v>
      </c>
      <c r="AV3745"/>
      <c r="AX3745"/>
      <c r="AZ3745" t="str">
        <f t="shared" si="339"/>
        <v/>
      </c>
      <c r="BA3745" t="str">
        <f t="shared" si="340"/>
        <v/>
      </c>
    </row>
    <row r="3746" spans="29:53" ht="13.5">
      <c r="AC3746" s="6" t="s">
        <v>1381</v>
      </c>
      <c r="AD3746" s="6" t="s">
        <v>7530</v>
      </c>
      <c r="AE3746" s="171" t="s">
        <v>41</v>
      </c>
      <c r="AF3746" s="159" t="s">
        <v>8339</v>
      </c>
      <c r="AG3746" s="160" t="s">
        <v>1407</v>
      </c>
      <c r="AH3746" s="194" t="s">
        <v>678</v>
      </c>
      <c r="AI3746" s="6">
        <v>916421</v>
      </c>
      <c r="AJ3746" s="3" t="s">
        <v>8279</v>
      </c>
      <c r="AK3746" t="s">
        <v>8679</v>
      </c>
      <c r="AV3746"/>
      <c r="AX3746"/>
      <c r="AZ3746" t="str">
        <f t="shared" si="339"/>
        <v/>
      </c>
      <c r="BA3746" t="str">
        <f t="shared" si="340"/>
        <v/>
      </c>
    </row>
    <row r="3747" spans="29:53" ht="13.5">
      <c r="AC3747" s="6" t="s">
        <v>1068</v>
      </c>
      <c r="AD3747" s="6" t="s">
        <v>7530</v>
      </c>
      <c r="AE3747" s="171" t="s">
        <v>40</v>
      </c>
      <c r="AF3747" s="159" t="s">
        <v>8339</v>
      </c>
      <c r="AG3747" s="160" t="s">
        <v>463</v>
      </c>
      <c r="AH3747" s="194" t="s">
        <v>678</v>
      </c>
      <c r="AI3747" s="6">
        <v>916423</v>
      </c>
      <c r="AJ3747" s="3" t="s">
        <v>8259</v>
      </c>
      <c r="AK3747" t="s">
        <v>8677</v>
      </c>
      <c r="AV3747"/>
      <c r="AX3747"/>
      <c r="AZ3747" t="str">
        <f t="shared" si="339"/>
        <v/>
      </c>
      <c r="BA3747" t="str">
        <f t="shared" si="340"/>
        <v/>
      </c>
    </row>
    <row r="3748" spans="29:53" ht="13.5">
      <c r="AC3748" s="6" t="s">
        <v>1092</v>
      </c>
      <c r="AD3748" s="6" t="s">
        <v>7530</v>
      </c>
      <c r="AE3748" s="171" t="s">
        <v>203</v>
      </c>
      <c r="AF3748" s="159" t="s">
        <v>8339</v>
      </c>
      <c r="AG3748" s="160" t="s">
        <v>1408</v>
      </c>
      <c r="AH3748" s="194" t="s">
        <v>678</v>
      </c>
      <c r="AI3748" s="6">
        <v>946437</v>
      </c>
      <c r="AJ3748" s="3" t="s">
        <v>8280</v>
      </c>
      <c r="AK3748" t="s">
        <v>8280</v>
      </c>
      <c r="AV3748"/>
      <c r="AX3748"/>
      <c r="AZ3748" t="str">
        <f t="shared" si="339"/>
        <v/>
      </c>
      <c r="BA3748" t="str">
        <f t="shared" si="340"/>
        <v/>
      </c>
    </row>
    <row r="3749" spans="29:53" ht="13.5">
      <c r="AC3749" s="6" t="s">
        <v>388</v>
      </c>
      <c r="AD3749" s="6" t="s">
        <v>7530</v>
      </c>
      <c r="AE3749" s="155" t="s">
        <v>204</v>
      </c>
      <c r="AF3749" s="159" t="s">
        <v>8339</v>
      </c>
      <c r="AG3749" s="160" t="s">
        <v>464</v>
      </c>
      <c r="AH3749" s="194" t="s">
        <v>4700</v>
      </c>
      <c r="AI3749" s="6">
        <v>946438</v>
      </c>
      <c r="AJ3749" s="3" t="s">
        <v>8280</v>
      </c>
      <c r="AK3749" t="s">
        <v>8280</v>
      </c>
      <c r="AV3749"/>
      <c r="AX3749"/>
      <c r="AZ3749" t="str">
        <f t="shared" si="339"/>
        <v/>
      </c>
      <c r="BA3749" t="str">
        <f t="shared" si="340"/>
        <v/>
      </c>
    </row>
    <row r="3750" spans="29:53" ht="13.5">
      <c r="AC3750" s="6" t="s">
        <v>1100</v>
      </c>
      <c r="AD3750" s="6" t="s">
        <v>7530</v>
      </c>
      <c r="AE3750" s="155" t="s">
        <v>205</v>
      </c>
      <c r="AF3750" s="159" t="s">
        <v>8300</v>
      </c>
      <c r="AG3750" s="160" t="s">
        <v>465</v>
      </c>
      <c r="AH3750" s="194" t="s">
        <v>678</v>
      </c>
      <c r="AI3750" s="6">
        <v>946440</v>
      </c>
      <c r="AJ3750" s="3" t="s">
        <v>8259</v>
      </c>
      <c r="AK3750" t="s">
        <v>8677</v>
      </c>
      <c r="AV3750"/>
      <c r="AX3750"/>
      <c r="AZ3750" t="str">
        <f t="shared" si="339"/>
        <v/>
      </c>
      <c r="BA3750" t="str">
        <f t="shared" si="340"/>
        <v/>
      </c>
    </row>
    <row r="3751" spans="29:53" ht="13.5">
      <c r="AC3751" s="6" t="s">
        <v>4724</v>
      </c>
      <c r="AD3751" s="6" t="s">
        <v>7530</v>
      </c>
      <c r="AE3751" s="155" t="s">
        <v>42</v>
      </c>
      <c r="AF3751" s="159" t="s">
        <v>8339</v>
      </c>
      <c r="AG3751" s="160" t="s">
        <v>466</v>
      </c>
      <c r="AH3751" s="194" t="s">
        <v>678</v>
      </c>
      <c r="AI3751" s="6">
        <v>966444</v>
      </c>
      <c r="AJ3751" s="3" t="s">
        <v>8256</v>
      </c>
      <c r="AK3751" t="s">
        <v>8256</v>
      </c>
      <c r="AV3751"/>
      <c r="AX3751"/>
      <c r="AZ3751" t="str">
        <f t="shared" si="339"/>
        <v/>
      </c>
      <c r="BA3751" t="str">
        <f t="shared" si="340"/>
        <v/>
      </c>
    </row>
    <row r="3752" spans="29:53" ht="13.5">
      <c r="AC3752" s="6" t="s">
        <v>8</v>
      </c>
      <c r="AD3752" s="6" t="s">
        <v>7530</v>
      </c>
      <c r="AE3752" s="155" t="s">
        <v>206</v>
      </c>
      <c r="AF3752" s="159" t="s">
        <v>8339</v>
      </c>
      <c r="AG3752" s="160" t="s">
        <v>467</v>
      </c>
      <c r="AH3752" s="194" t="s">
        <v>678</v>
      </c>
      <c r="AI3752" s="6">
        <v>966446</v>
      </c>
      <c r="AJ3752" s="3" t="s">
        <v>8256</v>
      </c>
      <c r="AK3752" t="s">
        <v>8256</v>
      </c>
      <c r="AV3752"/>
      <c r="AX3752"/>
      <c r="AZ3752" t="str">
        <f t="shared" si="339"/>
        <v/>
      </c>
      <c r="BA3752" t="str">
        <f t="shared" si="340"/>
        <v/>
      </c>
    </row>
    <row r="3753" spans="29:53" ht="13.5">
      <c r="AC3753" s="6" t="s">
        <v>410</v>
      </c>
      <c r="AD3753" s="6" t="s">
        <v>7530</v>
      </c>
      <c r="AE3753" s="155" t="s">
        <v>38</v>
      </c>
      <c r="AF3753" s="159" t="s">
        <v>8300</v>
      </c>
      <c r="AG3753" s="160" t="s">
        <v>468</v>
      </c>
      <c r="AH3753" s="194" t="s">
        <v>678</v>
      </c>
      <c r="AI3753" s="6">
        <v>976452</v>
      </c>
      <c r="AJ3753" s="3" t="s">
        <v>8256</v>
      </c>
      <c r="AK3753" t="s">
        <v>8256</v>
      </c>
      <c r="AV3753"/>
      <c r="AX3753"/>
      <c r="AZ3753" t="str">
        <f t="shared" si="339"/>
        <v/>
      </c>
      <c r="BA3753" t="str">
        <f t="shared" si="340"/>
        <v/>
      </c>
    </row>
    <row r="3754" spans="29:53" ht="13.5">
      <c r="AC3754" s="6" t="s">
        <v>1383</v>
      </c>
      <c r="AD3754" s="6" t="s">
        <v>7530</v>
      </c>
      <c r="AE3754" s="155" t="s">
        <v>207</v>
      </c>
      <c r="AF3754" s="159" t="s">
        <v>8339</v>
      </c>
      <c r="AG3754" s="160" t="s">
        <v>1409</v>
      </c>
      <c r="AH3754" s="194" t="s">
        <v>678</v>
      </c>
      <c r="AI3754" s="6">
        <v>976454</v>
      </c>
      <c r="AJ3754" s="3" t="s">
        <v>8256</v>
      </c>
      <c r="AK3754" t="s">
        <v>8256</v>
      </c>
      <c r="AV3754"/>
      <c r="AX3754"/>
      <c r="AZ3754" t="str">
        <f t="shared" si="339"/>
        <v/>
      </c>
      <c r="BA3754" t="str">
        <f t="shared" si="340"/>
        <v/>
      </c>
    </row>
    <row r="3755" spans="29:53" ht="13.5">
      <c r="AC3755" s="6" t="s">
        <v>1652</v>
      </c>
      <c r="AD3755" s="6" t="s">
        <v>7530</v>
      </c>
      <c r="AE3755" s="155" t="s">
        <v>1315</v>
      </c>
      <c r="AF3755" s="159" t="s">
        <v>8339</v>
      </c>
      <c r="AG3755" s="160" t="s">
        <v>469</v>
      </c>
      <c r="AH3755" s="194" t="s">
        <v>678</v>
      </c>
      <c r="AI3755" s="6">
        <v>986456</v>
      </c>
      <c r="AJ3755" s="3" t="s">
        <v>8242</v>
      </c>
      <c r="AK3755" t="s">
        <v>8281</v>
      </c>
      <c r="AV3755"/>
      <c r="AX3755"/>
      <c r="AZ3755" t="str">
        <f t="shared" si="339"/>
        <v/>
      </c>
      <c r="BA3755" t="str">
        <f t="shared" si="340"/>
        <v/>
      </c>
    </row>
    <row r="3756" spans="29:53" ht="13.5">
      <c r="AC3756" s="6" t="s">
        <v>1435</v>
      </c>
      <c r="AD3756" s="6" t="s">
        <v>7530</v>
      </c>
      <c r="AE3756" s="155" t="s">
        <v>208</v>
      </c>
      <c r="AF3756" s="159" t="s">
        <v>8300</v>
      </c>
      <c r="AG3756" s="160" t="s">
        <v>470</v>
      </c>
      <c r="AH3756" s="194" t="s">
        <v>678</v>
      </c>
      <c r="AI3756" s="6">
        <v>986464</v>
      </c>
      <c r="AJ3756" s="3" t="s">
        <v>8281</v>
      </c>
      <c r="AK3756" t="s">
        <v>8281</v>
      </c>
      <c r="AV3756"/>
      <c r="AX3756"/>
      <c r="AZ3756" t="str">
        <f t="shared" si="339"/>
        <v/>
      </c>
      <c r="BA3756" t="str">
        <f t="shared" si="340"/>
        <v/>
      </c>
    </row>
    <row r="3757" spans="29:53" ht="13.5">
      <c r="AC3757" s="6" t="s">
        <v>253</v>
      </c>
      <c r="AD3757" s="6" t="s">
        <v>7530</v>
      </c>
      <c r="AE3757" s="155" t="s">
        <v>29</v>
      </c>
      <c r="AF3757" s="159" t="s">
        <v>8300</v>
      </c>
      <c r="AG3757" s="160" t="s">
        <v>471</v>
      </c>
      <c r="AH3757" s="194" t="s">
        <v>679</v>
      </c>
      <c r="AI3757" s="6">
        <v>996468</v>
      </c>
      <c r="AJ3757" s="3" t="s">
        <v>8267</v>
      </c>
      <c r="AK3757" t="s">
        <v>8280</v>
      </c>
      <c r="AV3757"/>
      <c r="AX3757"/>
      <c r="AZ3757" t="str">
        <f t="shared" si="339"/>
        <v/>
      </c>
      <c r="BA3757" t="str">
        <f t="shared" si="340"/>
        <v/>
      </c>
    </row>
    <row r="3758" spans="29:53" ht="13.5">
      <c r="AC3758" s="6" t="s">
        <v>448</v>
      </c>
      <c r="AD3758" s="6" t="s">
        <v>7530</v>
      </c>
      <c r="AE3758" s="155" t="s">
        <v>996</v>
      </c>
      <c r="AF3758" s="159" t="s">
        <v>8339</v>
      </c>
      <c r="AG3758" s="160" t="s">
        <v>472</v>
      </c>
      <c r="AH3758" s="194" t="s">
        <v>678</v>
      </c>
      <c r="AI3758" s="6">
        <v>996469</v>
      </c>
      <c r="AJ3758" s="3" t="s">
        <v>8267</v>
      </c>
      <c r="AK3758" t="s">
        <v>8280</v>
      </c>
      <c r="AV3758"/>
      <c r="AX3758"/>
      <c r="AZ3758" t="str">
        <f t="shared" si="339"/>
        <v/>
      </c>
      <c r="BA3758" t="str">
        <f t="shared" si="340"/>
        <v/>
      </c>
    </row>
    <row r="3759" spans="29:53" ht="13.5">
      <c r="AC3759" s="6" t="s">
        <v>1518</v>
      </c>
      <c r="AD3759" s="6" t="s">
        <v>7530</v>
      </c>
      <c r="AE3759" s="155" t="s">
        <v>209</v>
      </c>
      <c r="AF3759" s="159" t="s">
        <v>8339</v>
      </c>
      <c r="AG3759" s="160" t="s">
        <v>473</v>
      </c>
      <c r="AH3759" s="194" t="s">
        <v>678</v>
      </c>
      <c r="AI3759" s="6">
        <v>996471</v>
      </c>
      <c r="AJ3759" s="3" t="s">
        <v>8267</v>
      </c>
      <c r="AK3759" t="s">
        <v>8280</v>
      </c>
      <c r="AV3759"/>
      <c r="AX3759"/>
      <c r="AZ3759" t="str">
        <f t="shared" si="339"/>
        <v/>
      </c>
      <c r="BA3759" t="str">
        <f t="shared" si="340"/>
        <v/>
      </c>
    </row>
    <row r="3760" spans="29:53" ht="13.5">
      <c r="AC3760" s="6" t="s">
        <v>254</v>
      </c>
      <c r="AD3760" s="6" t="s">
        <v>7530</v>
      </c>
      <c r="AE3760" s="155" t="s">
        <v>210</v>
      </c>
      <c r="AF3760" s="159" t="s">
        <v>8339</v>
      </c>
      <c r="AG3760" s="160" t="s">
        <v>1041</v>
      </c>
      <c r="AH3760" s="194" t="s">
        <v>678</v>
      </c>
      <c r="AI3760" s="6" t="s">
        <v>4785</v>
      </c>
      <c r="AJ3760" s="3" t="s">
        <v>8197</v>
      </c>
      <c r="AK3760" t="s">
        <v>8197</v>
      </c>
      <c r="AV3760"/>
      <c r="AX3760"/>
      <c r="AZ3760" t="str">
        <f t="shared" si="339"/>
        <v/>
      </c>
      <c r="BA3760" t="str">
        <f t="shared" si="340"/>
        <v/>
      </c>
    </row>
    <row r="3761" spans="29:53" ht="13.5">
      <c r="AC3761" s="6">
        <v>505360</v>
      </c>
      <c r="AD3761" s="6" t="s">
        <v>7564</v>
      </c>
      <c r="AE3761" s="155" t="s">
        <v>211</v>
      </c>
      <c r="AF3761" s="159" t="s">
        <v>8439</v>
      </c>
      <c r="AG3761" s="160" t="s">
        <v>474</v>
      </c>
      <c r="AH3761" s="194" t="s">
        <v>678</v>
      </c>
      <c r="AI3761" s="6" t="s">
        <v>4780</v>
      </c>
      <c r="AJ3761" s="3" t="s">
        <v>8197</v>
      </c>
      <c r="AK3761" t="s">
        <v>8197</v>
      </c>
      <c r="AV3761"/>
      <c r="AX3761"/>
      <c r="AZ3761" t="str">
        <f t="shared" si="339"/>
        <v/>
      </c>
      <c r="BA3761" t="str">
        <f t="shared" si="340"/>
        <v/>
      </c>
    </row>
    <row r="3762" spans="29:53" ht="13.5">
      <c r="AC3762" s="6" t="s">
        <v>1357</v>
      </c>
      <c r="AD3762" s="6" t="s">
        <v>7530</v>
      </c>
      <c r="AE3762" s="155" t="s">
        <v>212</v>
      </c>
      <c r="AF3762" s="159" t="s">
        <v>8300</v>
      </c>
      <c r="AG3762" s="160" t="s">
        <v>475</v>
      </c>
      <c r="AH3762" s="194" t="s">
        <v>678</v>
      </c>
      <c r="AI3762" s="6" t="s">
        <v>689</v>
      </c>
      <c r="AJ3762" s="3" t="s">
        <v>8273</v>
      </c>
      <c r="AK3762" t="s">
        <v>8273</v>
      </c>
      <c r="AV3762"/>
      <c r="AX3762"/>
      <c r="AZ3762" t="str">
        <f t="shared" si="339"/>
        <v/>
      </c>
      <c r="BA3762" t="str">
        <f t="shared" si="340"/>
        <v/>
      </c>
    </row>
    <row r="3763" spans="29:53" ht="13.5">
      <c r="AC3763" s="6" t="s">
        <v>1410</v>
      </c>
      <c r="AD3763" s="6" t="s">
        <v>7530</v>
      </c>
      <c r="AE3763" s="155" t="s">
        <v>213</v>
      </c>
      <c r="AF3763" s="159" t="s">
        <v>8300</v>
      </c>
      <c r="AG3763" s="160" t="s">
        <v>476</v>
      </c>
      <c r="AH3763" s="194" t="s">
        <v>678</v>
      </c>
      <c r="AI3763" s="6" t="s">
        <v>693</v>
      </c>
      <c r="AJ3763" s="3" t="s">
        <v>8263</v>
      </c>
      <c r="AK3763" t="s">
        <v>8263</v>
      </c>
      <c r="AV3763"/>
      <c r="AX3763"/>
      <c r="AZ3763" t="str">
        <f t="shared" si="339"/>
        <v/>
      </c>
      <c r="BA3763" t="str">
        <f t="shared" si="340"/>
        <v/>
      </c>
    </row>
    <row r="3764" spans="29:53" ht="13.5">
      <c r="AC3764" s="6" t="s">
        <v>545</v>
      </c>
      <c r="AD3764" s="6" t="s">
        <v>7530</v>
      </c>
      <c r="AE3764" s="155" t="s">
        <v>214</v>
      </c>
      <c r="AF3764" s="159" t="s">
        <v>8300</v>
      </c>
      <c r="AG3764" s="160" t="s">
        <v>477</v>
      </c>
      <c r="AH3764" s="194" t="s">
        <v>678</v>
      </c>
      <c r="AI3764" s="6" t="s">
        <v>1161</v>
      </c>
      <c r="AJ3764" s="3" t="s">
        <v>8263</v>
      </c>
      <c r="AK3764" t="s">
        <v>8263</v>
      </c>
      <c r="AV3764"/>
      <c r="AX3764"/>
      <c r="AZ3764" t="str">
        <f t="shared" si="339"/>
        <v/>
      </c>
      <c r="BA3764" t="str">
        <f t="shared" si="340"/>
        <v/>
      </c>
    </row>
    <row r="3765" spans="29:53" ht="13.5">
      <c r="AC3765" s="6" t="s">
        <v>279</v>
      </c>
      <c r="AD3765" s="6" t="s">
        <v>7530</v>
      </c>
      <c r="AE3765" s="155" t="s">
        <v>215</v>
      </c>
      <c r="AF3765" s="159" t="s">
        <v>8339</v>
      </c>
      <c r="AG3765" s="160" t="s">
        <v>478</v>
      </c>
      <c r="AH3765" s="194" t="s">
        <v>678</v>
      </c>
      <c r="AI3765" s="6" t="s">
        <v>690</v>
      </c>
      <c r="AJ3765" s="3" t="s">
        <v>8263</v>
      </c>
      <c r="AK3765" t="s">
        <v>8263</v>
      </c>
      <c r="AV3765"/>
      <c r="AX3765"/>
      <c r="AZ3765" t="str">
        <f t="shared" si="339"/>
        <v/>
      </c>
      <c r="BA3765" t="str">
        <f t="shared" si="340"/>
        <v/>
      </c>
    </row>
    <row r="3766" spans="29:53" ht="13.5">
      <c r="AC3766" s="6" t="s">
        <v>517</v>
      </c>
      <c r="AD3766" s="6" t="s">
        <v>7567</v>
      </c>
      <c r="AE3766" s="155" t="s">
        <v>216</v>
      </c>
      <c r="AF3766" s="159" t="s">
        <v>8339</v>
      </c>
      <c r="AG3766" s="160" t="s">
        <v>479</v>
      </c>
      <c r="AH3766" s="194" t="s">
        <v>678</v>
      </c>
      <c r="AI3766" s="6" t="s">
        <v>694</v>
      </c>
      <c r="AJ3766" s="3" t="s">
        <v>8263</v>
      </c>
      <c r="AK3766" t="s">
        <v>8263</v>
      </c>
      <c r="AV3766"/>
      <c r="AX3766"/>
      <c r="AZ3766" t="str">
        <f t="shared" si="339"/>
        <v/>
      </c>
      <c r="BA3766" t="str">
        <f t="shared" si="340"/>
        <v/>
      </c>
    </row>
    <row r="3767" spans="29:53" ht="13.5">
      <c r="AC3767" s="6" t="s">
        <v>1447</v>
      </c>
      <c r="AD3767" s="6" t="s">
        <v>7530</v>
      </c>
      <c r="AE3767" s="155" t="s">
        <v>1317</v>
      </c>
      <c r="AF3767" s="159" t="s">
        <v>8339</v>
      </c>
      <c r="AG3767" s="160" t="s">
        <v>1042</v>
      </c>
      <c r="AH3767" s="194" t="s">
        <v>4700</v>
      </c>
      <c r="AI3767" s="6" t="s">
        <v>695</v>
      </c>
      <c r="AJ3767" s="3" t="s">
        <v>8263</v>
      </c>
      <c r="AK3767" t="s">
        <v>8263</v>
      </c>
      <c r="AV3767"/>
      <c r="AX3767"/>
      <c r="AZ3767" t="str">
        <f t="shared" si="339"/>
        <v/>
      </c>
      <c r="BA3767" t="str">
        <f t="shared" si="340"/>
        <v/>
      </c>
    </row>
    <row r="3768" spans="29:53" ht="13.5">
      <c r="AC3768" s="6" t="s">
        <v>416</v>
      </c>
      <c r="AD3768" s="6" t="s">
        <v>7530</v>
      </c>
      <c r="AE3768" s="155" t="s">
        <v>217</v>
      </c>
      <c r="AF3768" s="159" t="s">
        <v>8300</v>
      </c>
      <c r="AG3768" s="160" t="s">
        <v>480</v>
      </c>
      <c r="AH3768" s="194" t="s">
        <v>4700</v>
      </c>
      <c r="AI3768" s="6" t="s">
        <v>697</v>
      </c>
      <c r="AJ3768" s="3" t="s">
        <v>8273</v>
      </c>
      <c r="AK3768" t="s">
        <v>8273</v>
      </c>
      <c r="AV3768"/>
      <c r="AX3768"/>
      <c r="AZ3768" t="str">
        <f t="shared" si="339"/>
        <v/>
      </c>
      <c r="BA3768" t="str">
        <f t="shared" si="340"/>
        <v/>
      </c>
    </row>
    <row r="3769" spans="29:53" ht="13.5">
      <c r="AC3769" s="6" t="s">
        <v>406</v>
      </c>
      <c r="AD3769" s="6" t="s">
        <v>7530</v>
      </c>
      <c r="AE3769" s="155" t="s">
        <v>218</v>
      </c>
      <c r="AF3769" s="159" t="s">
        <v>8300</v>
      </c>
      <c r="AG3769" s="160" t="s">
        <v>1043</v>
      </c>
      <c r="AH3769" s="194" t="s">
        <v>4700</v>
      </c>
      <c r="AI3769" s="6" t="s">
        <v>1718</v>
      </c>
      <c r="AJ3769" s="3" t="s">
        <v>8234</v>
      </c>
      <c r="AK3769" t="s">
        <v>8234</v>
      </c>
      <c r="AV3769"/>
      <c r="AX3769"/>
      <c r="AZ3769" t="str">
        <f t="shared" ref="AZ3769:AZ3832" si="341">IF(ISBLANK(AW3769),"",CONCATENATE("(",RIGHT(AW3769,5),"-",TEXT(AX3769,"h:mm;@"),")"))</f>
        <v/>
      </c>
      <c r="BA3769" t="str">
        <f t="shared" ref="BA3769:BA3832" si="342">IF(AV3785=AV3769,"",CONCATENATE(IF(AV3784=AV3769,BA3784,""),IF(AV3783=AV3769,BA3783,""),IF(AV3782=AV3769,BA3782,""),IF(AV3781=AV3769,BA3781,""),IF(AV3780=AV3769,BA3780,""),IF(AV3779=AV3769,BA3779,""),IF(AV3778=AV3769,BA3778,""),IF(AV3777=AV3769,BA3777,""),IF(AV3776=AV3769,BA3776,""),IF(AV3775=AV3769,BA3775,""),IF(AV3774=AV3769,BA3774,""),IF(AV3773=AV3769,BA3773,""),IF(AV3772=AV3769,BA3772,""),IF(AV3771=AV3769,BA3771,""),IF(AV3770=AV3769,BA3770,""),IF(AV3768=AV3769,BA3768,""),BA3769))</f>
        <v/>
      </c>
    </row>
    <row r="3770" spans="29:53" ht="13.5">
      <c r="AC3770" s="6" t="s">
        <v>4742</v>
      </c>
      <c r="AD3770" s="6" t="s">
        <v>7530</v>
      </c>
      <c r="AE3770" s="155" t="s">
        <v>1202</v>
      </c>
      <c r="AF3770" s="159" t="s">
        <v>8300</v>
      </c>
      <c r="AG3770" s="160" t="s">
        <v>481</v>
      </c>
      <c r="AH3770" s="194" t="s">
        <v>678</v>
      </c>
      <c r="AI3770" s="6" t="s">
        <v>698</v>
      </c>
      <c r="AJ3770" s="3" t="s">
        <v>8273</v>
      </c>
      <c r="AK3770" t="s">
        <v>8273</v>
      </c>
      <c r="AV3770"/>
      <c r="AX3770"/>
      <c r="AZ3770" t="str">
        <f t="shared" si="341"/>
        <v/>
      </c>
      <c r="BA3770" t="str">
        <f t="shared" si="342"/>
        <v/>
      </c>
    </row>
    <row r="3771" spans="29:53" ht="13.5">
      <c r="AC3771" s="6" t="s">
        <v>1382</v>
      </c>
      <c r="AD3771" s="6" t="s">
        <v>7530</v>
      </c>
      <c r="AE3771" s="155" t="s">
        <v>1318</v>
      </c>
      <c r="AF3771" s="159" t="s">
        <v>8300</v>
      </c>
      <c r="AG3771" s="160" t="s">
        <v>482</v>
      </c>
      <c r="AH3771" s="194" t="s">
        <v>4700</v>
      </c>
      <c r="AI3771" s="6" t="s">
        <v>699</v>
      </c>
      <c r="AJ3771" s="3" t="s">
        <v>8273</v>
      </c>
      <c r="AK3771" t="s">
        <v>8273</v>
      </c>
      <c r="AV3771"/>
      <c r="AX3771"/>
      <c r="AZ3771" t="str">
        <f t="shared" si="341"/>
        <v/>
      </c>
      <c r="BA3771" t="str">
        <f t="shared" si="342"/>
        <v/>
      </c>
    </row>
    <row r="3772" spans="29:53" ht="13.5">
      <c r="AC3772" s="6" t="s">
        <v>1408</v>
      </c>
      <c r="AD3772" s="6" t="s">
        <v>7530</v>
      </c>
      <c r="AE3772" s="155" t="s">
        <v>1319</v>
      </c>
      <c r="AF3772" s="159" t="s">
        <v>8300</v>
      </c>
      <c r="AG3772" s="160" t="s">
        <v>483</v>
      </c>
      <c r="AH3772" s="194" t="s">
        <v>678</v>
      </c>
      <c r="AI3772" s="6" t="s">
        <v>700</v>
      </c>
      <c r="AJ3772" s="3" t="s">
        <v>8273</v>
      </c>
      <c r="AK3772" t="s">
        <v>8273</v>
      </c>
      <c r="AV3772"/>
      <c r="AX3772"/>
      <c r="AZ3772" t="str">
        <f t="shared" si="341"/>
        <v/>
      </c>
      <c r="BA3772" t="str">
        <f t="shared" si="342"/>
        <v/>
      </c>
    </row>
    <row r="3773" spans="29:53" ht="13.5">
      <c r="AC3773" s="6">
        <v>75280</v>
      </c>
      <c r="AD3773" s="6" t="s">
        <v>7563</v>
      </c>
      <c r="AE3773" s="155" t="s">
        <v>1164</v>
      </c>
      <c r="AF3773" s="159" t="s">
        <v>8300</v>
      </c>
      <c r="AG3773" s="160" t="s">
        <v>10</v>
      </c>
      <c r="AH3773" s="194" t="s">
        <v>678</v>
      </c>
      <c r="AI3773" s="6" t="s">
        <v>701</v>
      </c>
      <c r="AJ3773" s="3" t="s">
        <v>8273</v>
      </c>
      <c r="AK3773" t="s">
        <v>8273</v>
      </c>
      <c r="AV3773"/>
      <c r="AX3773"/>
      <c r="AZ3773" t="str">
        <f t="shared" si="341"/>
        <v/>
      </c>
      <c r="BA3773" t="str">
        <f t="shared" si="342"/>
        <v/>
      </c>
    </row>
    <row r="3774" spans="29:53" ht="13.5">
      <c r="AC3774" s="6" t="s">
        <v>405</v>
      </c>
      <c r="AD3774" s="6" t="s">
        <v>7530</v>
      </c>
      <c r="AE3774" s="155" t="s">
        <v>219</v>
      </c>
      <c r="AF3774" s="159" t="s">
        <v>8300</v>
      </c>
      <c r="AG3774" s="160" t="s">
        <v>484</v>
      </c>
      <c r="AH3774" s="194" t="s">
        <v>678</v>
      </c>
      <c r="AI3774" s="6" t="s">
        <v>688</v>
      </c>
      <c r="AJ3774" s="3" t="s">
        <v>8273</v>
      </c>
      <c r="AK3774" t="s">
        <v>8273</v>
      </c>
      <c r="AV3774"/>
      <c r="AX3774"/>
      <c r="AZ3774" t="str">
        <f t="shared" si="341"/>
        <v/>
      </c>
      <c r="BA3774" t="str">
        <f t="shared" si="342"/>
        <v/>
      </c>
    </row>
    <row r="3775" spans="29:53" ht="13.5">
      <c r="AC3775" s="6" t="s">
        <v>581</v>
      </c>
      <c r="AD3775" s="6" t="s">
        <v>7530</v>
      </c>
      <c r="AE3775" s="155" t="s">
        <v>1320</v>
      </c>
      <c r="AF3775" s="159" t="s">
        <v>8300</v>
      </c>
      <c r="AG3775" s="160" t="s">
        <v>485</v>
      </c>
      <c r="AH3775" s="194" t="s">
        <v>678</v>
      </c>
      <c r="AI3775" s="6" t="s">
        <v>1720</v>
      </c>
      <c r="AJ3775" s="3" t="s">
        <v>8234</v>
      </c>
      <c r="AK3775" t="s">
        <v>8234</v>
      </c>
      <c r="AV3775"/>
      <c r="AX3775"/>
      <c r="AZ3775" t="str">
        <f t="shared" si="341"/>
        <v/>
      </c>
      <c r="BA3775" t="str">
        <f t="shared" si="342"/>
        <v/>
      </c>
    </row>
    <row r="3776" spans="29:53" ht="13.5">
      <c r="AC3776" s="6" t="s">
        <v>1384</v>
      </c>
      <c r="AD3776" s="6" t="s">
        <v>7530</v>
      </c>
      <c r="AE3776" s="155" t="s">
        <v>1321</v>
      </c>
      <c r="AF3776" s="159" t="s">
        <v>8300</v>
      </c>
      <c r="AG3776" s="160" t="s">
        <v>486</v>
      </c>
      <c r="AH3776" s="194" t="s">
        <v>4700</v>
      </c>
      <c r="AI3776" s="6" t="s">
        <v>1162</v>
      </c>
      <c r="AJ3776" s="3" t="s">
        <v>8273</v>
      </c>
      <c r="AK3776" t="s">
        <v>8273</v>
      </c>
      <c r="AV3776"/>
      <c r="AX3776"/>
      <c r="AZ3776" t="str">
        <f t="shared" si="341"/>
        <v/>
      </c>
      <c r="BA3776" t="str">
        <f t="shared" si="342"/>
        <v/>
      </c>
    </row>
    <row r="3777" spans="29:53" ht="13.5">
      <c r="AC3777" s="6" t="s">
        <v>394</v>
      </c>
      <c r="AD3777" s="6" t="s">
        <v>7530</v>
      </c>
      <c r="AE3777" s="155" t="s">
        <v>1322</v>
      </c>
      <c r="AF3777" s="159" t="s">
        <v>8300</v>
      </c>
      <c r="AG3777" s="160" t="s">
        <v>487</v>
      </c>
      <c r="AH3777" s="194" t="s">
        <v>4700</v>
      </c>
      <c r="AI3777" s="6" t="s">
        <v>702</v>
      </c>
      <c r="AJ3777" s="3" t="s">
        <v>8273</v>
      </c>
      <c r="AK3777" t="s">
        <v>8273</v>
      </c>
      <c r="AV3777"/>
      <c r="AX3777"/>
      <c r="AZ3777" t="str">
        <f t="shared" si="341"/>
        <v/>
      </c>
      <c r="BA3777" t="str">
        <f t="shared" si="342"/>
        <v/>
      </c>
    </row>
    <row r="3778" spans="29:53" ht="13.5">
      <c r="AC3778" s="6" t="s">
        <v>576</v>
      </c>
      <c r="AD3778" s="6" t="s">
        <v>7530</v>
      </c>
      <c r="AE3778" s="155" t="s">
        <v>220</v>
      </c>
      <c r="AF3778" s="159" t="s">
        <v>8300</v>
      </c>
      <c r="AG3778" s="160" t="s">
        <v>488</v>
      </c>
      <c r="AH3778" s="194" t="s">
        <v>678</v>
      </c>
      <c r="AI3778" s="6" t="s">
        <v>703</v>
      </c>
      <c r="AJ3778" s="3" t="s">
        <v>8273</v>
      </c>
      <c r="AK3778" t="s">
        <v>8273</v>
      </c>
      <c r="AV3778"/>
      <c r="AX3778"/>
      <c r="AZ3778" t="str">
        <f t="shared" si="341"/>
        <v/>
      </c>
      <c r="BA3778" t="str">
        <f t="shared" si="342"/>
        <v/>
      </c>
    </row>
    <row r="3779" spans="29:53" ht="13.5">
      <c r="AC3779" s="6" t="s">
        <v>596</v>
      </c>
      <c r="AD3779" s="6" t="s">
        <v>7530</v>
      </c>
      <c r="AE3779" s="155" t="s">
        <v>1165</v>
      </c>
      <c r="AF3779" s="159" t="s">
        <v>8300</v>
      </c>
      <c r="AG3779" s="160" t="s">
        <v>489</v>
      </c>
      <c r="AH3779" s="194" t="s">
        <v>678</v>
      </c>
      <c r="AI3779" s="6" t="s">
        <v>704</v>
      </c>
      <c r="AJ3779" s="3" t="s">
        <v>8273</v>
      </c>
      <c r="AK3779" t="s">
        <v>8273</v>
      </c>
      <c r="AV3779"/>
      <c r="AX3779"/>
      <c r="AZ3779" t="str">
        <f t="shared" si="341"/>
        <v/>
      </c>
      <c r="BA3779" t="str">
        <f t="shared" si="342"/>
        <v/>
      </c>
    </row>
    <row r="3780" spans="29:53" ht="13.5">
      <c r="AC3780" s="6" t="s">
        <v>1440</v>
      </c>
      <c r="AD3780" s="6" t="s">
        <v>7530</v>
      </c>
      <c r="AE3780" s="155" t="s">
        <v>221</v>
      </c>
      <c r="AF3780" s="159" t="s">
        <v>8300</v>
      </c>
      <c r="AG3780" s="161" t="s">
        <v>490</v>
      </c>
      <c r="AH3780" s="194" t="s">
        <v>678</v>
      </c>
      <c r="AI3780" s="6" t="s">
        <v>686</v>
      </c>
      <c r="AJ3780" s="3" t="s">
        <v>8273</v>
      </c>
      <c r="AK3780" t="s">
        <v>8273</v>
      </c>
      <c r="AV3780"/>
      <c r="AX3780"/>
      <c r="AZ3780" t="str">
        <f t="shared" si="341"/>
        <v/>
      </c>
      <c r="BA3780" t="str">
        <f t="shared" si="342"/>
        <v/>
      </c>
    </row>
    <row r="3781" spans="29:53" ht="13.5">
      <c r="AC3781" s="6" t="s">
        <v>1517</v>
      </c>
      <c r="AD3781" s="6" t="s">
        <v>7530</v>
      </c>
      <c r="AE3781" s="155" t="s">
        <v>1323</v>
      </c>
      <c r="AF3781" s="159" t="s">
        <v>8300</v>
      </c>
      <c r="AG3781" s="160" t="s">
        <v>491</v>
      </c>
      <c r="AH3781" s="194" t="s">
        <v>678</v>
      </c>
      <c r="AI3781" s="6" t="s">
        <v>1163</v>
      </c>
      <c r="AJ3781" s="3" t="s">
        <v>8273</v>
      </c>
      <c r="AK3781" t="s">
        <v>8273</v>
      </c>
      <c r="AV3781"/>
      <c r="AX3781"/>
      <c r="AZ3781" t="str">
        <f t="shared" si="341"/>
        <v/>
      </c>
      <c r="BA3781" t="str">
        <f t="shared" si="342"/>
        <v/>
      </c>
    </row>
    <row r="3782" spans="29:53" ht="13.5">
      <c r="AC3782" s="6" t="s">
        <v>1076</v>
      </c>
      <c r="AD3782" s="6" t="s">
        <v>7530</v>
      </c>
      <c r="AE3782" s="155" t="s">
        <v>974</v>
      </c>
      <c r="AF3782" s="159" t="s">
        <v>8300</v>
      </c>
      <c r="AG3782" s="160" t="s">
        <v>492</v>
      </c>
      <c r="AH3782" s="194" t="s">
        <v>678</v>
      </c>
      <c r="AI3782" s="6" t="s">
        <v>705</v>
      </c>
      <c r="AJ3782" s="3" t="s">
        <v>8273</v>
      </c>
      <c r="AK3782" t="s">
        <v>8273</v>
      </c>
      <c r="AV3782"/>
      <c r="AX3782"/>
      <c r="AZ3782" t="str">
        <f t="shared" si="341"/>
        <v/>
      </c>
      <c r="BA3782" t="str">
        <f t="shared" si="342"/>
        <v/>
      </c>
    </row>
    <row r="3783" spans="29:53" ht="13.5">
      <c r="AC3783" s="6" t="s">
        <v>5519</v>
      </c>
      <c r="AD3783" s="6" t="s">
        <v>7560</v>
      </c>
      <c r="AE3783" s="155" t="s">
        <v>1324</v>
      </c>
      <c r="AF3783" s="159" t="s">
        <v>8300</v>
      </c>
      <c r="AG3783" s="160" t="s">
        <v>1410</v>
      </c>
      <c r="AH3783" s="194" t="s">
        <v>678</v>
      </c>
      <c r="AI3783" s="6" t="s">
        <v>3471</v>
      </c>
      <c r="AJ3783" s="3" t="s">
        <v>8204</v>
      </c>
      <c r="AK3783" t="s">
        <v>8204</v>
      </c>
      <c r="AV3783"/>
      <c r="AX3783"/>
      <c r="AZ3783" t="str">
        <f t="shared" si="341"/>
        <v/>
      </c>
      <c r="BA3783" t="str">
        <f t="shared" si="342"/>
        <v/>
      </c>
    </row>
    <row r="3784" spans="29:53" ht="13.5">
      <c r="AC3784" s="6" t="s">
        <v>562</v>
      </c>
      <c r="AD3784" s="6" t="s">
        <v>7530</v>
      </c>
      <c r="AE3784" s="155" t="s">
        <v>27</v>
      </c>
      <c r="AF3784" s="159" t="s">
        <v>8300</v>
      </c>
      <c r="AG3784" s="160" t="s">
        <v>493</v>
      </c>
      <c r="AH3784" s="194" t="s">
        <v>4700</v>
      </c>
      <c r="AI3784" s="6" t="s">
        <v>3477</v>
      </c>
      <c r="AJ3784" s="3" t="s">
        <v>8193</v>
      </c>
      <c r="AK3784" t="s">
        <v>8205</v>
      </c>
      <c r="AV3784"/>
      <c r="AX3784"/>
      <c r="AZ3784" t="str">
        <f t="shared" si="341"/>
        <v/>
      </c>
      <c r="BA3784" t="str">
        <f t="shared" si="342"/>
        <v/>
      </c>
    </row>
    <row r="3785" spans="29:53" ht="13.5">
      <c r="AC3785" s="6" t="s">
        <v>400</v>
      </c>
      <c r="AD3785" s="6" t="s">
        <v>7530</v>
      </c>
      <c r="AE3785" s="155" t="s">
        <v>222</v>
      </c>
      <c r="AF3785" s="159" t="s">
        <v>8300</v>
      </c>
      <c r="AG3785" s="160" t="s">
        <v>494</v>
      </c>
      <c r="AH3785" s="194" t="s">
        <v>4700</v>
      </c>
      <c r="AI3785" s="6" t="s">
        <v>3484</v>
      </c>
      <c r="AJ3785" s="3" t="s">
        <v>8211</v>
      </c>
      <c r="AK3785" t="s">
        <v>8242</v>
      </c>
      <c r="AV3785"/>
      <c r="AX3785"/>
      <c r="AZ3785" t="str">
        <f t="shared" si="341"/>
        <v/>
      </c>
      <c r="BA3785" t="str">
        <f t="shared" si="342"/>
        <v/>
      </c>
    </row>
    <row r="3786" spans="29:53" ht="13.5">
      <c r="AC3786" s="6" t="s">
        <v>5427</v>
      </c>
      <c r="AD3786" s="6" t="s">
        <v>7530</v>
      </c>
      <c r="AE3786" s="155" t="s">
        <v>1325</v>
      </c>
      <c r="AF3786" s="159" t="s">
        <v>8300</v>
      </c>
      <c r="AG3786" s="160" t="s">
        <v>6</v>
      </c>
      <c r="AH3786" s="194" t="s">
        <v>678</v>
      </c>
      <c r="AI3786" s="6" t="s">
        <v>3487</v>
      </c>
      <c r="AJ3786" s="3" t="s">
        <v>8203</v>
      </c>
      <c r="AK3786" t="s">
        <v>8203</v>
      </c>
      <c r="AV3786"/>
      <c r="AX3786"/>
      <c r="AZ3786" t="str">
        <f t="shared" si="341"/>
        <v/>
      </c>
      <c r="BA3786" t="str">
        <f t="shared" si="342"/>
        <v/>
      </c>
    </row>
    <row r="3787" spans="29:53" ht="13.5">
      <c r="AC3787" s="6" t="s">
        <v>5439</v>
      </c>
      <c r="AD3787" s="6" t="s">
        <v>7530</v>
      </c>
      <c r="AE3787" s="155" t="s">
        <v>1326</v>
      </c>
      <c r="AF3787" s="159" t="s">
        <v>8300</v>
      </c>
      <c r="AG3787" s="160" t="s">
        <v>20</v>
      </c>
      <c r="AH3787" s="194" t="s">
        <v>678</v>
      </c>
      <c r="AI3787" s="6" t="s">
        <v>3492</v>
      </c>
      <c r="AJ3787" s="3" t="s">
        <v>8211</v>
      </c>
      <c r="AK3787" t="s">
        <v>8242</v>
      </c>
      <c r="AV3787"/>
      <c r="AX3787"/>
      <c r="AZ3787" t="str">
        <f t="shared" si="341"/>
        <v/>
      </c>
      <c r="BA3787" t="str">
        <f t="shared" si="342"/>
        <v/>
      </c>
    </row>
    <row r="3788" spans="29:53" ht="13.5">
      <c r="AC3788" s="6" t="s">
        <v>404</v>
      </c>
      <c r="AD3788" s="6" t="s">
        <v>7530</v>
      </c>
      <c r="AE3788" s="155" t="s">
        <v>1327</v>
      </c>
      <c r="AF3788" s="159" t="s">
        <v>8300</v>
      </c>
      <c r="AG3788" s="160" t="s">
        <v>495</v>
      </c>
      <c r="AH3788" s="194" t="s">
        <v>678</v>
      </c>
      <c r="AI3788" s="6" t="s">
        <v>3493</v>
      </c>
      <c r="AJ3788" s="3" t="s">
        <v>8193</v>
      </c>
      <c r="AK3788" t="s">
        <v>8205</v>
      </c>
      <c r="AV3788"/>
      <c r="AX3788"/>
      <c r="AZ3788" t="str">
        <f t="shared" si="341"/>
        <v/>
      </c>
      <c r="BA3788" t="str">
        <f t="shared" si="342"/>
        <v/>
      </c>
    </row>
    <row r="3789" spans="29:53" ht="13.5">
      <c r="AC3789" s="6" t="s">
        <v>498</v>
      </c>
      <c r="AD3789" s="6" t="s">
        <v>7530</v>
      </c>
      <c r="AE3789" s="155" t="s">
        <v>1328</v>
      </c>
      <c r="AF3789" s="159" t="s">
        <v>8300</v>
      </c>
      <c r="AG3789" s="160" t="s">
        <v>496</v>
      </c>
      <c r="AH3789" s="194" t="s">
        <v>678</v>
      </c>
      <c r="AI3789" s="6" t="s">
        <v>3494</v>
      </c>
      <c r="AJ3789" s="3" t="s">
        <v>8204</v>
      </c>
      <c r="AK3789" t="s">
        <v>8204</v>
      </c>
      <c r="AV3789"/>
      <c r="AX3789"/>
      <c r="AZ3789" t="str">
        <f t="shared" si="341"/>
        <v/>
      </c>
      <c r="BA3789" t="str">
        <f t="shared" si="342"/>
        <v/>
      </c>
    </row>
    <row r="3790" spans="29:53" ht="13.5">
      <c r="AC3790" s="6" t="s">
        <v>403</v>
      </c>
      <c r="AD3790" s="6" t="s">
        <v>7530</v>
      </c>
      <c r="AE3790" s="155" t="s">
        <v>1166</v>
      </c>
      <c r="AF3790" s="159" t="s">
        <v>8300</v>
      </c>
      <c r="AG3790" s="160" t="s">
        <v>497</v>
      </c>
      <c r="AH3790" s="194" t="s">
        <v>678</v>
      </c>
      <c r="AI3790" s="6" t="s">
        <v>3495</v>
      </c>
      <c r="AJ3790" s="3" t="s">
        <v>8204</v>
      </c>
      <c r="AK3790" t="s">
        <v>8204</v>
      </c>
      <c r="AV3790"/>
      <c r="AX3790"/>
      <c r="AZ3790" t="str">
        <f t="shared" si="341"/>
        <v/>
      </c>
      <c r="BA3790" t="str">
        <f t="shared" si="342"/>
        <v/>
      </c>
    </row>
    <row r="3791" spans="29:53" ht="13.5">
      <c r="AC3791" s="6" t="s">
        <v>1364</v>
      </c>
      <c r="AD3791" s="6" t="s">
        <v>7530</v>
      </c>
      <c r="AE3791" s="155" t="s">
        <v>37</v>
      </c>
      <c r="AF3791" s="159" t="s">
        <v>8300</v>
      </c>
      <c r="AG3791" s="160" t="s">
        <v>498</v>
      </c>
      <c r="AH3791" s="194" t="s">
        <v>678</v>
      </c>
      <c r="AI3791" s="6" t="s">
        <v>3496</v>
      </c>
      <c r="AJ3791" s="3" t="s">
        <v>8204</v>
      </c>
      <c r="AK3791" t="s">
        <v>8204</v>
      </c>
      <c r="AV3791"/>
      <c r="AX3791"/>
      <c r="AZ3791" t="str">
        <f t="shared" si="341"/>
        <v/>
      </c>
      <c r="BA3791" t="str">
        <f t="shared" si="342"/>
        <v/>
      </c>
    </row>
    <row r="3792" spans="29:53" ht="13.5">
      <c r="AC3792" s="6" t="s">
        <v>516</v>
      </c>
      <c r="AD3792" s="6" t="s">
        <v>7567</v>
      </c>
      <c r="AE3792" s="155" t="s">
        <v>1329</v>
      </c>
      <c r="AF3792" s="159" t="s">
        <v>8300</v>
      </c>
      <c r="AG3792" s="160" t="s">
        <v>499</v>
      </c>
      <c r="AH3792" s="194" t="s">
        <v>678</v>
      </c>
      <c r="AI3792" s="6" t="s">
        <v>3497</v>
      </c>
      <c r="AJ3792" s="3" t="s">
        <v>8203</v>
      </c>
      <c r="AK3792" t="s">
        <v>8203</v>
      </c>
      <c r="AV3792"/>
      <c r="AX3792"/>
      <c r="AZ3792" t="str">
        <f t="shared" si="341"/>
        <v/>
      </c>
      <c r="BA3792" t="str">
        <f t="shared" si="342"/>
        <v/>
      </c>
    </row>
    <row r="3793" spans="29:53" ht="13.5">
      <c r="AC3793" s="6" t="s">
        <v>4705</v>
      </c>
      <c r="AD3793" s="6" t="s">
        <v>7530</v>
      </c>
      <c r="AE3793" s="155" t="s">
        <v>223</v>
      </c>
      <c r="AF3793" s="159" t="s">
        <v>8300</v>
      </c>
      <c r="AG3793" s="160" t="s">
        <v>500</v>
      </c>
      <c r="AH3793" s="194" t="s">
        <v>678</v>
      </c>
      <c r="AI3793" s="6" t="s">
        <v>3499</v>
      </c>
      <c r="AJ3793" s="3" t="s">
        <v>8240</v>
      </c>
      <c r="AK3793" t="s">
        <v>8240</v>
      </c>
      <c r="AV3793"/>
      <c r="AX3793"/>
      <c r="AZ3793" t="str">
        <f t="shared" si="341"/>
        <v/>
      </c>
      <c r="BA3793" t="str">
        <f t="shared" si="342"/>
        <v/>
      </c>
    </row>
    <row r="3794" spans="29:53" ht="13.5">
      <c r="AC3794" s="6" t="s">
        <v>497</v>
      </c>
      <c r="AD3794" s="6" t="s">
        <v>7530</v>
      </c>
      <c r="AE3794" s="155" t="s">
        <v>224</v>
      </c>
      <c r="AF3794" s="159" t="s">
        <v>8300</v>
      </c>
      <c r="AG3794" s="160" t="s">
        <v>501</v>
      </c>
      <c r="AH3794" s="194" t="s">
        <v>679</v>
      </c>
      <c r="AI3794" s="6" t="s">
        <v>3500</v>
      </c>
      <c r="AJ3794" s="3" t="s">
        <v>8203</v>
      </c>
      <c r="AK3794" t="s">
        <v>8203</v>
      </c>
      <c r="AV3794"/>
      <c r="AX3794"/>
      <c r="AZ3794" t="str">
        <f t="shared" si="341"/>
        <v/>
      </c>
      <c r="BA3794" t="str">
        <f t="shared" si="342"/>
        <v/>
      </c>
    </row>
    <row r="3795" spans="29:53" ht="13.5">
      <c r="AC3795" s="6" t="s">
        <v>402</v>
      </c>
      <c r="AD3795" s="6" t="s">
        <v>7530</v>
      </c>
      <c r="AE3795" s="155" t="s">
        <v>1167</v>
      </c>
      <c r="AF3795" s="159" t="s">
        <v>8300</v>
      </c>
      <c r="AG3795" s="160" t="s">
        <v>502</v>
      </c>
      <c r="AH3795" s="194" t="s">
        <v>4700</v>
      </c>
      <c r="AI3795" s="6" t="s">
        <v>3502</v>
      </c>
      <c r="AJ3795" s="3" t="s">
        <v>8203</v>
      </c>
      <c r="AK3795" t="s">
        <v>8203</v>
      </c>
      <c r="AV3795"/>
      <c r="AX3795"/>
      <c r="AZ3795" t="str">
        <f t="shared" si="341"/>
        <v/>
      </c>
      <c r="BA3795" t="str">
        <f t="shared" si="342"/>
        <v/>
      </c>
    </row>
    <row r="3796" spans="29:53" ht="13.5">
      <c r="AC3796" s="6" t="s">
        <v>314</v>
      </c>
      <c r="AD3796" s="6" t="s">
        <v>7530</v>
      </c>
      <c r="AE3796" s="155" t="s">
        <v>1168</v>
      </c>
      <c r="AF3796" s="159" t="s">
        <v>8300</v>
      </c>
      <c r="AG3796" s="160" t="s">
        <v>503</v>
      </c>
      <c r="AH3796" s="194" t="s">
        <v>678</v>
      </c>
      <c r="AI3796" s="6" t="s">
        <v>3503</v>
      </c>
      <c r="AJ3796" s="3" t="s">
        <v>8247</v>
      </c>
      <c r="AK3796" t="s">
        <v>8247</v>
      </c>
      <c r="AV3796"/>
      <c r="AX3796"/>
      <c r="AZ3796" t="str">
        <f t="shared" si="341"/>
        <v/>
      </c>
      <c r="BA3796" t="str">
        <f t="shared" si="342"/>
        <v/>
      </c>
    </row>
    <row r="3797" spans="29:53" ht="13.5">
      <c r="AC3797" s="6" t="s">
        <v>1089</v>
      </c>
      <c r="AD3797" s="6" t="s">
        <v>7530</v>
      </c>
      <c r="AE3797" s="155" t="s">
        <v>1330</v>
      </c>
      <c r="AF3797" s="159" t="s">
        <v>8300</v>
      </c>
      <c r="AG3797" s="160" t="s">
        <v>504</v>
      </c>
      <c r="AH3797" s="194" t="s">
        <v>678</v>
      </c>
      <c r="AI3797" s="6" t="s">
        <v>3504</v>
      </c>
      <c r="AJ3797" s="3" t="s">
        <v>8203</v>
      </c>
      <c r="AK3797" t="s">
        <v>8203</v>
      </c>
      <c r="AV3797"/>
      <c r="AX3797"/>
      <c r="AZ3797" t="str">
        <f t="shared" si="341"/>
        <v/>
      </c>
      <c r="BA3797" t="str">
        <f t="shared" si="342"/>
        <v/>
      </c>
    </row>
    <row r="3798" spans="29:53" ht="13.5">
      <c r="AC3798" s="6" t="s">
        <v>976</v>
      </c>
      <c r="AD3798" s="6" t="s">
        <v>7530</v>
      </c>
      <c r="AE3798" s="155" t="s">
        <v>997</v>
      </c>
      <c r="AF3798" s="159" t="s">
        <v>8300</v>
      </c>
      <c r="AG3798" s="160" t="s">
        <v>505</v>
      </c>
      <c r="AH3798" s="194" t="s">
        <v>678</v>
      </c>
      <c r="AI3798" s="6" t="s">
        <v>3507</v>
      </c>
      <c r="AJ3798" s="3" t="s">
        <v>8203</v>
      </c>
      <c r="AK3798" t="s">
        <v>8203</v>
      </c>
      <c r="AV3798"/>
      <c r="AX3798"/>
      <c r="AZ3798" t="str">
        <f t="shared" si="341"/>
        <v/>
      </c>
      <c r="BA3798" t="str">
        <f t="shared" si="342"/>
        <v/>
      </c>
    </row>
    <row r="3799" spans="29:53" ht="13.5">
      <c r="AC3799" s="6" t="s">
        <v>5435</v>
      </c>
      <c r="AD3799" s="6" t="s">
        <v>7530</v>
      </c>
      <c r="AE3799" s="155" t="s">
        <v>998</v>
      </c>
      <c r="AF3799" s="159" t="s">
        <v>8339</v>
      </c>
      <c r="AG3799" s="160" t="s">
        <v>506</v>
      </c>
      <c r="AH3799" s="194" t="s">
        <v>678</v>
      </c>
      <c r="AI3799" s="6" t="s">
        <v>3509</v>
      </c>
      <c r="AJ3799" s="3" t="s">
        <v>8247</v>
      </c>
      <c r="AK3799" t="s">
        <v>8247</v>
      </c>
      <c r="AV3799"/>
      <c r="AX3799"/>
      <c r="AZ3799" t="str">
        <f t="shared" si="341"/>
        <v/>
      </c>
      <c r="BA3799" t="str">
        <f t="shared" si="342"/>
        <v/>
      </c>
    </row>
    <row r="3800" spans="29:53" ht="13.5">
      <c r="AC3800" s="6" t="s">
        <v>5094</v>
      </c>
      <c r="AD3800" s="6" t="s">
        <v>7560</v>
      </c>
      <c r="AE3800" s="155" t="s">
        <v>999</v>
      </c>
      <c r="AF3800" s="159" t="s">
        <v>8300</v>
      </c>
      <c r="AG3800" s="160" t="s">
        <v>1411</v>
      </c>
      <c r="AH3800" s="194" t="s">
        <v>678</v>
      </c>
      <c r="AI3800" s="6" t="s">
        <v>3512</v>
      </c>
      <c r="AJ3800" s="3" t="s">
        <v>8203</v>
      </c>
      <c r="AK3800" t="s">
        <v>8203</v>
      </c>
      <c r="AV3800"/>
      <c r="AX3800"/>
      <c r="AZ3800" t="str">
        <f t="shared" si="341"/>
        <v/>
      </c>
      <c r="BA3800" t="str">
        <f t="shared" si="342"/>
        <v/>
      </c>
    </row>
    <row r="3801" spans="29:53" ht="13.5">
      <c r="AC3801" s="6" t="s">
        <v>296</v>
      </c>
      <c r="AD3801" s="6" t="s">
        <v>7530</v>
      </c>
      <c r="AE3801" s="155" t="s">
        <v>1000</v>
      </c>
      <c r="AF3801" s="159" t="s">
        <v>8339</v>
      </c>
      <c r="AG3801" s="160" t="s">
        <v>1412</v>
      </c>
      <c r="AH3801" s="194" t="s">
        <v>678</v>
      </c>
      <c r="AI3801" s="6" t="s">
        <v>3517</v>
      </c>
      <c r="AJ3801" s="3" t="s">
        <v>8203</v>
      </c>
      <c r="AK3801" t="s">
        <v>8203</v>
      </c>
      <c r="AV3801"/>
      <c r="AX3801"/>
      <c r="AZ3801" t="str">
        <f t="shared" si="341"/>
        <v/>
      </c>
      <c r="BA3801" t="str">
        <f t="shared" si="342"/>
        <v/>
      </c>
    </row>
    <row r="3802" spans="29:53" ht="13.5">
      <c r="AC3802" s="6" t="s">
        <v>5121</v>
      </c>
      <c r="AD3802" s="6" t="s">
        <v>7560</v>
      </c>
      <c r="AE3802" s="155" t="s">
        <v>1331</v>
      </c>
      <c r="AF3802" s="159" t="s">
        <v>8339</v>
      </c>
      <c r="AG3802" s="160" t="s">
        <v>1413</v>
      </c>
      <c r="AH3802" s="194" t="s">
        <v>679</v>
      </c>
      <c r="AI3802" s="6" t="s">
        <v>1319</v>
      </c>
      <c r="AJ3802" s="3" t="s">
        <v>8196</v>
      </c>
      <c r="AK3802" t="s">
        <v>8196</v>
      </c>
      <c r="AV3802"/>
      <c r="AX3802"/>
      <c r="AZ3802" t="str">
        <f t="shared" si="341"/>
        <v/>
      </c>
      <c r="BA3802" t="str">
        <f t="shared" si="342"/>
        <v/>
      </c>
    </row>
    <row r="3803" spans="29:53" ht="13.5">
      <c r="AC3803" s="6" t="s">
        <v>1442</v>
      </c>
      <c r="AD3803" s="6" t="s">
        <v>7530</v>
      </c>
      <c r="AE3803" s="155" t="s">
        <v>1332</v>
      </c>
      <c r="AF3803" s="159" t="s">
        <v>8300</v>
      </c>
      <c r="AG3803" s="160" t="s">
        <v>1414</v>
      </c>
      <c r="AH3803" s="194" t="s">
        <v>678</v>
      </c>
      <c r="AI3803" s="6" t="s">
        <v>1323</v>
      </c>
      <c r="AJ3803" s="3" t="s">
        <v>8201</v>
      </c>
      <c r="AK3803" t="s">
        <v>8666</v>
      </c>
      <c r="AV3803"/>
      <c r="AX3803"/>
      <c r="AZ3803" t="str">
        <f t="shared" si="341"/>
        <v/>
      </c>
      <c r="BA3803" t="str">
        <f t="shared" si="342"/>
        <v/>
      </c>
    </row>
    <row r="3804" spans="29:53" ht="13.5">
      <c r="AC3804" s="6" t="s">
        <v>567</v>
      </c>
      <c r="AD3804" s="6" t="s">
        <v>7530</v>
      </c>
      <c r="AE3804" s="155" t="s">
        <v>1169</v>
      </c>
      <c r="AF3804" s="159" t="s">
        <v>8300</v>
      </c>
      <c r="AG3804" s="160" t="s">
        <v>1044</v>
      </c>
      <c r="AH3804" s="194" t="s">
        <v>678</v>
      </c>
      <c r="AI3804" s="6" t="s">
        <v>222</v>
      </c>
      <c r="AJ3804" s="3" t="s">
        <v>8201</v>
      </c>
      <c r="AK3804" t="s">
        <v>8666</v>
      </c>
      <c r="AV3804"/>
      <c r="AX3804"/>
      <c r="AZ3804" t="str">
        <f t="shared" si="341"/>
        <v/>
      </c>
      <c r="BA3804" t="str">
        <f t="shared" si="342"/>
        <v/>
      </c>
    </row>
    <row r="3805" spans="29:53" ht="13.5">
      <c r="AC3805" s="6" t="s">
        <v>4281</v>
      </c>
      <c r="AD3805" s="6" t="s">
        <v>7568</v>
      </c>
      <c r="AE3805" s="155" t="s">
        <v>1170</v>
      </c>
      <c r="AF3805" s="159" t="s">
        <v>8300</v>
      </c>
      <c r="AG3805" s="160" t="s">
        <v>507</v>
      </c>
      <c r="AH3805" s="194" t="s">
        <v>679</v>
      </c>
      <c r="AI3805" s="6" t="s">
        <v>37</v>
      </c>
      <c r="AJ3805" s="3" t="s">
        <v>8201</v>
      </c>
      <c r="AK3805" t="s">
        <v>8666</v>
      </c>
      <c r="AV3805"/>
      <c r="AX3805"/>
      <c r="AZ3805" t="str">
        <f t="shared" si="341"/>
        <v/>
      </c>
      <c r="BA3805" t="str">
        <f t="shared" si="342"/>
        <v/>
      </c>
    </row>
    <row r="3806" spans="29:53" ht="13.5">
      <c r="AC3806" s="6" t="s">
        <v>393</v>
      </c>
      <c r="AD3806" s="6" t="s">
        <v>7530</v>
      </c>
      <c r="AE3806" s="155" t="s">
        <v>225</v>
      </c>
      <c r="AF3806" s="159" t="s">
        <v>8300</v>
      </c>
      <c r="AG3806" s="160" t="s">
        <v>508</v>
      </c>
      <c r="AH3806" s="194" t="s">
        <v>4700</v>
      </c>
      <c r="AI3806" s="6" t="s">
        <v>1168</v>
      </c>
      <c r="AJ3806" s="3" t="s">
        <v>8209</v>
      </c>
      <c r="AK3806" t="s">
        <v>8209</v>
      </c>
      <c r="AV3806"/>
      <c r="AX3806"/>
      <c r="AZ3806" t="str">
        <f t="shared" si="341"/>
        <v/>
      </c>
      <c r="BA3806" t="str">
        <f t="shared" si="342"/>
        <v/>
      </c>
    </row>
    <row r="3807" spans="29:53" ht="13.5">
      <c r="AC3807" s="6" t="s">
        <v>401</v>
      </c>
      <c r="AD3807" s="6" t="s">
        <v>7530</v>
      </c>
      <c r="AE3807" s="155" t="s">
        <v>1171</v>
      </c>
      <c r="AF3807" s="159" t="s">
        <v>8300</v>
      </c>
      <c r="AG3807" s="160" t="s">
        <v>509</v>
      </c>
      <c r="AH3807" s="194" t="s">
        <v>678</v>
      </c>
      <c r="AI3807" s="6" t="s">
        <v>1334</v>
      </c>
      <c r="AJ3807" s="3" t="s">
        <v>8201</v>
      </c>
      <c r="AK3807" t="s">
        <v>8666</v>
      </c>
      <c r="AV3807"/>
      <c r="AX3807"/>
      <c r="AZ3807" t="str">
        <f t="shared" si="341"/>
        <v/>
      </c>
      <c r="BA3807" t="str">
        <f t="shared" si="342"/>
        <v/>
      </c>
    </row>
    <row r="3808" spans="29:53" ht="13.5">
      <c r="AC3808" s="6" t="s">
        <v>500</v>
      </c>
      <c r="AD3808" s="6" t="s">
        <v>7530</v>
      </c>
      <c r="AE3808" s="155" t="s">
        <v>28</v>
      </c>
      <c r="AF3808" s="159" t="s">
        <v>8300</v>
      </c>
      <c r="AG3808" s="160" t="s">
        <v>510</v>
      </c>
      <c r="AH3808" s="194" t="s">
        <v>679</v>
      </c>
      <c r="AI3808" s="6" t="s">
        <v>1172</v>
      </c>
      <c r="AJ3808" s="3" t="s">
        <v>8201</v>
      </c>
      <c r="AK3808" t="s">
        <v>8666</v>
      </c>
      <c r="AV3808"/>
      <c r="AX3808"/>
      <c r="AZ3808" t="str">
        <f t="shared" si="341"/>
        <v/>
      </c>
      <c r="BA3808" t="str">
        <f t="shared" si="342"/>
        <v/>
      </c>
    </row>
    <row r="3809" spans="29:53" ht="13.5">
      <c r="AC3809" s="6" t="s">
        <v>5188</v>
      </c>
      <c r="AD3809" s="6" t="s">
        <v>7560</v>
      </c>
      <c r="AE3809" s="155" t="s">
        <v>1334</v>
      </c>
      <c r="AF3809" s="159" t="s">
        <v>8300</v>
      </c>
      <c r="AG3809" s="160" t="s">
        <v>511</v>
      </c>
      <c r="AH3809" s="194" t="s">
        <v>678</v>
      </c>
      <c r="AI3809" s="6" t="s">
        <v>1173</v>
      </c>
      <c r="AJ3809" s="3" t="s">
        <v>8196</v>
      </c>
      <c r="AK3809" t="s">
        <v>8196</v>
      </c>
      <c r="AV3809"/>
      <c r="AX3809"/>
      <c r="AZ3809" t="str">
        <f t="shared" si="341"/>
        <v/>
      </c>
      <c r="BA3809" t="str">
        <f t="shared" si="342"/>
        <v/>
      </c>
    </row>
    <row r="3810" spans="29:53" ht="13.5">
      <c r="AC3810" s="6" t="s">
        <v>975</v>
      </c>
      <c r="AD3810" s="6" t="s">
        <v>7530</v>
      </c>
      <c r="AE3810" s="155" t="s">
        <v>1172</v>
      </c>
      <c r="AF3810" s="159" t="s">
        <v>8300</v>
      </c>
      <c r="AG3810" s="160" t="s">
        <v>512</v>
      </c>
      <c r="AH3810" s="194" t="s">
        <v>4700</v>
      </c>
      <c r="AI3810" s="6" t="s">
        <v>1335</v>
      </c>
      <c r="AJ3810" s="3" t="s">
        <v>8196</v>
      </c>
      <c r="AK3810" t="s">
        <v>8196</v>
      </c>
      <c r="AV3810"/>
      <c r="AX3810"/>
      <c r="AZ3810" t="str">
        <f t="shared" si="341"/>
        <v/>
      </c>
      <c r="BA3810" t="str">
        <f t="shared" si="342"/>
        <v/>
      </c>
    </row>
    <row r="3811" spans="29:53" ht="13.5">
      <c r="AC3811" s="6" t="s">
        <v>551</v>
      </c>
      <c r="AD3811" s="6" t="s">
        <v>7530</v>
      </c>
      <c r="AE3811" s="155" t="s">
        <v>1173</v>
      </c>
      <c r="AF3811" s="159" t="s">
        <v>8300</v>
      </c>
      <c r="AG3811" s="160" t="s">
        <v>513</v>
      </c>
      <c r="AH3811" s="194" t="s">
        <v>679</v>
      </c>
      <c r="AI3811" s="6" t="s">
        <v>1338</v>
      </c>
      <c r="AJ3811" s="3" t="s">
        <v>8201</v>
      </c>
      <c r="AK3811" t="s">
        <v>8666</v>
      </c>
      <c r="AV3811"/>
      <c r="AX3811"/>
      <c r="AZ3811" t="str">
        <f t="shared" si="341"/>
        <v/>
      </c>
      <c r="BA3811" t="str">
        <f t="shared" si="342"/>
        <v/>
      </c>
    </row>
    <row r="3812" spans="29:53" ht="13.5">
      <c r="AC3812" s="6" t="s">
        <v>1441</v>
      </c>
      <c r="AD3812" s="6" t="s">
        <v>7530</v>
      </c>
      <c r="AE3812" s="155" t="s">
        <v>1335</v>
      </c>
      <c r="AF3812" s="159" t="s">
        <v>8300</v>
      </c>
      <c r="AG3812" s="160" t="s">
        <v>1419</v>
      </c>
      <c r="AH3812" s="194" t="s">
        <v>679</v>
      </c>
      <c r="AI3812" s="6" t="s">
        <v>1341</v>
      </c>
      <c r="AJ3812" s="3" t="s">
        <v>8195</v>
      </c>
      <c r="AK3812" t="s">
        <v>8195</v>
      </c>
      <c r="AV3812"/>
      <c r="AX3812"/>
      <c r="AZ3812" t="str">
        <f t="shared" si="341"/>
        <v/>
      </c>
      <c r="BA3812" t="str">
        <f t="shared" si="342"/>
        <v/>
      </c>
    </row>
    <row r="3813" spans="29:53" ht="13.5">
      <c r="AC3813" s="6" t="s">
        <v>318</v>
      </c>
      <c r="AD3813" s="6" t="s">
        <v>7530</v>
      </c>
      <c r="AE3813" s="155" t="s">
        <v>1336</v>
      </c>
      <c r="AF3813" s="159" t="s">
        <v>8300</v>
      </c>
      <c r="AG3813" s="160" t="s">
        <v>514</v>
      </c>
      <c r="AH3813" s="194" t="s">
        <v>678</v>
      </c>
      <c r="AI3813" s="6" t="s">
        <v>1182</v>
      </c>
      <c r="AJ3813" s="3" t="s">
        <v>8195</v>
      </c>
      <c r="AK3813" t="s">
        <v>8195</v>
      </c>
      <c r="AV3813"/>
      <c r="AX3813"/>
      <c r="AZ3813" t="str">
        <f t="shared" si="341"/>
        <v/>
      </c>
      <c r="BA3813" t="str">
        <f t="shared" si="342"/>
        <v/>
      </c>
    </row>
    <row r="3814" spans="29:53" ht="13.5">
      <c r="AC3814" s="6" t="s">
        <v>226</v>
      </c>
      <c r="AD3814" s="6" t="s">
        <v>7530</v>
      </c>
      <c r="AE3814" s="155" t="s">
        <v>1174</v>
      </c>
      <c r="AF3814" s="159" t="s">
        <v>8300</v>
      </c>
      <c r="AG3814" s="160" t="s">
        <v>515</v>
      </c>
      <c r="AH3814" s="194" t="s">
        <v>679</v>
      </c>
      <c r="AI3814" s="6" t="s">
        <v>1724</v>
      </c>
      <c r="AJ3814" s="3" t="s">
        <v>8234</v>
      </c>
      <c r="AK3814" t="s">
        <v>8234</v>
      </c>
      <c r="AV3814"/>
      <c r="AX3814"/>
      <c r="AZ3814" t="str">
        <f t="shared" si="341"/>
        <v/>
      </c>
      <c r="BA3814" t="str">
        <f t="shared" si="342"/>
        <v/>
      </c>
    </row>
    <row r="3815" spans="29:53" ht="13.5">
      <c r="AC3815" s="6">
        <v>223806</v>
      </c>
      <c r="AD3815" s="6" t="s">
        <v>7569</v>
      </c>
      <c r="AE3815" s="155" t="s">
        <v>1337</v>
      </c>
      <c r="AF3815" s="159" t="s">
        <v>8300</v>
      </c>
      <c r="AG3815" s="160" t="s">
        <v>516</v>
      </c>
      <c r="AH3815" s="194" t="s">
        <v>678</v>
      </c>
      <c r="AI3815" s="6" t="s">
        <v>857</v>
      </c>
      <c r="AJ3815" s="3" t="s">
        <v>8215</v>
      </c>
      <c r="AK3815" t="s">
        <v>8215</v>
      </c>
      <c r="AV3815"/>
      <c r="AX3815"/>
      <c r="AZ3815" t="str">
        <f t="shared" si="341"/>
        <v/>
      </c>
      <c r="BA3815" t="str">
        <f t="shared" si="342"/>
        <v/>
      </c>
    </row>
    <row r="3816" spans="29:53" ht="13.5">
      <c r="AC3816" s="6">
        <v>75419</v>
      </c>
      <c r="AD3816" s="6" t="s">
        <v>7563</v>
      </c>
      <c r="AE3816" s="155" t="s">
        <v>1338</v>
      </c>
      <c r="AF3816" s="159" t="s">
        <v>8300</v>
      </c>
      <c r="AG3816" s="160" t="s">
        <v>517</v>
      </c>
      <c r="AH3816" s="194" t="s">
        <v>4700</v>
      </c>
      <c r="AI3816" s="6" t="s">
        <v>858</v>
      </c>
      <c r="AJ3816" s="3" t="s">
        <v>8215</v>
      </c>
      <c r="AK3816" t="s">
        <v>8215</v>
      </c>
      <c r="AV3816"/>
      <c r="AX3816"/>
      <c r="AZ3816" t="str">
        <f t="shared" si="341"/>
        <v/>
      </c>
      <c r="BA3816" t="str">
        <f t="shared" si="342"/>
        <v/>
      </c>
    </row>
    <row r="3817" spans="29:53" ht="13.5">
      <c r="AC3817" s="6" t="s">
        <v>4727</v>
      </c>
      <c r="AD3817" s="6" t="s">
        <v>7530</v>
      </c>
      <c r="AE3817" s="155" t="s">
        <v>1339</v>
      </c>
      <c r="AF3817" s="159" t="s">
        <v>8300</v>
      </c>
      <c r="AG3817" s="160" t="s">
        <v>518</v>
      </c>
      <c r="AH3817" s="194" t="s">
        <v>678</v>
      </c>
      <c r="AI3817" s="6" t="s">
        <v>859</v>
      </c>
      <c r="AJ3817" s="3" t="s">
        <v>8215</v>
      </c>
      <c r="AK3817" t="s">
        <v>8215</v>
      </c>
      <c r="AV3817"/>
      <c r="AX3817"/>
      <c r="AZ3817" t="str">
        <f t="shared" si="341"/>
        <v/>
      </c>
      <c r="BA3817" t="str">
        <f t="shared" si="342"/>
        <v/>
      </c>
    </row>
    <row r="3818" spans="29:53" ht="13.5">
      <c r="AC3818" s="6" t="s">
        <v>399</v>
      </c>
      <c r="AD3818" s="6" t="s">
        <v>7530</v>
      </c>
      <c r="AE3818" s="155" t="s">
        <v>1340</v>
      </c>
      <c r="AF3818" s="159" t="s">
        <v>8300</v>
      </c>
      <c r="AG3818" s="160" t="s">
        <v>519</v>
      </c>
      <c r="AH3818" s="194" t="s">
        <v>679</v>
      </c>
      <c r="AI3818" s="6" t="s">
        <v>1185</v>
      </c>
      <c r="AJ3818" s="3" t="s">
        <v>8215</v>
      </c>
      <c r="AK3818" t="s">
        <v>8215</v>
      </c>
      <c r="AV3818"/>
      <c r="AX3818"/>
      <c r="AZ3818" t="str">
        <f t="shared" si="341"/>
        <v/>
      </c>
      <c r="BA3818" t="str">
        <f t="shared" si="342"/>
        <v/>
      </c>
    </row>
    <row r="3819" spans="29:53" ht="13.5">
      <c r="AC3819" s="6">
        <v>225278</v>
      </c>
      <c r="AD3819" s="6" t="s">
        <v>7560</v>
      </c>
      <c r="AE3819" s="155" t="s">
        <v>1175</v>
      </c>
      <c r="AF3819" s="159" t="s">
        <v>8300</v>
      </c>
      <c r="AG3819" s="160" t="s">
        <v>3972</v>
      </c>
      <c r="AH3819" s="194" t="s">
        <v>678</v>
      </c>
      <c r="AI3819" s="6" t="s">
        <v>860</v>
      </c>
      <c r="AJ3819" s="3" t="s">
        <v>8215</v>
      </c>
      <c r="AK3819" t="s">
        <v>8215</v>
      </c>
      <c r="AV3819"/>
      <c r="AX3819"/>
      <c r="AZ3819" t="str">
        <f t="shared" si="341"/>
        <v/>
      </c>
      <c r="BA3819" t="str">
        <f t="shared" si="342"/>
        <v/>
      </c>
    </row>
    <row r="3820" spans="29:53" ht="13.5">
      <c r="AC3820" s="6" t="s">
        <v>5225</v>
      </c>
      <c r="AD3820" s="6" t="s">
        <v>7560</v>
      </c>
      <c r="AE3820" s="155" t="s">
        <v>1656</v>
      </c>
      <c r="AF3820" s="159" t="s">
        <v>8300</v>
      </c>
      <c r="AG3820" s="160" t="s">
        <v>1045</v>
      </c>
      <c r="AH3820" s="194" t="s">
        <v>679</v>
      </c>
      <c r="AI3820" s="6" t="s">
        <v>2641</v>
      </c>
      <c r="AJ3820" s="3" t="s">
        <v>8226</v>
      </c>
      <c r="AK3820" t="s">
        <v>8671</v>
      </c>
      <c r="AV3820"/>
      <c r="AX3820"/>
      <c r="AZ3820" t="str">
        <f t="shared" si="341"/>
        <v/>
      </c>
      <c r="BA3820" t="str">
        <f t="shared" si="342"/>
        <v/>
      </c>
    </row>
    <row r="3821" spans="29:53" ht="13.5">
      <c r="AC3821" s="6" t="s">
        <v>39</v>
      </c>
      <c r="AD3821" s="6" t="s">
        <v>7560</v>
      </c>
      <c r="AE3821" s="155" t="s">
        <v>1176</v>
      </c>
      <c r="AF3821" s="159" t="s">
        <v>8300</v>
      </c>
      <c r="AG3821" s="160" t="s">
        <v>520</v>
      </c>
      <c r="AH3821" s="194" t="s">
        <v>678</v>
      </c>
      <c r="AI3821" s="6">
        <v>445744</v>
      </c>
      <c r="AJ3821" s="3" t="s">
        <v>8255</v>
      </c>
      <c r="AK3821" t="s">
        <v>8255</v>
      </c>
      <c r="AV3821"/>
      <c r="AX3821"/>
      <c r="AZ3821" t="str">
        <f t="shared" si="341"/>
        <v/>
      </c>
      <c r="BA3821" t="str">
        <f t="shared" si="342"/>
        <v/>
      </c>
    </row>
    <row r="3822" spans="29:53" ht="13.5">
      <c r="AC3822" s="6" t="s">
        <v>647</v>
      </c>
      <c r="AD3822" s="6" t="s">
        <v>7560</v>
      </c>
      <c r="AE3822" s="155" t="s">
        <v>1177</v>
      </c>
      <c r="AF3822" s="159" t="s">
        <v>8300</v>
      </c>
      <c r="AG3822" s="160" t="s">
        <v>951</v>
      </c>
      <c r="AH3822" s="194" t="s">
        <v>678</v>
      </c>
      <c r="AI3822" s="6" t="s">
        <v>5038</v>
      </c>
      <c r="AJ3822" s="3" t="s">
        <v>8206</v>
      </c>
      <c r="AK3822" t="s">
        <v>8206</v>
      </c>
      <c r="AV3822"/>
      <c r="AX3822"/>
      <c r="AZ3822" t="str">
        <f t="shared" si="341"/>
        <v/>
      </c>
      <c r="BA3822" t="str">
        <f t="shared" si="342"/>
        <v/>
      </c>
    </row>
    <row r="3823" spans="29:53" ht="13.5">
      <c r="AC3823" s="6">
        <v>25338</v>
      </c>
      <c r="AD3823" s="6" t="s">
        <v>7559</v>
      </c>
      <c r="AE3823" s="155" t="s">
        <v>1341</v>
      </c>
      <c r="AF3823" s="159" t="s">
        <v>8300</v>
      </c>
      <c r="AG3823" s="160" t="s">
        <v>1046</v>
      </c>
      <c r="AH3823" s="194" t="s">
        <v>678</v>
      </c>
      <c r="AI3823" s="6">
        <v>343696</v>
      </c>
      <c r="AJ3823" s="3" t="s">
        <v>8269</v>
      </c>
      <c r="AK3823" t="s">
        <v>8269</v>
      </c>
      <c r="AV3823"/>
      <c r="AX3823"/>
      <c r="AZ3823" t="str">
        <f t="shared" si="341"/>
        <v/>
      </c>
      <c r="BA3823" t="str">
        <f t="shared" si="342"/>
        <v/>
      </c>
    </row>
    <row r="3824" spans="29:53" ht="13.5">
      <c r="AC3824" s="6">
        <v>14648</v>
      </c>
      <c r="AD3824" s="6" t="s">
        <v>7560</v>
      </c>
      <c r="AE3824" s="155" t="s">
        <v>1178</v>
      </c>
      <c r="AF3824" s="159" t="s">
        <v>8300</v>
      </c>
      <c r="AG3824" s="160" t="s">
        <v>3973</v>
      </c>
      <c r="AH3824" s="194" t="s">
        <v>679</v>
      </c>
      <c r="AI3824" s="6" t="s">
        <v>5172</v>
      </c>
      <c r="AJ3824" s="3" t="s">
        <v>8253</v>
      </c>
      <c r="AK3824" t="s">
        <v>8253</v>
      </c>
      <c r="AV3824"/>
      <c r="AX3824"/>
      <c r="AZ3824" t="str">
        <f t="shared" si="341"/>
        <v/>
      </c>
      <c r="BA3824" t="str">
        <f t="shared" si="342"/>
        <v/>
      </c>
    </row>
    <row r="3825" spans="29:53" ht="13.5">
      <c r="AC3825" s="6" t="s">
        <v>978</v>
      </c>
      <c r="AD3825" s="6" t="s">
        <v>7570</v>
      </c>
      <c r="AE3825" s="155" t="s">
        <v>1179</v>
      </c>
      <c r="AF3825" s="159" t="s">
        <v>8300</v>
      </c>
      <c r="AG3825" s="160" t="s">
        <v>3974</v>
      </c>
      <c r="AH3825" s="194" t="s">
        <v>678</v>
      </c>
      <c r="AI3825" s="6" t="s">
        <v>4840</v>
      </c>
      <c r="AJ3825" s="3" t="s">
        <v>8256</v>
      </c>
      <c r="AK3825" t="s">
        <v>8256</v>
      </c>
      <c r="AV3825"/>
      <c r="AX3825"/>
      <c r="AZ3825" t="str">
        <f t="shared" si="341"/>
        <v/>
      </c>
      <c r="BA3825" t="str">
        <f t="shared" si="342"/>
        <v/>
      </c>
    </row>
    <row r="3826" spans="29:53" ht="13.5">
      <c r="AC3826" s="6" t="s">
        <v>646</v>
      </c>
      <c r="AD3826" s="6" t="s">
        <v>7560</v>
      </c>
      <c r="AE3826" s="155" t="s">
        <v>1180</v>
      </c>
      <c r="AF3826" s="159" t="s">
        <v>8300</v>
      </c>
      <c r="AG3826" s="160" t="s">
        <v>1047</v>
      </c>
      <c r="AH3826" s="194" t="s">
        <v>678</v>
      </c>
      <c r="AI3826" s="6" t="s">
        <v>5076</v>
      </c>
      <c r="AJ3826" s="3" t="s">
        <v>8253</v>
      </c>
      <c r="AK3826" t="s">
        <v>8253</v>
      </c>
      <c r="AV3826"/>
      <c r="AX3826"/>
      <c r="AZ3826" t="str">
        <f t="shared" si="341"/>
        <v/>
      </c>
      <c r="BA3826" t="str">
        <f t="shared" si="342"/>
        <v/>
      </c>
    </row>
    <row r="3827" spans="29:53" ht="13.5">
      <c r="AC3827" s="6" t="s">
        <v>6648</v>
      </c>
      <c r="AD3827" s="6" t="s">
        <v>7571</v>
      </c>
      <c r="AE3827" s="155" t="s">
        <v>985</v>
      </c>
      <c r="AF3827" s="159" t="s">
        <v>8300</v>
      </c>
      <c r="AG3827" s="160" t="s">
        <v>955</v>
      </c>
      <c r="AH3827" s="194" t="s">
        <v>678</v>
      </c>
      <c r="AI3827" s="6" t="s">
        <v>1060</v>
      </c>
      <c r="AJ3827" s="3" t="s">
        <v>8200</v>
      </c>
      <c r="AK3827" t="s">
        <v>8200</v>
      </c>
      <c r="AV3827"/>
      <c r="AX3827"/>
      <c r="AZ3827" t="str">
        <f t="shared" si="341"/>
        <v/>
      </c>
      <c r="BA3827" t="str">
        <f t="shared" si="342"/>
        <v/>
      </c>
    </row>
    <row r="3828" spans="29:53" ht="13.5">
      <c r="AC3828" s="6" t="s">
        <v>4282</v>
      </c>
      <c r="AD3828" s="6" t="s">
        <v>7568</v>
      </c>
      <c r="AE3828" s="155" t="s">
        <v>987</v>
      </c>
      <c r="AF3828" s="159" t="s">
        <v>8300</v>
      </c>
      <c r="AG3828" s="160" t="s">
        <v>1435</v>
      </c>
      <c r="AH3828" s="194" t="s">
        <v>678</v>
      </c>
      <c r="AI3828" s="6" t="s">
        <v>4456</v>
      </c>
      <c r="AJ3828" s="3" t="s">
        <v>8198</v>
      </c>
      <c r="AK3828" t="s">
        <v>8198</v>
      </c>
      <c r="AV3828"/>
      <c r="AX3828"/>
      <c r="AZ3828" t="str">
        <f t="shared" si="341"/>
        <v/>
      </c>
      <c r="BA3828" t="str">
        <f t="shared" si="342"/>
        <v/>
      </c>
    </row>
    <row r="3829" spans="29:53" ht="13.5">
      <c r="AC3829" s="6" t="s">
        <v>645</v>
      </c>
      <c r="AD3829" s="6" t="s">
        <v>7560</v>
      </c>
      <c r="AE3829" s="155" t="s">
        <v>1181</v>
      </c>
      <c r="AF3829" s="159" t="s">
        <v>8300</v>
      </c>
      <c r="AG3829" s="160" t="s">
        <v>3975</v>
      </c>
      <c r="AH3829" s="194" t="s">
        <v>678</v>
      </c>
      <c r="AI3829" s="6" t="s">
        <v>5478</v>
      </c>
      <c r="AJ3829" s="3" t="s">
        <v>8198</v>
      </c>
      <c r="AK3829" t="s">
        <v>8198</v>
      </c>
      <c r="AV3829"/>
      <c r="AX3829"/>
      <c r="AZ3829" t="str">
        <f t="shared" si="341"/>
        <v/>
      </c>
      <c r="BA3829" t="str">
        <f t="shared" si="342"/>
        <v/>
      </c>
    </row>
    <row r="3830" spans="29:53" ht="13.5">
      <c r="AC3830" s="6" t="s">
        <v>636</v>
      </c>
      <c r="AD3830" s="6" t="s">
        <v>7560</v>
      </c>
      <c r="AE3830" s="155" t="s">
        <v>1182</v>
      </c>
      <c r="AF3830" s="159" t="s">
        <v>8300</v>
      </c>
      <c r="AG3830" s="160" t="s">
        <v>4514</v>
      </c>
      <c r="AH3830" s="194" t="s">
        <v>678</v>
      </c>
      <c r="AI3830" s="6" t="s">
        <v>5184</v>
      </c>
      <c r="AJ3830" s="3" t="s">
        <v>8212</v>
      </c>
      <c r="AK3830" t="s">
        <v>8212</v>
      </c>
      <c r="AV3830"/>
      <c r="AX3830"/>
      <c r="AZ3830" t="str">
        <f t="shared" si="341"/>
        <v/>
      </c>
      <c r="BA3830" t="str">
        <f t="shared" si="342"/>
        <v/>
      </c>
    </row>
    <row r="3831" spans="29:53" ht="13.5">
      <c r="AC3831" s="6" t="s">
        <v>1123</v>
      </c>
      <c r="AD3831" s="6" t="s">
        <v>7560</v>
      </c>
      <c r="AE3831" s="155" t="s">
        <v>1661</v>
      </c>
      <c r="AF3831" s="159" t="s">
        <v>8300</v>
      </c>
      <c r="AG3831" s="160" t="s">
        <v>521</v>
      </c>
      <c r="AH3831" s="194" t="s">
        <v>678</v>
      </c>
      <c r="AI3831" s="6" t="s">
        <v>5240</v>
      </c>
      <c r="AJ3831" s="3" t="s">
        <v>8212</v>
      </c>
      <c r="AK3831" t="s">
        <v>8212</v>
      </c>
      <c r="AV3831"/>
      <c r="AX3831"/>
      <c r="AZ3831" t="str">
        <f t="shared" si="341"/>
        <v/>
      </c>
      <c r="BA3831" t="str">
        <f t="shared" si="342"/>
        <v/>
      </c>
    </row>
    <row r="3832" spans="29:53" ht="13.5">
      <c r="AC3832" s="6" t="s">
        <v>651</v>
      </c>
      <c r="AD3832" s="6" t="s">
        <v>7560</v>
      </c>
      <c r="AE3832" s="155" t="s">
        <v>1183</v>
      </c>
      <c r="AF3832" s="159" t="s">
        <v>8300</v>
      </c>
      <c r="AG3832" s="160" t="s">
        <v>522</v>
      </c>
      <c r="AH3832" s="194" t="s">
        <v>678</v>
      </c>
      <c r="AI3832" s="6" t="s">
        <v>3978</v>
      </c>
      <c r="AJ3832" s="3" t="s">
        <v>8228</v>
      </c>
      <c r="AK3832" t="s">
        <v>8228</v>
      </c>
      <c r="AV3832"/>
      <c r="AX3832"/>
      <c r="AZ3832" t="str">
        <f t="shared" si="341"/>
        <v/>
      </c>
      <c r="BA3832" t="str">
        <f t="shared" si="342"/>
        <v/>
      </c>
    </row>
    <row r="3833" spans="29:53" ht="13.5">
      <c r="AC3833" s="6" t="s">
        <v>1415</v>
      </c>
      <c r="AD3833" s="6" t="s">
        <v>7560</v>
      </c>
      <c r="AE3833" s="155" t="s">
        <v>1184</v>
      </c>
      <c r="AF3833" s="159" t="s">
        <v>8300</v>
      </c>
      <c r="AG3833" s="160" t="s">
        <v>947</v>
      </c>
      <c r="AH3833" s="194" t="s">
        <v>4700</v>
      </c>
      <c r="AI3833" s="6" t="s">
        <v>5125</v>
      </c>
      <c r="AJ3833" s="3" t="s">
        <v>8253</v>
      </c>
      <c r="AK3833" t="s">
        <v>8253</v>
      </c>
      <c r="AV3833"/>
      <c r="AX3833"/>
      <c r="AZ3833" t="str">
        <f t="shared" ref="AZ3833:AZ3896" si="343">IF(ISBLANK(AW3833),"",CONCATENATE("(",RIGHT(AW3833,5),"-",TEXT(AX3833,"h:mm;@"),")"))</f>
        <v/>
      </c>
      <c r="BA3833" t="str">
        <f t="shared" ref="BA3833:BA3896" si="344">IF(AV3849=AV3833,"",CONCATENATE(IF(AV3848=AV3833,BA3848,""),IF(AV3847=AV3833,BA3847,""),IF(AV3846=AV3833,BA3846,""),IF(AV3845=AV3833,BA3845,""),IF(AV3844=AV3833,BA3844,""),IF(AV3843=AV3833,BA3843,""),IF(AV3842=AV3833,BA3842,""),IF(AV3841=AV3833,BA3841,""),IF(AV3840=AV3833,BA3840,""),IF(AV3839=AV3833,BA3839,""),IF(AV3838=AV3833,BA3838,""),IF(AV3837=AV3833,BA3837,""),IF(AV3836=AV3833,BA3836,""),IF(AV3835=AV3833,BA3835,""),IF(AV3834=AV3833,BA3834,""),IF(AV3832=AV3833,BA3832,""),BA3833))</f>
        <v/>
      </c>
    </row>
    <row r="3834" spans="29:53" ht="13.5">
      <c r="AC3834" s="6" t="s">
        <v>5072</v>
      </c>
      <c r="AD3834" s="6" t="s">
        <v>7560</v>
      </c>
      <c r="AE3834" s="155" t="s">
        <v>970</v>
      </c>
      <c r="AF3834" s="159" t="s">
        <v>8300</v>
      </c>
      <c r="AG3834" s="160" t="s">
        <v>1048</v>
      </c>
      <c r="AH3834" s="194" t="s">
        <v>678</v>
      </c>
      <c r="AI3834" s="6" t="s">
        <v>4415</v>
      </c>
      <c r="AJ3834" s="3" t="s">
        <v>8241</v>
      </c>
      <c r="AK3834" t="s">
        <v>8675</v>
      </c>
      <c r="AV3834"/>
      <c r="AX3834"/>
      <c r="AZ3834" t="str">
        <f t="shared" si="343"/>
        <v/>
      </c>
      <c r="BA3834" t="str">
        <f t="shared" si="344"/>
        <v/>
      </c>
    </row>
    <row r="3835" spans="29:53" ht="13.5">
      <c r="AC3835" s="6" t="s">
        <v>649</v>
      </c>
      <c r="AD3835" s="6" t="s">
        <v>7560</v>
      </c>
      <c r="AE3835" s="155" t="s">
        <v>4783</v>
      </c>
      <c r="AF3835" s="159" t="s">
        <v>8300</v>
      </c>
      <c r="AG3835" s="160" t="s">
        <v>1049</v>
      </c>
      <c r="AH3835" s="194" t="s">
        <v>4700</v>
      </c>
      <c r="AI3835" s="6" t="s">
        <v>5479</v>
      </c>
      <c r="AJ3835" s="3" t="s">
        <v>8198</v>
      </c>
      <c r="AK3835" t="s">
        <v>8198</v>
      </c>
      <c r="AV3835"/>
      <c r="AX3835"/>
      <c r="AZ3835" t="str">
        <f t="shared" si="343"/>
        <v/>
      </c>
      <c r="BA3835" t="str">
        <f t="shared" si="344"/>
        <v/>
      </c>
    </row>
    <row r="3836" spans="29:53" ht="13.5">
      <c r="AC3836" s="6" t="s">
        <v>648</v>
      </c>
      <c r="AD3836" s="6" t="s">
        <v>7560</v>
      </c>
      <c r="AE3836" s="155" t="s">
        <v>5315</v>
      </c>
      <c r="AF3836" s="159" t="s">
        <v>8339</v>
      </c>
      <c r="AG3836" s="160" t="s">
        <v>523</v>
      </c>
      <c r="AH3836" s="194" t="s">
        <v>678</v>
      </c>
      <c r="AI3836" s="6" t="s">
        <v>5196</v>
      </c>
      <c r="AJ3836" s="3" t="s">
        <v>8206</v>
      </c>
      <c r="AK3836" t="s">
        <v>8206</v>
      </c>
      <c r="AV3836"/>
      <c r="AX3836"/>
      <c r="AZ3836" t="str">
        <f t="shared" si="343"/>
        <v/>
      </c>
      <c r="BA3836" t="str">
        <f t="shared" si="344"/>
        <v/>
      </c>
    </row>
    <row r="3837" spans="29:53" ht="13.5">
      <c r="AC3837" s="6" t="s">
        <v>979</v>
      </c>
      <c r="AD3837" s="6" t="s">
        <v>7560</v>
      </c>
      <c r="AE3837" s="155" t="s">
        <v>226</v>
      </c>
      <c r="AF3837" s="159" t="s">
        <v>8300</v>
      </c>
      <c r="AG3837" s="160" t="s">
        <v>524</v>
      </c>
      <c r="AH3837" s="194" t="s">
        <v>678</v>
      </c>
      <c r="AI3837" s="6" t="s">
        <v>1811</v>
      </c>
      <c r="AJ3837" s="3" t="s">
        <v>8227</v>
      </c>
      <c r="AK3837" t="s">
        <v>8227</v>
      </c>
      <c r="AV3837"/>
      <c r="AX3837"/>
      <c r="AZ3837" t="str">
        <f t="shared" si="343"/>
        <v/>
      </c>
      <c r="BA3837" t="str">
        <f t="shared" si="344"/>
        <v/>
      </c>
    </row>
    <row r="3838" spans="29:53" ht="13.5">
      <c r="AC3838" s="6" t="s">
        <v>643</v>
      </c>
      <c r="AD3838" s="6" t="s">
        <v>7560</v>
      </c>
      <c r="AE3838" s="155" t="s">
        <v>227</v>
      </c>
      <c r="AF3838" s="159" t="s">
        <v>8406</v>
      </c>
      <c r="AG3838" s="160" t="s">
        <v>946</v>
      </c>
      <c r="AH3838" s="194" t="s">
        <v>678</v>
      </c>
      <c r="AI3838" s="6" t="s">
        <v>2630</v>
      </c>
      <c r="AJ3838" s="3" t="s">
        <v>8206</v>
      </c>
      <c r="AK3838" t="s">
        <v>8206</v>
      </c>
      <c r="AV3838"/>
      <c r="AX3838"/>
      <c r="AZ3838" t="str">
        <f t="shared" si="343"/>
        <v/>
      </c>
      <c r="BA3838" t="str">
        <f t="shared" si="344"/>
        <v/>
      </c>
    </row>
    <row r="3839" spans="29:53" ht="13.5">
      <c r="AC3839" s="6" t="s">
        <v>641</v>
      </c>
      <c r="AD3839" s="6" t="s">
        <v>7560</v>
      </c>
      <c r="AE3839" s="155" t="s">
        <v>1342</v>
      </c>
      <c r="AF3839" s="159" t="s">
        <v>8299</v>
      </c>
      <c r="AG3839" s="160" t="s">
        <v>1436</v>
      </c>
      <c r="AH3839" s="194" t="s">
        <v>678</v>
      </c>
      <c r="AI3839" s="6" t="s">
        <v>2595</v>
      </c>
      <c r="AJ3839" s="3" t="s">
        <v>8274</v>
      </c>
      <c r="AK3839" t="s">
        <v>8274</v>
      </c>
      <c r="AV3839"/>
      <c r="AX3839"/>
      <c r="AZ3839" t="str">
        <f t="shared" si="343"/>
        <v/>
      </c>
      <c r="BA3839" t="str">
        <f t="shared" si="344"/>
        <v/>
      </c>
    </row>
    <row r="3840" spans="29:53" ht="13.5">
      <c r="AC3840" s="6" t="s">
        <v>34</v>
      </c>
      <c r="AD3840" s="6" t="s">
        <v>7560</v>
      </c>
      <c r="AE3840" s="155" t="s">
        <v>228</v>
      </c>
      <c r="AF3840" s="159" t="s">
        <v>8504</v>
      </c>
      <c r="AG3840" s="160" t="s">
        <v>525</v>
      </c>
      <c r="AH3840" s="194" t="s">
        <v>678</v>
      </c>
      <c r="AI3840" s="6" t="s">
        <v>2809</v>
      </c>
      <c r="AJ3840" s="3" t="s">
        <v>8206</v>
      </c>
      <c r="AK3840" t="s">
        <v>8206</v>
      </c>
      <c r="AV3840"/>
      <c r="AX3840"/>
      <c r="AZ3840" t="str">
        <f t="shared" si="343"/>
        <v/>
      </c>
      <c r="BA3840" t="str">
        <f t="shared" si="344"/>
        <v/>
      </c>
    </row>
    <row r="3841" spans="29:53" ht="13.5">
      <c r="AC3841" s="6" t="s">
        <v>634</v>
      </c>
      <c r="AD3841" s="6" t="s">
        <v>7560</v>
      </c>
      <c r="AE3841" s="155" t="s">
        <v>1345</v>
      </c>
      <c r="AF3841" s="159" t="s">
        <v>8505</v>
      </c>
      <c r="AG3841" s="160" t="s">
        <v>526</v>
      </c>
      <c r="AH3841" s="194" t="s">
        <v>678</v>
      </c>
      <c r="AI3841" s="6" t="s">
        <v>305</v>
      </c>
      <c r="AJ3841" s="3" t="s">
        <v>8200</v>
      </c>
      <c r="AK3841" t="s">
        <v>8200</v>
      </c>
      <c r="AV3841"/>
      <c r="AX3841"/>
      <c r="AZ3841" t="str">
        <f t="shared" si="343"/>
        <v/>
      </c>
      <c r="BA3841" t="str">
        <f t="shared" si="344"/>
        <v/>
      </c>
    </row>
    <row r="3842" spans="29:53" ht="13.5">
      <c r="AC3842" s="6" t="s">
        <v>1201</v>
      </c>
      <c r="AD3842" s="6" t="s">
        <v>7530</v>
      </c>
      <c r="AE3842" s="155" t="s">
        <v>230</v>
      </c>
      <c r="AF3842" s="159" t="s">
        <v>8506</v>
      </c>
      <c r="AG3842" s="160" t="s">
        <v>5</v>
      </c>
      <c r="AH3842" s="194" t="s">
        <v>678</v>
      </c>
      <c r="AI3842" s="6" t="s">
        <v>5294</v>
      </c>
      <c r="AJ3842" s="3" t="s">
        <v>8206</v>
      </c>
      <c r="AK3842" t="s">
        <v>8206</v>
      </c>
      <c r="AV3842"/>
      <c r="AX3842"/>
      <c r="AZ3842" t="str">
        <f t="shared" si="343"/>
        <v/>
      </c>
      <c r="BA3842" t="str">
        <f t="shared" si="344"/>
        <v/>
      </c>
    </row>
    <row r="3843" spans="29:53" ht="13.5">
      <c r="AC3843" s="6" t="s">
        <v>980</v>
      </c>
      <c r="AD3843" s="6" t="s">
        <v>7560</v>
      </c>
      <c r="AE3843" s="155" t="s">
        <v>231</v>
      </c>
      <c r="AF3843" s="159" t="s">
        <v>8445</v>
      </c>
      <c r="AG3843" s="160" t="s">
        <v>1050</v>
      </c>
      <c r="AH3843" s="194" t="s">
        <v>679</v>
      </c>
      <c r="AI3843" s="6">
        <v>535371</v>
      </c>
      <c r="AJ3843" s="3" t="s">
        <v>8218</v>
      </c>
      <c r="AK3843" t="s">
        <v>8218</v>
      </c>
      <c r="AV3843"/>
      <c r="AX3843"/>
      <c r="AZ3843" t="str">
        <f t="shared" si="343"/>
        <v/>
      </c>
      <c r="BA3843" t="str">
        <f t="shared" si="344"/>
        <v/>
      </c>
    </row>
    <row r="3844" spans="29:53" ht="13.5">
      <c r="AC3844" s="6" t="s">
        <v>977</v>
      </c>
      <c r="AD3844" s="6" t="s">
        <v>7560</v>
      </c>
      <c r="AE3844" s="155" t="s">
        <v>232</v>
      </c>
      <c r="AF3844" s="159" t="s">
        <v>8296</v>
      </c>
      <c r="AG3844" s="160" t="s">
        <v>1051</v>
      </c>
      <c r="AH3844" s="194" t="s">
        <v>679</v>
      </c>
      <c r="AI3844" s="6" t="s">
        <v>2203</v>
      </c>
      <c r="AJ3844" s="3" t="s">
        <v>8235</v>
      </c>
      <c r="AK3844" t="s">
        <v>8672</v>
      </c>
      <c r="AV3844"/>
      <c r="AX3844"/>
      <c r="AZ3844" t="str">
        <f t="shared" si="343"/>
        <v/>
      </c>
      <c r="BA3844" t="str">
        <f t="shared" si="344"/>
        <v/>
      </c>
    </row>
    <row r="3845" spans="29:53" ht="13.5">
      <c r="AC3845" s="6" t="s">
        <v>635</v>
      </c>
      <c r="AD3845" s="6" t="s">
        <v>7560</v>
      </c>
      <c r="AE3845" s="155" t="s">
        <v>233</v>
      </c>
      <c r="AF3845" s="159" t="s">
        <v>8507</v>
      </c>
      <c r="AG3845" s="160" t="s">
        <v>527</v>
      </c>
      <c r="AH3845" s="194" t="s">
        <v>678</v>
      </c>
      <c r="AI3845" s="6" t="s">
        <v>2337</v>
      </c>
      <c r="AJ3845" s="3" t="s">
        <v>8206</v>
      </c>
      <c r="AK3845" t="s">
        <v>8206</v>
      </c>
      <c r="AV3845"/>
      <c r="AX3845"/>
      <c r="AZ3845" t="str">
        <f t="shared" si="343"/>
        <v/>
      </c>
      <c r="BA3845" t="str">
        <f t="shared" si="344"/>
        <v/>
      </c>
    </row>
    <row r="3846" spans="29:53" ht="13.5">
      <c r="AC3846" s="6" t="s">
        <v>26</v>
      </c>
      <c r="AD3846" s="6" t="s">
        <v>7560</v>
      </c>
      <c r="AE3846" s="155" t="s">
        <v>234</v>
      </c>
      <c r="AF3846" s="159" t="s">
        <v>8340</v>
      </c>
      <c r="AG3846" s="160" t="s">
        <v>1052</v>
      </c>
      <c r="AH3846" s="194" t="s">
        <v>678</v>
      </c>
      <c r="AI3846" s="6" t="s">
        <v>3552</v>
      </c>
      <c r="AJ3846" s="3" t="s">
        <v>8244</v>
      </c>
      <c r="AK3846" t="s">
        <v>8244</v>
      </c>
      <c r="AV3846"/>
      <c r="AX3846"/>
      <c r="AZ3846" t="str">
        <f t="shared" si="343"/>
        <v/>
      </c>
      <c r="BA3846" t="str">
        <f t="shared" si="344"/>
        <v/>
      </c>
    </row>
    <row r="3847" spans="29:53" ht="13.5">
      <c r="AC3847" s="6" t="s">
        <v>642</v>
      </c>
      <c r="AD3847" s="6" t="s">
        <v>7560</v>
      </c>
      <c r="AE3847" s="155" t="s">
        <v>235</v>
      </c>
      <c r="AF3847" s="159" t="s">
        <v>8508</v>
      </c>
      <c r="AG3847" s="160" t="s">
        <v>528</v>
      </c>
      <c r="AH3847" s="194" t="s">
        <v>678</v>
      </c>
      <c r="AI3847" s="6" t="s">
        <v>205</v>
      </c>
      <c r="AJ3847" s="3" t="s">
        <v>8201</v>
      </c>
      <c r="AK3847" t="s">
        <v>8666</v>
      </c>
      <c r="AV3847"/>
      <c r="AX3847"/>
      <c r="AZ3847" t="str">
        <f t="shared" si="343"/>
        <v/>
      </c>
      <c r="BA3847" t="str">
        <f t="shared" si="344"/>
        <v/>
      </c>
    </row>
    <row r="3848" spans="29:53" ht="13.5">
      <c r="AC3848" s="6" t="s">
        <v>650</v>
      </c>
      <c r="AD3848" s="6" t="s">
        <v>7560</v>
      </c>
      <c r="AE3848" s="155" t="s">
        <v>1347</v>
      </c>
      <c r="AF3848" s="159" t="s">
        <v>8339</v>
      </c>
      <c r="AG3848" s="160" t="s">
        <v>529</v>
      </c>
      <c r="AH3848" s="194" t="s">
        <v>678</v>
      </c>
      <c r="AI3848" s="6" t="s">
        <v>213</v>
      </c>
      <c r="AJ3848" s="3" t="s">
        <v>8209</v>
      </c>
      <c r="AK3848" t="s">
        <v>8209</v>
      </c>
      <c r="AV3848"/>
      <c r="AX3848"/>
      <c r="AZ3848" t="str">
        <f t="shared" si="343"/>
        <v/>
      </c>
      <c r="BA3848" t="str">
        <f t="shared" si="344"/>
        <v/>
      </c>
    </row>
    <row r="3849" spans="29:53" ht="13.5">
      <c r="AC3849" s="6" t="s">
        <v>637</v>
      </c>
      <c r="AD3849" s="6" t="s">
        <v>7560</v>
      </c>
      <c r="AE3849" s="155" t="s">
        <v>236</v>
      </c>
      <c r="AF3849" s="159" t="s">
        <v>8300</v>
      </c>
      <c r="AG3849" s="160" t="s">
        <v>530</v>
      </c>
      <c r="AH3849" s="194" t="s">
        <v>678</v>
      </c>
      <c r="AI3849" s="6" t="s">
        <v>214</v>
      </c>
      <c r="AJ3849" s="3" t="s">
        <v>8201</v>
      </c>
      <c r="AK3849" t="s">
        <v>8666</v>
      </c>
      <c r="AV3849"/>
      <c r="AX3849"/>
      <c r="AZ3849" t="str">
        <f t="shared" si="343"/>
        <v/>
      </c>
      <c r="BA3849" t="str">
        <f t="shared" si="344"/>
        <v/>
      </c>
    </row>
    <row r="3850" spans="29:53" ht="13.5">
      <c r="AC3850" s="6" t="s">
        <v>638</v>
      </c>
      <c r="AD3850" s="6" t="s">
        <v>7560</v>
      </c>
      <c r="AE3850" s="155" t="s">
        <v>237</v>
      </c>
      <c r="AF3850" s="159" t="s">
        <v>8375</v>
      </c>
      <c r="AG3850" s="160" t="s">
        <v>1437</v>
      </c>
      <c r="AH3850" s="194" t="s">
        <v>4700</v>
      </c>
      <c r="AI3850" s="6" t="s">
        <v>997</v>
      </c>
      <c r="AJ3850" s="3" t="s">
        <v>8196</v>
      </c>
      <c r="AK3850" t="s">
        <v>8196</v>
      </c>
      <c r="AV3850"/>
      <c r="AX3850"/>
      <c r="AZ3850" t="str">
        <f t="shared" si="343"/>
        <v/>
      </c>
      <c r="BA3850" t="str">
        <f t="shared" si="344"/>
        <v/>
      </c>
    </row>
    <row r="3851" spans="29:53" ht="13.5">
      <c r="AC3851" s="6" t="s">
        <v>5174</v>
      </c>
      <c r="AD3851" s="6" t="s">
        <v>7572</v>
      </c>
      <c r="AE3851" s="155" t="s">
        <v>238</v>
      </c>
      <c r="AF3851" s="159" t="s">
        <v>8339</v>
      </c>
      <c r="AG3851" s="160" t="s">
        <v>531</v>
      </c>
      <c r="AH3851" s="194" t="s">
        <v>678</v>
      </c>
      <c r="AI3851" s="6" t="s">
        <v>999</v>
      </c>
      <c r="AJ3851" s="3" t="s">
        <v>8196</v>
      </c>
      <c r="AK3851" t="s">
        <v>8196</v>
      </c>
      <c r="AV3851"/>
      <c r="AX3851"/>
      <c r="AZ3851" t="str">
        <f t="shared" si="343"/>
        <v/>
      </c>
      <c r="BA3851" t="str">
        <f t="shared" si="344"/>
        <v/>
      </c>
    </row>
    <row r="3852" spans="29:53" ht="13.5">
      <c r="AC3852" s="6" t="s">
        <v>640</v>
      </c>
      <c r="AD3852" s="6" t="s">
        <v>7560</v>
      </c>
      <c r="AE3852" s="155" t="s">
        <v>239</v>
      </c>
      <c r="AF3852" s="159" t="s">
        <v>8509</v>
      </c>
      <c r="AG3852" s="160" t="s">
        <v>532</v>
      </c>
      <c r="AH3852" s="194" t="s">
        <v>678</v>
      </c>
      <c r="AI3852" s="6" t="s">
        <v>1000</v>
      </c>
      <c r="AJ3852" s="3" t="s">
        <v>8196</v>
      </c>
      <c r="AK3852" t="s">
        <v>8196</v>
      </c>
      <c r="AV3852"/>
      <c r="AX3852"/>
      <c r="AZ3852" t="str">
        <f t="shared" si="343"/>
        <v/>
      </c>
      <c r="BA3852" t="str">
        <f t="shared" si="344"/>
        <v/>
      </c>
    </row>
    <row r="3853" spans="29:53" ht="13.5">
      <c r="AC3853" s="6" t="s">
        <v>633</v>
      </c>
      <c r="AD3853" s="6" t="s">
        <v>7560</v>
      </c>
      <c r="AE3853" s="155" t="s">
        <v>240</v>
      </c>
      <c r="AF3853" s="159" t="s">
        <v>8320</v>
      </c>
      <c r="AG3853" s="160" t="s">
        <v>1053</v>
      </c>
      <c r="AH3853" s="194" t="s">
        <v>4700</v>
      </c>
      <c r="AI3853" s="6" t="s">
        <v>1331</v>
      </c>
      <c r="AJ3853" s="3" t="s">
        <v>8196</v>
      </c>
      <c r="AK3853" t="s">
        <v>8196</v>
      </c>
      <c r="AV3853"/>
      <c r="AX3853"/>
      <c r="AZ3853" t="str">
        <f t="shared" si="343"/>
        <v/>
      </c>
      <c r="BA3853" t="str">
        <f t="shared" si="344"/>
        <v/>
      </c>
    </row>
    <row r="3854" spans="29:53" ht="13.5">
      <c r="AC3854" s="6" t="s">
        <v>644</v>
      </c>
      <c r="AD3854" s="6" t="s">
        <v>7560</v>
      </c>
      <c r="AE3854" s="155" t="s">
        <v>241</v>
      </c>
      <c r="AF3854" s="159" t="s">
        <v>8339</v>
      </c>
      <c r="AG3854" s="160" t="s">
        <v>533</v>
      </c>
      <c r="AH3854" s="194" t="s">
        <v>678</v>
      </c>
      <c r="AI3854" s="6" t="s">
        <v>1332</v>
      </c>
      <c r="AJ3854" s="3" t="s">
        <v>8196</v>
      </c>
      <c r="AK3854" t="s">
        <v>8196</v>
      </c>
      <c r="AV3854"/>
      <c r="AX3854"/>
      <c r="AZ3854" t="str">
        <f t="shared" si="343"/>
        <v/>
      </c>
      <c r="BA3854" t="str">
        <f t="shared" si="344"/>
        <v/>
      </c>
    </row>
    <row r="3855" spans="29:53" ht="13.5">
      <c r="AC3855" s="6" t="s">
        <v>4291</v>
      </c>
      <c r="AD3855" s="6" t="s">
        <v>7568</v>
      </c>
      <c r="AE3855" s="155" t="s">
        <v>242</v>
      </c>
      <c r="AF3855" s="159" t="s">
        <v>8510</v>
      </c>
      <c r="AG3855" s="160" t="s">
        <v>534</v>
      </c>
      <c r="AH3855" s="194" t="s">
        <v>678</v>
      </c>
      <c r="AI3855" s="6" t="s">
        <v>6728</v>
      </c>
      <c r="AJ3855" s="3" t="s">
        <v>8232</v>
      </c>
      <c r="AK3855" t="s">
        <v>8232</v>
      </c>
      <c r="AV3855"/>
      <c r="AX3855"/>
      <c r="AZ3855" t="str">
        <f t="shared" si="343"/>
        <v/>
      </c>
      <c r="BA3855" t="str">
        <f t="shared" si="344"/>
        <v/>
      </c>
    </row>
    <row r="3856" spans="29:53" ht="13.5">
      <c r="AC3856" s="6" t="s">
        <v>639</v>
      </c>
      <c r="AD3856" s="6" t="s">
        <v>7560</v>
      </c>
      <c r="AE3856" s="155" t="s">
        <v>243</v>
      </c>
      <c r="AF3856" s="159" t="s">
        <v>8511</v>
      </c>
      <c r="AG3856" s="160" t="s">
        <v>1054</v>
      </c>
      <c r="AH3856" s="194" t="s">
        <v>678</v>
      </c>
      <c r="AI3856" s="6" t="s">
        <v>5335</v>
      </c>
      <c r="AJ3856" s="3" t="s">
        <v>8213</v>
      </c>
      <c r="AK3856" t="s">
        <v>8213</v>
      </c>
      <c r="AV3856"/>
      <c r="AX3856"/>
      <c r="AZ3856" t="str">
        <f t="shared" si="343"/>
        <v/>
      </c>
      <c r="BA3856" t="str">
        <f t="shared" si="344"/>
        <v/>
      </c>
    </row>
    <row r="3857" spans="29:53" ht="13.5">
      <c r="AC3857" s="6">
        <v>295245</v>
      </c>
      <c r="AD3857" s="6" t="s">
        <v>7573</v>
      </c>
      <c r="AE3857" s="155" t="s">
        <v>244</v>
      </c>
      <c r="AF3857" s="159" t="s">
        <v>8339</v>
      </c>
      <c r="AG3857" s="160" t="s">
        <v>942</v>
      </c>
      <c r="AH3857" s="194" t="s">
        <v>678</v>
      </c>
      <c r="AI3857" s="6" t="s">
        <v>5273</v>
      </c>
      <c r="AJ3857" s="3" t="s">
        <v>8213</v>
      </c>
      <c r="AK3857" t="s">
        <v>8213</v>
      </c>
      <c r="AV3857"/>
      <c r="AX3857"/>
      <c r="AZ3857" t="str">
        <f t="shared" si="343"/>
        <v/>
      </c>
      <c r="BA3857" t="str">
        <f t="shared" si="344"/>
        <v/>
      </c>
    </row>
    <row r="3858" spans="29:53" ht="13.5">
      <c r="AC3858" s="6">
        <v>25337</v>
      </c>
      <c r="AD3858" s="6" t="s">
        <v>7559</v>
      </c>
      <c r="AE3858" s="155" t="s">
        <v>1348</v>
      </c>
      <c r="AF3858" s="159" t="s">
        <v>8512</v>
      </c>
      <c r="AG3858" s="160" t="s">
        <v>944</v>
      </c>
      <c r="AH3858" s="194" t="s">
        <v>678</v>
      </c>
      <c r="AI3858" s="6" t="s">
        <v>5336</v>
      </c>
      <c r="AJ3858" s="3" t="s">
        <v>8213</v>
      </c>
      <c r="AK3858" t="s">
        <v>8213</v>
      </c>
      <c r="AV3858"/>
      <c r="AX3858"/>
      <c r="AZ3858" t="str">
        <f t="shared" si="343"/>
        <v/>
      </c>
      <c r="BA3858" t="str">
        <f t="shared" si="344"/>
        <v/>
      </c>
    </row>
    <row r="3859" spans="29:53" ht="13.5">
      <c r="AC3859" s="6" t="s">
        <v>146</v>
      </c>
      <c r="AD3859" s="6" t="s">
        <v>7574</v>
      </c>
      <c r="AE3859" s="155" t="s">
        <v>245</v>
      </c>
      <c r="AF3859" s="159" t="s">
        <v>8513</v>
      </c>
      <c r="AG3859" s="160" t="s">
        <v>535</v>
      </c>
      <c r="AH3859" s="194" t="s">
        <v>678</v>
      </c>
      <c r="AI3859" s="6" t="s">
        <v>4701</v>
      </c>
      <c r="AJ3859" s="3" t="s">
        <v>8253</v>
      </c>
      <c r="AK3859" t="s">
        <v>8253</v>
      </c>
      <c r="AV3859"/>
      <c r="AX3859"/>
      <c r="AZ3859" t="str">
        <f t="shared" si="343"/>
        <v/>
      </c>
      <c r="BA3859" t="str">
        <f t="shared" si="344"/>
        <v/>
      </c>
    </row>
    <row r="3860" spans="29:53" ht="13.5">
      <c r="AC3860" s="6">
        <v>25336</v>
      </c>
      <c r="AD3860" s="6" t="s">
        <v>7559</v>
      </c>
      <c r="AE3860" s="155" t="s">
        <v>246</v>
      </c>
      <c r="AF3860" s="159" t="s">
        <v>8356</v>
      </c>
      <c r="AG3860" s="160" t="s">
        <v>956</v>
      </c>
      <c r="AH3860" s="194" t="s">
        <v>678</v>
      </c>
      <c r="AI3860" s="6" t="s">
        <v>409</v>
      </c>
      <c r="AJ3860" s="3" t="s">
        <v>8228</v>
      </c>
      <c r="AK3860" t="s">
        <v>8228</v>
      </c>
      <c r="AV3860"/>
      <c r="AX3860"/>
      <c r="AZ3860" t="str">
        <f t="shared" si="343"/>
        <v/>
      </c>
      <c r="BA3860" t="str">
        <f t="shared" si="344"/>
        <v/>
      </c>
    </row>
    <row r="3861" spans="29:53" ht="13.5">
      <c r="AC3861" s="6">
        <v>295292</v>
      </c>
      <c r="AD3861" s="6" t="s">
        <v>7573</v>
      </c>
      <c r="AE3861" s="155" t="s">
        <v>247</v>
      </c>
      <c r="AF3861" s="159" t="s">
        <v>8514</v>
      </c>
      <c r="AG3861" s="160" t="s">
        <v>1438</v>
      </c>
      <c r="AH3861" s="194" t="s">
        <v>678</v>
      </c>
      <c r="AI3861" s="6" t="s">
        <v>1401</v>
      </c>
      <c r="AJ3861" s="3" t="s">
        <v>8212</v>
      </c>
      <c r="AK3861" t="s">
        <v>8212</v>
      </c>
      <c r="AV3861"/>
      <c r="AX3861"/>
      <c r="AZ3861" t="str">
        <f t="shared" si="343"/>
        <v/>
      </c>
      <c r="BA3861" t="str">
        <f t="shared" si="344"/>
        <v/>
      </c>
    </row>
    <row r="3862" spans="29:53" ht="13.5">
      <c r="AC3862" s="6" t="s">
        <v>981</v>
      </c>
      <c r="AD3862" s="6" t="s">
        <v>7574</v>
      </c>
      <c r="AE3862" s="155" t="s">
        <v>248</v>
      </c>
      <c r="AF3862" s="159" t="s">
        <v>8506</v>
      </c>
      <c r="AG3862" s="160" t="s">
        <v>536</v>
      </c>
      <c r="AH3862" s="194" t="s">
        <v>678</v>
      </c>
      <c r="AI3862" s="6" t="s">
        <v>1053</v>
      </c>
      <c r="AJ3862" s="3" t="s">
        <v>8200</v>
      </c>
      <c r="AK3862" t="s">
        <v>8200</v>
      </c>
      <c r="AV3862"/>
      <c r="AX3862"/>
      <c r="AZ3862" t="str">
        <f t="shared" si="343"/>
        <v/>
      </c>
      <c r="BA3862" t="str">
        <f t="shared" si="344"/>
        <v/>
      </c>
    </row>
    <row r="3863" spans="29:53" ht="13.5">
      <c r="AC3863" s="6" t="s">
        <v>144</v>
      </c>
      <c r="AD3863" s="6" t="s">
        <v>7575</v>
      </c>
      <c r="AE3863" s="155" t="s">
        <v>249</v>
      </c>
      <c r="AF3863" s="159" t="s">
        <v>8515</v>
      </c>
      <c r="AG3863" s="160" t="s">
        <v>1055</v>
      </c>
      <c r="AH3863" s="194" t="s">
        <v>678</v>
      </c>
      <c r="AI3863" s="6" t="s">
        <v>5712</v>
      </c>
      <c r="AJ3863" s="3" t="s">
        <v>8241</v>
      </c>
      <c r="AK3863" t="s">
        <v>8675</v>
      </c>
      <c r="AV3863"/>
      <c r="AX3863"/>
      <c r="AZ3863" t="str">
        <f t="shared" si="343"/>
        <v/>
      </c>
      <c r="BA3863" t="str">
        <f t="shared" si="344"/>
        <v/>
      </c>
    </row>
    <row r="3864" spans="29:53" ht="13.5">
      <c r="AC3864" s="6" t="s">
        <v>5123</v>
      </c>
      <c r="AD3864" s="6" t="s">
        <v>7572</v>
      </c>
      <c r="AE3864" s="155" t="s">
        <v>250</v>
      </c>
      <c r="AF3864" s="159" t="s">
        <v>8516</v>
      </c>
      <c r="AG3864" s="160" t="s">
        <v>1056</v>
      </c>
      <c r="AH3864" s="194" t="s">
        <v>678</v>
      </c>
      <c r="AI3864" s="6" t="s">
        <v>5466</v>
      </c>
      <c r="AJ3864" s="3" t="s">
        <v>8253</v>
      </c>
      <c r="AK3864" t="s">
        <v>8253</v>
      </c>
      <c r="AV3864"/>
      <c r="AX3864"/>
      <c r="AZ3864" t="str">
        <f t="shared" si="343"/>
        <v/>
      </c>
      <c r="BA3864" t="str">
        <f t="shared" si="344"/>
        <v/>
      </c>
    </row>
    <row r="3865" spans="29:53" ht="13.5">
      <c r="AC3865" s="6">
        <v>21939</v>
      </c>
      <c r="AD3865" s="6" t="s">
        <v>7576</v>
      </c>
      <c r="AE3865" s="155" t="s">
        <v>1349</v>
      </c>
      <c r="AF3865" s="159" t="s">
        <v>8509</v>
      </c>
      <c r="AG3865" s="160" t="s">
        <v>960</v>
      </c>
      <c r="AH3865" s="194" t="s">
        <v>678</v>
      </c>
      <c r="AI3865" s="6" t="s">
        <v>2553</v>
      </c>
      <c r="AJ3865" s="3" t="s">
        <v>8256</v>
      </c>
      <c r="AK3865" t="s">
        <v>8256</v>
      </c>
      <c r="AV3865"/>
      <c r="AX3865"/>
      <c r="AZ3865" t="str">
        <f t="shared" si="343"/>
        <v/>
      </c>
      <c r="BA3865" t="str">
        <f t="shared" si="344"/>
        <v/>
      </c>
    </row>
    <row r="3866" spans="29:53" ht="13.5">
      <c r="AC3866" s="6" t="s">
        <v>4292</v>
      </c>
      <c r="AD3866" s="6" t="s">
        <v>7568</v>
      </c>
      <c r="AE3866" s="155" t="s">
        <v>252</v>
      </c>
      <c r="AF3866" s="159" t="s">
        <v>8403</v>
      </c>
      <c r="AG3866" s="160" t="s">
        <v>537</v>
      </c>
      <c r="AH3866" s="194" t="s">
        <v>4700</v>
      </c>
      <c r="AI3866" s="6" t="s">
        <v>2774</v>
      </c>
      <c r="AJ3866" s="3" t="s">
        <v>8226</v>
      </c>
      <c r="AK3866" t="s">
        <v>8671</v>
      </c>
      <c r="AV3866"/>
      <c r="AX3866"/>
      <c r="AZ3866" t="str">
        <f t="shared" si="343"/>
        <v/>
      </c>
      <c r="BA3866" t="str">
        <f t="shared" si="344"/>
        <v/>
      </c>
    </row>
    <row r="3867" spans="29:53" ht="13.5">
      <c r="AC3867" s="6" t="s">
        <v>4434</v>
      </c>
      <c r="AD3867" s="6" t="s">
        <v>7560</v>
      </c>
      <c r="AE3867" s="155" t="s">
        <v>253</v>
      </c>
      <c r="AF3867" s="159" t="s">
        <v>8319</v>
      </c>
      <c r="AG3867" s="160" t="s">
        <v>1439</v>
      </c>
      <c r="AH3867" s="194" t="s">
        <v>678</v>
      </c>
      <c r="AI3867" s="6" t="s">
        <v>2778</v>
      </c>
      <c r="AJ3867" s="3" t="s">
        <v>8226</v>
      </c>
      <c r="AK3867" t="s">
        <v>8671</v>
      </c>
      <c r="AV3867"/>
      <c r="AX3867"/>
      <c r="AZ3867" t="str">
        <f t="shared" si="343"/>
        <v/>
      </c>
      <c r="BA3867" t="str">
        <f t="shared" si="344"/>
        <v/>
      </c>
    </row>
    <row r="3868" spans="29:53" ht="13.5">
      <c r="AC3868" s="6" t="s">
        <v>4435</v>
      </c>
      <c r="AD3868" s="6" t="s">
        <v>7560</v>
      </c>
      <c r="AE3868" s="155" t="s">
        <v>1350</v>
      </c>
      <c r="AF3868" s="159" t="s">
        <v>8297</v>
      </c>
      <c r="AG3868" s="160" t="s">
        <v>538</v>
      </c>
      <c r="AH3868" s="194" t="s">
        <v>678</v>
      </c>
      <c r="AI3868" s="6" t="s">
        <v>5737</v>
      </c>
      <c r="AJ3868" s="3" t="s">
        <v>8194</v>
      </c>
      <c r="AK3868" t="s">
        <v>8194</v>
      </c>
      <c r="AV3868"/>
      <c r="AX3868"/>
      <c r="AZ3868" t="str">
        <f t="shared" si="343"/>
        <v/>
      </c>
      <c r="BA3868" t="str">
        <f t="shared" si="344"/>
        <v/>
      </c>
    </row>
    <row r="3869" spans="29:53" ht="13.5">
      <c r="AC3869" s="6">
        <v>295246</v>
      </c>
      <c r="AD3869" s="6" t="s">
        <v>7573</v>
      </c>
      <c r="AE3869" s="155" t="s">
        <v>1351</v>
      </c>
      <c r="AF3869" s="159" t="s">
        <v>8375</v>
      </c>
      <c r="AG3869" s="160" t="s">
        <v>539</v>
      </c>
      <c r="AH3869" s="194" t="s">
        <v>678</v>
      </c>
      <c r="AI3869" s="6" t="s">
        <v>5289</v>
      </c>
      <c r="AJ3869" s="3" t="s">
        <v>8206</v>
      </c>
      <c r="AK3869" t="s">
        <v>8206</v>
      </c>
      <c r="AV3869"/>
      <c r="AX3869"/>
      <c r="AZ3869" t="str">
        <f t="shared" si="343"/>
        <v/>
      </c>
      <c r="BA3869" t="str">
        <f t="shared" si="344"/>
        <v/>
      </c>
    </row>
    <row r="3870" spans="29:53" ht="13.5">
      <c r="AC3870" s="6" t="s">
        <v>119</v>
      </c>
      <c r="AD3870" s="6" t="s">
        <v>7577</v>
      </c>
      <c r="AE3870" s="155" t="s">
        <v>255</v>
      </c>
      <c r="AF3870" s="159" t="s">
        <v>8351</v>
      </c>
      <c r="AG3870" s="160" t="s">
        <v>1057</v>
      </c>
      <c r="AH3870" s="194" t="s">
        <v>678</v>
      </c>
      <c r="AI3870" s="6" t="s">
        <v>5307</v>
      </c>
      <c r="AJ3870" s="3" t="s">
        <v>8248</v>
      </c>
      <c r="AK3870" t="s">
        <v>8248</v>
      </c>
      <c r="AV3870"/>
      <c r="AX3870"/>
      <c r="AZ3870" t="str">
        <f t="shared" si="343"/>
        <v/>
      </c>
      <c r="BA3870" t="str">
        <f t="shared" si="344"/>
        <v/>
      </c>
    </row>
    <row r="3871" spans="29:53" ht="13.5">
      <c r="AC3871" s="6" t="s">
        <v>6649</v>
      </c>
      <c r="AD3871" s="6" t="s">
        <v>7559</v>
      </c>
      <c r="AE3871" s="155" t="s">
        <v>1352</v>
      </c>
      <c r="AF3871" s="159" t="s">
        <v>8297</v>
      </c>
      <c r="AG3871" s="160" t="s">
        <v>540</v>
      </c>
      <c r="AH3871" s="194" t="s">
        <v>678</v>
      </c>
      <c r="AI3871" s="6">
        <v>95629</v>
      </c>
      <c r="AJ3871" s="3" t="s">
        <v>8272</v>
      </c>
      <c r="AK3871" t="s">
        <v>8272</v>
      </c>
      <c r="AV3871"/>
      <c r="AX3871"/>
      <c r="AZ3871" t="str">
        <f t="shared" si="343"/>
        <v/>
      </c>
      <c r="BA3871" t="str">
        <f t="shared" si="344"/>
        <v/>
      </c>
    </row>
    <row r="3872" spans="29:53" ht="13.5">
      <c r="AC3872" s="6">
        <v>15254</v>
      </c>
      <c r="AD3872" s="6" t="s">
        <v>7571</v>
      </c>
      <c r="AE3872" s="155" t="s">
        <v>256</v>
      </c>
      <c r="AF3872" s="159" t="s">
        <v>8517</v>
      </c>
      <c r="AG3872" s="160" t="s">
        <v>541</v>
      </c>
      <c r="AH3872" s="194" t="s">
        <v>4700</v>
      </c>
      <c r="AI3872" s="6" t="s">
        <v>4373</v>
      </c>
      <c r="AJ3872" s="3" t="s">
        <v>8279</v>
      </c>
      <c r="AK3872" t="s">
        <v>8679</v>
      </c>
      <c r="AV3872"/>
      <c r="AX3872"/>
      <c r="AZ3872" t="str">
        <f t="shared" si="343"/>
        <v/>
      </c>
      <c r="BA3872" t="str">
        <f t="shared" si="344"/>
        <v/>
      </c>
    </row>
    <row r="3873" spans="29:53" ht="13.5">
      <c r="AC3873" s="6" t="s">
        <v>139</v>
      </c>
      <c r="AD3873" s="6" t="s">
        <v>7575</v>
      </c>
      <c r="AE3873" s="155" t="s">
        <v>257</v>
      </c>
      <c r="AF3873" s="159" t="s">
        <v>8396</v>
      </c>
      <c r="AG3873" s="160" t="s">
        <v>1058</v>
      </c>
      <c r="AH3873" s="194" t="s">
        <v>678</v>
      </c>
      <c r="AI3873" s="6" t="s">
        <v>4400</v>
      </c>
      <c r="AJ3873" s="3" t="s">
        <v>8199</v>
      </c>
      <c r="AK3873" t="s">
        <v>8199</v>
      </c>
      <c r="AV3873"/>
      <c r="AX3873"/>
      <c r="AZ3873" t="str">
        <f t="shared" si="343"/>
        <v/>
      </c>
      <c r="BA3873" t="str">
        <f t="shared" si="344"/>
        <v/>
      </c>
    </row>
    <row r="3874" spans="29:53" ht="13.5">
      <c r="AC3874" s="6" t="s">
        <v>5475</v>
      </c>
      <c r="AD3874" s="6" t="s">
        <v>7560</v>
      </c>
      <c r="AE3874" s="155" t="s">
        <v>258</v>
      </c>
      <c r="AF3874" s="159" t="s">
        <v>8339</v>
      </c>
      <c r="AG3874" s="160" t="s">
        <v>4830</v>
      </c>
      <c r="AH3874" s="194" t="s">
        <v>678</v>
      </c>
      <c r="AI3874" s="6" t="s">
        <v>4401</v>
      </c>
      <c r="AJ3874" s="3" t="s">
        <v>8199</v>
      </c>
      <c r="AK3874" t="s">
        <v>8199</v>
      </c>
      <c r="AV3874"/>
      <c r="AX3874"/>
      <c r="AZ3874" t="str">
        <f t="shared" si="343"/>
        <v/>
      </c>
      <c r="BA3874" t="str">
        <f t="shared" si="344"/>
        <v/>
      </c>
    </row>
    <row r="3875" spans="29:53" ht="13.5">
      <c r="AC3875" s="6" t="s">
        <v>140</v>
      </c>
      <c r="AD3875" s="6" t="s">
        <v>7575</v>
      </c>
      <c r="AE3875" s="155" t="s">
        <v>259</v>
      </c>
      <c r="AF3875" s="159" t="s">
        <v>8300</v>
      </c>
      <c r="AG3875" s="160" t="s">
        <v>542</v>
      </c>
      <c r="AH3875" s="194" t="s">
        <v>678</v>
      </c>
      <c r="AI3875" s="6" t="s">
        <v>4402</v>
      </c>
      <c r="AJ3875" s="3" t="s">
        <v>8244</v>
      </c>
      <c r="AK3875" t="s">
        <v>8244</v>
      </c>
      <c r="AV3875"/>
      <c r="AX3875"/>
      <c r="AZ3875" t="str">
        <f t="shared" si="343"/>
        <v/>
      </c>
      <c r="BA3875" t="str">
        <f t="shared" si="344"/>
        <v/>
      </c>
    </row>
    <row r="3876" spans="29:53" ht="13.5">
      <c r="AC3876" s="6" t="s">
        <v>33</v>
      </c>
      <c r="AD3876" s="6" t="s">
        <v>7578</v>
      </c>
      <c r="AE3876" s="155" t="s">
        <v>260</v>
      </c>
      <c r="AF3876" s="159" t="s">
        <v>8375</v>
      </c>
      <c r="AG3876" s="160" t="s">
        <v>1059</v>
      </c>
      <c r="AH3876" s="194" t="s">
        <v>678</v>
      </c>
      <c r="AI3876" s="6" t="s">
        <v>4403</v>
      </c>
      <c r="AJ3876" s="3" t="s">
        <v>8199</v>
      </c>
      <c r="AK3876" t="s">
        <v>8199</v>
      </c>
      <c r="AV3876"/>
      <c r="AX3876"/>
      <c r="AZ3876" t="str">
        <f t="shared" si="343"/>
        <v/>
      </c>
      <c r="BA3876" t="str">
        <f t="shared" si="344"/>
        <v/>
      </c>
    </row>
    <row r="3877" spans="29:53" ht="13.5">
      <c r="AC3877" s="6" t="s">
        <v>120</v>
      </c>
      <c r="AD3877" s="6" t="s">
        <v>7577</v>
      </c>
      <c r="AE3877" s="155" t="s">
        <v>261</v>
      </c>
      <c r="AF3877" s="159" t="s">
        <v>8518</v>
      </c>
      <c r="AG3877" s="160" t="s">
        <v>1196</v>
      </c>
      <c r="AH3877" s="194" t="s">
        <v>4700</v>
      </c>
      <c r="AI3877" s="6" t="s">
        <v>4404</v>
      </c>
      <c r="AJ3877" s="3" t="s">
        <v>8199</v>
      </c>
      <c r="AK3877" t="s">
        <v>8199</v>
      </c>
      <c r="AV3877"/>
      <c r="AX3877"/>
      <c r="AZ3877" t="str">
        <f t="shared" si="343"/>
        <v/>
      </c>
      <c r="BA3877" t="str">
        <f t="shared" si="344"/>
        <v/>
      </c>
    </row>
    <row r="3878" spans="29:53" ht="13.5">
      <c r="AC3878" s="6" t="s">
        <v>142</v>
      </c>
      <c r="AD3878" s="6" t="s">
        <v>7575</v>
      </c>
      <c r="AE3878" s="155" t="s">
        <v>262</v>
      </c>
      <c r="AF3878" s="159" t="s">
        <v>8519</v>
      </c>
      <c r="AG3878" s="160" t="s">
        <v>1060</v>
      </c>
      <c r="AH3878" s="194" t="s">
        <v>4700</v>
      </c>
      <c r="AI3878" s="6" t="s">
        <v>4405</v>
      </c>
      <c r="AJ3878" s="3" t="s">
        <v>8199</v>
      </c>
      <c r="AK3878" t="s">
        <v>8199</v>
      </c>
      <c r="AV3878"/>
      <c r="AX3878"/>
      <c r="AZ3878" t="str">
        <f t="shared" si="343"/>
        <v/>
      </c>
      <c r="BA3878" t="str">
        <f t="shared" si="344"/>
        <v/>
      </c>
    </row>
    <row r="3879" spans="29:53" ht="13.5">
      <c r="AC3879" s="6" t="s">
        <v>138</v>
      </c>
      <c r="AD3879" s="6" t="s">
        <v>7575</v>
      </c>
      <c r="AE3879" s="155" t="s">
        <v>264</v>
      </c>
      <c r="AF3879" s="159" t="s">
        <v>8341</v>
      </c>
      <c r="AG3879" s="160" t="s">
        <v>943</v>
      </c>
      <c r="AH3879" s="194" t="s">
        <v>678</v>
      </c>
      <c r="AI3879" s="6" t="s">
        <v>4406</v>
      </c>
      <c r="AJ3879" s="3" t="s">
        <v>8199</v>
      </c>
      <c r="AK3879" t="s">
        <v>8199</v>
      </c>
      <c r="AV3879"/>
      <c r="AX3879"/>
      <c r="AZ3879" t="str">
        <f t="shared" si="343"/>
        <v/>
      </c>
      <c r="BA3879" t="str">
        <f t="shared" si="344"/>
        <v/>
      </c>
    </row>
    <row r="3880" spans="29:53" ht="13.5">
      <c r="AC3880" s="6" t="s">
        <v>3678</v>
      </c>
      <c r="AD3880" s="6" t="s">
        <v>7579</v>
      </c>
      <c r="AE3880" s="155" t="s">
        <v>1353</v>
      </c>
      <c r="AF3880" s="159" t="s">
        <v>8520</v>
      </c>
      <c r="AG3880" s="160" t="s">
        <v>543</v>
      </c>
      <c r="AH3880" s="194" t="s">
        <v>679</v>
      </c>
      <c r="AI3880" s="6" t="s">
        <v>4407</v>
      </c>
      <c r="AJ3880" s="3" t="s">
        <v>8199</v>
      </c>
      <c r="AK3880" t="s">
        <v>8199</v>
      </c>
      <c r="AV3880"/>
      <c r="AX3880"/>
      <c r="AZ3880" t="str">
        <f t="shared" si="343"/>
        <v/>
      </c>
      <c r="BA3880" t="str">
        <f t="shared" si="344"/>
        <v/>
      </c>
    </row>
    <row r="3881" spans="29:53" ht="13.5">
      <c r="AC3881" s="6" t="s">
        <v>143</v>
      </c>
      <c r="AD3881" s="6" t="s">
        <v>7575</v>
      </c>
      <c r="AE3881" s="155" t="s">
        <v>265</v>
      </c>
      <c r="AF3881" s="159" t="s">
        <v>8339</v>
      </c>
      <c r="AG3881" s="160" t="s">
        <v>544</v>
      </c>
      <c r="AH3881" s="194" t="s">
        <v>678</v>
      </c>
      <c r="AI3881" s="6" t="s">
        <v>4408</v>
      </c>
      <c r="AJ3881" s="3" t="s">
        <v>8199</v>
      </c>
      <c r="AK3881" t="s">
        <v>8199</v>
      </c>
      <c r="AV3881"/>
      <c r="AX3881"/>
      <c r="AZ3881" t="str">
        <f t="shared" si="343"/>
        <v/>
      </c>
      <c r="BA3881" t="str">
        <f t="shared" si="344"/>
        <v/>
      </c>
    </row>
    <row r="3882" spans="29:53" ht="13.5">
      <c r="AC3882" s="6" t="s">
        <v>141</v>
      </c>
      <c r="AD3882" s="6" t="s">
        <v>7575</v>
      </c>
      <c r="AE3882" s="155" t="s">
        <v>1354</v>
      </c>
      <c r="AF3882" s="159" t="s">
        <v>8339</v>
      </c>
      <c r="AG3882" s="160" t="s">
        <v>545</v>
      </c>
      <c r="AH3882" s="194" t="s">
        <v>678</v>
      </c>
      <c r="AI3882" s="6" t="s">
        <v>1322</v>
      </c>
      <c r="AJ3882" s="3" t="s">
        <v>8201</v>
      </c>
      <c r="AK3882" t="s">
        <v>8666</v>
      </c>
      <c r="AV3882"/>
      <c r="AX3882"/>
      <c r="AZ3882" t="str">
        <f t="shared" si="343"/>
        <v/>
      </c>
      <c r="BA3882" t="str">
        <f t="shared" si="344"/>
        <v/>
      </c>
    </row>
    <row r="3883" spans="29:53" ht="13.5">
      <c r="AC3883" s="6" t="s">
        <v>5139</v>
      </c>
      <c r="AD3883" s="6" t="s">
        <v>7572</v>
      </c>
      <c r="AE3883" s="155" t="s">
        <v>266</v>
      </c>
      <c r="AF3883" s="159" t="s">
        <v>8300</v>
      </c>
      <c r="AG3883" s="160" t="s">
        <v>546</v>
      </c>
      <c r="AH3883" s="194" t="s">
        <v>678</v>
      </c>
      <c r="AI3883" s="6" t="s">
        <v>1165</v>
      </c>
      <c r="AJ3883" s="3" t="s">
        <v>8196</v>
      </c>
      <c r="AK3883" t="s">
        <v>8196</v>
      </c>
      <c r="AV3883"/>
      <c r="AX3883"/>
      <c r="AZ3883" t="str">
        <f t="shared" si="343"/>
        <v/>
      </c>
      <c r="BA3883" t="str">
        <f t="shared" si="344"/>
        <v/>
      </c>
    </row>
    <row r="3884" spans="29:53" ht="13.5">
      <c r="AC3884" s="6" t="s">
        <v>3681</v>
      </c>
      <c r="AD3884" s="6" t="s">
        <v>7568</v>
      </c>
      <c r="AE3884" s="155" t="s">
        <v>1355</v>
      </c>
      <c r="AF3884" s="159" t="s">
        <v>8521</v>
      </c>
      <c r="AG3884" s="160" t="s">
        <v>547</v>
      </c>
      <c r="AH3884" s="194" t="s">
        <v>678</v>
      </c>
      <c r="AI3884" s="6" t="s">
        <v>1252</v>
      </c>
      <c r="AJ3884" s="3" t="s">
        <v>8213</v>
      </c>
      <c r="AK3884" t="s">
        <v>8213</v>
      </c>
      <c r="AV3884"/>
      <c r="AX3884"/>
      <c r="AZ3884" t="str">
        <f t="shared" si="343"/>
        <v/>
      </c>
      <c r="BA3884" t="str">
        <f t="shared" si="344"/>
        <v/>
      </c>
    </row>
    <row r="3885" spans="29:53" ht="13.5">
      <c r="AC3885" s="6">
        <v>25261</v>
      </c>
      <c r="AD3885" s="6" t="s">
        <v>7559</v>
      </c>
      <c r="AE3885" s="155" t="s">
        <v>267</v>
      </c>
      <c r="AF3885" s="159" t="s">
        <v>8342</v>
      </c>
      <c r="AG3885" s="160" t="s">
        <v>548</v>
      </c>
      <c r="AH3885" s="194" t="s">
        <v>678</v>
      </c>
      <c r="AI3885" s="6" t="s">
        <v>1011</v>
      </c>
      <c r="AJ3885" s="3" t="s">
        <v>8197</v>
      </c>
      <c r="AK3885" t="s">
        <v>8197</v>
      </c>
      <c r="AV3885"/>
      <c r="AX3885"/>
      <c r="AZ3885" t="str">
        <f t="shared" si="343"/>
        <v/>
      </c>
      <c r="BA3885" t="str">
        <f t="shared" si="344"/>
        <v/>
      </c>
    </row>
    <row r="3886" spans="29:53" ht="13.5">
      <c r="AC3886" s="6" t="s">
        <v>1480</v>
      </c>
      <c r="AD3886" s="6" t="s">
        <v>7580</v>
      </c>
      <c r="AE3886" s="155" t="s">
        <v>268</v>
      </c>
      <c r="AF3886" s="159" t="s">
        <v>8522</v>
      </c>
      <c r="AG3886" s="160" t="s">
        <v>549</v>
      </c>
      <c r="AH3886" s="194" t="s">
        <v>678</v>
      </c>
      <c r="AI3886" s="6" t="s">
        <v>3831</v>
      </c>
      <c r="AJ3886" s="3" t="s">
        <v>8197</v>
      </c>
      <c r="AK3886" t="s">
        <v>8197</v>
      </c>
      <c r="AV3886"/>
      <c r="AX3886"/>
      <c r="AZ3886" t="str">
        <f t="shared" si="343"/>
        <v/>
      </c>
      <c r="BA3886" t="str">
        <f t="shared" si="344"/>
        <v/>
      </c>
    </row>
    <row r="3887" spans="29:53" ht="13.5">
      <c r="AC3887" s="6" t="s">
        <v>5078</v>
      </c>
      <c r="AD3887" s="6" t="s">
        <v>7560</v>
      </c>
      <c r="AE3887" s="155" t="s">
        <v>269</v>
      </c>
      <c r="AF3887" s="159" t="s">
        <v>8339</v>
      </c>
      <c r="AG3887" s="160" t="s">
        <v>550</v>
      </c>
      <c r="AH3887" s="194" t="s">
        <v>679</v>
      </c>
      <c r="AI3887" s="6" t="s">
        <v>448</v>
      </c>
      <c r="AJ3887" s="3" t="s">
        <v>8196</v>
      </c>
      <c r="AK3887" t="s">
        <v>8196</v>
      </c>
      <c r="AV3887"/>
      <c r="AX3887"/>
      <c r="AZ3887" t="str">
        <f t="shared" si="343"/>
        <v/>
      </c>
      <c r="BA3887" t="str">
        <f t="shared" si="344"/>
        <v/>
      </c>
    </row>
    <row r="3888" spans="29:53" ht="13.5">
      <c r="AC3888" s="6" t="s">
        <v>3684</v>
      </c>
      <c r="AD3888" s="6" t="s">
        <v>7568</v>
      </c>
      <c r="AE3888" s="155" t="s">
        <v>1356</v>
      </c>
      <c r="AF3888" s="159" t="s">
        <v>8503</v>
      </c>
      <c r="AG3888" s="160" t="s">
        <v>1440</v>
      </c>
      <c r="AH3888" s="194" t="s">
        <v>678</v>
      </c>
      <c r="AI3888" s="6" t="s">
        <v>1072</v>
      </c>
      <c r="AJ3888" s="3" t="s">
        <v>8195</v>
      </c>
      <c r="AK3888" t="s">
        <v>8195</v>
      </c>
      <c r="AV3888"/>
      <c r="AX3888"/>
      <c r="AZ3888" t="str">
        <f t="shared" si="343"/>
        <v/>
      </c>
      <c r="BA3888" t="str">
        <f t="shared" si="344"/>
        <v/>
      </c>
    </row>
    <row r="3889" spans="29:53" ht="13.5">
      <c r="AC3889" s="6" t="s">
        <v>5731</v>
      </c>
      <c r="AD3889" s="6" t="s">
        <v>7581</v>
      </c>
      <c r="AE3889" s="155" t="s">
        <v>271</v>
      </c>
      <c r="AF3889" s="159" t="s">
        <v>8522</v>
      </c>
      <c r="AG3889" s="160" t="s">
        <v>1441</v>
      </c>
      <c r="AH3889" s="194" t="s">
        <v>4700</v>
      </c>
      <c r="AI3889" s="6" t="s">
        <v>944</v>
      </c>
      <c r="AJ3889" s="3" t="s">
        <v>8208</v>
      </c>
      <c r="AK3889" t="s">
        <v>8667</v>
      </c>
      <c r="AV3889"/>
      <c r="AX3889"/>
      <c r="AZ3889" t="str">
        <f t="shared" si="343"/>
        <v/>
      </c>
      <c r="BA3889" t="str">
        <f t="shared" si="344"/>
        <v/>
      </c>
    </row>
    <row r="3890" spans="29:53" ht="13.5">
      <c r="AC3890" s="6" t="s">
        <v>3683</v>
      </c>
      <c r="AD3890" s="6" t="s">
        <v>7568</v>
      </c>
      <c r="AE3890" s="155" t="s">
        <v>272</v>
      </c>
      <c r="AF3890" s="159" t="s">
        <v>8513</v>
      </c>
      <c r="AG3890" s="160" t="s">
        <v>551</v>
      </c>
      <c r="AH3890" s="194" t="s">
        <v>678</v>
      </c>
      <c r="AI3890" s="6" t="s">
        <v>939</v>
      </c>
      <c r="AJ3890" s="3" t="s">
        <v>8208</v>
      </c>
      <c r="AK3890" t="s">
        <v>8667</v>
      </c>
      <c r="AV3890"/>
      <c r="AX3890"/>
      <c r="AZ3890" t="str">
        <f t="shared" si="343"/>
        <v/>
      </c>
      <c r="BA3890" t="str">
        <f t="shared" si="344"/>
        <v/>
      </c>
    </row>
    <row r="3891" spans="29:53" ht="13.5">
      <c r="AC3891" s="6">
        <v>295293</v>
      </c>
      <c r="AD3891" s="6" t="s">
        <v>7573</v>
      </c>
      <c r="AE3891" s="155" t="s">
        <v>1357</v>
      </c>
      <c r="AF3891" s="159" t="s">
        <v>8347</v>
      </c>
      <c r="AG3891" s="160" t="s">
        <v>552</v>
      </c>
      <c r="AH3891" s="194" t="s">
        <v>678</v>
      </c>
      <c r="AI3891" s="6" t="s">
        <v>1039</v>
      </c>
      <c r="AJ3891" s="3" t="s">
        <v>8209</v>
      </c>
      <c r="AK3891" t="s">
        <v>8209</v>
      </c>
      <c r="AV3891"/>
      <c r="AX3891"/>
      <c r="AZ3891" t="str">
        <f t="shared" si="343"/>
        <v/>
      </c>
      <c r="BA3891" t="str">
        <f t="shared" si="344"/>
        <v/>
      </c>
    </row>
    <row r="3892" spans="29:53" ht="13.5">
      <c r="AC3892" s="6">
        <v>305408</v>
      </c>
      <c r="AD3892" s="6" t="s">
        <v>7582</v>
      </c>
      <c r="AE3892" s="155" t="s">
        <v>273</v>
      </c>
      <c r="AF3892" s="159" t="s">
        <v>8339</v>
      </c>
      <c r="AG3892" s="160" t="s">
        <v>553</v>
      </c>
      <c r="AH3892" s="194" t="s">
        <v>678</v>
      </c>
      <c r="AI3892" s="6" t="s">
        <v>1070</v>
      </c>
      <c r="AJ3892" s="3" t="s">
        <v>8208</v>
      </c>
      <c r="AK3892" t="s">
        <v>8667</v>
      </c>
      <c r="AV3892"/>
      <c r="AX3892"/>
      <c r="AZ3892" t="str">
        <f t="shared" si="343"/>
        <v/>
      </c>
      <c r="BA3892" t="str">
        <f t="shared" si="344"/>
        <v/>
      </c>
    </row>
    <row r="3893" spans="29:53" ht="13.5">
      <c r="AC3893" s="6" t="s">
        <v>3682</v>
      </c>
      <c r="AD3893" s="6" t="s">
        <v>7568</v>
      </c>
      <c r="AE3893" s="155" t="s">
        <v>274</v>
      </c>
      <c r="AF3893" s="159" t="s">
        <v>8342</v>
      </c>
      <c r="AG3893" s="160" t="s">
        <v>554</v>
      </c>
      <c r="AH3893" s="194" t="s">
        <v>4700</v>
      </c>
      <c r="AI3893" s="6" t="s">
        <v>20</v>
      </c>
      <c r="AJ3893" s="3" t="s">
        <v>8209</v>
      </c>
      <c r="AK3893" t="s">
        <v>8209</v>
      </c>
      <c r="AV3893"/>
      <c r="AX3893"/>
      <c r="AZ3893" t="str">
        <f t="shared" si="343"/>
        <v/>
      </c>
      <c r="BA3893" t="str">
        <f t="shared" si="344"/>
        <v/>
      </c>
    </row>
    <row r="3894" spans="29:53" ht="13.5">
      <c r="AC3894" s="6" t="s">
        <v>181</v>
      </c>
      <c r="AD3894" s="6" t="s">
        <v>7583</v>
      </c>
      <c r="AE3894" s="155" t="s">
        <v>275</v>
      </c>
      <c r="AF3894" s="159" t="s">
        <v>8523</v>
      </c>
      <c r="AG3894" s="160" t="s">
        <v>555</v>
      </c>
      <c r="AH3894" s="194" t="s">
        <v>4700</v>
      </c>
      <c r="AI3894" s="6" t="s">
        <v>19</v>
      </c>
      <c r="AJ3894" s="3" t="s">
        <v>8195</v>
      </c>
      <c r="AK3894" t="s">
        <v>8195</v>
      </c>
      <c r="AV3894"/>
      <c r="AX3894"/>
      <c r="AZ3894" t="str">
        <f t="shared" si="343"/>
        <v/>
      </c>
      <c r="BA3894" t="str">
        <f t="shared" si="344"/>
        <v/>
      </c>
    </row>
    <row r="3895" spans="29:53" ht="13.5">
      <c r="AC3895" s="6" t="s">
        <v>5134</v>
      </c>
      <c r="AD3895" s="6" t="s">
        <v>7575</v>
      </c>
      <c r="AE3895" s="155" t="s">
        <v>276</v>
      </c>
      <c r="AF3895" s="159" t="s">
        <v>8524</v>
      </c>
      <c r="AG3895" s="160" t="s">
        <v>556</v>
      </c>
      <c r="AH3895" s="194" t="s">
        <v>678</v>
      </c>
      <c r="AI3895" s="6" t="s">
        <v>4830</v>
      </c>
      <c r="AJ3895" s="3" t="s">
        <v>8208</v>
      </c>
      <c r="AK3895" t="s">
        <v>8667</v>
      </c>
      <c r="AV3895"/>
      <c r="AX3895"/>
      <c r="AZ3895" t="str">
        <f t="shared" si="343"/>
        <v/>
      </c>
      <c r="BA3895" t="str">
        <f t="shared" si="344"/>
        <v/>
      </c>
    </row>
    <row r="3896" spans="29:53" ht="13.5">
      <c r="AC3896" s="6" t="s">
        <v>4483</v>
      </c>
      <c r="AD3896" s="6" t="s">
        <v>7568</v>
      </c>
      <c r="AE3896" s="155" t="s">
        <v>1358</v>
      </c>
      <c r="AF3896" s="159" t="s">
        <v>8300</v>
      </c>
      <c r="AG3896" s="160" t="s">
        <v>557</v>
      </c>
      <c r="AH3896" s="194" t="s">
        <v>678</v>
      </c>
      <c r="AI3896" s="6" t="s">
        <v>3444</v>
      </c>
      <c r="AJ3896" s="3" t="s">
        <v>8203</v>
      </c>
      <c r="AK3896" t="s">
        <v>8203</v>
      </c>
      <c r="AV3896"/>
      <c r="AX3896"/>
      <c r="AZ3896" t="str">
        <f t="shared" si="343"/>
        <v/>
      </c>
      <c r="BA3896" t="str">
        <f t="shared" si="344"/>
        <v/>
      </c>
    </row>
    <row r="3897" spans="29:53" ht="13.5">
      <c r="AC3897" s="6" t="s">
        <v>3679</v>
      </c>
      <c r="AD3897" s="6" t="s">
        <v>7579</v>
      </c>
      <c r="AE3897" s="155" t="s">
        <v>1359</v>
      </c>
      <c r="AF3897" s="159" t="s">
        <v>8339</v>
      </c>
      <c r="AG3897" s="160" t="s">
        <v>558</v>
      </c>
      <c r="AH3897" s="194" t="s">
        <v>678</v>
      </c>
      <c r="AI3897" s="6" t="s">
        <v>1216</v>
      </c>
      <c r="AJ3897" s="3" t="s">
        <v>8247</v>
      </c>
      <c r="AK3897" t="s">
        <v>8247</v>
      </c>
      <c r="AV3897"/>
      <c r="AX3897"/>
      <c r="AZ3897" t="str">
        <f t="shared" ref="AZ3897:AZ3960" si="345">IF(ISBLANK(AW3897),"",CONCATENATE("(",RIGHT(AW3897,5),"-",TEXT(AX3897,"h:mm;@"),")"))</f>
        <v/>
      </c>
      <c r="BA3897" t="str">
        <f t="shared" ref="BA3897:BA3960" si="346">IF(AV3913=AV3897,"",CONCATENATE(IF(AV3912=AV3897,BA3912,""),IF(AV3911=AV3897,BA3911,""),IF(AV3910=AV3897,BA3910,""),IF(AV3909=AV3897,BA3909,""),IF(AV3908=AV3897,BA3908,""),IF(AV3907=AV3897,BA3907,""),IF(AV3906=AV3897,BA3906,""),IF(AV3905=AV3897,BA3905,""),IF(AV3904=AV3897,BA3904,""),IF(AV3903=AV3897,BA3903,""),IF(AV3902=AV3897,BA3902,""),IF(AV3901=AV3897,BA3901,""),IF(AV3900=AV3897,BA3900,""),IF(AV3899=AV3897,BA3899,""),IF(AV3898=AV3897,BA3898,""),IF(AV3896=AV3897,BA3896,""),BA3897))</f>
        <v/>
      </c>
    </row>
    <row r="3898" spans="29:53" ht="13.5">
      <c r="AC3898" s="6">
        <v>315347</v>
      </c>
      <c r="AD3898" s="6" t="s">
        <v>7584</v>
      </c>
      <c r="AE3898" s="155" t="s">
        <v>1360</v>
      </c>
      <c r="AF3898" s="159" t="s">
        <v>8339</v>
      </c>
      <c r="AG3898" s="160" t="s">
        <v>986</v>
      </c>
      <c r="AH3898" s="194" t="s">
        <v>678</v>
      </c>
      <c r="AI3898" s="6" t="s">
        <v>3415</v>
      </c>
      <c r="AJ3898" s="3" t="s">
        <v>8246</v>
      </c>
      <c r="AK3898" t="s">
        <v>8246</v>
      </c>
      <c r="AV3898"/>
      <c r="AX3898"/>
      <c r="AZ3898" t="str">
        <f t="shared" si="345"/>
        <v/>
      </c>
      <c r="BA3898" t="str">
        <f t="shared" si="346"/>
        <v/>
      </c>
    </row>
    <row r="3899" spans="29:53" ht="13.5">
      <c r="AC3899" s="6" t="s">
        <v>5155</v>
      </c>
      <c r="AD3899" s="6" t="s">
        <v>7560</v>
      </c>
      <c r="AE3899" s="155" t="s">
        <v>277</v>
      </c>
      <c r="AF3899" s="159" t="s">
        <v>8297</v>
      </c>
      <c r="AG3899" s="160" t="s">
        <v>559</v>
      </c>
      <c r="AH3899" s="194" t="s">
        <v>678</v>
      </c>
      <c r="AI3899" s="6" t="s">
        <v>4744</v>
      </c>
      <c r="AJ3899" s="3" t="s">
        <v>8197</v>
      </c>
      <c r="AK3899" t="s">
        <v>8197</v>
      </c>
      <c r="AV3899"/>
      <c r="AX3899"/>
      <c r="AZ3899" t="str">
        <f t="shared" si="345"/>
        <v/>
      </c>
      <c r="BA3899" t="str">
        <f t="shared" si="346"/>
        <v/>
      </c>
    </row>
    <row r="3900" spans="29:53" ht="13.5">
      <c r="AC3900" s="6">
        <v>485351</v>
      </c>
      <c r="AD3900" s="6" t="s">
        <v>7578</v>
      </c>
      <c r="AE3900" s="155" t="s">
        <v>278</v>
      </c>
      <c r="AF3900" s="159" t="s">
        <v>8339</v>
      </c>
      <c r="AG3900" s="160" t="s">
        <v>954</v>
      </c>
      <c r="AH3900" s="194" t="s">
        <v>4700</v>
      </c>
      <c r="AI3900" s="6" t="s">
        <v>993</v>
      </c>
      <c r="AJ3900" s="3" t="s">
        <v>8197</v>
      </c>
      <c r="AK3900" t="s">
        <v>8197</v>
      </c>
      <c r="AV3900"/>
      <c r="AX3900"/>
      <c r="AZ3900" t="str">
        <f t="shared" si="345"/>
        <v/>
      </c>
      <c r="BA3900" t="str">
        <f t="shared" si="346"/>
        <v/>
      </c>
    </row>
    <row r="3901" spans="29:53" ht="13.5">
      <c r="AC3901" s="6">
        <v>485352</v>
      </c>
      <c r="AD3901" s="6" t="s">
        <v>7578</v>
      </c>
      <c r="AE3901" s="155" t="s">
        <v>279</v>
      </c>
      <c r="AF3901" s="159" t="s">
        <v>8300</v>
      </c>
      <c r="AG3901" s="160" t="s">
        <v>1442</v>
      </c>
      <c r="AH3901" s="194" t="s">
        <v>678</v>
      </c>
      <c r="AI3901" s="6" t="s">
        <v>5284</v>
      </c>
      <c r="AJ3901" s="3" t="s">
        <v>8197</v>
      </c>
      <c r="AK3901" t="s">
        <v>8197</v>
      </c>
      <c r="AV3901"/>
      <c r="AX3901"/>
      <c r="AZ3901" t="str">
        <f t="shared" si="345"/>
        <v/>
      </c>
      <c r="BA3901" t="str">
        <f t="shared" si="346"/>
        <v/>
      </c>
    </row>
    <row r="3902" spans="29:53" ht="13.5">
      <c r="AC3902" s="6" t="s">
        <v>180</v>
      </c>
      <c r="AD3902" s="6" t="s">
        <v>7585</v>
      </c>
      <c r="AE3902" s="155" t="s">
        <v>280</v>
      </c>
      <c r="AF3902" s="159" t="s">
        <v>8300</v>
      </c>
      <c r="AG3902" s="160" t="s">
        <v>560</v>
      </c>
      <c r="AH3902" s="194" t="s">
        <v>678</v>
      </c>
      <c r="AI3902" s="6" t="s">
        <v>4753</v>
      </c>
      <c r="AJ3902" s="3" t="s">
        <v>8208</v>
      </c>
      <c r="AK3902" t="s">
        <v>8667</v>
      </c>
      <c r="AV3902"/>
      <c r="AX3902"/>
      <c r="AZ3902" t="str">
        <f t="shared" si="345"/>
        <v/>
      </c>
      <c r="BA3902" t="str">
        <f t="shared" si="346"/>
        <v/>
      </c>
    </row>
    <row r="3903" spans="29:53" ht="13.5">
      <c r="AC3903" s="6">
        <v>25342</v>
      </c>
      <c r="AD3903" s="6" t="s">
        <v>7586</v>
      </c>
      <c r="AE3903" s="155" t="s">
        <v>281</v>
      </c>
      <c r="AF3903" s="159" t="s">
        <v>8525</v>
      </c>
      <c r="AG3903" s="160" t="s">
        <v>561</v>
      </c>
      <c r="AH3903" s="194" t="s">
        <v>678</v>
      </c>
      <c r="AI3903" s="6" t="s">
        <v>4839</v>
      </c>
      <c r="AJ3903" s="3" t="s">
        <v>8196</v>
      </c>
      <c r="AK3903" t="s">
        <v>8196</v>
      </c>
      <c r="AV3903"/>
      <c r="AX3903"/>
      <c r="AZ3903" t="str">
        <f t="shared" si="345"/>
        <v/>
      </c>
      <c r="BA3903" t="str">
        <f t="shared" si="346"/>
        <v/>
      </c>
    </row>
    <row r="3904" spans="29:53" ht="13.5">
      <c r="AC3904" s="6" t="s">
        <v>5490</v>
      </c>
      <c r="AD3904" s="6" t="s">
        <v>7587</v>
      </c>
      <c r="AE3904" s="155" t="s">
        <v>282</v>
      </c>
      <c r="AF3904" s="159" t="s">
        <v>8344</v>
      </c>
      <c r="AG3904" s="160" t="s">
        <v>1443</v>
      </c>
      <c r="AH3904" s="194" t="s">
        <v>678</v>
      </c>
      <c r="AI3904" s="6" t="s">
        <v>1190</v>
      </c>
      <c r="AJ3904" s="3" t="s">
        <v>8208</v>
      </c>
      <c r="AK3904" t="s">
        <v>8667</v>
      </c>
      <c r="AV3904"/>
      <c r="AX3904"/>
      <c r="AZ3904" t="str">
        <f t="shared" si="345"/>
        <v/>
      </c>
      <c r="BA3904" t="str">
        <f t="shared" si="346"/>
        <v/>
      </c>
    </row>
    <row r="3905" spans="29:53" ht="13.5">
      <c r="AC3905" s="6" t="s">
        <v>5351</v>
      </c>
      <c r="AD3905" s="6" t="s">
        <v>7587</v>
      </c>
      <c r="AE3905" s="155" t="s">
        <v>283</v>
      </c>
      <c r="AF3905" s="159" t="s">
        <v>8387</v>
      </c>
      <c r="AG3905" s="160" t="s">
        <v>966</v>
      </c>
      <c r="AH3905" s="194" t="s">
        <v>4700</v>
      </c>
      <c r="AI3905" s="6" t="s">
        <v>1374</v>
      </c>
      <c r="AJ3905" s="3" t="s">
        <v>8208</v>
      </c>
      <c r="AK3905" t="s">
        <v>8667</v>
      </c>
      <c r="AV3905"/>
      <c r="AX3905"/>
      <c r="AZ3905" t="str">
        <f t="shared" si="345"/>
        <v/>
      </c>
      <c r="BA3905" t="str">
        <f t="shared" si="346"/>
        <v/>
      </c>
    </row>
    <row r="3906" spans="29:53" ht="13.5">
      <c r="AC3906" s="6" t="s">
        <v>5476</v>
      </c>
      <c r="AD3906" s="6" t="s">
        <v>7587</v>
      </c>
      <c r="AE3906" s="155" t="s">
        <v>284</v>
      </c>
      <c r="AF3906" s="159" t="s">
        <v>8339</v>
      </c>
      <c r="AG3906" s="160" t="s">
        <v>1061</v>
      </c>
      <c r="AH3906" s="194" t="s">
        <v>678</v>
      </c>
      <c r="AI3906" s="6" t="s">
        <v>4831</v>
      </c>
      <c r="AJ3906" s="3" t="s">
        <v>8200</v>
      </c>
      <c r="AK3906" t="s">
        <v>8200</v>
      </c>
      <c r="AV3906"/>
      <c r="AX3906"/>
      <c r="AZ3906" t="str">
        <f t="shared" si="345"/>
        <v/>
      </c>
      <c r="BA3906" t="str">
        <f t="shared" si="346"/>
        <v/>
      </c>
    </row>
    <row r="3907" spans="29:53" ht="13.5">
      <c r="AC3907" s="6" t="s">
        <v>5209</v>
      </c>
      <c r="AD3907" s="6" t="s">
        <v>7588</v>
      </c>
      <c r="AE3907" s="155" t="s">
        <v>285</v>
      </c>
      <c r="AF3907" s="159" t="s">
        <v>8425</v>
      </c>
      <c r="AG3907" s="160" t="s">
        <v>1062</v>
      </c>
      <c r="AH3907" s="194" t="s">
        <v>678</v>
      </c>
      <c r="AI3907" s="6" t="s">
        <v>1052</v>
      </c>
      <c r="AJ3907" s="3" t="s">
        <v>8200</v>
      </c>
      <c r="AK3907" t="s">
        <v>8200</v>
      </c>
      <c r="AV3907"/>
      <c r="AX3907"/>
      <c r="AZ3907" t="str">
        <f t="shared" si="345"/>
        <v/>
      </c>
      <c r="BA3907" t="str">
        <f t="shared" si="346"/>
        <v/>
      </c>
    </row>
    <row r="3908" spans="29:53" ht="13.5">
      <c r="AC3908" s="6">
        <v>43635</v>
      </c>
      <c r="AD3908" s="6" t="s">
        <v>7589</v>
      </c>
      <c r="AE3908" s="155" t="s">
        <v>286</v>
      </c>
      <c r="AF3908" s="159" t="s">
        <v>8339</v>
      </c>
      <c r="AG3908" s="160" t="s">
        <v>972</v>
      </c>
      <c r="AH3908" s="194" t="s">
        <v>678</v>
      </c>
      <c r="AI3908" s="6" t="s">
        <v>4514</v>
      </c>
      <c r="AJ3908" s="3" t="s">
        <v>8228</v>
      </c>
      <c r="AK3908" t="s">
        <v>8228</v>
      </c>
      <c r="AV3908"/>
      <c r="AX3908"/>
      <c r="AZ3908" t="str">
        <f t="shared" si="345"/>
        <v/>
      </c>
      <c r="BA3908" t="str">
        <f t="shared" si="346"/>
        <v/>
      </c>
    </row>
    <row r="3909" spans="29:53" ht="13.5">
      <c r="AC3909" s="6" t="s">
        <v>5255</v>
      </c>
      <c r="AD3909" s="6" t="s">
        <v>7590</v>
      </c>
      <c r="AE3909" s="155" t="s">
        <v>287</v>
      </c>
      <c r="AF3909" s="159" t="s">
        <v>8526</v>
      </c>
      <c r="AG3909" s="160" t="s">
        <v>1063</v>
      </c>
      <c r="AH3909" s="194" t="s">
        <v>678</v>
      </c>
      <c r="AI3909" s="6" t="s">
        <v>5279</v>
      </c>
      <c r="AJ3909" s="3" t="s">
        <v>8201</v>
      </c>
      <c r="AK3909" t="s">
        <v>8666</v>
      </c>
      <c r="AV3909"/>
      <c r="AX3909"/>
      <c r="AZ3909" t="str">
        <f t="shared" si="345"/>
        <v/>
      </c>
      <c r="BA3909" t="str">
        <f t="shared" si="346"/>
        <v/>
      </c>
    </row>
    <row r="3910" spans="29:53" ht="13.5">
      <c r="AC3910" s="6">
        <v>295247</v>
      </c>
      <c r="AD3910" s="6" t="s">
        <v>7573</v>
      </c>
      <c r="AE3910" s="155" t="s">
        <v>288</v>
      </c>
      <c r="AF3910" s="159" t="s">
        <v>8527</v>
      </c>
      <c r="AG3910" s="160" t="s">
        <v>950</v>
      </c>
      <c r="AH3910" s="194" t="s">
        <v>678</v>
      </c>
      <c r="AI3910" s="6" t="s">
        <v>1048</v>
      </c>
      <c r="AJ3910" s="3" t="s">
        <v>8228</v>
      </c>
      <c r="AK3910" t="s">
        <v>8228</v>
      </c>
      <c r="AV3910"/>
      <c r="AX3910"/>
      <c r="AZ3910" t="str">
        <f t="shared" si="345"/>
        <v/>
      </c>
      <c r="BA3910" t="str">
        <f t="shared" si="346"/>
        <v/>
      </c>
    </row>
    <row r="3911" spans="29:53" ht="13.5">
      <c r="AC3911" s="6" t="s">
        <v>47</v>
      </c>
      <c r="AD3911" s="6" t="s">
        <v>7588</v>
      </c>
      <c r="AE3911" s="155" t="s">
        <v>289</v>
      </c>
      <c r="AF3911" s="159" t="s">
        <v>8419</v>
      </c>
      <c r="AG3911" s="160" t="s">
        <v>1064</v>
      </c>
      <c r="AH3911" s="194" t="s">
        <v>678</v>
      </c>
      <c r="AI3911" s="6" t="s">
        <v>1077</v>
      </c>
      <c r="AJ3911" s="3" t="s">
        <v>8200</v>
      </c>
      <c r="AK3911" t="s">
        <v>8200</v>
      </c>
      <c r="AV3911"/>
      <c r="AX3911"/>
      <c r="AZ3911" t="str">
        <f t="shared" si="345"/>
        <v/>
      </c>
      <c r="BA3911" t="str">
        <f t="shared" si="346"/>
        <v/>
      </c>
    </row>
    <row r="3912" spans="29:53" ht="13.5">
      <c r="AC3912" s="6" t="s">
        <v>46</v>
      </c>
      <c r="AD3912" s="6" t="s">
        <v>7588</v>
      </c>
      <c r="AE3912" s="155" t="s">
        <v>290</v>
      </c>
      <c r="AF3912" s="159" t="s">
        <v>8375</v>
      </c>
      <c r="AG3912" s="160" t="s">
        <v>562</v>
      </c>
      <c r="AH3912" s="194" t="s">
        <v>678</v>
      </c>
      <c r="AI3912" s="6" t="s">
        <v>1079</v>
      </c>
      <c r="AJ3912" s="3" t="s">
        <v>8208</v>
      </c>
      <c r="AK3912" t="s">
        <v>8667</v>
      </c>
      <c r="AV3912"/>
      <c r="AX3912"/>
      <c r="AZ3912" t="str">
        <f t="shared" si="345"/>
        <v/>
      </c>
      <c r="BA3912" t="str">
        <f t="shared" si="346"/>
        <v/>
      </c>
    </row>
    <row r="3913" spans="29:53" ht="13.5">
      <c r="AC3913" s="6" t="s">
        <v>6650</v>
      </c>
      <c r="AD3913" s="6" t="s">
        <v>7559</v>
      </c>
      <c r="AE3913" s="155" t="s">
        <v>291</v>
      </c>
      <c r="AF3913" s="159" t="s">
        <v>8339</v>
      </c>
      <c r="AG3913" s="160" t="s">
        <v>563</v>
      </c>
      <c r="AH3913" s="194" t="s">
        <v>678</v>
      </c>
      <c r="AI3913" s="6" t="s">
        <v>3972</v>
      </c>
      <c r="AJ3913" s="3" t="s">
        <v>8209</v>
      </c>
      <c r="AK3913" t="s">
        <v>8209</v>
      </c>
      <c r="AV3913"/>
      <c r="AX3913"/>
      <c r="AZ3913" t="str">
        <f t="shared" si="345"/>
        <v/>
      </c>
      <c r="BA3913" t="str">
        <f t="shared" si="346"/>
        <v/>
      </c>
    </row>
    <row r="3914" spans="29:53" ht="13.5">
      <c r="AC3914" s="6" t="s">
        <v>1485</v>
      </c>
      <c r="AD3914" s="6" t="s">
        <v>7591</v>
      </c>
      <c r="AE3914" s="155" t="s">
        <v>292</v>
      </c>
      <c r="AF3914" s="159" t="s">
        <v>8528</v>
      </c>
      <c r="AG3914" s="160" t="s">
        <v>564</v>
      </c>
      <c r="AH3914" s="194" t="s">
        <v>678</v>
      </c>
      <c r="AI3914" s="6" t="s">
        <v>975</v>
      </c>
      <c r="AJ3914" s="3" t="s">
        <v>8216</v>
      </c>
      <c r="AK3914" t="s">
        <v>8216</v>
      </c>
      <c r="AV3914"/>
      <c r="AX3914"/>
      <c r="AZ3914" t="str">
        <f t="shared" si="345"/>
        <v/>
      </c>
      <c r="BA3914" t="str">
        <f t="shared" si="346"/>
        <v/>
      </c>
    </row>
    <row r="3915" spans="29:53" ht="13.5">
      <c r="AC3915" s="6" t="s">
        <v>1484</v>
      </c>
      <c r="AD3915" s="6" t="s">
        <v>7591</v>
      </c>
      <c r="AE3915" s="155" t="s">
        <v>293</v>
      </c>
      <c r="AF3915" s="159" t="s">
        <v>8529</v>
      </c>
      <c r="AG3915" s="160" t="s">
        <v>565</v>
      </c>
      <c r="AH3915" s="194" t="s">
        <v>678</v>
      </c>
      <c r="AI3915" s="6" t="s">
        <v>1006</v>
      </c>
      <c r="AJ3915" s="3" t="s">
        <v>8199</v>
      </c>
      <c r="AK3915" t="s">
        <v>8199</v>
      </c>
      <c r="AV3915"/>
      <c r="AX3915"/>
      <c r="AZ3915" t="str">
        <f t="shared" si="345"/>
        <v/>
      </c>
      <c r="BA3915" t="str">
        <f t="shared" si="346"/>
        <v/>
      </c>
    </row>
    <row r="3916" spans="29:53" ht="13.5">
      <c r="AC3916" s="6">
        <v>305298</v>
      </c>
      <c r="AD3916" s="6" t="s">
        <v>7582</v>
      </c>
      <c r="AE3916" s="155" t="s">
        <v>294</v>
      </c>
      <c r="AF3916" s="159" t="s">
        <v>8515</v>
      </c>
      <c r="AG3916" s="160" t="s">
        <v>3976</v>
      </c>
      <c r="AH3916" s="194" t="s">
        <v>678</v>
      </c>
      <c r="AI3916" s="6" t="s">
        <v>13</v>
      </c>
      <c r="AJ3916" s="3" t="s">
        <v>8218</v>
      </c>
      <c r="AK3916" t="s">
        <v>8218</v>
      </c>
      <c r="AV3916"/>
      <c r="AX3916"/>
      <c r="AZ3916" t="str">
        <f t="shared" si="345"/>
        <v/>
      </c>
      <c r="BA3916" t="str">
        <f t="shared" si="346"/>
        <v/>
      </c>
    </row>
    <row r="3917" spans="29:53" ht="13.5">
      <c r="AC3917" s="6" t="s">
        <v>1633</v>
      </c>
      <c r="AD3917" s="6" t="s">
        <v>7578</v>
      </c>
      <c r="AE3917" s="155" t="s">
        <v>295</v>
      </c>
      <c r="AF3917" s="159" t="s">
        <v>8311</v>
      </c>
      <c r="AG3917" s="160" t="s">
        <v>1065</v>
      </c>
      <c r="AH3917" s="194" t="s">
        <v>678</v>
      </c>
      <c r="AI3917" s="6" t="s">
        <v>938</v>
      </c>
      <c r="AJ3917" s="3" t="s">
        <v>8245</v>
      </c>
      <c r="AK3917" t="s">
        <v>8676</v>
      </c>
      <c r="AV3917"/>
      <c r="AX3917"/>
      <c r="AZ3917" t="str">
        <f t="shared" si="345"/>
        <v/>
      </c>
      <c r="BA3917" t="str">
        <f t="shared" si="346"/>
        <v/>
      </c>
    </row>
    <row r="3918" spans="29:53" ht="13.5">
      <c r="AC3918" s="6" t="s">
        <v>6651</v>
      </c>
      <c r="AD3918" s="6" t="s">
        <v>7592</v>
      </c>
      <c r="AE3918" s="155" t="s">
        <v>1361</v>
      </c>
      <c r="AF3918" s="159" t="s">
        <v>8530</v>
      </c>
      <c r="AG3918" s="160" t="s">
        <v>566</v>
      </c>
      <c r="AH3918" s="194" t="s">
        <v>678</v>
      </c>
      <c r="AI3918" s="6" t="s">
        <v>4740</v>
      </c>
      <c r="AJ3918" s="3" t="s">
        <v>8197</v>
      </c>
      <c r="AK3918" t="s">
        <v>8197</v>
      </c>
      <c r="AV3918"/>
      <c r="AX3918"/>
      <c r="AZ3918" t="str">
        <f t="shared" si="345"/>
        <v/>
      </c>
      <c r="BA3918" t="str">
        <f t="shared" si="346"/>
        <v/>
      </c>
    </row>
    <row r="3919" spans="29:53" ht="13.5">
      <c r="AC3919" s="6" t="s">
        <v>5226</v>
      </c>
      <c r="AD3919" s="6" t="s">
        <v>7587</v>
      </c>
      <c r="AE3919" s="155" t="s">
        <v>1362</v>
      </c>
      <c r="AF3919" s="159" t="s">
        <v>8339</v>
      </c>
      <c r="AG3919" s="160" t="s">
        <v>957</v>
      </c>
      <c r="AH3919" s="194" t="s">
        <v>678</v>
      </c>
      <c r="AI3919" s="6" t="s">
        <v>1280</v>
      </c>
      <c r="AJ3919" s="3" t="s">
        <v>8234</v>
      </c>
      <c r="AK3919" t="s">
        <v>8234</v>
      </c>
      <c r="AV3919"/>
      <c r="AX3919"/>
      <c r="AZ3919" t="str">
        <f t="shared" si="345"/>
        <v/>
      </c>
      <c r="BA3919" t="str">
        <f t="shared" si="346"/>
        <v/>
      </c>
    </row>
    <row r="3920" spans="29:53" ht="13.5">
      <c r="AC3920" s="6" t="s">
        <v>4357</v>
      </c>
      <c r="AD3920" s="6" t="s">
        <v>7568</v>
      </c>
      <c r="AE3920" s="155" t="s">
        <v>296</v>
      </c>
      <c r="AF3920" s="159" t="s">
        <v>8518</v>
      </c>
      <c r="AG3920" s="160" t="s">
        <v>567</v>
      </c>
      <c r="AH3920" s="194" t="s">
        <v>678</v>
      </c>
      <c r="AI3920" s="6" t="s">
        <v>1255</v>
      </c>
      <c r="AJ3920" s="3" t="s">
        <v>8234</v>
      </c>
      <c r="AK3920" t="s">
        <v>8234</v>
      </c>
      <c r="AV3920"/>
      <c r="AX3920"/>
      <c r="AZ3920" t="str">
        <f t="shared" si="345"/>
        <v/>
      </c>
      <c r="BA3920" t="str">
        <f t="shared" si="346"/>
        <v/>
      </c>
    </row>
    <row r="3921" spans="29:53" ht="13.5">
      <c r="AC3921" s="6">
        <v>295297</v>
      </c>
      <c r="AD3921" s="6" t="s">
        <v>7573</v>
      </c>
      <c r="AE3921" s="155" t="s">
        <v>1363</v>
      </c>
      <c r="AF3921" s="159" t="s">
        <v>8387</v>
      </c>
      <c r="AG3921" s="160" t="s">
        <v>568</v>
      </c>
      <c r="AH3921" s="194" t="s">
        <v>678</v>
      </c>
      <c r="AI3921" s="6" t="s">
        <v>1281</v>
      </c>
      <c r="AJ3921" s="3" t="s">
        <v>8234</v>
      </c>
      <c r="AK3921" t="s">
        <v>8234</v>
      </c>
      <c r="AV3921"/>
      <c r="AX3921"/>
      <c r="AZ3921" t="str">
        <f t="shared" si="345"/>
        <v/>
      </c>
      <c r="BA3921" t="str">
        <f t="shared" si="346"/>
        <v/>
      </c>
    </row>
    <row r="3922" spans="29:53" ht="13.5">
      <c r="AC3922" s="6">
        <v>485353</v>
      </c>
      <c r="AD3922" s="6" t="s">
        <v>7578</v>
      </c>
      <c r="AE3922" s="155" t="s">
        <v>297</v>
      </c>
      <c r="AF3922" s="159" t="s">
        <v>8531</v>
      </c>
      <c r="AG3922" s="160" t="s">
        <v>1444</v>
      </c>
      <c r="AH3922" s="194" t="s">
        <v>678</v>
      </c>
      <c r="AI3922" s="6" t="s">
        <v>1231</v>
      </c>
      <c r="AJ3922" s="3" t="s">
        <v>8246</v>
      </c>
      <c r="AK3922" t="s">
        <v>8246</v>
      </c>
      <c r="AV3922"/>
      <c r="AX3922"/>
      <c r="AZ3922" t="str">
        <f t="shared" si="345"/>
        <v/>
      </c>
      <c r="BA3922" t="str">
        <f t="shared" si="346"/>
        <v/>
      </c>
    </row>
    <row r="3923" spans="29:53" ht="13.5">
      <c r="AC3923" s="6" t="s">
        <v>6652</v>
      </c>
      <c r="AD3923" s="6" t="s">
        <v>7559</v>
      </c>
      <c r="AE3923" s="155" t="s">
        <v>298</v>
      </c>
      <c r="AF3923" s="159" t="s">
        <v>8322</v>
      </c>
      <c r="AG3923" s="160" t="s">
        <v>569</v>
      </c>
      <c r="AH3923" s="194" t="s">
        <v>678</v>
      </c>
      <c r="AI3923" s="6" t="s">
        <v>3146</v>
      </c>
      <c r="AJ3923" s="3" t="s">
        <v>8246</v>
      </c>
      <c r="AK3923" t="s">
        <v>8246</v>
      </c>
      <c r="AV3923"/>
      <c r="AX3923"/>
      <c r="AZ3923" t="str">
        <f t="shared" si="345"/>
        <v/>
      </c>
      <c r="BA3923" t="str">
        <f t="shared" si="346"/>
        <v/>
      </c>
    </row>
    <row r="3924" spans="29:53" ht="13.5">
      <c r="AC3924" s="6">
        <v>25262</v>
      </c>
      <c r="AD3924" s="6" t="s">
        <v>7559</v>
      </c>
      <c r="AE3924" s="155" t="s">
        <v>299</v>
      </c>
      <c r="AF3924" s="159" t="s">
        <v>8339</v>
      </c>
      <c r="AG3924" s="160" t="s">
        <v>1445</v>
      </c>
      <c r="AH3924" s="194" t="s">
        <v>678</v>
      </c>
      <c r="AI3924" s="6" t="s">
        <v>3431</v>
      </c>
      <c r="AJ3924" s="3" t="s">
        <v>8193</v>
      </c>
      <c r="AK3924" t="s">
        <v>8205</v>
      </c>
      <c r="AV3924"/>
      <c r="AX3924"/>
      <c r="AZ3924" t="str">
        <f t="shared" si="345"/>
        <v/>
      </c>
      <c r="BA3924" t="str">
        <f t="shared" si="346"/>
        <v/>
      </c>
    </row>
    <row r="3925" spans="29:53" ht="13.5">
      <c r="AC3925" s="6" t="s">
        <v>5371</v>
      </c>
      <c r="AD3925" s="6" t="s">
        <v>7593</v>
      </c>
      <c r="AE3925" s="155" t="s">
        <v>300</v>
      </c>
      <c r="AF3925" s="159" t="s">
        <v>8339</v>
      </c>
      <c r="AG3925" s="160" t="s">
        <v>1446</v>
      </c>
      <c r="AH3925" s="194" t="s">
        <v>678</v>
      </c>
      <c r="AI3925" s="6" t="s">
        <v>5399</v>
      </c>
      <c r="AJ3925" s="3" t="s">
        <v>8247</v>
      </c>
      <c r="AK3925" t="s">
        <v>8247</v>
      </c>
      <c r="AV3925"/>
      <c r="AX3925"/>
      <c r="AZ3925" t="str">
        <f t="shared" si="345"/>
        <v/>
      </c>
      <c r="BA3925" t="str">
        <f t="shared" si="346"/>
        <v/>
      </c>
    </row>
    <row r="3926" spans="29:53" ht="13.5">
      <c r="AC3926" s="6" t="s">
        <v>6653</v>
      </c>
      <c r="AD3926" s="6" t="s">
        <v>7559</v>
      </c>
      <c r="AE3926" s="155" t="s">
        <v>301</v>
      </c>
      <c r="AF3926" s="159" t="s">
        <v>8532</v>
      </c>
      <c r="AG3926" s="160" t="s">
        <v>570</v>
      </c>
      <c r="AH3926" s="194" t="s">
        <v>678</v>
      </c>
      <c r="AI3926" s="6" t="s">
        <v>3195</v>
      </c>
      <c r="AJ3926" s="3" t="s">
        <v>8205</v>
      </c>
      <c r="AK3926" t="s">
        <v>8211</v>
      </c>
      <c r="AV3926"/>
      <c r="AX3926"/>
      <c r="AZ3926" t="str">
        <f t="shared" si="345"/>
        <v/>
      </c>
      <c r="BA3926" t="str">
        <f t="shared" si="346"/>
        <v/>
      </c>
    </row>
    <row r="3927" spans="29:53" ht="13.5">
      <c r="AC3927" s="6" t="s">
        <v>5235</v>
      </c>
      <c r="AD3927" s="6" t="s">
        <v>7593</v>
      </c>
      <c r="AE3927" s="155" t="s">
        <v>302</v>
      </c>
      <c r="AF3927" s="159" t="s">
        <v>8339</v>
      </c>
      <c r="AG3927" s="160" t="s">
        <v>571</v>
      </c>
      <c r="AH3927" s="194" t="s">
        <v>678</v>
      </c>
      <c r="AI3927" s="6" t="s">
        <v>3422</v>
      </c>
      <c r="AJ3927" s="3" t="s">
        <v>8205</v>
      </c>
      <c r="AK3927" t="s">
        <v>8211</v>
      </c>
      <c r="AV3927"/>
      <c r="AX3927"/>
      <c r="AZ3927" t="str">
        <f t="shared" si="345"/>
        <v/>
      </c>
      <c r="BA3927" t="str">
        <f t="shared" si="346"/>
        <v/>
      </c>
    </row>
    <row r="3928" spans="29:53" ht="13.5">
      <c r="AC3928" s="6" t="s">
        <v>5368</v>
      </c>
      <c r="AD3928" s="6" t="s">
        <v>7593</v>
      </c>
      <c r="AE3928" s="155" t="s">
        <v>303</v>
      </c>
      <c r="AF3928" s="159" t="s">
        <v>8511</v>
      </c>
      <c r="AG3928" s="160" t="s">
        <v>572</v>
      </c>
      <c r="AH3928" s="194" t="s">
        <v>679</v>
      </c>
      <c r="AI3928" s="6" t="s">
        <v>1214</v>
      </c>
      <c r="AJ3928" s="3" t="s">
        <v>8240</v>
      </c>
      <c r="AK3928" t="s">
        <v>8240</v>
      </c>
      <c r="AV3928"/>
      <c r="AX3928"/>
      <c r="AZ3928" t="str">
        <f t="shared" si="345"/>
        <v/>
      </c>
      <c r="BA3928" t="str">
        <f t="shared" si="346"/>
        <v/>
      </c>
    </row>
    <row r="3929" spans="29:53" ht="13.5">
      <c r="AC3929" s="6" t="s">
        <v>5082</v>
      </c>
      <c r="AD3929" s="6" t="s">
        <v>7593</v>
      </c>
      <c r="AE3929" s="155" t="s">
        <v>304</v>
      </c>
      <c r="AF3929" s="159" t="s">
        <v>8533</v>
      </c>
      <c r="AG3929" s="160" t="s">
        <v>1447</v>
      </c>
      <c r="AH3929" s="194" t="s">
        <v>678</v>
      </c>
      <c r="AI3929" s="6" t="s">
        <v>3443</v>
      </c>
      <c r="AJ3929" s="3" t="s">
        <v>8203</v>
      </c>
      <c r="AK3929" t="s">
        <v>8203</v>
      </c>
      <c r="AV3929"/>
      <c r="AX3929"/>
      <c r="AZ3929" t="str">
        <f t="shared" si="345"/>
        <v/>
      </c>
      <c r="BA3929" t="str">
        <f t="shared" si="346"/>
        <v/>
      </c>
    </row>
    <row r="3930" spans="29:53" ht="13.5">
      <c r="AC3930" s="6" t="s">
        <v>6654</v>
      </c>
      <c r="AD3930" s="6" t="s">
        <v>7594</v>
      </c>
      <c r="AE3930" s="155" t="s">
        <v>305</v>
      </c>
      <c r="AF3930" s="159" t="s">
        <v>8534</v>
      </c>
      <c r="AG3930" s="160" t="s">
        <v>4713</v>
      </c>
      <c r="AH3930" s="194" t="s">
        <v>678</v>
      </c>
      <c r="AI3930" s="6" t="s">
        <v>156</v>
      </c>
      <c r="AJ3930" s="3" t="s">
        <v>8197</v>
      </c>
      <c r="AK3930" t="s">
        <v>8197</v>
      </c>
      <c r="AV3930"/>
      <c r="AX3930"/>
      <c r="AZ3930" t="str">
        <f t="shared" si="345"/>
        <v/>
      </c>
      <c r="BA3930" t="str">
        <f t="shared" si="346"/>
        <v/>
      </c>
    </row>
    <row r="3931" spans="29:53" ht="13.5">
      <c r="AC3931" s="6" t="s">
        <v>1427</v>
      </c>
      <c r="AD3931" s="6" t="s">
        <v>7595</v>
      </c>
      <c r="AE3931" s="155" t="s">
        <v>306</v>
      </c>
      <c r="AF3931" s="159" t="s">
        <v>8339</v>
      </c>
      <c r="AG3931" s="160" t="s">
        <v>1066</v>
      </c>
      <c r="AH3931" s="194" t="s">
        <v>678</v>
      </c>
      <c r="AI3931" s="6" t="s">
        <v>4731</v>
      </c>
      <c r="AJ3931" s="3" t="s">
        <v>8197</v>
      </c>
      <c r="AK3931" t="s">
        <v>8197</v>
      </c>
      <c r="AV3931"/>
      <c r="AX3931"/>
      <c r="AZ3931" t="str">
        <f t="shared" si="345"/>
        <v/>
      </c>
      <c r="BA3931" t="str">
        <f t="shared" si="346"/>
        <v/>
      </c>
    </row>
    <row r="3932" spans="29:53" ht="13.5">
      <c r="AC3932" s="6" t="s">
        <v>172</v>
      </c>
      <c r="AD3932" s="6" t="s">
        <v>7595</v>
      </c>
      <c r="AE3932" s="155" t="s">
        <v>307</v>
      </c>
      <c r="AF3932" s="159" t="s">
        <v>8296</v>
      </c>
      <c r="AG3932" s="160" t="s">
        <v>973</v>
      </c>
      <c r="AH3932" s="194" t="s">
        <v>678</v>
      </c>
      <c r="AI3932" s="6" t="s">
        <v>5292</v>
      </c>
      <c r="AJ3932" s="3" t="s">
        <v>8208</v>
      </c>
      <c r="AK3932" t="s">
        <v>8667</v>
      </c>
      <c r="AV3932"/>
      <c r="AX3932"/>
      <c r="AZ3932" t="str">
        <f t="shared" si="345"/>
        <v/>
      </c>
      <c r="BA3932" t="str">
        <f t="shared" si="346"/>
        <v/>
      </c>
    </row>
    <row r="3933" spans="29:53" ht="13.5">
      <c r="AC3933" s="6" t="s">
        <v>5106</v>
      </c>
      <c r="AD3933" s="6" t="s">
        <v>7587</v>
      </c>
      <c r="AE3933" s="155" t="s">
        <v>308</v>
      </c>
      <c r="AF3933" s="159" t="s">
        <v>8300</v>
      </c>
      <c r="AG3933" s="160" t="s">
        <v>983</v>
      </c>
      <c r="AH3933" s="194" t="s">
        <v>678</v>
      </c>
      <c r="AI3933" s="6" t="s">
        <v>961</v>
      </c>
      <c r="AJ3933" s="3" t="s">
        <v>8195</v>
      </c>
      <c r="AK3933" t="s">
        <v>8195</v>
      </c>
      <c r="AV3933"/>
      <c r="AX3933"/>
      <c r="AZ3933" t="str">
        <f t="shared" si="345"/>
        <v/>
      </c>
      <c r="BA3933" t="str">
        <f t="shared" si="346"/>
        <v/>
      </c>
    </row>
    <row r="3934" spans="29:53" ht="13.5">
      <c r="AC3934" s="6" t="s">
        <v>1632</v>
      </c>
      <c r="AD3934" s="6" t="s">
        <v>7578</v>
      </c>
      <c r="AE3934" s="155" t="s">
        <v>309</v>
      </c>
      <c r="AF3934" s="159" t="s">
        <v>8339</v>
      </c>
      <c r="AG3934" s="160" t="s">
        <v>1448</v>
      </c>
      <c r="AH3934" s="194" t="s">
        <v>678</v>
      </c>
      <c r="AI3934" s="6" t="s">
        <v>1067</v>
      </c>
      <c r="AJ3934" s="3" t="s">
        <v>8195</v>
      </c>
      <c r="AK3934" t="s">
        <v>8195</v>
      </c>
      <c r="AV3934"/>
      <c r="AX3934"/>
      <c r="AZ3934" t="str">
        <f t="shared" si="345"/>
        <v/>
      </c>
      <c r="BA3934" t="str">
        <f t="shared" si="346"/>
        <v/>
      </c>
    </row>
    <row r="3935" spans="29:53" ht="13.5">
      <c r="AC3935" s="6" t="s">
        <v>1508</v>
      </c>
      <c r="AD3935" s="6" t="s">
        <v>7596</v>
      </c>
      <c r="AE3935" s="155" t="s">
        <v>310</v>
      </c>
      <c r="AF3935" s="159" t="s">
        <v>8535</v>
      </c>
      <c r="AG3935" s="160" t="s">
        <v>573</v>
      </c>
      <c r="AH3935" s="194" t="s">
        <v>678</v>
      </c>
      <c r="AI3935" s="6" t="s">
        <v>956</v>
      </c>
      <c r="AJ3935" s="3" t="s">
        <v>8208</v>
      </c>
      <c r="AK3935" t="s">
        <v>8667</v>
      </c>
      <c r="AV3935"/>
      <c r="AX3935"/>
      <c r="AZ3935" t="str">
        <f t="shared" si="345"/>
        <v/>
      </c>
      <c r="BA3935" t="str">
        <f t="shared" si="346"/>
        <v/>
      </c>
    </row>
    <row r="3936" spans="29:53" ht="13.5">
      <c r="AC3936" s="6" t="s">
        <v>173</v>
      </c>
      <c r="AD3936" s="6" t="s">
        <v>7595</v>
      </c>
      <c r="AE3936" s="155" t="s">
        <v>1364</v>
      </c>
      <c r="AF3936" s="159" t="s">
        <v>8536</v>
      </c>
      <c r="AG3936" s="160" t="s">
        <v>1449</v>
      </c>
      <c r="AH3936" s="194" t="s">
        <v>678</v>
      </c>
      <c r="AI3936" s="6" t="s">
        <v>455</v>
      </c>
      <c r="AJ3936" s="3" t="s">
        <v>8208</v>
      </c>
      <c r="AK3936" t="s">
        <v>8667</v>
      </c>
      <c r="AV3936"/>
      <c r="AX3936"/>
      <c r="AZ3936" t="str">
        <f t="shared" si="345"/>
        <v/>
      </c>
      <c r="BA3936" t="str">
        <f t="shared" si="346"/>
        <v/>
      </c>
    </row>
    <row r="3937" spans="29:53" ht="13.5">
      <c r="AC3937" s="6" t="s">
        <v>6655</v>
      </c>
      <c r="AD3937" s="6" t="s">
        <v>7571</v>
      </c>
      <c r="AE3937" s="155" t="s">
        <v>311</v>
      </c>
      <c r="AF3937" s="159" t="s">
        <v>8300</v>
      </c>
      <c r="AG3937" s="160" t="s">
        <v>1067</v>
      </c>
      <c r="AH3937" s="194" t="s">
        <v>678</v>
      </c>
      <c r="AI3937" s="6" t="s">
        <v>4734</v>
      </c>
      <c r="AJ3937" s="3" t="s">
        <v>8208</v>
      </c>
      <c r="AK3937" t="s">
        <v>8667</v>
      </c>
      <c r="AV3937"/>
      <c r="AX3937"/>
      <c r="AZ3937" t="str">
        <f t="shared" si="345"/>
        <v/>
      </c>
      <c r="BA3937" t="str">
        <f t="shared" si="346"/>
        <v/>
      </c>
    </row>
    <row r="3938" spans="29:53" ht="13.5">
      <c r="AC3938" s="6" t="s">
        <v>5079</v>
      </c>
      <c r="AD3938" s="6" t="s">
        <v>7593</v>
      </c>
      <c r="AE3938" s="155" t="s">
        <v>312</v>
      </c>
      <c r="AF3938" s="159" t="s">
        <v>8323</v>
      </c>
      <c r="AG3938" s="160" t="s">
        <v>574</v>
      </c>
      <c r="AH3938" s="194" t="s">
        <v>678</v>
      </c>
      <c r="AI3938" s="6" t="s">
        <v>951</v>
      </c>
      <c r="AJ3938" s="3" t="s">
        <v>8209</v>
      </c>
      <c r="AK3938" t="s">
        <v>8209</v>
      </c>
      <c r="AV3938"/>
      <c r="AX3938"/>
      <c r="AZ3938" t="str">
        <f t="shared" si="345"/>
        <v/>
      </c>
      <c r="BA3938" t="str">
        <f t="shared" si="346"/>
        <v/>
      </c>
    </row>
    <row r="3939" spans="29:53" ht="13.5">
      <c r="AC3939" s="6" t="s">
        <v>174</v>
      </c>
      <c r="AD3939" s="6" t="s">
        <v>7595</v>
      </c>
      <c r="AE3939" s="155" t="s">
        <v>313</v>
      </c>
      <c r="AF3939" s="159" t="s">
        <v>8300</v>
      </c>
      <c r="AG3939" s="160" t="s">
        <v>575</v>
      </c>
      <c r="AH3939" s="194" t="s">
        <v>678</v>
      </c>
      <c r="AI3939" s="6" t="s">
        <v>3977</v>
      </c>
      <c r="AJ3939" s="3" t="s">
        <v>8209</v>
      </c>
      <c r="AK3939" t="s">
        <v>8209</v>
      </c>
      <c r="AV3939"/>
      <c r="AX3939"/>
      <c r="AZ3939" t="str">
        <f t="shared" si="345"/>
        <v/>
      </c>
      <c r="BA3939" t="str">
        <f t="shared" si="346"/>
        <v/>
      </c>
    </row>
    <row r="3940" spans="29:53" ht="13.5">
      <c r="AC3940" s="6">
        <v>293697</v>
      </c>
      <c r="AD3940" s="6" t="s">
        <v>7573</v>
      </c>
      <c r="AE3940" s="155" t="s">
        <v>314</v>
      </c>
      <c r="AF3940" s="159" t="s">
        <v>8339</v>
      </c>
      <c r="AG3940" s="160" t="s">
        <v>576</v>
      </c>
      <c r="AH3940" s="194" t="s">
        <v>678</v>
      </c>
      <c r="AI3940" s="6" t="s">
        <v>1040</v>
      </c>
      <c r="AJ3940" s="3" t="s">
        <v>8208</v>
      </c>
      <c r="AK3940" t="s">
        <v>8667</v>
      </c>
      <c r="AV3940"/>
      <c r="AX3940"/>
      <c r="AZ3940" t="str">
        <f t="shared" si="345"/>
        <v/>
      </c>
      <c r="BA3940" t="str">
        <f t="shared" si="346"/>
        <v/>
      </c>
    </row>
    <row r="3941" spans="29:53" ht="13.5">
      <c r="AC3941" s="6" t="s">
        <v>5370</v>
      </c>
      <c r="AD3941" s="6" t="s">
        <v>7593</v>
      </c>
      <c r="AE3941" s="155" t="s">
        <v>315</v>
      </c>
      <c r="AF3941" s="159" t="s">
        <v>8339</v>
      </c>
      <c r="AG3941" s="160" t="s">
        <v>577</v>
      </c>
      <c r="AH3941" s="194" t="s">
        <v>678</v>
      </c>
      <c r="AI3941" s="6" t="s">
        <v>1103</v>
      </c>
      <c r="AJ3941" s="3" t="s">
        <v>8201</v>
      </c>
      <c r="AK3941" t="s">
        <v>8666</v>
      </c>
      <c r="AV3941"/>
      <c r="AX3941"/>
      <c r="AZ3941" t="str">
        <f t="shared" si="345"/>
        <v/>
      </c>
      <c r="BA3941" t="str">
        <f t="shared" si="346"/>
        <v/>
      </c>
    </row>
    <row r="3942" spans="29:53" ht="13.5">
      <c r="AC3942" s="6" t="s">
        <v>1426</v>
      </c>
      <c r="AD3942" s="6" t="s">
        <v>7595</v>
      </c>
      <c r="AE3942" s="155" t="s">
        <v>316</v>
      </c>
      <c r="AF3942" s="159" t="s">
        <v>8300</v>
      </c>
      <c r="AG3942" s="160" t="s">
        <v>5287</v>
      </c>
      <c r="AH3942" s="194" t="s">
        <v>678</v>
      </c>
      <c r="AI3942" s="6" t="s">
        <v>1279</v>
      </c>
      <c r="AJ3942" s="3" t="s">
        <v>8195</v>
      </c>
      <c r="AK3942" t="s">
        <v>8195</v>
      </c>
      <c r="AV3942"/>
      <c r="AX3942"/>
      <c r="AZ3942" t="str">
        <f t="shared" si="345"/>
        <v/>
      </c>
      <c r="BA3942" t="str">
        <f t="shared" si="346"/>
        <v/>
      </c>
    </row>
    <row r="3943" spans="29:53" ht="13.5">
      <c r="AC3943" s="6" t="s">
        <v>5216</v>
      </c>
      <c r="AD3943" s="6" t="s">
        <v>7593</v>
      </c>
      <c r="AE3943" s="155" t="s">
        <v>317</v>
      </c>
      <c r="AF3943" s="159" t="s">
        <v>8537</v>
      </c>
      <c r="AG3943" s="160" t="s">
        <v>1450</v>
      </c>
      <c r="AH3943" s="194" t="s">
        <v>678</v>
      </c>
      <c r="AI3943" s="6" t="s">
        <v>4513</v>
      </c>
      <c r="AJ3943" s="3" t="s">
        <v>8209</v>
      </c>
      <c r="AK3943" t="s">
        <v>8209</v>
      </c>
      <c r="AV3943"/>
      <c r="AX3943"/>
      <c r="AZ3943" t="str">
        <f t="shared" si="345"/>
        <v/>
      </c>
      <c r="BA3943" t="str">
        <f t="shared" si="346"/>
        <v/>
      </c>
    </row>
    <row r="3944" spans="29:53" ht="13.5">
      <c r="AC3944" s="6" t="s">
        <v>4410</v>
      </c>
      <c r="AD3944" s="6" t="s">
        <v>7597</v>
      </c>
      <c r="AE3944" s="155" t="s">
        <v>318</v>
      </c>
      <c r="AF3944" s="159" t="s">
        <v>8300</v>
      </c>
      <c r="AG3944" s="160" t="s">
        <v>1451</v>
      </c>
      <c r="AH3944" s="194" t="s">
        <v>678</v>
      </c>
      <c r="AI3944" s="6" t="s">
        <v>415</v>
      </c>
      <c r="AJ3944" s="3" t="s">
        <v>8196</v>
      </c>
      <c r="AK3944" t="s">
        <v>8196</v>
      </c>
      <c r="AV3944"/>
      <c r="AX3944"/>
      <c r="AZ3944" t="str">
        <f t="shared" si="345"/>
        <v/>
      </c>
      <c r="BA3944" t="str">
        <f t="shared" si="346"/>
        <v/>
      </c>
    </row>
    <row r="3945" spans="29:53" ht="13.5">
      <c r="AC3945" s="6">
        <v>295294</v>
      </c>
      <c r="AD3945" s="6" t="s">
        <v>7573</v>
      </c>
      <c r="AE3945" s="155" t="s">
        <v>319</v>
      </c>
      <c r="AF3945" s="159" t="s">
        <v>8300</v>
      </c>
      <c r="AG3945" s="160" t="s">
        <v>1452</v>
      </c>
      <c r="AH3945" s="194" t="s">
        <v>678</v>
      </c>
      <c r="AI3945" s="6" t="s">
        <v>4706</v>
      </c>
      <c r="AJ3945" s="3" t="s">
        <v>8195</v>
      </c>
      <c r="AK3945" t="s">
        <v>8195</v>
      </c>
      <c r="AV3945"/>
      <c r="AX3945"/>
      <c r="AZ3945" t="str">
        <f t="shared" si="345"/>
        <v/>
      </c>
      <c r="BA3945" t="str">
        <f t="shared" si="346"/>
        <v/>
      </c>
    </row>
    <row r="3946" spans="29:53" ht="13.5">
      <c r="AC3946" s="6">
        <v>305407</v>
      </c>
      <c r="AD3946" s="6" t="s">
        <v>7582</v>
      </c>
      <c r="AE3946" s="155" t="s">
        <v>320</v>
      </c>
      <c r="AF3946" s="159" t="s">
        <v>8300</v>
      </c>
      <c r="AG3946" s="160" t="s">
        <v>1453</v>
      </c>
      <c r="AH3946" s="194" t="s">
        <v>678</v>
      </c>
      <c r="AI3946" s="6" t="s">
        <v>5413</v>
      </c>
      <c r="AJ3946" s="3" t="s">
        <v>8195</v>
      </c>
      <c r="AK3946" t="s">
        <v>8195</v>
      </c>
      <c r="AV3946"/>
      <c r="AX3946"/>
      <c r="AZ3946" t="str">
        <f t="shared" si="345"/>
        <v/>
      </c>
      <c r="BA3946" t="str">
        <f t="shared" si="346"/>
        <v/>
      </c>
    </row>
    <row r="3947" spans="29:53" ht="13.5">
      <c r="AC3947" s="6">
        <v>315346</v>
      </c>
      <c r="AD3947" s="6" t="s">
        <v>7584</v>
      </c>
      <c r="AE3947" s="155" t="s">
        <v>1366</v>
      </c>
      <c r="AF3947" s="159" t="s">
        <v>8300</v>
      </c>
      <c r="AG3947" s="160" t="s">
        <v>1454</v>
      </c>
      <c r="AH3947" s="194" t="s">
        <v>678</v>
      </c>
      <c r="AI3947" s="6" t="s">
        <v>5440</v>
      </c>
      <c r="AJ3947" s="3" t="s">
        <v>8196</v>
      </c>
      <c r="AK3947" t="s">
        <v>8196</v>
      </c>
      <c r="AV3947"/>
      <c r="AX3947"/>
      <c r="AZ3947" t="str">
        <f t="shared" si="345"/>
        <v/>
      </c>
      <c r="BA3947" t="str">
        <f t="shared" si="346"/>
        <v/>
      </c>
    </row>
    <row r="3948" spans="29:53" ht="13.5">
      <c r="AC3948" s="6">
        <v>483560</v>
      </c>
      <c r="AD3948" s="6" t="s">
        <v>7578</v>
      </c>
      <c r="AE3948" s="155" t="s">
        <v>321</v>
      </c>
      <c r="AF3948" s="159" t="s">
        <v>8363</v>
      </c>
      <c r="AG3948" s="160" t="s">
        <v>1455</v>
      </c>
      <c r="AH3948" s="194" t="s">
        <v>678</v>
      </c>
      <c r="AI3948" s="6" t="s">
        <v>952</v>
      </c>
      <c r="AJ3948" s="3" t="s">
        <v>8209</v>
      </c>
      <c r="AK3948" t="s">
        <v>8209</v>
      </c>
      <c r="AV3948"/>
      <c r="AX3948"/>
      <c r="AZ3948" t="str">
        <f t="shared" si="345"/>
        <v/>
      </c>
      <c r="BA3948" t="str">
        <f t="shared" si="346"/>
        <v/>
      </c>
    </row>
    <row r="3949" spans="29:53" ht="13.5">
      <c r="AC3949" s="6" t="s">
        <v>4356</v>
      </c>
      <c r="AD3949" s="6" t="s">
        <v>7568</v>
      </c>
      <c r="AE3949" s="155" t="s">
        <v>322</v>
      </c>
      <c r="AF3949" s="159" t="s">
        <v>8321</v>
      </c>
      <c r="AG3949" s="160" t="s">
        <v>1207</v>
      </c>
      <c r="AH3949" s="194" t="s">
        <v>678</v>
      </c>
      <c r="AI3949" s="6" t="s">
        <v>4721</v>
      </c>
      <c r="AJ3949" s="3" t="s">
        <v>8225</v>
      </c>
      <c r="AK3949" t="s">
        <v>8225</v>
      </c>
      <c r="AV3949"/>
      <c r="AX3949"/>
      <c r="AZ3949" t="str">
        <f t="shared" si="345"/>
        <v/>
      </c>
      <c r="BA3949" t="str">
        <f t="shared" si="346"/>
        <v/>
      </c>
    </row>
    <row r="3950" spans="29:53" ht="13.5">
      <c r="AC3950" s="6" t="s">
        <v>5091</v>
      </c>
      <c r="AD3950" s="6" t="s">
        <v>7593</v>
      </c>
      <c r="AE3950" s="155" t="s">
        <v>323</v>
      </c>
      <c r="AF3950" s="159" t="s">
        <v>8339</v>
      </c>
      <c r="AG3950" s="160" t="s">
        <v>1456</v>
      </c>
      <c r="AH3950" s="194" t="s">
        <v>678</v>
      </c>
      <c r="AI3950" s="6" t="s">
        <v>1669</v>
      </c>
      <c r="AJ3950" s="3" t="s">
        <v>8197</v>
      </c>
      <c r="AK3950" t="s">
        <v>8197</v>
      </c>
      <c r="AV3950"/>
      <c r="AX3950"/>
      <c r="AZ3950" t="str">
        <f t="shared" si="345"/>
        <v/>
      </c>
      <c r="BA3950" t="str">
        <f t="shared" si="346"/>
        <v/>
      </c>
    </row>
    <row r="3951" spans="29:53" ht="13.5">
      <c r="AC3951" s="6" t="s">
        <v>1428</v>
      </c>
      <c r="AD3951" s="6" t="s">
        <v>7595</v>
      </c>
      <c r="AE3951" s="155" t="s">
        <v>324</v>
      </c>
      <c r="AF3951" s="159" t="s">
        <v>8538</v>
      </c>
      <c r="AG3951" s="160" t="s">
        <v>1068</v>
      </c>
      <c r="AH3951" s="194" t="s">
        <v>679</v>
      </c>
      <c r="AI3951" s="6" t="s">
        <v>5431</v>
      </c>
      <c r="AJ3951" s="3" t="s">
        <v>8196</v>
      </c>
      <c r="AK3951" t="s">
        <v>8196</v>
      </c>
      <c r="AV3951"/>
      <c r="AX3951"/>
      <c r="AZ3951" t="str">
        <f t="shared" si="345"/>
        <v/>
      </c>
      <c r="BA3951" t="str">
        <f t="shared" si="346"/>
        <v/>
      </c>
    </row>
    <row r="3952" spans="29:53" ht="13.5">
      <c r="AC3952" s="6">
        <v>23634</v>
      </c>
      <c r="AD3952" s="6" t="s">
        <v>7559</v>
      </c>
      <c r="AE3952" s="155" t="s">
        <v>325</v>
      </c>
      <c r="AF3952" s="159" t="s">
        <v>8339</v>
      </c>
      <c r="AG3952" s="160" t="s">
        <v>1457</v>
      </c>
      <c r="AH3952" s="194" t="s">
        <v>678</v>
      </c>
      <c r="AI3952" s="6" t="s">
        <v>526</v>
      </c>
      <c r="AJ3952" s="3" t="s">
        <v>8200</v>
      </c>
      <c r="AK3952" t="s">
        <v>8200</v>
      </c>
      <c r="AV3952"/>
      <c r="AX3952"/>
      <c r="AZ3952" t="str">
        <f t="shared" si="345"/>
        <v/>
      </c>
      <c r="BA3952" t="str">
        <f t="shared" si="346"/>
        <v/>
      </c>
    </row>
    <row r="3953" spans="29:53" ht="13.5">
      <c r="AC3953" s="6" t="s">
        <v>6656</v>
      </c>
      <c r="AD3953" s="6" t="s">
        <v>7598</v>
      </c>
      <c r="AE3953" s="155" t="s">
        <v>326</v>
      </c>
      <c r="AF3953" s="159" t="s">
        <v>8300</v>
      </c>
      <c r="AG3953" s="160" t="s">
        <v>578</v>
      </c>
      <c r="AH3953" s="194" t="s">
        <v>678</v>
      </c>
      <c r="AI3953" s="6" t="s">
        <v>1025</v>
      </c>
      <c r="AJ3953" s="3" t="s">
        <v>8263</v>
      </c>
      <c r="AK3953" t="s">
        <v>8263</v>
      </c>
      <c r="AV3953"/>
      <c r="AX3953"/>
      <c r="AZ3953" t="str">
        <f t="shared" si="345"/>
        <v/>
      </c>
      <c r="BA3953" t="str">
        <f t="shared" si="346"/>
        <v/>
      </c>
    </row>
    <row r="3954" spans="29:53" ht="13.5">
      <c r="AC3954" s="6" t="s">
        <v>1507</v>
      </c>
      <c r="AD3954" s="6" t="s">
        <v>7596</v>
      </c>
      <c r="AE3954" s="155" t="s">
        <v>327</v>
      </c>
      <c r="AF3954" s="159" t="s">
        <v>8339</v>
      </c>
      <c r="AG3954" s="160" t="s">
        <v>579</v>
      </c>
      <c r="AH3954" s="194" t="s">
        <v>678</v>
      </c>
      <c r="AI3954" s="6" t="s">
        <v>1215</v>
      </c>
      <c r="AJ3954" s="3" t="s">
        <v>8204</v>
      </c>
      <c r="AK3954" t="s">
        <v>8204</v>
      </c>
      <c r="AV3954"/>
      <c r="AX3954"/>
      <c r="AZ3954" t="str">
        <f t="shared" si="345"/>
        <v/>
      </c>
      <c r="BA3954" t="str">
        <f t="shared" si="346"/>
        <v/>
      </c>
    </row>
    <row r="3955" spans="29:53" ht="13.5">
      <c r="AC3955" s="6" t="s">
        <v>5103</v>
      </c>
      <c r="AD3955" s="6" t="s">
        <v>7593</v>
      </c>
      <c r="AE3955" s="155" t="s">
        <v>328</v>
      </c>
      <c r="AF3955" s="159" t="s">
        <v>8339</v>
      </c>
      <c r="AG3955" s="160" t="s">
        <v>4715</v>
      </c>
      <c r="AH3955" s="194" t="s">
        <v>678</v>
      </c>
      <c r="AI3955" s="6" t="s">
        <v>3130</v>
      </c>
      <c r="AJ3955" s="3" t="s">
        <v>8204</v>
      </c>
      <c r="AK3955" t="s">
        <v>8204</v>
      </c>
      <c r="AV3955"/>
      <c r="AX3955"/>
      <c r="AZ3955" t="str">
        <f t="shared" si="345"/>
        <v/>
      </c>
      <c r="BA3955" t="str">
        <f t="shared" si="346"/>
        <v/>
      </c>
    </row>
    <row r="3956" spans="29:53" ht="13.5">
      <c r="AC3956" s="6" t="s">
        <v>5369</v>
      </c>
      <c r="AD3956" s="6" t="s">
        <v>7593</v>
      </c>
      <c r="AE3956" s="155" t="s">
        <v>329</v>
      </c>
      <c r="AF3956" s="159" t="s">
        <v>8339</v>
      </c>
      <c r="AG3956" s="160" t="s">
        <v>5414</v>
      </c>
      <c r="AH3956" s="194" t="s">
        <v>678</v>
      </c>
      <c r="AI3956" s="6" t="s">
        <v>4713</v>
      </c>
      <c r="AJ3956" s="3" t="s">
        <v>8201</v>
      </c>
      <c r="AK3956" t="s">
        <v>8666</v>
      </c>
      <c r="AV3956"/>
      <c r="AX3956"/>
      <c r="AZ3956" t="str">
        <f t="shared" si="345"/>
        <v/>
      </c>
      <c r="BA3956" t="str">
        <f t="shared" si="346"/>
        <v/>
      </c>
    </row>
    <row r="3957" spans="29:53" ht="13.5">
      <c r="AC3957" s="6" t="s">
        <v>5352</v>
      </c>
      <c r="AD3957" s="6" t="s">
        <v>7587</v>
      </c>
      <c r="AE3957" s="155" t="s">
        <v>330</v>
      </c>
      <c r="AF3957" s="159" t="s">
        <v>8339</v>
      </c>
      <c r="AG3957" s="160" t="s">
        <v>1458</v>
      </c>
      <c r="AH3957" s="194" t="s">
        <v>678</v>
      </c>
      <c r="AI3957" s="6" t="s">
        <v>734</v>
      </c>
      <c r="AJ3957" s="3" t="s">
        <v>8222</v>
      </c>
      <c r="AK3957" t="s">
        <v>8670</v>
      </c>
      <c r="AV3957"/>
      <c r="AX3957"/>
      <c r="AZ3957" t="str">
        <f t="shared" si="345"/>
        <v/>
      </c>
      <c r="BA3957" t="str">
        <f t="shared" si="346"/>
        <v/>
      </c>
    </row>
    <row r="3958" spans="29:53" ht="13.5">
      <c r="AC3958" s="6" t="s">
        <v>4105</v>
      </c>
      <c r="AD3958" s="6" t="s">
        <v>7599</v>
      </c>
      <c r="AE3958" s="155" t="s">
        <v>331</v>
      </c>
      <c r="AF3958" s="159" t="s">
        <v>8342</v>
      </c>
      <c r="AG3958" s="160" t="s">
        <v>580</v>
      </c>
      <c r="AH3958" s="194" t="s">
        <v>678</v>
      </c>
      <c r="AI3958" s="6" t="s">
        <v>799</v>
      </c>
      <c r="AJ3958" s="3" t="s">
        <v>8222</v>
      </c>
      <c r="AK3958" t="s">
        <v>8670</v>
      </c>
      <c r="AV3958"/>
      <c r="AX3958"/>
      <c r="AZ3958" t="str">
        <f t="shared" si="345"/>
        <v/>
      </c>
      <c r="BA3958" t="str">
        <f t="shared" si="346"/>
        <v/>
      </c>
    </row>
    <row r="3959" spans="29:53" ht="13.5">
      <c r="AC3959" s="6" t="s">
        <v>6657</v>
      </c>
      <c r="AD3959" s="6" t="s">
        <v>7600</v>
      </c>
      <c r="AE3959" s="155" t="s">
        <v>332</v>
      </c>
      <c r="AF3959" s="159" t="s">
        <v>8518</v>
      </c>
      <c r="AG3959" s="160" t="s">
        <v>581</v>
      </c>
      <c r="AH3959" s="194" t="s">
        <v>678</v>
      </c>
      <c r="AI3959" s="6" t="s">
        <v>832</v>
      </c>
      <c r="AJ3959" s="3" t="s">
        <v>8273</v>
      </c>
      <c r="AK3959" t="s">
        <v>8273</v>
      </c>
      <c r="AV3959"/>
      <c r="AX3959"/>
      <c r="AZ3959" t="str">
        <f t="shared" si="345"/>
        <v/>
      </c>
      <c r="BA3959" t="str">
        <f t="shared" si="346"/>
        <v/>
      </c>
    </row>
    <row r="3960" spans="29:53" ht="13.5">
      <c r="AC3960" s="6">
        <v>295295</v>
      </c>
      <c r="AD3960" s="6" t="s">
        <v>7573</v>
      </c>
      <c r="AE3960" s="155" t="s">
        <v>333</v>
      </c>
      <c r="AF3960" s="159" t="s">
        <v>8339</v>
      </c>
      <c r="AG3960" s="160" t="s">
        <v>582</v>
      </c>
      <c r="AH3960" s="194" t="s">
        <v>678</v>
      </c>
      <c r="AI3960" s="6" t="s">
        <v>2888</v>
      </c>
      <c r="AJ3960" s="3" t="s">
        <v>8193</v>
      </c>
      <c r="AK3960" t="s">
        <v>8205</v>
      </c>
      <c r="AV3960"/>
      <c r="AX3960"/>
      <c r="AZ3960" t="str">
        <f t="shared" si="345"/>
        <v/>
      </c>
      <c r="BA3960" t="str">
        <f t="shared" si="346"/>
        <v/>
      </c>
    </row>
    <row r="3961" spans="29:53" ht="13.5">
      <c r="AC3961" s="6" t="s">
        <v>5496</v>
      </c>
      <c r="AD3961" s="6" t="s">
        <v>7587</v>
      </c>
      <c r="AE3961" s="155" t="s">
        <v>1367</v>
      </c>
      <c r="AF3961" s="159" t="s">
        <v>8300</v>
      </c>
      <c r="AG3961" s="160" t="s">
        <v>583</v>
      </c>
      <c r="AH3961" s="194" t="s">
        <v>678</v>
      </c>
      <c r="AI3961" s="6" t="s">
        <v>2924</v>
      </c>
      <c r="AJ3961" s="3" t="s">
        <v>8246</v>
      </c>
      <c r="AK3961" t="s">
        <v>8246</v>
      </c>
      <c r="AV3961"/>
      <c r="AX3961"/>
      <c r="AZ3961" t="str">
        <f t="shared" ref="AZ3961:AZ4000" si="347">IF(ISBLANK(AW3961),"",CONCATENATE("(",RIGHT(AW3961,5),"-",TEXT(AX3961,"h:mm;@"),")"))</f>
        <v/>
      </c>
      <c r="BA3961" t="str">
        <f t="shared" ref="BA3961:BA3984" si="348">IF(AV3977=AV3961,"",CONCATENATE(IF(AV3976=AV3961,BA3976,""),IF(AV3975=AV3961,BA3975,""),IF(AV3974=AV3961,BA3974,""),IF(AV3973=AV3961,BA3973,""),IF(AV3972=AV3961,BA3972,""),IF(AV3971=AV3961,BA3971,""),IF(AV3970=AV3961,BA3970,""),IF(AV3969=AV3961,BA3969,""),IF(AV3968=AV3961,BA3968,""),IF(AV3967=AV3961,BA3967,""),IF(AV3966=AV3961,BA3966,""),IF(AV3965=AV3961,BA3965,""),IF(AV3964=AV3961,BA3964,""),IF(AV3963=AV3961,BA3963,""),IF(AV3962=AV3961,BA3962,""),IF(AV3960=AV3961,BA3960,""),BA3961))</f>
        <v/>
      </c>
    </row>
    <row r="3962" spans="29:53" ht="13.5">
      <c r="AC3962" s="6" t="s">
        <v>5355</v>
      </c>
      <c r="AD3962" s="6" t="s">
        <v>7587</v>
      </c>
      <c r="AE3962" s="155" t="s">
        <v>334</v>
      </c>
      <c r="AF3962" s="159" t="s">
        <v>8300</v>
      </c>
      <c r="AG3962" s="160" t="s">
        <v>584</v>
      </c>
      <c r="AH3962" s="194" t="s">
        <v>678</v>
      </c>
      <c r="AI3962" s="6" t="s">
        <v>2934</v>
      </c>
      <c r="AJ3962" s="3" t="s">
        <v>8247</v>
      </c>
      <c r="AK3962" t="s">
        <v>8247</v>
      </c>
      <c r="AV3962"/>
      <c r="AX3962"/>
      <c r="AZ3962" t="str">
        <f t="shared" si="347"/>
        <v/>
      </c>
      <c r="BA3962" t="str">
        <f t="shared" si="348"/>
        <v/>
      </c>
    </row>
    <row r="3963" spans="29:53" ht="13.5">
      <c r="AC3963" s="6" t="s">
        <v>1587</v>
      </c>
      <c r="AD3963" s="6" t="s">
        <v>7587</v>
      </c>
      <c r="AE3963" s="155" t="s">
        <v>7</v>
      </c>
      <c r="AF3963" s="159" t="s">
        <v>8339</v>
      </c>
      <c r="AG3963" s="160" t="s">
        <v>585</v>
      </c>
      <c r="AH3963" s="194" t="s">
        <v>678</v>
      </c>
      <c r="AI3963" s="6" t="s">
        <v>2951</v>
      </c>
      <c r="AJ3963" s="3" t="s">
        <v>8246</v>
      </c>
      <c r="AK3963" t="s">
        <v>8246</v>
      </c>
      <c r="AV3963"/>
      <c r="AX3963"/>
      <c r="AZ3963" t="str">
        <f t="shared" si="347"/>
        <v/>
      </c>
      <c r="BA3963" t="str">
        <f t="shared" si="348"/>
        <v/>
      </c>
    </row>
    <row r="3964" spans="29:53" ht="13.5">
      <c r="AC3964" s="6">
        <v>485354</v>
      </c>
      <c r="AD3964" s="6" t="s">
        <v>7578</v>
      </c>
      <c r="AE3964" s="155" t="s">
        <v>12</v>
      </c>
      <c r="AF3964" s="159" t="s">
        <v>8300</v>
      </c>
      <c r="AG3964" s="160" t="s">
        <v>586</v>
      </c>
      <c r="AH3964" s="194" t="s">
        <v>678</v>
      </c>
      <c r="AI3964" s="6" t="s">
        <v>2989</v>
      </c>
      <c r="AJ3964" s="3" t="s">
        <v>8264</v>
      </c>
      <c r="AK3964" t="s">
        <v>8264</v>
      </c>
      <c r="AV3964"/>
      <c r="AX3964"/>
      <c r="AZ3964" t="str">
        <f t="shared" si="347"/>
        <v/>
      </c>
      <c r="BA3964" t="str">
        <f t="shared" si="348"/>
        <v/>
      </c>
    </row>
    <row r="3965" spans="29:53" ht="13.5">
      <c r="AC3965" s="6">
        <v>315348</v>
      </c>
      <c r="AD3965" s="6" t="s">
        <v>7584</v>
      </c>
      <c r="AE3965" s="155" t="s">
        <v>335</v>
      </c>
      <c r="AF3965" s="159" t="s">
        <v>8339</v>
      </c>
      <c r="AG3965" s="160" t="s">
        <v>587</v>
      </c>
      <c r="AH3965" s="194" t="s">
        <v>679</v>
      </c>
      <c r="AI3965" s="6" t="s">
        <v>2998</v>
      </c>
      <c r="AJ3965" s="3" t="s">
        <v>8203</v>
      </c>
      <c r="AK3965" t="s">
        <v>8203</v>
      </c>
      <c r="AV3965"/>
      <c r="AX3965"/>
      <c r="AZ3965" t="str">
        <f t="shared" si="347"/>
        <v/>
      </c>
      <c r="BA3965" t="str">
        <f t="shared" si="348"/>
        <v/>
      </c>
    </row>
    <row r="3966" spans="29:53" ht="13.5">
      <c r="AC3966" s="6" t="s">
        <v>179</v>
      </c>
      <c r="AD3966" s="6" t="s">
        <v>7601</v>
      </c>
      <c r="AE3966" s="155" t="s">
        <v>336</v>
      </c>
      <c r="AF3966" s="159" t="s">
        <v>8342</v>
      </c>
      <c r="AG3966" s="160" t="s">
        <v>588</v>
      </c>
      <c r="AH3966" s="194" t="s">
        <v>678</v>
      </c>
      <c r="AI3966" s="6" t="s">
        <v>3011</v>
      </c>
      <c r="AJ3966" s="3" t="s">
        <v>8246</v>
      </c>
      <c r="AK3966" t="s">
        <v>8246</v>
      </c>
      <c r="AV3966"/>
      <c r="AX3966"/>
      <c r="AZ3966" t="str">
        <f t="shared" si="347"/>
        <v/>
      </c>
      <c r="BA3966" t="str">
        <f t="shared" si="348"/>
        <v/>
      </c>
    </row>
    <row r="3967" spans="29:53" ht="13.5">
      <c r="AC3967" s="6">
        <v>315321</v>
      </c>
      <c r="AD3967" s="6" t="s">
        <v>7584</v>
      </c>
      <c r="AE3967" s="155" t="s">
        <v>337</v>
      </c>
      <c r="AF3967" s="159" t="s">
        <v>8359</v>
      </c>
      <c r="AG3967" s="160" t="s">
        <v>589</v>
      </c>
      <c r="AH3967" s="194" t="s">
        <v>679</v>
      </c>
      <c r="AI3967" s="6" t="s">
        <v>3085</v>
      </c>
      <c r="AJ3967" s="3" t="s">
        <v>8193</v>
      </c>
      <c r="AK3967" t="s">
        <v>8205</v>
      </c>
      <c r="AV3967"/>
      <c r="AX3967"/>
      <c r="AZ3967" t="str">
        <f t="shared" si="347"/>
        <v/>
      </c>
      <c r="BA3967" t="str">
        <f t="shared" si="348"/>
        <v/>
      </c>
    </row>
    <row r="3968" spans="29:53" ht="13.5">
      <c r="AC3968" s="6">
        <v>315320</v>
      </c>
      <c r="AD3968" s="6" t="s">
        <v>7584</v>
      </c>
      <c r="AE3968" s="155" t="s">
        <v>1368</v>
      </c>
      <c r="AF3968" s="159" t="s">
        <v>8539</v>
      </c>
      <c r="AG3968" s="160" t="s">
        <v>590</v>
      </c>
      <c r="AH3968" s="194" t="s">
        <v>678</v>
      </c>
      <c r="AI3968" s="6" t="s">
        <v>3174</v>
      </c>
      <c r="AJ3968" s="3" t="s">
        <v>8264</v>
      </c>
      <c r="AK3968" t="s">
        <v>8264</v>
      </c>
      <c r="AV3968"/>
      <c r="AX3968"/>
      <c r="AZ3968" t="str">
        <f t="shared" si="347"/>
        <v/>
      </c>
      <c r="BA3968" t="str">
        <f t="shared" si="348"/>
        <v/>
      </c>
    </row>
    <row r="3969" spans="29:53" ht="13.5">
      <c r="AC3969" s="6" t="s">
        <v>6658</v>
      </c>
      <c r="AD3969" s="6" t="s">
        <v>7593</v>
      </c>
      <c r="AE3969" s="155" t="s">
        <v>338</v>
      </c>
      <c r="AF3969" s="159" t="s">
        <v>8339</v>
      </c>
      <c r="AG3969" s="160" t="s">
        <v>591</v>
      </c>
      <c r="AH3969" s="194" t="s">
        <v>679</v>
      </c>
      <c r="AI3969" s="6" t="s">
        <v>268</v>
      </c>
      <c r="AJ3969" s="3" t="s">
        <v>8209</v>
      </c>
      <c r="AK3969" t="s">
        <v>8209</v>
      </c>
      <c r="AV3969"/>
      <c r="AX3969"/>
      <c r="AZ3969" t="str">
        <f t="shared" si="347"/>
        <v/>
      </c>
      <c r="BA3969" t="str">
        <f t="shared" si="348"/>
        <v/>
      </c>
    </row>
    <row r="3970" spans="29:53" ht="13.5">
      <c r="AC3970" s="6" t="s">
        <v>5189</v>
      </c>
      <c r="AD3970" s="6" t="s">
        <v>7593</v>
      </c>
      <c r="AE3970" s="155" t="s">
        <v>339</v>
      </c>
      <c r="AF3970" s="159" t="s">
        <v>8540</v>
      </c>
      <c r="AG3970" s="160" t="s">
        <v>1470</v>
      </c>
      <c r="AH3970" s="194" t="s">
        <v>679</v>
      </c>
      <c r="AI3970" s="6" t="s">
        <v>327</v>
      </c>
      <c r="AJ3970" s="3" t="s">
        <v>8200</v>
      </c>
      <c r="AK3970" t="s">
        <v>8200</v>
      </c>
      <c r="AV3970"/>
      <c r="AX3970"/>
      <c r="AZ3970" t="str">
        <f t="shared" si="347"/>
        <v/>
      </c>
      <c r="BA3970" t="str">
        <f t="shared" si="348"/>
        <v/>
      </c>
    </row>
    <row r="3971" spans="29:53" ht="13.5">
      <c r="AC3971" s="6">
        <v>303558</v>
      </c>
      <c r="AD3971" s="6" t="s">
        <v>7582</v>
      </c>
      <c r="AE3971" s="155" t="s">
        <v>340</v>
      </c>
      <c r="AF3971" s="159" t="s">
        <v>8300</v>
      </c>
      <c r="AG3971" s="160" t="s">
        <v>1471</v>
      </c>
      <c r="AH3971" s="194" t="s">
        <v>679</v>
      </c>
      <c r="AI3971" s="6" t="s">
        <v>337</v>
      </c>
      <c r="AJ3971" s="3" t="s">
        <v>8208</v>
      </c>
      <c r="AK3971" t="s">
        <v>8667</v>
      </c>
      <c r="AV3971"/>
      <c r="AX3971"/>
      <c r="AZ3971" t="str">
        <f t="shared" si="347"/>
        <v/>
      </c>
      <c r="BA3971" t="str">
        <f t="shared" si="348"/>
        <v/>
      </c>
    </row>
    <row r="3972" spans="29:53" ht="13.5">
      <c r="AC3972" s="6" t="s">
        <v>6659</v>
      </c>
      <c r="AD3972" s="6" t="s">
        <v>7593</v>
      </c>
      <c r="AE3972" s="155" t="s">
        <v>341</v>
      </c>
      <c r="AF3972" s="159" t="s">
        <v>8300</v>
      </c>
      <c r="AG3972" s="160" t="s">
        <v>35</v>
      </c>
      <c r="AH3972" s="194" t="s">
        <v>4700</v>
      </c>
      <c r="AI3972" s="6" t="s">
        <v>366</v>
      </c>
      <c r="AJ3972" s="3" t="s">
        <v>8228</v>
      </c>
      <c r="AK3972" t="s">
        <v>8228</v>
      </c>
      <c r="AV3972"/>
      <c r="AX3972"/>
      <c r="AZ3972" t="str">
        <f t="shared" si="347"/>
        <v/>
      </c>
      <c r="BA3972" t="str">
        <f t="shared" si="348"/>
        <v/>
      </c>
    </row>
    <row r="3973" spans="29:53" ht="13.5">
      <c r="AC3973" s="6" t="s">
        <v>6660</v>
      </c>
      <c r="AD3973" s="6" t="s">
        <v>7593</v>
      </c>
      <c r="AE3973" s="155" t="s">
        <v>342</v>
      </c>
      <c r="AF3973" s="159" t="s">
        <v>8312</v>
      </c>
      <c r="AG3973" s="160" t="s">
        <v>592</v>
      </c>
      <c r="AH3973" s="194" t="s">
        <v>4700</v>
      </c>
      <c r="AI3973" s="6" t="s">
        <v>371</v>
      </c>
      <c r="AJ3973" s="3" t="s">
        <v>8208</v>
      </c>
      <c r="AK3973" t="s">
        <v>8667</v>
      </c>
      <c r="AV3973"/>
      <c r="AX3973"/>
      <c r="AZ3973" t="str">
        <f t="shared" si="347"/>
        <v/>
      </c>
      <c r="BA3973" t="str">
        <f t="shared" si="348"/>
        <v/>
      </c>
    </row>
    <row r="3974" spans="29:53" ht="13.5">
      <c r="AC3974" s="6" t="s">
        <v>178</v>
      </c>
      <c r="AD3974" s="6" t="s">
        <v>7601</v>
      </c>
      <c r="AE3974" s="155" t="s">
        <v>343</v>
      </c>
      <c r="AF3974" s="159" t="s">
        <v>8300</v>
      </c>
      <c r="AG3974" s="160" t="s">
        <v>593</v>
      </c>
      <c r="AH3974" s="194" t="s">
        <v>678</v>
      </c>
      <c r="AI3974" s="6" t="s">
        <v>1376</v>
      </c>
      <c r="AJ3974" s="3" t="s">
        <v>8195</v>
      </c>
      <c r="AK3974" t="s">
        <v>8195</v>
      </c>
      <c r="AV3974"/>
      <c r="AX3974"/>
      <c r="AZ3974" t="str">
        <f t="shared" si="347"/>
        <v/>
      </c>
      <c r="BA3974" t="str">
        <f t="shared" si="348"/>
        <v/>
      </c>
    </row>
    <row r="3975" spans="29:53" ht="13.5">
      <c r="AC3975" s="6" t="s">
        <v>6661</v>
      </c>
      <c r="AD3975" s="6" t="s">
        <v>7593</v>
      </c>
      <c r="AE3975" s="155" t="s">
        <v>344</v>
      </c>
      <c r="AF3975" s="159" t="s">
        <v>8300</v>
      </c>
      <c r="AG3975" s="160" t="s">
        <v>1069</v>
      </c>
      <c r="AH3975" s="194" t="s">
        <v>679</v>
      </c>
      <c r="AI3975" s="6" t="s">
        <v>430</v>
      </c>
      <c r="AJ3975" s="3" t="s">
        <v>8195</v>
      </c>
      <c r="AK3975" t="s">
        <v>8195</v>
      </c>
      <c r="AV3975"/>
      <c r="AX3975"/>
      <c r="AZ3975" t="str">
        <f t="shared" si="347"/>
        <v/>
      </c>
      <c r="BA3975" t="str">
        <f t="shared" si="348"/>
        <v/>
      </c>
    </row>
    <row r="3976" spans="29:53" ht="13.5">
      <c r="AC3976" s="6" t="s">
        <v>6662</v>
      </c>
      <c r="AD3976" s="6" t="s">
        <v>7593</v>
      </c>
      <c r="AE3976" s="155" t="s">
        <v>345</v>
      </c>
      <c r="AF3976" s="159" t="s">
        <v>8346</v>
      </c>
      <c r="AG3976" s="160" t="s">
        <v>1070</v>
      </c>
      <c r="AH3976" s="194" t="s">
        <v>678</v>
      </c>
      <c r="AI3976" s="6" t="s">
        <v>454</v>
      </c>
      <c r="AJ3976" s="3" t="s">
        <v>8208</v>
      </c>
      <c r="AK3976" t="s">
        <v>8667</v>
      </c>
      <c r="AV3976"/>
      <c r="AX3976"/>
      <c r="AZ3976" t="str">
        <f t="shared" si="347"/>
        <v/>
      </c>
      <c r="BA3976" t="str">
        <f t="shared" si="348"/>
        <v/>
      </c>
    </row>
    <row r="3977" spans="29:53" ht="13.5">
      <c r="AC3977" s="6" t="s">
        <v>5500</v>
      </c>
      <c r="AD3977" s="6" t="s">
        <v>7587</v>
      </c>
      <c r="AE3977" s="155" t="s">
        <v>346</v>
      </c>
      <c r="AF3977" s="159" t="s">
        <v>8300</v>
      </c>
      <c r="AG3977" s="160" t="s">
        <v>1247</v>
      </c>
      <c r="AH3977" s="194" t="s">
        <v>678</v>
      </c>
      <c r="AI3977" s="6" t="s">
        <v>462</v>
      </c>
      <c r="AJ3977" s="3" t="s">
        <v>8208</v>
      </c>
      <c r="AK3977" t="s">
        <v>8667</v>
      </c>
      <c r="AV3977"/>
      <c r="AX3977"/>
      <c r="AZ3977" t="str">
        <f t="shared" si="347"/>
        <v/>
      </c>
      <c r="BA3977" t="str">
        <f t="shared" si="348"/>
        <v/>
      </c>
    </row>
    <row r="3978" spans="29:53" ht="13.5">
      <c r="AC3978" s="6" t="s">
        <v>6663</v>
      </c>
      <c r="AD3978" s="6" t="s">
        <v>7593</v>
      </c>
      <c r="AE3978" s="155" t="s">
        <v>347</v>
      </c>
      <c r="AF3978" s="159" t="s">
        <v>8541</v>
      </c>
      <c r="AG3978" s="160" t="s">
        <v>1071</v>
      </c>
      <c r="AH3978" s="194" t="s">
        <v>678</v>
      </c>
      <c r="AI3978" s="6" t="s">
        <v>1409</v>
      </c>
      <c r="AJ3978" s="3" t="s">
        <v>8209</v>
      </c>
      <c r="AK3978" t="s">
        <v>8209</v>
      </c>
      <c r="AV3978"/>
      <c r="AX3978"/>
      <c r="AZ3978" t="str">
        <f t="shared" si="347"/>
        <v/>
      </c>
      <c r="BA3978" t="str">
        <f t="shared" si="348"/>
        <v/>
      </c>
    </row>
    <row r="3979" spans="29:53" ht="13.5">
      <c r="AC3979" s="6" t="s">
        <v>6664</v>
      </c>
      <c r="AD3979" s="6" t="s">
        <v>7593</v>
      </c>
      <c r="AE3979" s="155" t="s">
        <v>348</v>
      </c>
      <c r="AF3979" s="159" t="s">
        <v>8339</v>
      </c>
      <c r="AG3979" s="160" t="s">
        <v>1491</v>
      </c>
      <c r="AH3979" s="194" t="s">
        <v>678</v>
      </c>
      <c r="AI3979" s="6" t="s">
        <v>481</v>
      </c>
      <c r="AJ3979" s="3" t="s">
        <v>8228</v>
      </c>
      <c r="AK3979" t="s">
        <v>8228</v>
      </c>
      <c r="AV3979"/>
      <c r="AX3979"/>
      <c r="AZ3979" t="str">
        <f t="shared" si="347"/>
        <v/>
      </c>
      <c r="BA3979" t="str">
        <f t="shared" si="348"/>
        <v/>
      </c>
    </row>
    <row r="3980" spans="29:53" ht="13.5">
      <c r="AC3980" s="6" t="s">
        <v>1547</v>
      </c>
      <c r="AD3980" s="6" t="s">
        <v>7593</v>
      </c>
      <c r="AE3980" s="155" t="s">
        <v>349</v>
      </c>
      <c r="AF3980" s="159" t="s">
        <v>8375</v>
      </c>
      <c r="AG3980" s="160" t="s">
        <v>1195</v>
      </c>
      <c r="AH3980" s="194" t="s">
        <v>678</v>
      </c>
      <c r="AI3980" s="6" t="s">
        <v>1056</v>
      </c>
      <c r="AJ3980" s="3" t="s">
        <v>8208</v>
      </c>
      <c r="AK3980" t="s">
        <v>8667</v>
      </c>
      <c r="AV3980"/>
      <c r="AX3980"/>
      <c r="AZ3980" t="str">
        <f t="shared" si="347"/>
        <v/>
      </c>
      <c r="BA3980" t="str">
        <f t="shared" si="348"/>
        <v/>
      </c>
    </row>
    <row r="3981" spans="29:53" ht="13.5">
      <c r="AC3981" s="6" t="s">
        <v>6665</v>
      </c>
      <c r="AD3981" s="6" t="s">
        <v>7593</v>
      </c>
      <c r="AE3981" s="155" t="s">
        <v>350</v>
      </c>
      <c r="AF3981" s="159" t="s">
        <v>8342</v>
      </c>
      <c r="AG3981" s="160" t="s">
        <v>1072</v>
      </c>
      <c r="AH3981" s="194" t="s">
        <v>678</v>
      </c>
      <c r="AI3981" s="6" t="s">
        <v>557</v>
      </c>
      <c r="AJ3981" s="3" t="s">
        <v>8196</v>
      </c>
      <c r="AK3981" t="s">
        <v>8196</v>
      </c>
      <c r="AV3981"/>
      <c r="AX3981"/>
      <c r="AZ3981" t="str">
        <f t="shared" si="347"/>
        <v/>
      </c>
      <c r="BA3981" t="str">
        <f t="shared" si="348"/>
        <v/>
      </c>
    </row>
    <row r="3982" spans="29:53" ht="13.5">
      <c r="AC3982" s="6" t="s">
        <v>1416</v>
      </c>
      <c r="AD3982" s="6" t="s">
        <v>7593</v>
      </c>
      <c r="AE3982" s="155" t="s">
        <v>351</v>
      </c>
      <c r="AF3982" s="159" t="s">
        <v>8300</v>
      </c>
      <c r="AG3982" s="160" t="s">
        <v>1073</v>
      </c>
      <c r="AH3982" s="194" t="s">
        <v>678</v>
      </c>
      <c r="AI3982" s="6" t="s">
        <v>559</v>
      </c>
      <c r="AJ3982" s="3" t="s">
        <v>8196</v>
      </c>
      <c r="AK3982" t="s">
        <v>8196</v>
      </c>
      <c r="AV3982"/>
      <c r="AX3982"/>
      <c r="AZ3982" t="str">
        <f t="shared" si="347"/>
        <v/>
      </c>
      <c r="BA3982" t="str">
        <f t="shared" si="348"/>
        <v/>
      </c>
    </row>
    <row r="3983" spans="29:53" ht="13.5">
      <c r="AC3983" s="6" t="s">
        <v>6666</v>
      </c>
      <c r="AD3983" s="6" t="s">
        <v>7559</v>
      </c>
      <c r="AE3983" s="155" t="s">
        <v>352</v>
      </c>
      <c r="AF3983" s="159" t="s">
        <v>8300</v>
      </c>
      <c r="AG3983" s="160" t="s">
        <v>1074</v>
      </c>
      <c r="AH3983" s="194" t="s">
        <v>678</v>
      </c>
      <c r="AI3983" s="6" t="s">
        <v>564</v>
      </c>
      <c r="AJ3983" s="3" t="s">
        <v>8196</v>
      </c>
      <c r="AK3983" t="s">
        <v>8196</v>
      </c>
      <c r="AV3983"/>
      <c r="AX3983"/>
      <c r="AZ3983" t="str">
        <f t="shared" si="347"/>
        <v/>
      </c>
      <c r="BA3983" t="str">
        <f t="shared" si="348"/>
        <v/>
      </c>
    </row>
    <row r="3984" spans="29:53" ht="13.5">
      <c r="AC3984" s="6">
        <v>293698</v>
      </c>
      <c r="AD3984" s="6" t="s">
        <v>7573</v>
      </c>
      <c r="AE3984" s="155" t="s">
        <v>1369</v>
      </c>
      <c r="AF3984" s="159" t="s">
        <v>8332</v>
      </c>
      <c r="AG3984" s="160" t="s">
        <v>594</v>
      </c>
      <c r="AH3984" s="194" t="s">
        <v>679</v>
      </c>
      <c r="AI3984" s="6" t="s">
        <v>1084</v>
      </c>
      <c r="AJ3984" s="3" t="s">
        <v>8209</v>
      </c>
      <c r="AK3984" t="s">
        <v>8209</v>
      </c>
      <c r="AV3984"/>
      <c r="AX3984"/>
      <c r="AZ3984" t="str">
        <f t="shared" si="347"/>
        <v/>
      </c>
      <c r="BA3984" t="str">
        <f t="shared" si="348"/>
        <v/>
      </c>
    </row>
    <row r="3985" spans="29:53" ht="13.5">
      <c r="AC3985" s="6" t="s">
        <v>6667</v>
      </c>
      <c r="AD3985" s="6" t="s">
        <v>7587</v>
      </c>
      <c r="AE3985" s="155" t="s">
        <v>1370</v>
      </c>
      <c r="AF3985" s="159" t="s">
        <v>8444</v>
      </c>
      <c r="AG3985" s="160" t="s">
        <v>1075</v>
      </c>
      <c r="AH3985" s="194" t="s">
        <v>678</v>
      </c>
      <c r="AI3985" s="6" t="s">
        <v>3717</v>
      </c>
      <c r="AJ3985" s="3" t="s">
        <v>8218</v>
      </c>
      <c r="AK3985" t="s">
        <v>8218</v>
      </c>
      <c r="AV3985"/>
      <c r="AX3985"/>
      <c r="AZ3985" t="str">
        <f t="shared" si="347"/>
        <v/>
      </c>
      <c r="BA3985" t="str">
        <f t="shared" ref="BA3985:BA4000" si="349">IF(AV4001=AV3985,"",CONCATENATE(IF(AV4000=AV3985,BA4000,""),IF(AV3999=AV3985,BA3999,""),IF(AV3998=AV3985,BA3998,""),IF(AV3997=AV3985,BA3997,""),IF(AV3996=AV3985,BA3996,""),IF(AV3995=AV3985,BA3995,""),IF(AV3994=AV3985,BA3994,""),IF(AV3993=AV3985,BA3993,""),IF(AV3992=AV3985,BA3992,""),IF(AV3991=AV3985,BA3991,""),IF(AV3990=AV3985,BA3990,""),IF(AV3989=AV3985,BA3989,""),IF(AV3988=AV3985,BA3988,""),IF(AV3987=AV3985,BA3987,""),IF(AV3986=AV3985,BA3986,""),IF(AV3984=AV3985,BA3984,""),BA3985))</f>
        <v/>
      </c>
    </row>
    <row r="3986" spans="29:53" ht="13.5">
      <c r="AC3986" s="6" t="s">
        <v>1669</v>
      </c>
      <c r="AD3986" s="6" t="s">
        <v>7587</v>
      </c>
      <c r="AE3986" s="155" t="s">
        <v>1371</v>
      </c>
      <c r="AF3986" s="159" t="s">
        <v>8339</v>
      </c>
      <c r="AG3986" s="160" t="s">
        <v>1189</v>
      </c>
      <c r="AH3986" s="194" t="s">
        <v>678</v>
      </c>
      <c r="AI3986" s="6" t="s">
        <v>3771</v>
      </c>
      <c r="AJ3986" s="3" t="s">
        <v>8199</v>
      </c>
      <c r="AK3986" t="s">
        <v>8199</v>
      </c>
      <c r="AV3986"/>
      <c r="AX3986"/>
      <c r="AZ3986" t="str">
        <f t="shared" si="347"/>
        <v/>
      </c>
      <c r="BA3986" t="str">
        <f t="shared" si="349"/>
        <v/>
      </c>
    </row>
    <row r="3987" spans="29:53" ht="13.5">
      <c r="AC3987" s="6">
        <v>315323</v>
      </c>
      <c r="AD3987" s="6" t="s">
        <v>7584</v>
      </c>
      <c r="AE3987" s="155" t="s">
        <v>353</v>
      </c>
      <c r="AF3987" s="159" t="s">
        <v>8339</v>
      </c>
      <c r="AG3987" s="160" t="s">
        <v>595</v>
      </c>
      <c r="AH3987" s="194" t="s">
        <v>4700</v>
      </c>
      <c r="AI3987" s="6" t="s">
        <v>2486</v>
      </c>
      <c r="AJ3987" s="3" t="s">
        <v>8226</v>
      </c>
      <c r="AK3987" t="s">
        <v>8671</v>
      </c>
      <c r="AV3987"/>
      <c r="AX3987"/>
      <c r="AZ3987" t="str">
        <f t="shared" si="347"/>
        <v/>
      </c>
      <c r="BA3987" t="str">
        <f t="shared" si="349"/>
        <v/>
      </c>
    </row>
    <row r="3988" spans="29:53" ht="13.5">
      <c r="AC3988" s="6" t="s">
        <v>6668</v>
      </c>
      <c r="AD3988" s="6" t="s">
        <v>7602</v>
      </c>
      <c r="AE3988" s="155" t="s">
        <v>354</v>
      </c>
      <c r="AF3988" s="159" t="s">
        <v>8339</v>
      </c>
      <c r="AG3988" s="160" t="s">
        <v>1076</v>
      </c>
      <c r="AH3988" s="194" t="s">
        <v>679</v>
      </c>
      <c r="AI3988" s="6" t="s">
        <v>157</v>
      </c>
      <c r="AJ3988" s="3" t="s">
        <v>8197</v>
      </c>
      <c r="AK3988" t="s">
        <v>8197</v>
      </c>
      <c r="AV3988"/>
      <c r="AX3988"/>
      <c r="AZ3988" t="str">
        <f t="shared" si="347"/>
        <v/>
      </c>
      <c r="BA3988" t="str">
        <f t="shared" si="349"/>
        <v/>
      </c>
    </row>
    <row r="3989" spans="29:53" ht="13.5">
      <c r="AC3989" s="6" t="s">
        <v>1542</v>
      </c>
      <c r="AD3989" s="6" t="s">
        <v>7587</v>
      </c>
      <c r="AE3989" s="155" t="s">
        <v>355</v>
      </c>
      <c r="AF3989" s="159" t="s">
        <v>8342</v>
      </c>
      <c r="AG3989" s="160" t="s">
        <v>596</v>
      </c>
      <c r="AH3989" s="194" t="s">
        <v>678</v>
      </c>
      <c r="AI3989" s="6" t="s">
        <v>6708</v>
      </c>
      <c r="AJ3989" s="3" t="s">
        <v>8197</v>
      </c>
      <c r="AK3989" t="s">
        <v>8197</v>
      </c>
      <c r="AV3989"/>
      <c r="AX3989"/>
      <c r="AZ3989" t="str">
        <f t="shared" si="347"/>
        <v/>
      </c>
      <c r="BA3989" t="str">
        <f t="shared" si="349"/>
        <v/>
      </c>
    </row>
    <row r="3990" spans="29:53" ht="13.5">
      <c r="AC3990" s="6" t="s">
        <v>6669</v>
      </c>
      <c r="AD3990" s="6" t="s">
        <v>7603</v>
      </c>
      <c r="AE3990" s="155" t="s">
        <v>356</v>
      </c>
      <c r="AF3990" s="159" t="s">
        <v>8300</v>
      </c>
      <c r="AG3990" s="160" t="s">
        <v>1517</v>
      </c>
      <c r="AH3990" s="194" t="s">
        <v>678</v>
      </c>
      <c r="AI3990" s="6" t="s">
        <v>798</v>
      </c>
      <c r="AJ3990" s="3" t="s">
        <v>8222</v>
      </c>
      <c r="AK3990" t="s">
        <v>8670</v>
      </c>
      <c r="AV3990"/>
      <c r="AX3990"/>
      <c r="AZ3990" t="str">
        <f t="shared" si="347"/>
        <v/>
      </c>
      <c r="BA3990" t="str">
        <f t="shared" si="349"/>
        <v/>
      </c>
    </row>
    <row r="3991" spans="29:53" ht="13.5">
      <c r="AC3991" s="6" t="s">
        <v>5497</v>
      </c>
      <c r="AD3991" s="6" t="s">
        <v>7587</v>
      </c>
      <c r="AE3991" s="155" t="s">
        <v>357</v>
      </c>
      <c r="AF3991" s="159" t="s">
        <v>8504</v>
      </c>
      <c r="AG3991" s="160" t="s">
        <v>1518</v>
      </c>
      <c r="AH3991" s="194" t="s">
        <v>678</v>
      </c>
      <c r="AI3991" s="6" t="s">
        <v>806</v>
      </c>
      <c r="AJ3991" s="3" t="s">
        <v>8273</v>
      </c>
      <c r="AK3991" t="s">
        <v>8273</v>
      </c>
      <c r="AV3991"/>
      <c r="AX3991"/>
      <c r="AZ3991" t="str">
        <f t="shared" si="347"/>
        <v/>
      </c>
      <c r="BA3991" t="str">
        <f t="shared" si="349"/>
        <v/>
      </c>
    </row>
    <row r="3992" spans="29:53" ht="13.5">
      <c r="AC3992" s="6" t="s">
        <v>610</v>
      </c>
      <c r="AD3992" s="6" t="s">
        <v>7604</v>
      </c>
      <c r="AE3992" s="155" t="s">
        <v>358</v>
      </c>
      <c r="AF3992" s="159" t="s">
        <v>8374</v>
      </c>
      <c r="AG3992" s="160" t="s">
        <v>597</v>
      </c>
      <c r="AH3992" s="194" t="s">
        <v>678</v>
      </c>
      <c r="AI3992" s="6" t="s">
        <v>3153</v>
      </c>
      <c r="AJ3992" s="3" t="s">
        <v>8204</v>
      </c>
      <c r="AK3992" t="s">
        <v>8204</v>
      </c>
      <c r="AV3992"/>
      <c r="AX3992"/>
      <c r="AZ3992" t="str">
        <f t="shared" si="347"/>
        <v/>
      </c>
      <c r="BA3992" t="str">
        <f t="shared" si="349"/>
        <v/>
      </c>
    </row>
    <row r="3993" spans="29:53" ht="13.5">
      <c r="AC3993" s="6">
        <v>485355</v>
      </c>
      <c r="AD3993" s="6" t="s">
        <v>7578</v>
      </c>
      <c r="AE3993" s="155" t="s">
        <v>359</v>
      </c>
      <c r="AF3993" s="159" t="s">
        <v>8300</v>
      </c>
      <c r="AG3993" s="160" t="s">
        <v>1077</v>
      </c>
      <c r="AH3993" s="194" t="s">
        <v>678</v>
      </c>
      <c r="AI3993" s="6" t="s">
        <v>3269</v>
      </c>
      <c r="AJ3993" s="3" t="s">
        <v>8220</v>
      </c>
      <c r="AK3993" t="s">
        <v>8220</v>
      </c>
      <c r="AV3993"/>
      <c r="AX3993"/>
      <c r="AZ3993" t="str">
        <f t="shared" si="347"/>
        <v/>
      </c>
      <c r="BA3993" t="str">
        <f t="shared" si="349"/>
        <v/>
      </c>
    </row>
    <row r="3994" spans="29:53" ht="13.5">
      <c r="AC3994" s="6" t="s">
        <v>617</v>
      </c>
      <c r="AD3994" s="6" t="s">
        <v>7597</v>
      </c>
      <c r="AE3994" s="155" t="s">
        <v>360</v>
      </c>
      <c r="AF3994" s="159" t="s">
        <v>8300</v>
      </c>
      <c r="AG3994" s="160" t="s">
        <v>1078</v>
      </c>
      <c r="AH3994" s="194" t="s">
        <v>679</v>
      </c>
      <c r="AI3994" s="6" t="s">
        <v>6726</v>
      </c>
      <c r="AJ3994" s="3" t="s">
        <v>8198</v>
      </c>
      <c r="AK3994" t="s">
        <v>8198</v>
      </c>
      <c r="AV3994"/>
      <c r="AX3994"/>
      <c r="AZ3994" t="str">
        <f t="shared" si="347"/>
        <v/>
      </c>
      <c r="BA3994" t="str">
        <f t="shared" si="349"/>
        <v/>
      </c>
    </row>
    <row r="3995" spans="29:53" ht="13.5">
      <c r="AC3995" s="6" t="s">
        <v>1585</v>
      </c>
      <c r="AD3995" s="6" t="s">
        <v>7587</v>
      </c>
      <c r="AE3995" s="155" t="s">
        <v>361</v>
      </c>
      <c r="AF3995" s="159" t="s">
        <v>8542</v>
      </c>
      <c r="AG3995" s="160" t="s">
        <v>1079</v>
      </c>
      <c r="AH3995" s="194" t="s">
        <v>678</v>
      </c>
      <c r="AI3995" s="6" t="s">
        <v>260</v>
      </c>
      <c r="AJ3995" s="3" t="s">
        <v>8201</v>
      </c>
      <c r="AK3995" t="s">
        <v>8666</v>
      </c>
      <c r="AV3995"/>
      <c r="AX3995"/>
      <c r="AZ3995" t="str">
        <f t="shared" si="347"/>
        <v/>
      </c>
      <c r="BA3995" t="str">
        <f t="shared" si="349"/>
        <v/>
      </c>
    </row>
    <row r="3996" spans="29:53" ht="13.5">
      <c r="AC3996" s="6" t="s">
        <v>4448</v>
      </c>
      <c r="AD3996" s="6" t="s">
        <v>7587</v>
      </c>
      <c r="AE3996" s="155" t="s">
        <v>1372</v>
      </c>
      <c r="AF3996" s="159" t="s">
        <v>8543</v>
      </c>
      <c r="AG3996" s="160" t="s">
        <v>1080</v>
      </c>
      <c r="AH3996" s="194" t="s">
        <v>679</v>
      </c>
      <c r="AI3996" s="6" t="s">
        <v>297</v>
      </c>
      <c r="AJ3996" s="3" t="s">
        <v>8208</v>
      </c>
      <c r="AK3996" t="s">
        <v>8667</v>
      </c>
      <c r="AV3996"/>
      <c r="AX3996"/>
      <c r="AZ3996" t="str">
        <f t="shared" si="347"/>
        <v/>
      </c>
      <c r="BA3996" t="str">
        <f t="shared" si="349"/>
        <v/>
      </c>
    </row>
    <row r="3997" spans="29:53" ht="13.5">
      <c r="AC3997" s="6" t="s">
        <v>4833</v>
      </c>
      <c r="AD3997" s="6" t="s">
        <v>7587</v>
      </c>
      <c r="AE3997" s="155" t="s">
        <v>362</v>
      </c>
      <c r="AF3997" s="159" t="s">
        <v>8339</v>
      </c>
      <c r="AG3997" s="160" t="s">
        <v>1081</v>
      </c>
      <c r="AH3997" s="194" t="s">
        <v>679</v>
      </c>
      <c r="AI3997" s="6" t="s">
        <v>381</v>
      </c>
      <c r="AJ3997" s="3" t="s">
        <v>8208</v>
      </c>
      <c r="AK3997" t="s">
        <v>8667</v>
      </c>
      <c r="AV3997"/>
      <c r="AX3997"/>
      <c r="AZ3997" t="str">
        <f t="shared" si="347"/>
        <v/>
      </c>
      <c r="BA3997" t="str">
        <f t="shared" si="349"/>
        <v/>
      </c>
    </row>
    <row r="3998" spans="29:53" ht="13.5">
      <c r="AC3998" s="6" t="s">
        <v>4440</v>
      </c>
      <c r="AD3998" s="6" t="s">
        <v>7587</v>
      </c>
      <c r="AE3998" s="155" t="s">
        <v>363</v>
      </c>
      <c r="AF3998" s="159" t="s">
        <v>8339</v>
      </c>
      <c r="AG3998" s="160" t="s">
        <v>1192</v>
      </c>
      <c r="AH3998" s="194" t="s">
        <v>678</v>
      </c>
      <c r="AI3998" s="6" t="s">
        <v>394</v>
      </c>
      <c r="AJ3998" s="3" t="s">
        <v>8196</v>
      </c>
      <c r="AK3998" t="s">
        <v>8196</v>
      </c>
      <c r="AV3998"/>
      <c r="AX3998"/>
      <c r="AZ3998" t="str">
        <f t="shared" si="347"/>
        <v/>
      </c>
      <c r="BA3998" t="str">
        <f t="shared" si="349"/>
        <v/>
      </c>
    </row>
    <row r="3999" spans="29:53" ht="13.5">
      <c r="AC3999" s="6">
        <v>313556</v>
      </c>
      <c r="AD3999" s="6" t="s">
        <v>7584</v>
      </c>
      <c r="AE3999" s="155" t="s">
        <v>364</v>
      </c>
      <c r="AF3999" s="159" t="s">
        <v>8339</v>
      </c>
      <c r="AG3999" s="160" t="s">
        <v>1520</v>
      </c>
      <c r="AH3999" s="194" t="s">
        <v>678</v>
      </c>
      <c r="AI3999" s="6" t="s">
        <v>1394</v>
      </c>
      <c r="AJ3999" s="3" t="s">
        <v>8195</v>
      </c>
      <c r="AK3999" t="s">
        <v>8195</v>
      </c>
      <c r="AV3999"/>
      <c r="AX3999"/>
      <c r="AZ3999" t="str">
        <f t="shared" si="347"/>
        <v/>
      </c>
      <c r="BA3999" t="str">
        <f t="shared" si="349"/>
        <v/>
      </c>
    </row>
    <row r="4000" spans="29:53" ht="13.5">
      <c r="AC4000" s="6" t="s">
        <v>616</v>
      </c>
      <c r="AD4000" s="6" t="s">
        <v>7597</v>
      </c>
      <c r="AE4000" s="155" t="s">
        <v>365</v>
      </c>
      <c r="AF4000" s="159" t="s">
        <v>8347</v>
      </c>
      <c r="AG4000" s="160" t="s">
        <v>1521</v>
      </c>
      <c r="AH4000" s="194" t="s">
        <v>678</v>
      </c>
      <c r="AI4000" s="6" t="s">
        <v>1399</v>
      </c>
      <c r="AJ4000" s="3" t="s">
        <v>8195</v>
      </c>
      <c r="AK4000" t="s">
        <v>8195</v>
      </c>
      <c r="AV4000"/>
      <c r="AX4000"/>
      <c r="AZ4000" t="str">
        <f t="shared" si="347"/>
        <v/>
      </c>
      <c r="BA4000" t="str">
        <f t="shared" si="349"/>
        <v/>
      </c>
    </row>
    <row r="4001" spans="29:37" ht="13.5">
      <c r="AC4001" s="6" t="s">
        <v>1250</v>
      </c>
      <c r="AD4001" s="6" t="s">
        <v>7568</v>
      </c>
      <c r="AE4001" s="155" t="s">
        <v>366</v>
      </c>
      <c r="AF4001" s="159" t="s">
        <v>8544</v>
      </c>
      <c r="AG4001" s="160" t="s">
        <v>1082</v>
      </c>
      <c r="AH4001" s="194" t="s">
        <v>679</v>
      </c>
      <c r="AI4001" s="6" t="s">
        <v>497</v>
      </c>
      <c r="AJ4001" s="3" t="s">
        <v>8216</v>
      </c>
      <c r="AK4001" t="s">
        <v>8216</v>
      </c>
    </row>
    <row r="4002" spans="29:37" ht="13.5">
      <c r="AC4002" s="6" t="s">
        <v>4355</v>
      </c>
      <c r="AD4002" s="6" t="s">
        <v>7568</v>
      </c>
      <c r="AE4002" s="155" t="s">
        <v>367</v>
      </c>
      <c r="AF4002" s="159" t="s">
        <v>8342</v>
      </c>
      <c r="AG4002" s="160" t="s">
        <v>1083</v>
      </c>
      <c r="AH4002" s="194" t="s">
        <v>679</v>
      </c>
      <c r="AI4002" s="6" t="s">
        <v>530</v>
      </c>
      <c r="AJ4002" s="3" t="s">
        <v>8200</v>
      </c>
      <c r="AK4002" t="s">
        <v>8200</v>
      </c>
    </row>
    <row r="4003" spans="29:37" ht="13.5">
      <c r="AC4003" s="6" t="s">
        <v>5499</v>
      </c>
      <c r="AD4003" s="6" t="s">
        <v>7587</v>
      </c>
      <c r="AE4003" s="155" t="s">
        <v>368</v>
      </c>
      <c r="AF4003" s="159" t="s">
        <v>8299</v>
      </c>
      <c r="AG4003" s="160" t="s">
        <v>1084</v>
      </c>
      <c r="AH4003" s="194" t="s">
        <v>678</v>
      </c>
      <c r="AI4003" s="6" t="s">
        <v>538</v>
      </c>
      <c r="AJ4003" s="3" t="s">
        <v>8208</v>
      </c>
      <c r="AK4003" t="s">
        <v>8667</v>
      </c>
    </row>
    <row r="4004" spans="29:37" ht="13.5">
      <c r="AC4004" s="6" t="s">
        <v>1134</v>
      </c>
      <c r="AD4004" s="6" t="s">
        <v>7605</v>
      </c>
      <c r="AE4004" s="155" t="s">
        <v>369</v>
      </c>
      <c r="AF4004" s="159" t="s">
        <v>8339</v>
      </c>
      <c r="AG4004" s="161" t="s">
        <v>1085</v>
      </c>
      <c r="AH4004" s="194" t="s">
        <v>678</v>
      </c>
      <c r="AI4004" s="6" t="s">
        <v>542</v>
      </c>
      <c r="AJ4004" s="3" t="s">
        <v>8208</v>
      </c>
      <c r="AK4004" t="s">
        <v>8667</v>
      </c>
    </row>
    <row r="4005" spans="29:37" ht="13.5">
      <c r="AC4005" s="6" t="s">
        <v>615</v>
      </c>
      <c r="AD4005" s="6" t="s">
        <v>7597</v>
      </c>
      <c r="AE4005" s="155" t="s">
        <v>1373</v>
      </c>
      <c r="AF4005" s="159" t="s">
        <v>8340</v>
      </c>
      <c r="AG4005" s="160" t="s">
        <v>598</v>
      </c>
      <c r="AH4005" s="194" t="s">
        <v>678</v>
      </c>
      <c r="AI4005" s="6" t="s">
        <v>578</v>
      </c>
      <c r="AJ4005" s="3" t="s">
        <v>8195</v>
      </c>
      <c r="AK4005" t="s">
        <v>8195</v>
      </c>
    </row>
    <row r="4006" spans="29:37" ht="13.5">
      <c r="AC4006" s="6" t="s">
        <v>6670</v>
      </c>
      <c r="AD4006" s="6" t="s">
        <v>7606</v>
      </c>
      <c r="AE4006" s="155" t="s">
        <v>370</v>
      </c>
      <c r="AF4006" s="159" t="s">
        <v>8545</v>
      </c>
      <c r="AG4006" s="160" t="s">
        <v>969</v>
      </c>
      <c r="AH4006" s="194" t="s">
        <v>678</v>
      </c>
      <c r="AI4006" s="6" t="s">
        <v>641</v>
      </c>
      <c r="AJ4006" s="3" t="s">
        <v>8216</v>
      </c>
      <c r="AK4006" t="s">
        <v>8216</v>
      </c>
    </row>
    <row r="4007" spans="29:37" ht="13.5">
      <c r="AC4007" s="6" t="s">
        <v>6671</v>
      </c>
      <c r="AD4007" s="6" t="s">
        <v>7607</v>
      </c>
      <c r="AE4007" s="155" t="s">
        <v>371</v>
      </c>
      <c r="AF4007" s="159" t="s">
        <v>8339</v>
      </c>
      <c r="AG4007" s="160" t="s">
        <v>962</v>
      </c>
      <c r="AH4007" s="194" t="s">
        <v>678</v>
      </c>
      <c r="AI4007" s="6" t="s">
        <v>658</v>
      </c>
      <c r="AJ4007" s="3" t="s">
        <v>8198</v>
      </c>
      <c r="AK4007" t="s">
        <v>8198</v>
      </c>
    </row>
    <row r="4008" spans="29:37" ht="13.5">
      <c r="AC4008" s="6" t="s">
        <v>1539</v>
      </c>
      <c r="AD4008" s="6" t="s">
        <v>7587</v>
      </c>
      <c r="AE4008" s="155" t="s">
        <v>372</v>
      </c>
      <c r="AF4008" s="159" t="s">
        <v>8300</v>
      </c>
      <c r="AG4008" s="160" t="s">
        <v>1663</v>
      </c>
      <c r="AH4008" s="194" t="s">
        <v>678</v>
      </c>
      <c r="AI4008" s="6" t="s">
        <v>6725</v>
      </c>
      <c r="AJ4008" s="3" t="s">
        <v>8198</v>
      </c>
      <c r="AK4008" t="s">
        <v>8198</v>
      </c>
    </row>
    <row r="4009" spans="29:37" ht="13.5">
      <c r="AC4009" s="6" t="s">
        <v>6672</v>
      </c>
      <c r="AD4009" s="6" t="s">
        <v>7587</v>
      </c>
      <c r="AE4009" s="155" t="s">
        <v>373</v>
      </c>
      <c r="AF4009" s="159" t="s">
        <v>8439</v>
      </c>
      <c r="AG4009" s="160" t="s">
        <v>953</v>
      </c>
      <c r="AH4009" s="194" t="s">
        <v>678</v>
      </c>
      <c r="AI4009" s="6" t="s">
        <v>1564</v>
      </c>
      <c r="AJ4009" s="3" t="s">
        <v>8210</v>
      </c>
      <c r="AK4009" t="s">
        <v>8210</v>
      </c>
    </row>
    <row r="4010" spans="29:37" ht="13.5">
      <c r="AC4010" s="6" t="s">
        <v>128</v>
      </c>
      <c r="AD4010" s="6" t="s">
        <v>7608</v>
      </c>
      <c r="AE4010" s="155" t="s">
        <v>1374</v>
      </c>
      <c r="AF4010" s="159" t="s">
        <v>8339</v>
      </c>
      <c r="AG4010" s="160" t="s">
        <v>984</v>
      </c>
      <c r="AH4010" s="194" t="s">
        <v>678</v>
      </c>
      <c r="AI4010" s="6" t="s">
        <v>154</v>
      </c>
      <c r="AJ4010" s="3" t="s">
        <v>8197</v>
      </c>
      <c r="AK4010" t="s">
        <v>8197</v>
      </c>
    </row>
    <row r="4011" spans="29:37" ht="13.5">
      <c r="AC4011" s="6" t="s">
        <v>4740</v>
      </c>
      <c r="AD4011" s="6" t="s">
        <v>7587</v>
      </c>
      <c r="AE4011" s="155" t="s">
        <v>374</v>
      </c>
      <c r="AF4011" s="159" t="s">
        <v>8339</v>
      </c>
      <c r="AG4011" s="160" t="s">
        <v>1086</v>
      </c>
      <c r="AH4011" s="194" t="s">
        <v>678</v>
      </c>
      <c r="AI4011" s="6">
        <v>233699</v>
      </c>
      <c r="AJ4011" s="3" t="s">
        <v>8212</v>
      </c>
      <c r="AK4011" t="s">
        <v>8212</v>
      </c>
    </row>
    <row r="4012" spans="29:37" ht="13.5">
      <c r="AC4012" s="6" t="s">
        <v>6673</v>
      </c>
      <c r="AD4012" s="6" t="s">
        <v>7587</v>
      </c>
      <c r="AE4012" s="155" t="s">
        <v>375</v>
      </c>
      <c r="AF4012" s="159" t="s">
        <v>8339</v>
      </c>
      <c r="AG4012" s="160" t="s">
        <v>952</v>
      </c>
      <c r="AH4012" s="194" t="s">
        <v>678</v>
      </c>
      <c r="AI4012" s="6" t="s">
        <v>575</v>
      </c>
      <c r="AJ4012" s="3" t="s">
        <v>8195</v>
      </c>
      <c r="AK4012" t="s">
        <v>8195</v>
      </c>
    </row>
    <row r="4013" spans="29:37" ht="13.5">
      <c r="AC4013" s="6" t="s">
        <v>6674</v>
      </c>
      <c r="AD4013" s="6" t="s">
        <v>7587</v>
      </c>
      <c r="AE4013" s="155" t="s">
        <v>376</v>
      </c>
      <c r="AF4013" s="159" t="s">
        <v>8339</v>
      </c>
      <c r="AG4013" s="160" t="s">
        <v>1651</v>
      </c>
      <c r="AH4013" s="194" t="s">
        <v>678</v>
      </c>
      <c r="AI4013" s="6" t="s">
        <v>3747</v>
      </c>
      <c r="AJ4013" s="3" t="s">
        <v>8199</v>
      </c>
      <c r="AK4013" t="s">
        <v>8199</v>
      </c>
    </row>
    <row r="4014" spans="29:37" ht="13.5">
      <c r="AC4014" s="6" t="s">
        <v>4439</v>
      </c>
      <c r="AD4014" s="6" t="s">
        <v>7587</v>
      </c>
      <c r="AE4014" s="155" t="s">
        <v>377</v>
      </c>
      <c r="AF4014" s="159" t="s">
        <v>8300</v>
      </c>
      <c r="AG4014" s="160" t="s">
        <v>1188</v>
      </c>
      <c r="AH4014" s="194" t="s">
        <v>678</v>
      </c>
      <c r="AI4014" s="6" t="s">
        <v>1407</v>
      </c>
      <c r="AJ4014" s="3" t="s">
        <v>8208</v>
      </c>
      <c r="AK4014" t="s">
        <v>8667</v>
      </c>
    </row>
    <row r="4015" spans="29:37" ht="13.5">
      <c r="AC4015" s="6" t="s">
        <v>5177</v>
      </c>
      <c r="AD4015" s="6" t="s">
        <v>7593</v>
      </c>
      <c r="AE4015" s="155" t="s">
        <v>1375</v>
      </c>
      <c r="AF4015" s="159" t="s">
        <v>8323</v>
      </c>
      <c r="AG4015" s="161" t="s">
        <v>1087</v>
      </c>
      <c r="AH4015" s="194" t="s">
        <v>678</v>
      </c>
      <c r="AI4015" s="6" t="s">
        <v>1627</v>
      </c>
      <c r="AJ4015" s="3" t="s">
        <v>8198</v>
      </c>
      <c r="AK4015" t="s">
        <v>8198</v>
      </c>
    </row>
    <row r="4016" spans="29:37" ht="13.5">
      <c r="AC4016" s="6" t="s">
        <v>1482</v>
      </c>
      <c r="AD4016" s="6" t="s">
        <v>7609</v>
      </c>
      <c r="AE4016" s="155" t="s">
        <v>1376</v>
      </c>
      <c r="AF4016" s="159" t="s">
        <v>8339</v>
      </c>
      <c r="AG4016" s="160" t="s">
        <v>1522</v>
      </c>
      <c r="AH4016" s="194" t="s">
        <v>678</v>
      </c>
      <c r="AI4016" s="6" t="s">
        <v>3826</v>
      </c>
      <c r="AJ4016" s="3" t="s">
        <v>8245</v>
      </c>
      <c r="AK4016" t="s">
        <v>8676</v>
      </c>
    </row>
    <row r="4017" spans="29:37" ht="13.5">
      <c r="AC4017" s="6" t="s">
        <v>6675</v>
      </c>
      <c r="AD4017" s="6" t="s">
        <v>7587</v>
      </c>
      <c r="AE4017" s="155" t="s">
        <v>378</v>
      </c>
      <c r="AF4017" s="159" t="s">
        <v>8319</v>
      </c>
      <c r="AG4017" s="160" t="s">
        <v>1088</v>
      </c>
      <c r="AH4017" s="194" t="s">
        <v>678</v>
      </c>
      <c r="AI4017" s="6" t="s">
        <v>2563</v>
      </c>
      <c r="AJ4017" s="3" t="s">
        <v>8226</v>
      </c>
      <c r="AK4017" t="s">
        <v>8671</v>
      </c>
    </row>
    <row r="4018" spans="29:37" ht="13.5">
      <c r="AC4018" s="6" t="s">
        <v>4339</v>
      </c>
      <c r="AD4018" s="6" t="s">
        <v>7610</v>
      </c>
      <c r="AE4018" s="155" t="s">
        <v>379</v>
      </c>
      <c r="AF4018" s="159" t="s">
        <v>8339</v>
      </c>
      <c r="AG4018" s="160" t="s">
        <v>1089</v>
      </c>
      <c r="AH4018" s="194" t="s">
        <v>679</v>
      </c>
      <c r="AI4018" s="6" t="s">
        <v>1889</v>
      </c>
      <c r="AJ4018" s="3" t="s">
        <v>8217</v>
      </c>
      <c r="AK4018" t="s">
        <v>8668</v>
      </c>
    </row>
    <row r="4019" spans="29:37" ht="13.5">
      <c r="AC4019" s="6" t="s">
        <v>1541</v>
      </c>
      <c r="AD4019" s="6" t="s">
        <v>7587</v>
      </c>
      <c r="AE4019" s="155" t="s">
        <v>380</v>
      </c>
      <c r="AF4019" s="159" t="s">
        <v>8300</v>
      </c>
      <c r="AG4019" s="160" t="s">
        <v>1523</v>
      </c>
      <c r="AH4019" s="194" t="s">
        <v>678</v>
      </c>
      <c r="AI4019" s="6" t="s">
        <v>437</v>
      </c>
      <c r="AJ4019" s="3" t="s">
        <v>8195</v>
      </c>
      <c r="AK4019" t="s">
        <v>8195</v>
      </c>
    </row>
    <row r="4020" spans="29:37" ht="13.5">
      <c r="AC4020" s="6" t="s">
        <v>5083</v>
      </c>
      <c r="AD4020" s="6" t="s">
        <v>7587</v>
      </c>
      <c r="AE4020" s="155" t="s">
        <v>381</v>
      </c>
      <c r="AF4020" s="159" t="s">
        <v>8353</v>
      </c>
      <c r="AG4020" s="160" t="s">
        <v>3977</v>
      </c>
      <c r="AH4020" s="194" t="s">
        <v>678</v>
      </c>
      <c r="AI4020" s="6" t="s">
        <v>440</v>
      </c>
      <c r="AJ4020" s="3" t="s">
        <v>8195</v>
      </c>
      <c r="AK4020" t="s">
        <v>8195</v>
      </c>
    </row>
    <row r="4021" spans="29:37" ht="13.5">
      <c r="AC4021" s="6">
        <v>315322</v>
      </c>
      <c r="AD4021" s="6" t="s">
        <v>7584</v>
      </c>
      <c r="AE4021" s="155" t="s">
        <v>383</v>
      </c>
      <c r="AF4021" s="159" t="s">
        <v>8366</v>
      </c>
      <c r="AG4021" s="160" t="s">
        <v>1090</v>
      </c>
      <c r="AH4021" s="194" t="s">
        <v>678</v>
      </c>
      <c r="AI4021" s="6" t="s">
        <v>32</v>
      </c>
      <c r="AJ4021" s="3" t="s">
        <v>8208</v>
      </c>
      <c r="AK4021" t="s">
        <v>8667</v>
      </c>
    </row>
    <row r="4022" spans="29:37" ht="13.5">
      <c r="AC4022" s="6" t="s">
        <v>1583</v>
      </c>
      <c r="AD4022" s="6" t="s">
        <v>7611</v>
      </c>
      <c r="AE4022" s="155" t="s">
        <v>384</v>
      </c>
      <c r="AF4022" s="159" t="s">
        <v>8339</v>
      </c>
      <c r="AG4022" s="160" t="s">
        <v>1091</v>
      </c>
      <c r="AH4022" s="194" t="s">
        <v>678</v>
      </c>
      <c r="AI4022" s="6" t="s">
        <v>955</v>
      </c>
      <c r="AJ4022" s="3" t="s">
        <v>8228</v>
      </c>
      <c r="AK4022" t="s">
        <v>8228</v>
      </c>
    </row>
    <row r="4023" spans="29:37" ht="13.5">
      <c r="AC4023" s="6" t="s">
        <v>1135</v>
      </c>
      <c r="AD4023" s="6" t="s">
        <v>7612</v>
      </c>
      <c r="AE4023" s="155" t="s">
        <v>385</v>
      </c>
      <c r="AF4023" s="159" t="s">
        <v>8339</v>
      </c>
      <c r="AG4023" s="160" t="s">
        <v>1092</v>
      </c>
      <c r="AH4023" s="194" t="s">
        <v>4700</v>
      </c>
      <c r="AI4023" s="6" t="s">
        <v>2580</v>
      </c>
      <c r="AJ4023" s="3" t="s">
        <v>8226</v>
      </c>
      <c r="AK4023" t="s">
        <v>8671</v>
      </c>
    </row>
    <row r="4024" spans="29:37" ht="13.5">
      <c r="AC4024" s="6" t="s">
        <v>6676</v>
      </c>
      <c r="AD4024" s="6" t="s">
        <v>7613</v>
      </c>
      <c r="AE4024" s="155" t="s">
        <v>386</v>
      </c>
      <c r="AF4024" s="159" t="s">
        <v>8339</v>
      </c>
      <c r="AG4024" s="160" t="s">
        <v>975</v>
      </c>
      <c r="AH4024" s="194" t="s">
        <v>678</v>
      </c>
      <c r="AI4024" s="6" t="s">
        <v>3821</v>
      </c>
      <c r="AJ4024" s="3" t="s">
        <v>8218</v>
      </c>
      <c r="AK4024" t="s">
        <v>8218</v>
      </c>
    </row>
    <row r="4025" spans="29:37" ht="13.5">
      <c r="AC4025" s="6" t="s">
        <v>1537</v>
      </c>
      <c r="AD4025" s="6" t="s">
        <v>7587</v>
      </c>
      <c r="AE4025" s="155" t="s">
        <v>387</v>
      </c>
      <c r="AF4025" s="159" t="s">
        <v>8300</v>
      </c>
      <c r="AG4025" s="160" t="s">
        <v>4705</v>
      </c>
      <c r="AH4025" s="194" t="s">
        <v>678</v>
      </c>
      <c r="AI4025" s="6" t="s">
        <v>6706</v>
      </c>
      <c r="AJ4025" s="3" t="s">
        <v>8197</v>
      </c>
      <c r="AK4025" t="s">
        <v>8197</v>
      </c>
    </row>
    <row r="4026" spans="29:37" ht="13.5">
      <c r="AC4026" s="6" t="s">
        <v>6677</v>
      </c>
      <c r="AD4026" s="6" t="s">
        <v>7613</v>
      </c>
      <c r="AE4026" s="155" t="s">
        <v>388</v>
      </c>
      <c r="AF4026" s="159" t="s">
        <v>8300</v>
      </c>
      <c r="AG4026" s="160" t="s">
        <v>1274</v>
      </c>
      <c r="AH4026" s="194" t="s">
        <v>678</v>
      </c>
      <c r="AI4026" s="6" t="s">
        <v>2927</v>
      </c>
      <c r="AJ4026" s="3" t="s">
        <v>8211</v>
      </c>
      <c r="AK4026" t="s">
        <v>8242</v>
      </c>
    </row>
    <row r="4027" spans="29:37" ht="13.5">
      <c r="AC4027" s="6" t="s">
        <v>5494</v>
      </c>
      <c r="AD4027" s="6" t="s">
        <v>7587</v>
      </c>
      <c r="AE4027" s="155" t="s">
        <v>1377</v>
      </c>
      <c r="AF4027" s="159" t="s">
        <v>8332</v>
      </c>
      <c r="AG4027" s="160" t="s">
        <v>967</v>
      </c>
      <c r="AH4027" s="194" t="s">
        <v>678</v>
      </c>
      <c r="AI4027" s="6" t="s">
        <v>2975</v>
      </c>
      <c r="AJ4027" s="3" t="s">
        <v>8205</v>
      </c>
      <c r="AK4027" t="s">
        <v>8211</v>
      </c>
    </row>
    <row r="4028" spans="29:37" ht="13.5">
      <c r="AC4028" s="6" t="s">
        <v>4736</v>
      </c>
      <c r="AD4028" s="6" t="s">
        <v>7587</v>
      </c>
      <c r="AE4028" s="155" t="s">
        <v>1378</v>
      </c>
      <c r="AF4028" s="159" t="s">
        <v>8339</v>
      </c>
      <c r="AG4028" s="160" t="s">
        <v>1275</v>
      </c>
      <c r="AH4028" s="194" t="s">
        <v>678</v>
      </c>
      <c r="AI4028" s="6" t="s">
        <v>403</v>
      </c>
      <c r="AJ4028" s="3" t="s">
        <v>8207</v>
      </c>
      <c r="AK4028" t="s">
        <v>8207</v>
      </c>
    </row>
    <row r="4029" spans="29:37" ht="13.5">
      <c r="AC4029" s="6" t="s">
        <v>1565</v>
      </c>
      <c r="AD4029" s="6" t="s">
        <v>7587</v>
      </c>
      <c r="AE4029" s="155" t="s">
        <v>389</v>
      </c>
      <c r="AF4029" s="159" t="s">
        <v>8339</v>
      </c>
      <c r="AG4029" s="160" t="s">
        <v>1093</v>
      </c>
      <c r="AH4029" s="194" t="s">
        <v>4700</v>
      </c>
      <c r="AI4029" s="6" t="s">
        <v>406</v>
      </c>
      <c r="AJ4029" s="3" t="s">
        <v>8196</v>
      </c>
      <c r="AK4029" t="s">
        <v>8196</v>
      </c>
    </row>
    <row r="4030" spans="29:37" ht="13.5">
      <c r="AC4030" s="6" t="s">
        <v>1567</v>
      </c>
      <c r="AD4030" s="6" t="s">
        <v>7587</v>
      </c>
      <c r="AE4030" s="155" t="s">
        <v>390</v>
      </c>
      <c r="AF4030" s="159" t="s">
        <v>8300</v>
      </c>
      <c r="AG4030" s="160" t="s">
        <v>1094</v>
      </c>
      <c r="AH4030" s="194" t="s">
        <v>678</v>
      </c>
      <c r="AI4030" s="6" t="s">
        <v>456</v>
      </c>
      <c r="AJ4030" s="3" t="s">
        <v>8208</v>
      </c>
      <c r="AK4030" t="s">
        <v>8667</v>
      </c>
    </row>
    <row r="4031" spans="29:37" ht="13.5">
      <c r="AC4031" s="6" t="s">
        <v>1589</v>
      </c>
      <c r="AD4031" s="6" t="s">
        <v>7587</v>
      </c>
      <c r="AE4031" s="155" t="s">
        <v>392</v>
      </c>
      <c r="AF4031" s="159" t="s">
        <v>8339</v>
      </c>
      <c r="AG4031" s="160" t="s">
        <v>976</v>
      </c>
      <c r="AH4031" s="194" t="s">
        <v>678</v>
      </c>
      <c r="AI4031" s="6" t="s">
        <v>473</v>
      </c>
      <c r="AJ4031" s="3" t="s">
        <v>8209</v>
      </c>
      <c r="AK4031" t="s">
        <v>8209</v>
      </c>
    </row>
    <row r="4032" spans="29:37" ht="13.5">
      <c r="AC4032" s="6" t="s">
        <v>6678</v>
      </c>
      <c r="AD4032" s="6" t="s">
        <v>7614</v>
      </c>
      <c r="AE4032" s="155" t="s">
        <v>393</v>
      </c>
      <c r="AF4032" s="159" t="s">
        <v>8300</v>
      </c>
      <c r="AG4032" s="160" t="s">
        <v>5415</v>
      </c>
      <c r="AH4032" s="194" t="s">
        <v>679</v>
      </c>
      <c r="AI4032" s="6" t="s">
        <v>524</v>
      </c>
      <c r="AJ4032" s="3" t="s">
        <v>8200</v>
      </c>
      <c r="AK4032" t="s">
        <v>8200</v>
      </c>
    </row>
    <row r="4033" spans="29:37" ht="13.5">
      <c r="AC4033" s="6" t="s">
        <v>5207</v>
      </c>
      <c r="AD4033" s="6" t="s">
        <v>7593</v>
      </c>
      <c r="AE4033" s="155" t="s">
        <v>394</v>
      </c>
      <c r="AF4033" s="159" t="s">
        <v>8339</v>
      </c>
      <c r="AG4033" s="160" t="s">
        <v>1524</v>
      </c>
      <c r="AH4033" s="194" t="s">
        <v>678</v>
      </c>
      <c r="AI4033" s="6" t="s">
        <v>525</v>
      </c>
      <c r="AJ4033" s="3" t="s">
        <v>8200</v>
      </c>
      <c r="AK4033" t="s">
        <v>8200</v>
      </c>
    </row>
    <row r="4034" spans="29:37" ht="13.5">
      <c r="AC4034" s="6" t="s">
        <v>4739</v>
      </c>
      <c r="AD4034" s="6" t="s">
        <v>7587</v>
      </c>
      <c r="AE4034" s="155" t="s">
        <v>1032</v>
      </c>
      <c r="AF4034" s="159" t="s">
        <v>8342</v>
      </c>
      <c r="AG4034" s="160" t="s">
        <v>1525</v>
      </c>
      <c r="AH4034" s="194" t="s">
        <v>678</v>
      </c>
      <c r="AI4034" s="6" t="s">
        <v>1439</v>
      </c>
      <c r="AJ4034" s="3" t="s">
        <v>8208</v>
      </c>
      <c r="AK4034" t="s">
        <v>8667</v>
      </c>
    </row>
    <row r="4035" spans="29:37" ht="13.5">
      <c r="AC4035" s="6" t="s">
        <v>5143</v>
      </c>
      <c r="AD4035" s="6" t="s">
        <v>7587</v>
      </c>
      <c r="AE4035" s="155" t="s">
        <v>395</v>
      </c>
      <c r="AF4035" s="159" t="s">
        <v>8339</v>
      </c>
      <c r="AG4035" s="160" t="s">
        <v>1095</v>
      </c>
      <c r="AH4035" s="194" t="s">
        <v>678</v>
      </c>
      <c r="AI4035" s="6" t="s">
        <v>548</v>
      </c>
      <c r="AJ4035" s="3" t="s">
        <v>8228</v>
      </c>
      <c r="AK4035" t="s">
        <v>8228</v>
      </c>
    </row>
    <row r="4036" spans="29:37" ht="13.5">
      <c r="AC4036" s="6" t="s">
        <v>4744</v>
      </c>
      <c r="AD4036" s="6" t="s">
        <v>7587</v>
      </c>
      <c r="AE4036" s="155" t="s">
        <v>396</v>
      </c>
      <c r="AF4036" s="159" t="s">
        <v>8312</v>
      </c>
      <c r="AG4036" s="160" t="s">
        <v>982</v>
      </c>
      <c r="AH4036" s="194" t="s">
        <v>4700</v>
      </c>
      <c r="AI4036" s="6" t="s">
        <v>563</v>
      </c>
      <c r="AJ4036" s="3" t="s">
        <v>8196</v>
      </c>
      <c r="AK4036" t="s">
        <v>8196</v>
      </c>
    </row>
    <row r="4037" spans="29:37" ht="13.5">
      <c r="AC4037" s="6" t="s">
        <v>1158</v>
      </c>
      <c r="AD4037" s="6" t="s">
        <v>7615</v>
      </c>
      <c r="AE4037" s="155" t="s">
        <v>9</v>
      </c>
      <c r="AF4037" s="159" t="s">
        <v>8339</v>
      </c>
      <c r="AG4037" s="160" t="s">
        <v>1096</v>
      </c>
      <c r="AH4037" s="194" t="s">
        <v>679</v>
      </c>
      <c r="AI4037" s="6" t="s">
        <v>5286</v>
      </c>
      <c r="AJ4037" s="3" t="s">
        <v>8208</v>
      </c>
      <c r="AK4037" t="s">
        <v>8667</v>
      </c>
    </row>
    <row r="4038" spans="29:37" ht="13.5">
      <c r="AC4038" s="6" t="s">
        <v>6679</v>
      </c>
      <c r="AD4038" s="6" t="s">
        <v>7587</v>
      </c>
      <c r="AE4038" s="155" t="s">
        <v>4513</v>
      </c>
      <c r="AF4038" s="159" t="s">
        <v>8300</v>
      </c>
      <c r="AG4038" s="160" t="s">
        <v>4738</v>
      </c>
      <c r="AH4038" s="194" t="s">
        <v>678</v>
      </c>
      <c r="AI4038" s="6" t="s">
        <v>642</v>
      </c>
      <c r="AJ4038" s="3" t="s">
        <v>8216</v>
      </c>
      <c r="AK4038" t="s">
        <v>8216</v>
      </c>
    </row>
    <row r="4039" spans="29:37" ht="13.5">
      <c r="AC4039" s="6" t="s">
        <v>6680</v>
      </c>
      <c r="AD4039" s="6" t="s">
        <v>7587</v>
      </c>
      <c r="AE4039" s="155" t="s">
        <v>945</v>
      </c>
      <c r="AF4039" s="159" t="s">
        <v>8300</v>
      </c>
      <c r="AG4039" s="160" t="s">
        <v>1097</v>
      </c>
      <c r="AH4039" s="194" t="s">
        <v>678</v>
      </c>
      <c r="AI4039" s="6" t="s">
        <v>1631</v>
      </c>
      <c r="AJ4039" s="3" t="s">
        <v>8198</v>
      </c>
      <c r="AK4039" t="s">
        <v>8198</v>
      </c>
    </row>
    <row r="4040" spans="29:37" ht="13.5">
      <c r="AC4040" s="6" t="s">
        <v>4348</v>
      </c>
      <c r="AD4040" s="6" t="s">
        <v>7616</v>
      </c>
      <c r="AE4040" s="155" t="s">
        <v>1033</v>
      </c>
      <c r="AF4040" s="159" t="s">
        <v>8300</v>
      </c>
      <c r="AG4040" s="160" t="s">
        <v>1276</v>
      </c>
      <c r="AH4040" s="194" t="s">
        <v>678</v>
      </c>
      <c r="AI4040" s="6" t="s">
        <v>3744</v>
      </c>
      <c r="AJ4040" s="3" t="s">
        <v>8218</v>
      </c>
      <c r="AK4040" t="s">
        <v>8218</v>
      </c>
    </row>
    <row r="4041" spans="29:37" ht="13.5">
      <c r="AC4041" s="6" t="s">
        <v>4750</v>
      </c>
      <c r="AD4041" s="6" t="s">
        <v>7587</v>
      </c>
      <c r="AE4041" s="155" t="s">
        <v>398</v>
      </c>
      <c r="AF4041" s="159" t="s">
        <v>8299</v>
      </c>
      <c r="AG4041" s="160" t="s">
        <v>1098</v>
      </c>
      <c r="AH4041" s="194" t="s">
        <v>678</v>
      </c>
      <c r="AI4041" s="6" t="s">
        <v>3749</v>
      </c>
      <c r="AJ4041" s="3" t="s">
        <v>8244</v>
      </c>
      <c r="AK4041" t="s">
        <v>8244</v>
      </c>
    </row>
    <row r="4042" spans="29:37" ht="13.5">
      <c r="AC4042" s="6" t="s">
        <v>6681</v>
      </c>
      <c r="AD4042" s="6" t="s">
        <v>7587</v>
      </c>
      <c r="AE4042" s="155" t="s">
        <v>3971</v>
      </c>
      <c r="AF4042" s="159" t="s">
        <v>8300</v>
      </c>
      <c r="AG4042" s="160" t="s">
        <v>1655</v>
      </c>
      <c r="AH4042" s="194" t="s">
        <v>678</v>
      </c>
      <c r="AI4042" s="6" t="s">
        <v>1883</v>
      </c>
      <c r="AJ4042" s="3" t="s">
        <v>8234</v>
      </c>
      <c r="AK4042" t="s">
        <v>8234</v>
      </c>
    </row>
    <row r="4043" spans="29:37" ht="13.5">
      <c r="AC4043" s="6" t="s">
        <v>4777</v>
      </c>
      <c r="AD4043" s="6" t="s">
        <v>7601</v>
      </c>
      <c r="AE4043" s="155" t="s">
        <v>399</v>
      </c>
      <c r="AF4043" s="159" t="s">
        <v>8300</v>
      </c>
      <c r="AG4043" s="160" t="s">
        <v>1099</v>
      </c>
      <c r="AH4043" s="194" t="s">
        <v>678</v>
      </c>
      <c r="AI4043" s="6" t="s">
        <v>338</v>
      </c>
      <c r="AJ4043" s="3" t="s">
        <v>8208</v>
      </c>
      <c r="AK4043" t="s">
        <v>8667</v>
      </c>
    </row>
    <row r="4044" spans="29:37" ht="13.5">
      <c r="AC4044" s="6" t="s">
        <v>4741</v>
      </c>
      <c r="AD4044" s="6" t="s">
        <v>7587</v>
      </c>
      <c r="AE4044" s="155" t="s">
        <v>400</v>
      </c>
      <c r="AF4044" s="159" t="s">
        <v>8347</v>
      </c>
      <c r="AG4044" s="160" t="s">
        <v>1653</v>
      </c>
      <c r="AH4044" s="194" t="s">
        <v>678</v>
      </c>
      <c r="AI4044" s="6" t="s">
        <v>447</v>
      </c>
      <c r="AJ4044" s="3" t="s">
        <v>8208</v>
      </c>
      <c r="AK4044" t="s">
        <v>8667</v>
      </c>
    </row>
    <row r="4045" spans="29:37" ht="13.5">
      <c r="AC4045" s="6" t="s">
        <v>992</v>
      </c>
      <c r="AD4045" s="6" t="s">
        <v>7587</v>
      </c>
      <c r="AE4045" s="155" t="s">
        <v>401</v>
      </c>
      <c r="AF4045" s="159" t="s">
        <v>8339</v>
      </c>
      <c r="AG4045" s="160" t="s">
        <v>1652</v>
      </c>
      <c r="AH4045" s="194" t="s">
        <v>678</v>
      </c>
      <c r="AI4045" s="6" t="s">
        <v>881</v>
      </c>
      <c r="AJ4045" s="3" t="s">
        <v>8215</v>
      </c>
      <c r="AK4045" t="s">
        <v>8215</v>
      </c>
    </row>
    <row r="4046" spans="29:37" ht="13.5">
      <c r="AC4046" s="6" t="s">
        <v>1590</v>
      </c>
      <c r="AD4046" s="6" t="s">
        <v>7587</v>
      </c>
      <c r="AE4046" s="155" t="s">
        <v>402</v>
      </c>
      <c r="AF4046" s="159" t="s">
        <v>8299</v>
      </c>
      <c r="AG4046" s="160" t="s">
        <v>1100</v>
      </c>
      <c r="AH4046" s="194" t="s">
        <v>678</v>
      </c>
      <c r="AI4046" s="6" t="s">
        <v>3709</v>
      </c>
      <c r="AJ4046" s="3" t="s">
        <v>8245</v>
      </c>
      <c r="AK4046" t="s">
        <v>8676</v>
      </c>
    </row>
    <row r="4047" spans="29:37" ht="13.5">
      <c r="AC4047" s="6" t="s">
        <v>1538</v>
      </c>
      <c r="AD4047" s="6" t="s">
        <v>7587</v>
      </c>
      <c r="AE4047" s="155" t="s">
        <v>403</v>
      </c>
      <c r="AF4047" s="159" t="s">
        <v>8339</v>
      </c>
      <c r="AG4047" s="160" t="s">
        <v>1660</v>
      </c>
      <c r="AH4047" s="194" t="s">
        <v>678</v>
      </c>
      <c r="AI4047" s="6" t="s">
        <v>726</v>
      </c>
      <c r="AJ4047" s="3" t="s">
        <v>8234</v>
      </c>
      <c r="AK4047" t="s">
        <v>8234</v>
      </c>
    </row>
    <row r="4048" spans="29:37" ht="13.5">
      <c r="AC4048" s="6" t="s">
        <v>152</v>
      </c>
      <c r="AD4048" s="6" t="s">
        <v>7587</v>
      </c>
      <c r="AE4048" s="155" t="s">
        <v>404</v>
      </c>
      <c r="AF4048" s="159" t="s">
        <v>8297</v>
      </c>
      <c r="AG4048" s="160" t="s">
        <v>1186</v>
      </c>
      <c r="AH4048" s="194" t="s">
        <v>678</v>
      </c>
      <c r="AI4048" s="6" t="s">
        <v>3173</v>
      </c>
      <c r="AJ4048" s="3" t="s">
        <v>8193</v>
      </c>
      <c r="AK4048" t="s">
        <v>8205</v>
      </c>
    </row>
    <row r="4049" spans="29:37" ht="13.5">
      <c r="AC4049" s="6" t="s">
        <v>6682</v>
      </c>
      <c r="AD4049" s="6" t="s">
        <v>7587</v>
      </c>
      <c r="AE4049" s="155" t="s">
        <v>405</v>
      </c>
      <c r="AF4049" s="159" t="s">
        <v>8300</v>
      </c>
      <c r="AG4049" s="160" t="s">
        <v>1101</v>
      </c>
      <c r="AH4049" s="194" t="s">
        <v>678</v>
      </c>
      <c r="AI4049" s="6" t="s">
        <v>475</v>
      </c>
      <c r="AJ4049" s="3" t="s">
        <v>8228</v>
      </c>
      <c r="AK4049" t="s">
        <v>8228</v>
      </c>
    </row>
    <row r="4050" spans="29:37" ht="13.5">
      <c r="AC4050" s="6" t="s">
        <v>5295</v>
      </c>
      <c r="AD4050" s="6" t="s">
        <v>7587</v>
      </c>
      <c r="AE4050" s="155" t="s">
        <v>406</v>
      </c>
      <c r="AF4050" s="159" t="s">
        <v>8342</v>
      </c>
      <c r="AG4050" s="160" t="s">
        <v>1102</v>
      </c>
      <c r="AH4050" s="194" t="s">
        <v>678</v>
      </c>
      <c r="AI4050" s="6" t="s">
        <v>590</v>
      </c>
      <c r="AJ4050" s="3" t="s">
        <v>8208</v>
      </c>
      <c r="AK4050" t="s">
        <v>8667</v>
      </c>
    </row>
    <row r="4051" spans="29:37" ht="13.5">
      <c r="AC4051" s="6" t="s">
        <v>1536</v>
      </c>
      <c r="AD4051" s="6" t="s">
        <v>7587</v>
      </c>
      <c r="AE4051" s="155" t="s">
        <v>4724</v>
      </c>
      <c r="AF4051" s="159" t="s">
        <v>8300</v>
      </c>
      <c r="AG4051" s="160" t="s">
        <v>1279</v>
      </c>
      <c r="AH4051" s="194" t="s">
        <v>678</v>
      </c>
      <c r="AI4051" s="6" t="s">
        <v>1189</v>
      </c>
      <c r="AJ4051" s="3" t="s">
        <v>8228</v>
      </c>
      <c r="AK4051" t="s">
        <v>8228</v>
      </c>
    </row>
    <row r="4052" spans="29:37" ht="13.5">
      <c r="AC4052" s="6" t="s">
        <v>6683</v>
      </c>
      <c r="AD4052" s="6" t="s">
        <v>7587</v>
      </c>
      <c r="AE4052" s="155" t="s">
        <v>1379</v>
      </c>
      <c r="AF4052" s="159" t="s">
        <v>8300</v>
      </c>
      <c r="AG4052" s="160" t="s">
        <v>1667</v>
      </c>
      <c r="AH4052" s="194" t="s">
        <v>678</v>
      </c>
      <c r="AI4052" s="6" t="s">
        <v>4737</v>
      </c>
      <c r="AJ4052" s="3" t="s">
        <v>8208</v>
      </c>
      <c r="AK4052" t="s">
        <v>8667</v>
      </c>
    </row>
    <row r="4053" spans="29:37" ht="13.5">
      <c r="AC4053" s="6" t="s">
        <v>4729</v>
      </c>
      <c r="AD4053" s="6" t="s">
        <v>7587</v>
      </c>
      <c r="AE4053" s="155" t="s">
        <v>1380</v>
      </c>
      <c r="AF4053" s="159" t="s">
        <v>8299</v>
      </c>
      <c r="AG4053" s="160" t="s">
        <v>1662</v>
      </c>
      <c r="AH4053" s="194" t="s">
        <v>678</v>
      </c>
      <c r="AI4053" s="6" t="s">
        <v>463</v>
      </c>
      <c r="AJ4053" s="3" t="s">
        <v>8208</v>
      </c>
      <c r="AK4053" t="s">
        <v>8667</v>
      </c>
    </row>
    <row r="4054" spans="29:37" ht="13.5">
      <c r="AC4054" s="6" t="s">
        <v>6684</v>
      </c>
      <c r="AD4054" s="6" t="s">
        <v>7587</v>
      </c>
      <c r="AE4054" s="155" t="s">
        <v>1381</v>
      </c>
      <c r="AF4054" s="159" t="s">
        <v>8339</v>
      </c>
      <c r="AG4054" s="160" t="s">
        <v>1668</v>
      </c>
      <c r="AH4054" s="194" t="s">
        <v>678</v>
      </c>
      <c r="AI4054" s="6" t="s">
        <v>452</v>
      </c>
      <c r="AJ4054" s="3" t="s">
        <v>8208</v>
      </c>
      <c r="AK4054" t="s">
        <v>8667</v>
      </c>
    </row>
    <row r="4055" spans="29:37" ht="13.5">
      <c r="AC4055" s="6" t="s">
        <v>1011</v>
      </c>
      <c r="AD4055" s="6" t="s">
        <v>7587</v>
      </c>
      <c r="AE4055" s="155" t="s">
        <v>407</v>
      </c>
      <c r="AF4055" s="159" t="s">
        <v>8513</v>
      </c>
      <c r="AG4055" s="160" t="s">
        <v>1665</v>
      </c>
      <c r="AH4055" s="194" t="s">
        <v>678</v>
      </c>
      <c r="AI4055" s="6" t="s">
        <v>517</v>
      </c>
      <c r="AJ4055" s="3" t="s">
        <v>8207</v>
      </c>
      <c r="AK4055" t="s">
        <v>8207</v>
      </c>
    </row>
    <row r="4056" spans="29:37" ht="13.5">
      <c r="AC4056" s="6" t="s">
        <v>5281</v>
      </c>
      <c r="AD4056" s="6" t="s">
        <v>7587</v>
      </c>
      <c r="AE4056" s="155" t="s">
        <v>1034</v>
      </c>
      <c r="AF4056" s="159" t="s">
        <v>8300</v>
      </c>
      <c r="AG4056" s="160" t="s">
        <v>1103</v>
      </c>
      <c r="AH4056" s="194" t="s">
        <v>678</v>
      </c>
      <c r="AI4056" s="6" t="s">
        <v>3716</v>
      </c>
      <c r="AJ4056" s="3" t="s">
        <v>8244</v>
      </c>
      <c r="AK4056" t="s">
        <v>8244</v>
      </c>
    </row>
    <row r="4057" spans="29:37" ht="13.5">
      <c r="AC4057" s="6" t="s">
        <v>1543</v>
      </c>
      <c r="AD4057" s="6" t="s">
        <v>7587</v>
      </c>
      <c r="AE4057" s="155" t="s">
        <v>408</v>
      </c>
      <c r="AF4057" s="159" t="s">
        <v>8546</v>
      </c>
      <c r="AG4057" s="160" t="s">
        <v>1104</v>
      </c>
      <c r="AH4057" s="194" t="s">
        <v>678</v>
      </c>
      <c r="AI4057" s="6" t="s">
        <v>2317</v>
      </c>
      <c r="AJ4057" s="3" t="s">
        <v>8206</v>
      </c>
      <c r="AK4057" t="s">
        <v>8206</v>
      </c>
    </row>
    <row r="4058" spans="29:37" ht="13.5">
      <c r="AC4058" s="6" t="s">
        <v>5124</v>
      </c>
      <c r="AD4058" s="6" t="s">
        <v>7617</v>
      </c>
      <c r="AE4058" s="155" t="s">
        <v>409</v>
      </c>
      <c r="AF4058" s="159" t="s">
        <v>8300</v>
      </c>
      <c r="AG4058" s="160" t="s">
        <v>1197</v>
      </c>
      <c r="AH4058" s="194" t="s">
        <v>679</v>
      </c>
      <c r="AI4058" s="6" t="s">
        <v>4719</v>
      </c>
      <c r="AJ4058" s="3" t="s">
        <v>8195</v>
      </c>
      <c r="AK4058" t="s">
        <v>8195</v>
      </c>
    </row>
    <row r="4059" spans="29:37" ht="13.5">
      <c r="AC4059" s="6" t="s">
        <v>4780</v>
      </c>
      <c r="AD4059" s="6" t="s">
        <v>7611</v>
      </c>
      <c r="AE4059" s="155" t="s">
        <v>1382</v>
      </c>
      <c r="AF4059" s="159" t="s">
        <v>8347</v>
      </c>
      <c r="AG4059" s="160" t="s">
        <v>1201</v>
      </c>
      <c r="AH4059" s="194" t="s">
        <v>4700</v>
      </c>
      <c r="AI4059" s="6" t="s">
        <v>644</v>
      </c>
      <c r="AJ4059" s="3" t="s">
        <v>8216</v>
      </c>
      <c r="AK4059" t="s">
        <v>8216</v>
      </c>
    </row>
    <row r="4060" spans="29:37" ht="13.5">
      <c r="AC4060" s="6" t="s">
        <v>15</v>
      </c>
      <c r="AD4060" s="6" t="s">
        <v>7607</v>
      </c>
      <c r="AE4060" s="155" t="s">
        <v>410</v>
      </c>
      <c r="AF4060" s="159" t="s">
        <v>8300</v>
      </c>
      <c r="AG4060" s="160" t="s">
        <v>5416</v>
      </c>
      <c r="AH4060" s="194" t="s">
        <v>678</v>
      </c>
      <c r="AI4060" s="6" t="s">
        <v>3699</v>
      </c>
      <c r="AJ4060" s="3" t="s">
        <v>8245</v>
      </c>
      <c r="AK4060" t="s">
        <v>8676</v>
      </c>
    </row>
    <row r="4061" spans="29:37" ht="13.5">
      <c r="AC4061" s="6" t="s">
        <v>147</v>
      </c>
      <c r="AD4061" s="6" t="s">
        <v>7618</v>
      </c>
      <c r="AE4061" s="155" t="s">
        <v>411</v>
      </c>
      <c r="AF4061" s="159" t="s">
        <v>8300</v>
      </c>
      <c r="AG4061" s="160" t="s">
        <v>1190</v>
      </c>
      <c r="AH4061" s="194" t="s">
        <v>678</v>
      </c>
      <c r="AI4061" s="6" t="s">
        <v>3720</v>
      </c>
      <c r="AJ4061" s="3" t="s">
        <v>8218</v>
      </c>
      <c r="AK4061" t="s">
        <v>8218</v>
      </c>
    </row>
    <row r="4062" spans="29:37" ht="13.5">
      <c r="AC4062" s="6" t="s">
        <v>959</v>
      </c>
      <c r="AD4062" s="6" t="s">
        <v>7587</v>
      </c>
      <c r="AE4062" s="155" t="s">
        <v>412</v>
      </c>
      <c r="AF4062" s="159" t="s">
        <v>8300</v>
      </c>
      <c r="AG4062" s="160" t="s">
        <v>4433</v>
      </c>
      <c r="AH4062" s="194" t="s">
        <v>679</v>
      </c>
      <c r="AI4062" s="6" t="s">
        <v>43</v>
      </c>
      <c r="AJ4062" s="3" t="s">
        <v>8218</v>
      </c>
      <c r="AK4062" t="s">
        <v>8218</v>
      </c>
    </row>
    <row r="4063" spans="29:37" ht="13.5">
      <c r="AC4063" s="6" t="s">
        <v>6685</v>
      </c>
      <c r="AD4063" s="6" t="s">
        <v>7587</v>
      </c>
      <c r="AE4063" s="155" t="s">
        <v>413</v>
      </c>
      <c r="AF4063" s="159" t="s">
        <v>8296</v>
      </c>
      <c r="AG4063" s="160" t="s">
        <v>1528</v>
      </c>
      <c r="AH4063" s="194" t="s">
        <v>679</v>
      </c>
      <c r="AI4063" s="6" t="s">
        <v>3799</v>
      </c>
      <c r="AJ4063" s="3" t="s">
        <v>8199</v>
      </c>
      <c r="AK4063" t="s">
        <v>8199</v>
      </c>
    </row>
    <row r="4064" spans="29:37" ht="13.5">
      <c r="AC4064" s="6" t="s">
        <v>1533</v>
      </c>
      <c r="AD4064" s="6" t="s">
        <v>7587</v>
      </c>
      <c r="AE4064" s="155" t="s">
        <v>414</v>
      </c>
      <c r="AF4064" s="159" t="s">
        <v>8339</v>
      </c>
      <c r="AG4064" s="160" t="s">
        <v>1654</v>
      </c>
      <c r="AH4064" s="194" t="s">
        <v>678</v>
      </c>
      <c r="AI4064" s="6" t="s">
        <v>3812</v>
      </c>
      <c r="AJ4064" s="3" t="s">
        <v>8218</v>
      </c>
      <c r="AK4064" t="s">
        <v>8218</v>
      </c>
    </row>
    <row r="4065" spans="29:37" ht="13.5">
      <c r="AC4065" s="6" t="s">
        <v>4731</v>
      </c>
      <c r="AD4065" s="6" t="s">
        <v>7587</v>
      </c>
      <c r="AE4065" s="155" t="s">
        <v>415</v>
      </c>
      <c r="AF4065" s="159" t="s">
        <v>8339</v>
      </c>
      <c r="AG4065" s="160" t="s">
        <v>1105</v>
      </c>
      <c r="AH4065" s="194" t="s">
        <v>678</v>
      </c>
      <c r="AI4065" s="6" t="s">
        <v>1594</v>
      </c>
      <c r="AJ4065" s="3" t="s">
        <v>8197</v>
      </c>
      <c r="AK4065" t="s">
        <v>8197</v>
      </c>
    </row>
    <row r="4066" spans="29:37" ht="13.5">
      <c r="AC4066" s="6" t="s">
        <v>5284</v>
      </c>
      <c r="AD4066" s="6" t="s">
        <v>7587</v>
      </c>
      <c r="AE4066" s="155" t="s">
        <v>8</v>
      </c>
      <c r="AF4066" s="159" t="s">
        <v>8300</v>
      </c>
      <c r="AG4066" s="160" t="s">
        <v>1670</v>
      </c>
      <c r="AH4066" s="194" t="s">
        <v>678</v>
      </c>
      <c r="AI4066" s="6" t="s">
        <v>6695</v>
      </c>
      <c r="AJ4066" s="3" t="s">
        <v>8197</v>
      </c>
      <c r="AK4066" t="s">
        <v>8197</v>
      </c>
    </row>
    <row r="4067" spans="29:37" ht="13.5">
      <c r="AC4067" s="6" t="s">
        <v>5302</v>
      </c>
      <c r="AD4067" s="6" t="s">
        <v>7587</v>
      </c>
      <c r="AE4067" s="155" t="s">
        <v>416</v>
      </c>
      <c r="AF4067" s="159" t="s">
        <v>8300</v>
      </c>
      <c r="AG4067" s="160" t="s">
        <v>3978</v>
      </c>
      <c r="AH4067" s="194" t="s">
        <v>4700</v>
      </c>
      <c r="AI4067" s="6" t="s">
        <v>687</v>
      </c>
      <c r="AJ4067" s="3" t="s">
        <v>8273</v>
      </c>
      <c r="AK4067" t="s">
        <v>8273</v>
      </c>
    </row>
    <row r="4068" spans="29:37" ht="13.5">
      <c r="AC4068" s="6" t="s">
        <v>1534</v>
      </c>
      <c r="AD4068" s="6" t="s">
        <v>7587</v>
      </c>
      <c r="AE4068" s="155" t="s">
        <v>14</v>
      </c>
      <c r="AF4068" s="159" t="s">
        <v>8339</v>
      </c>
      <c r="AG4068" s="160" t="s">
        <v>971</v>
      </c>
      <c r="AH4068" s="194" t="s">
        <v>678</v>
      </c>
      <c r="AI4068" s="6" t="s">
        <v>3141</v>
      </c>
      <c r="AJ4068" s="3" t="s">
        <v>8193</v>
      </c>
      <c r="AK4068" t="s">
        <v>8205</v>
      </c>
    </row>
    <row r="4069" spans="29:37" ht="13.5">
      <c r="AC4069" s="6">
        <v>525366</v>
      </c>
      <c r="AD4069" s="6" t="s">
        <v>7619</v>
      </c>
      <c r="AE4069" s="155" t="s">
        <v>1383</v>
      </c>
      <c r="AF4069" s="159" t="s">
        <v>8300</v>
      </c>
      <c r="AG4069" s="160" t="s">
        <v>4452</v>
      </c>
      <c r="AH4069" s="194" t="s">
        <v>679</v>
      </c>
      <c r="AI4069" s="6" t="s">
        <v>3366</v>
      </c>
      <c r="AJ4069" s="3" t="s">
        <v>8203</v>
      </c>
      <c r="AK4069" t="s">
        <v>8203</v>
      </c>
    </row>
    <row r="4070" spans="29:37" ht="13.5">
      <c r="AC4070" s="6" t="s">
        <v>6686</v>
      </c>
      <c r="AD4070" s="6" t="s">
        <v>7587</v>
      </c>
      <c r="AE4070" s="155" t="s">
        <v>1384</v>
      </c>
      <c r="AF4070" s="159" t="s">
        <v>8300</v>
      </c>
      <c r="AG4070" s="160" t="s">
        <v>4710</v>
      </c>
      <c r="AH4070" s="194" t="s">
        <v>678</v>
      </c>
      <c r="AI4070" s="6" t="s">
        <v>1351</v>
      </c>
      <c r="AJ4070" s="3" t="s">
        <v>8196</v>
      </c>
      <c r="AK4070" t="s">
        <v>8196</v>
      </c>
    </row>
    <row r="4071" spans="29:37" ht="13.5">
      <c r="AC4071" s="6" t="s">
        <v>4772</v>
      </c>
      <c r="AD4071" s="6" t="s">
        <v>7611</v>
      </c>
      <c r="AE4071" s="155" t="s">
        <v>417</v>
      </c>
      <c r="AF4071" s="159" t="s">
        <v>8340</v>
      </c>
      <c r="AG4071" s="160" t="s">
        <v>5417</v>
      </c>
      <c r="AH4071" s="194" t="s">
        <v>678</v>
      </c>
      <c r="AI4071" s="6" t="s">
        <v>1357</v>
      </c>
      <c r="AJ4071" s="3" t="s">
        <v>8196</v>
      </c>
      <c r="AK4071" t="s">
        <v>8196</v>
      </c>
    </row>
    <row r="4072" spans="29:37" ht="13.5">
      <c r="AC4072" s="6" t="s">
        <v>154</v>
      </c>
      <c r="AD4072" s="6" t="s">
        <v>7587</v>
      </c>
      <c r="AE4072" s="155" t="s">
        <v>418</v>
      </c>
      <c r="AF4072" s="159" t="s">
        <v>8300</v>
      </c>
      <c r="AG4072" s="160" t="s">
        <v>4737</v>
      </c>
      <c r="AH4072" s="194" t="s">
        <v>678</v>
      </c>
      <c r="AI4072" s="6" t="s">
        <v>339</v>
      </c>
      <c r="AJ4072" s="3" t="s">
        <v>8208</v>
      </c>
      <c r="AK4072" t="s">
        <v>8667</v>
      </c>
    </row>
    <row r="4073" spans="29:37" ht="13.5">
      <c r="AC4073" s="6" t="s">
        <v>6687</v>
      </c>
      <c r="AD4073" s="6" t="s">
        <v>7587</v>
      </c>
      <c r="AE4073" s="155" t="s">
        <v>419</v>
      </c>
      <c r="AF4073" s="159" t="s">
        <v>8296</v>
      </c>
      <c r="AG4073" s="160" t="s">
        <v>4728</v>
      </c>
      <c r="AH4073" s="194" t="s">
        <v>678</v>
      </c>
      <c r="AI4073" s="6" t="s">
        <v>1382</v>
      </c>
      <c r="AJ4073" s="3" t="s">
        <v>8196</v>
      </c>
      <c r="AK4073" t="s">
        <v>8196</v>
      </c>
    </row>
    <row r="4074" spans="29:37" ht="13.5">
      <c r="AC4074" s="6" t="s">
        <v>4785</v>
      </c>
      <c r="AD4074" s="6" t="s">
        <v>7611</v>
      </c>
      <c r="AE4074" s="155" t="s">
        <v>420</v>
      </c>
      <c r="AF4074" s="159" t="s">
        <v>8300</v>
      </c>
      <c r="AG4074" s="160" t="s">
        <v>4743</v>
      </c>
      <c r="AH4074" s="194" t="s">
        <v>678</v>
      </c>
      <c r="AI4074" s="6" t="s">
        <v>441</v>
      </c>
      <c r="AJ4074" s="3" t="s">
        <v>8228</v>
      </c>
      <c r="AK4074" t="s">
        <v>8228</v>
      </c>
    </row>
    <row r="4075" spans="29:37" ht="13.5">
      <c r="AC4075" s="6" t="s">
        <v>6688</v>
      </c>
      <c r="AD4075" s="6" t="s">
        <v>7587</v>
      </c>
      <c r="AE4075" s="155" t="s">
        <v>421</v>
      </c>
      <c r="AF4075" s="159" t="s">
        <v>8300</v>
      </c>
      <c r="AG4075" s="160" t="s">
        <v>4732</v>
      </c>
      <c r="AH4075" s="194" t="s">
        <v>4700</v>
      </c>
      <c r="AI4075" s="6" t="s">
        <v>1058</v>
      </c>
      <c r="AJ4075" s="3" t="s">
        <v>8208</v>
      </c>
      <c r="AK4075" t="s">
        <v>8667</v>
      </c>
    </row>
    <row r="4076" spans="29:37" ht="13.5">
      <c r="AC4076" s="6" t="s">
        <v>1579</v>
      </c>
      <c r="AD4076" s="6" t="s">
        <v>7587</v>
      </c>
      <c r="AE4076" s="155" t="s">
        <v>422</v>
      </c>
      <c r="AF4076" s="159" t="s">
        <v>8312</v>
      </c>
      <c r="AG4076" s="160" t="s">
        <v>4751</v>
      </c>
      <c r="AH4076" s="194" t="s">
        <v>678</v>
      </c>
      <c r="AI4076" s="6" t="s">
        <v>553</v>
      </c>
      <c r="AJ4076" s="3" t="s">
        <v>8196</v>
      </c>
      <c r="AK4076" t="s">
        <v>8196</v>
      </c>
    </row>
    <row r="4077" spans="29:37" ht="13.5">
      <c r="AC4077" s="6" t="s">
        <v>1664</v>
      </c>
      <c r="AD4077" s="6" t="s">
        <v>7587</v>
      </c>
      <c r="AE4077" s="155" t="s">
        <v>423</v>
      </c>
      <c r="AF4077" s="159" t="s">
        <v>8339</v>
      </c>
      <c r="AG4077" s="160" t="s">
        <v>4749</v>
      </c>
      <c r="AH4077" s="194" t="s">
        <v>678</v>
      </c>
      <c r="AI4077" s="6" t="s">
        <v>966</v>
      </c>
      <c r="AJ4077" s="3" t="s">
        <v>8196</v>
      </c>
      <c r="AK4077" t="s">
        <v>8196</v>
      </c>
    </row>
    <row r="4078" spans="29:37" ht="13.5">
      <c r="AC4078" s="6" t="s">
        <v>1566</v>
      </c>
      <c r="AD4078" s="6" t="s">
        <v>7587</v>
      </c>
      <c r="AE4078" s="155" t="s">
        <v>1385</v>
      </c>
      <c r="AF4078" s="159" t="s">
        <v>8300</v>
      </c>
      <c r="AG4078" s="160" t="s">
        <v>4720</v>
      </c>
      <c r="AH4078" s="194" t="s">
        <v>678</v>
      </c>
      <c r="AI4078" s="6" t="s">
        <v>566</v>
      </c>
      <c r="AJ4078" s="3" t="s">
        <v>8196</v>
      </c>
      <c r="AK4078" t="s">
        <v>8196</v>
      </c>
    </row>
    <row r="4079" spans="29:37" ht="13.5">
      <c r="AC4079" s="6" t="s">
        <v>6689</v>
      </c>
      <c r="AD4079" s="6" t="s">
        <v>7587</v>
      </c>
      <c r="AE4079" s="155" t="s">
        <v>424</v>
      </c>
      <c r="AF4079" s="159" t="s">
        <v>8311</v>
      </c>
      <c r="AG4079" s="160" t="s">
        <v>4718</v>
      </c>
      <c r="AH4079" s="194" t="s">
        <v>678</v>
      </c>
      <c r="AI4079" s="6" t="s">
        <v>586</v>
      </c>
      <c r="AJ4079" s="3" t="s">
        <v>8208</v>
      </c>
      <c r="AK4079" t="s">
        <v>8667</v>
      </c>
    </row>
    <row r="4080" spans="29:37" ht="13.5">
      <c r="AC4080" s="6" t="s">
        <v>5449</v>
      </c>
      <c r="AD4080" s="6" t="s">
        <v>7620</v>
      </c>
      <c r="AE4080" s="155" t="s">
        <v>1386</v>
      </c>
      <c r="AF4080" s="159" t="s">
        <v>8299</v>
      </c>
      <c r="AG4080" s="160" t="s">
        <v>4711</v>
      </c>
      <c r="AH4080" s="194" t="s">
        <v>678</v>
      </c>
      <c r="AI4080" s="6" t="s">
        <v>596</v>
      </c>
      <c r="AJ4080" s="3" t="s">
        <v>8196</v>
      </c>
      <c r="AK4080" t="s">
        <v>8196</v>
      </c>
    </row>
    <row r="4081" spans="29:37" ht="13.5">
      <c r="AC4081" s="6" t="s">
        <v>4726</v>
      </c>
      <c r="AD4081" s="6" t="s">
        <v>7587</v>
      </c>
      <c r="AE4081" s="155" t="s">
        <v>425</v>
      </c>
      <c r="AF4081" s="159" t="s">
        <v>8299</v>
      </c>
      <c r="AG4081" s="160" t="s">
        <v>4716</v>
      </c>
      <c r="AH4081" s="194" t="s">
        <v>678</v>
      </c>
      <c r="AI4081" s="6" t="s">
        <v>1099</v>
      </c>
      <c r="AJ4081" s="3" t="s">
        <v>8209</v>
      </c>
      <c r="AK4081" t="s">
        <v>8209</v>
      </c>
    </row>
    <row r="4082" spans="29:37" ht="13.5">
      <c r="AC4082" s="6" t="s">
        <v>153</v>
      </c>
      <c r="AD4082" s="6" t="s">
        <v>7587</v>
      </c>
      <c r="AE4082" s="155" t="s">
        <v>426</v>
      </c>
      <c r="AF4082" s="159" t="s">
        <v>8300</v>
      </c>
      <c r="AG4082" s="160" t="s">
        <v>4709</v>
      </c>
      <c r="AH4082" s="194" t="s">
        <v>4700</v>
      </c>
      <c r="AI4082" s="6" t="s">
        <v>4728</v>
      </c>
      <c r="AJ4082" s="3" t="s">
        <v>8209</v>
      </c>
      <c r="AK4082" t="s">
        <v>8209</v>
      </c>
    </row>
    <row r="4083" spans="29:37" ht="13.5">
      <c r="AC4083" s="6" t="s">
        <v>6690</v>
      </c>
      <c r="AD4083" s="6" t="s">
        <v>7587</v>
      </c>
      <c r="AE4083" s="155" t="s">
        <v>427</v>
      </c>
      <c r="AF4083" s="159" t="s">
        <v>8300</v>
      </c>
      <c r="AG4083" s="160" t="s">
        <v>5293</v>
      </c>
      <c r="AH4083" s="194" t="s">
        <v>678</v>
      </c>
      <c r="AI4083" s="6" t="s">
        <v>4727</v>
      </c>
      <c r="AJ4083" s="3" t="s">
        <v>8207</v>
      </c>
      <c r="AK4083" t="s">
        <v>8207</v>
      </c>
    </row>
    <row r="4084" spans="29:37" ht="13.5">
      <c r="AC4084" s="6" t="s">
        <v>1009</v>
      </c>
      <c r="AD4084" s="6" t="s">
        <v>7587</v>
      </c>
      <c r="AE4084" s="155" t="s">
        <v>428</v>
      </c>
      <c r="AF4084" s="159" t="s">
        <v>8311</v>
      </c>
      <c r="AG4084" s="160" t="s">
        <v>4753</v>
      </c>
      <c r="AH4084" s="194" t="s">
        <v>678</v>
      </c>
      <c r="AI4084" s="6" t="s">
        <v>648</v>
      </c>
      <c r="AJ4084" s="3" t="s">
        <v>8216</v>
      </c>
      <c r="AK4084" t="s">
        <v>8216</v>
      </c>
    </row>
    <row r="4085" spans="29:37" ht="13.5">
      <c r="AC4085" s="6" t="s">
        <v>6691</v>
      </c>
      <c r="AD4085" s="6" t="s">
        <v>7587</v>
      </c>
      <c r="AE4085" s="155" t="s">
        <v>1387</v>
      </c>
      <c r="AF4085" s="159" t="s">
        <v>8300</v>
      </c>
      <c r="AG4085" s="160" t="s">
        <v>5286</v>
      </c>
      <c r="AH4085" s="194" t="s">
        <v>678</v>
      </c>
      <c r="AI4085" s="6" t="s">
        <v>1625</v>
      </c>
      <c r="AJ4085" s="3" t="s">
        <v>8198</v>
      </c>
      <c r="AK4085" t="s">
        <v>8198</v>
      </c>
    </row>
    <row r="4086" spans="29:37" ht="13.5">
      <c r="AC4086" s="6" t="s">
        <v>6692</v>
      </c>
      <c r="AD4086" s="6" t="s">
        <v>7587</v>
      </c>
      <c r="AE4086" s="155" t="s">
        <v>1388</v>
      </c>
      <c r="AF4086" s="159" t="s">
        <v>8339</v>
      </c>
      <c r="AG4086" s="160" t="s">
        <v>5418</v>
      </c>
      <c r="AH4086" s="194" t="s">
        <v>678</v>
      </c>
      <c r="AI4086" s="6" t="s">
        <v>4703</v>
      </c>
      <c r="AJ4086" s="3" t="s">
        <v>8198</v>
      </c>
      <c r="AK4086" t="s">
        <v>8198</v>
      </c>
    </row>
    <row r="4087" spans="29:37" ht="13.5">
      <c r="AC4087" s="6" t="s">
        <v>4764</v>
      </c>
      <c r="AD4087" s="6" t="s">
        <v>7587</v>
      </c>
      <c r="AE4087" s="155" t="s">
        <v>1205</v>
      </c>
      <c r="AF4087" s="159" t="s">
        <v>8299</v>
      </c>
      <c r="AG4087" s="160" t="s">
        <v>4719</v>
      </c>
      <c r="AH4087" s="194" t="s">
        <v>678</v>
      </c>
      <c r="AI4087" s="6" t="s">
        <v>3738</v>
      </c>
      <c r="AJ4087" s="3" t="s">
        <v>8244</v>
      </c>
      <c r="AK4087" t="s">
        <v>8244</v>
      </c>
    </row>
    <row r="4088" spans="29:37" ht="13.5">
      <c r="AC4088" s="6" t="s">
        <v>6693</v>
      </c>
      <c r="AD4088" s="6" t="s">
        <v>7587</v>
      </c>
      <c r="AE4088" s="155" t="s">
        <v>1389</v>
      </c>
      <c r="AF4088" s="159" t="s">
        <v>8339</v>
      </c>
      <c r="AG4088" s="160" t="s">
        <v>4735</v>
      </c>
      <c r="AH4088" s="194" t="s">
        <v>678</v>
      </c>
      <c r="AI4088" s="6" t="s">
        <v>3751</v>
      </c>
      <c r="AJ4088" s="3" t="s">
        <v>8218</v>
      </c>
      <c r="AK4088" t="s">
        <v>8218</v>
      </c>
    </row>
    <row r="4089" spans="29:37" ht="13.5">
      <c r="AC4089" s="6" t="s">
        <v>6694</v>
      </c>
      <c r="AD4089" s="6" t="s">
        <v>7587</v>
      </c>
      <c r="AE4089" s="155" t="s">
        <v>961</v>
      </c>
      <c r="AF4089" s="159" t="s">
        <v>8300</v>
      </c>
      <c r="AG4089" s="160" t="s">
        <v>4734</v>
      </c>
      <c r="AH4089" s="194" t="s">
        <v>678</v>
      </c>
      <c r="AI4089" s="6" t="s">
        <v>3754</v>
      </c>
      <c r="AJ4089" s="3" t="s">
        <v>8244</v>
      </c>
      <c r="AK4089" t="s">
        <v>8244</v>
      </c>
    </row>
    <row r="4090" spans="29:37" ht="13.5">
      <c r="AC4090" s="6" t="s">
        <v>6695</v>
      </c>
      <c r="AD4090" s="6" t="s">
        <v>7587</v>
      </c>
      <c r="AE4090" s="155" t="s">
        <v>1390</v>
      </c>
      <c r="AF4090" s="159" t="s">
        <v>8300</v>
      </c>
      <c r="AG4090" s="160" t="s">
        <v>4706</v>
      </c>
      <c r="AH4090" s="194" t="s">
        <v>678</v>
      </c>
      <c r="AI4090" s="6" t="s">
        <v>1536</v>
      </c>
      <c r="AJ4090" s="3" t="s">
        <v>8197</v>
      </c>
      <c r="AK4090" t="s">
        <v>8197</v>
      </c>
    </row>
    <row r="4091" spans="29:37" ht="13.5">
      <c r="AC4091" s="6" t="s">
        <v>6696</v>
      </c>
      <c r="AD4091" s="6" t="s">
        <v>7605</v>
      </c>
      <c r="AE4091" s="155" t="s">
        <v>1391</v>
      </c>
      <c r="AF4091" s="159" t="s">
        <v>8300</v>
      </c>
      <c r="AG4091" s="160" t="s">
        <v>4727</v>
      </c>
      <c r="AH4091" s="194" t="s">
        <v>678</v>
      </c>
      <c r="AI4091" s="6" t="s">
        <v>1620</v>
      </c>
      <c r="AJ4091" s="3" t="s">
        <v>8198</v>
      </c>
      <c r="AK4091" t="s">
        <v>8198</v>
      </c>
    </row>
    <row r="4092" spans="29:37" ht="13.5">
      <c r="AC4092" s="6" t="s">
        <v>5350</v>
      </c>
      <c r="AD4092" s="6" t="s">
        <v>7587</v>
      </c>
      <c r="AE4092" s="155" t="s">
        <v>1392</v>
      </c>
      <c r="AF4092" s="159" t="s">
        <v>8300</v>
      </c>
      <c r="AG4092" s="160" t="s">
        <v>4742</v>
      </c>
      <c r="AH4092" s="194" t="s">
        <v>678</v>
      </c>
      <c r="AI4092" s="6" t="s">
        <v>514</v>
      </c>
      <c r="AJ4092" s="3" t="s">
        <v>8212</v>
      </c>
      <c r="AK4092" t="s">
        <v>8212</v>
      </c>
    </row>
    <row r="4093" spans="29:37" ht="13.5">
      <c r="AC4093" s="6" t="s">
        <v>5231</v>
      </c>
      <c r="AD4093" s="6" t="s">
        <v>7587</v>
      </c>
      <c r="AE4093" s="155" t="s">
        <v>1393</v>
      </c>
      <c r="AF4093" s="159" t="s">
        <v>8297</v>
      </c>
      <c r="AG4093" s="160" t="s">
        <v>5419</v>
      </c>
      <c r="AH4093" s="194" t="s">
        <v>4700</v>
      </c>
      <c r="AI4093" s="6" t="s">
        <v>1904</v>
      </c>
      <c r="AJ4093" s="3" t="s">
        <v>8252</v>
      </c>
      <c r="AK4093" t="s">
        <v>8252</v>
      </c>
    </row>
    <row r="4094" spans="29:37" ht="13.5">
      <c r="AC4094" s="6" t="s">
        <v>157</v>
      </c>
      <c r="AD4094" s="6" t="s">
        <v>7587</v>
      </c>
      <c r="AE4094" s="155" t="s">
        <v>1394</v>
      </c>
      <c r="AF4094" s="159" t="s">
        <v>8300</v>
      </c>
      <c r="AG4094" s="160" t="s">
        <v>4704</v>
      </c>
      <c r="AH4094" s="194" t="s">
        <v>4700</v>
      </c>
      <c r="AI4094" s="6" t="s">
        <v>479</v>
      </c>
      <c r="AJ4094" s="3" t="s">
        <v>8200</v>
      </c>
      <c r="AK4094" t="s">
        <v>8200</v>
      </c>
    </row>
    <row r="4095" spans="29:37" ht="13.5">
      <c r="AC4095" s="6" t="s">
        <v>1535</v>
      </c>
      <c r="AD4095" s="6" t="s">
        <v>7587</v>
      </c>
      <c r="AE4095" s="155" t="s">
        <v>18</v>
      </c>
      <c r="AF4095" s="159" t="s">
        <v>8300</v>
      </c>
      <c r="AG4095" s="160" t="s">
        <v>5420</v>
      </c>
      <c r="AH4095" s="194" t="s">
        <v>679</v>
      </c>
      <c r="AI4095" s="6" t="s">
        <v>3622</v>
      </c>
      <c r="AJ4095" s="3" t="s">
        <v>8213</v>
      </c>
      <c r="AK4095" t="s">
        <v>8213</v>
      </c>
    </row>
    <row r="4096" spans="29:37" ht="13.5">
      <c r="AC4096" s="6" t="s">
        <v>1152</v>
      </c>
      <c r="AD4096" s="6" t="s">
        <v>7621</v>
      </c>
      <c r="AE4096" s="155" t="s">
        <v>429</v>
      </c>
      <c r="AF4096" s="159" t="s">
        <v>8300</v>
      </c>
      <c r="AG4096" s="160" t="s">
        <v>5421</v>
      </c>
      <c r="AH4096" s="194" t="s">
        <v>678</v>
      </c>
      <c r="AI4096" s="6" t="s">
        <v>3765</v>
      </c>
      <c r="AJ4096" s="3" t="s">
        <v>8218</v>
      </c>
      <c r="AK4096" t="s">
        <v>8218</v>
      </c>
    </row>
    <row r="4097" spans="29:37" ht="13.5">
      <c r="AC4097" s="6" t="s">
        <v>5303</v>
      </c>
      <c r="AD4097" s="6" t="s">
        <v>7587</v>
      </c>
      <c r="AE4097" s="155" t="s">
        <v>1035</v>
      </c>
      <c r="AF4097" s="159" t="s">
        <v>8300</v>
      </c>
      <c r="AG4097" s="160" t="s">
        <v>5422</v>
      </c>
      <c r="AH4097" s="194" t="s">
        <v>679</v>
      </c>
      <c r="AI4097" s="6" t="s">
        <v>1583</v>
      </c>
      <c r="AJ4097" s="3" t="s">
        <v>8197</v>
      </c>
      <c r="AK4097" t="s">
        <v>8197</v>
      </c>
    </row>
    <row r="4098" spans="29:37" ht="13.5">
      <c r="AC4098" s="6" t="s">
        <v>6697</v>
      </c>
      <c r="AD4098" s="6" t="s">
        <v>7587</v>
      </c>
      <c r="AE4098" s="155" t="s">
        <v>430</v>
      </c>
      <c r="AF4098" s="159" t="s">
        <v>8339</v>
      </c>
      <c r="AG4098" s="160" t="s">
        <v>5423</v>
      </c>
      <c r="AH4098" s="194" t="s">
        <v>678</v>
      </c>
      <c r="AI4098" s="6" t="s">
        <v>523</v>
      </c>
      <c r="AJ4098" s="3" t="s">
        <v>8200</v>
      </c>
      <c r="AK4098" t="s">
        <v>8200</v>
      </c>
    </row>
    <row r="4099" spans="29:37" ht="13.5">
      <c r="AC4099" s="6" t="s">
        <v>158</v>
      </c>
      <c r="AD4099" s="6" t="s">
        <v>7587</v>
      </c>
      <c r="AE4099" s="155" t="s">
        <v>1395</v>
      </c>
      <c r="AF4099" s="159" t="s">
        <v>8300</v>
      </c>
      <c r="AG4099" s="160" t="s">
        <v>5424</v>
      </c>
      <c r="AH4099" s="194" t="s">
        <v>678</v>
      </c>
      <c r="AI4099" s="6" t="s">
        <v>1071</v>
      </c>
      <c r="AJ4099" s="3" t="s">
        <v>8195</v>
      </c>
      <c r="AK4099" t="s">
        <v>8195</v>
      </c>
    </row>
    <row r="4100" spans="29:37" ht="13.5">
      <c r="AC4100" s="6" t="s">
        <v>6698</v>
      </c>
      <c r="AD4100" s="6" t="s">
        <v>7622</v>
      </c>
      <c r="AE4100" s="155" t="s">
        <v>431</v>
      </c>
      <c r="AF4100" s="159" t="s">
        <v>8300</v>
      </c>
      <c r="AG4100" s="160" t="s">
        <v>5425</v>
      </c>
      <c r="AH4100" s="194" t="s">
        <v>678</v>
      </c>
      <c r="AI4100" s="6" t="s">
        <v>1571</v>
      </c>
      <c r="AJ4100" s="3" t="s">
        <v>8224</v>
      </c>
      <c r="AK4100" t="s">
        <v>8224</v>
      </c>
    </row>
    <row r="4101" spans="29:37" ht="13.5">
      <c r="AC4101" s="6" t="s">
        <v>963</v>
      </c>
      <c r="AD4101" s="6" t="s">
        <v>7587</v>
      </c>
      <c r="AE4101" s="155" t="s">
        <v>1036</v>
      </c>
      <c r="AF4101" s="159" t="s">
        <v>8300</v>
      </c>
      <c r="AG4101" s="160" t="s">
        <v>5291</v>
      </c>
      <c r="AH4101" s="194" t="s">
        <v>678</v>
      </c>
      <c r="AI4101" s="6" t="s">
        <v>155</v>
      </c>
      <c r="AJ4101" s="3" t="s">
        <v>8197</v>
      </c>
      <c r="AK4101" t="s">
        <v>8197</v>
      </c>
    </row>
    <row r="4102" spans="29:37" ht="13.5">
      <c r="AC4102" s="6" t="s">
        <v>6699</v>
      </c>
      <c r="AD4102" s="6" t="s">
        <v>7623</v>
      </c>
      <c r="AE4102" s="155" t="s">
        <v>432</v>
      </c>
      <c r="AF4102" s="159" t="s">
        <v>8359</v>
      </c>
      <c r="AG4102" s="160" t="s">
        <v>5300</v>
      </c>
      <c r="AH4102" s="194" t="s">
        <v>678</v>
      </c>
      <c r="AI4102" s="6" t="s">
        <v>3405</v>
      </c>
      <c r="AJ4102" s="3" t="s">
        <v>8211</v>
      </c>
      <c r="AK4102" t="s">
        <v>8242</v>
      </c>
    </row>
    <row r="4103" spans="29:37" ht="13.5">
      <c r="AC4103" s="6" t="s">
        <v>5248</v>
      </c>
      <c r="AD4103" s="6" t="s">
        <v>7624</v>
      </c>
      <c r="AE4103" s="155" t="s">
        <v>1193</v>
      </c>
      <c r="AF4103" s="159" t="s">
        <v>8300</v>
      </c>
      <c r="AG4103" s="160" t="s">
        <v>5278</v>
      </c>
      <c r="AH4103" s="194" t="s">
        <v>678</v>
      </c>
      <c r="AI4103" s="6" t="s">
        <v>4123</v>
      </c>
      <c r="AJ4103" s="3" t="s">
        <v>8229</v>
      </c>
      <c r="AK4103" t="s">
        <v>8229</v>
      </c>
    </row>
    <row r="4104" spans="29:37" ht="13.5">
      <c r="AC4104" s="6" t="s">
        <v>6700</v>
      </c>
      <c r="AD4104" s="6" t="s">
        <v>7587</v>
      </c>
      <c r="AE4104" s="155" t="s">
        <v>1037</v>
      </c>
      <c r="AF4104" s="159" t="s">
        <v>8300</v>
      </c>
      <c r="AG4104" s="160" t="s">
        <v>5426</v>
      </c>
      <c r="AH4104" s="194" t="s">
        <v>678</v>
      </c>
      <c r="AI4104" s="6" t="s">
        <v>4124</v>
      </c>
      <c r="AJ4104" s="3" t="s">
        <v>8229</v>
      </c>
      <c r="AK4104" t="s">
        <v>8229</v>
      </c>
    </row>
    <row r="4105" spans="29:37" ht="13.5">
      <c r="AC4105" s="6" t="s">
        <v>6701</v>
      </c>
      <c r="AD4105" s="6" t="s">
        <v>7587</v>
      </c>
      <c r="AE4105" s="155" t="s">
        <v>433</v>
      </c>
      <c r="AF4105" s="159" t="s">
        <v>8300</v>
      </c>
      <c r="AG4105" s="160" t="s">
        <v>4839</v>
      </c>
      <c r="AH4105" s="194" t="s">
        <v>678</v>
      </c>
      <c r="AI4105" s="6" t="s">
        <v>318</v>
      </c>
      <c r="AJ4105" s="3" t="s">
        <v>8207</v>
      </c>
      <c r="AK4105" t="s">
        <v>8207</v>
      </c>
    </row>
    <row r="4106" spans="29:37" ht="13.5">
      <c r="AC4106" s="6">
        <v>295296</v>
      </c>
      <c r="AD4106" s="6" t="s">
        <v>7573</v>
      </c>
      <c r="AE4106" s="155" t="s">
        <v>31</v>
      </c>
      <c r="AF4106" s="159" t="s">
        <v>8300</v>
      </c>
      <c r="AG4106" s="160" t="s">
        <v>5427</v>
      </c>
      <c r="AH4106" s="194" t="s">
        <v>678</v>
      </c>
      <c r="AI4106" s="6" t="s">
        <v>382</v>
      </c>
      <c r="AJ4106" s="3" t="s">
        <v>8201</v>
      </c>
      <c r="AK4106" t="s">
        <v>8666</v>
      </c>
    </row>
    <row r="4107" spans="29:37" ht="13.5">
      <c r="AC4107" s="6" t="s">
        <v>990</v>
      </c>
      <c r="AD4107" s="6" t="s">
        <v>7587</v>
      </c>
      <c r="AE4107" s="155" t="s">
        <v>434</v>
      </c>
      <c r="AF4107" s="159" t="s">
        <v>8300</v>
      </c>
      <c r="AG4107" s="160" t="s">
        <v>5428</v>
      </c>
      <c r="AH4107" s="194" t="s">
        <v>678</v>
      </c>
      <c r="AI4107" s="6" t="s">
        <v>577</v>
      </c>
      <c r="AJ4107" s="3" t="s">
        <v>8195</v>
      </c>
      <c r="AK4107" t="s">
        <v>8195</v>
      </c>
    </row>
    <row r="4108" spans="29:37" ht="13.5">
      <c r="AC4108" s="6" t="s">
        <v>629</v>
      </c>
      <c r="AD4108" s="6" t="s">
        <v>7625</v>
      </c>
      <c r="AE4108" s="155" t="s">
        <v>435</v>
      </c>
      <c r="AF4108" s="159" t="s">
        <v>8300</v>
      </c>
      <c r="AG4108" s="160" t="s">
        <v>5429</v>
      </c>
      <c r="AH4108" s="194" t="s">
        <v>678</v>
      </c>
      <c r="AI4108" s="6" t="s">
        <v>1886</v>
      </c>
      <c r="AJ4108" s="3" t="s">
        <v>8238</v>
      </c>
      <c r="AK4108" t="s">
        <v>8673</v>
      </c>
    </row>
    <row r="4109" spans="29:37" ht="13.5">
      <c r="AC4109" s="6" t="s">
        <v>6702</v>
      </c>
      <c r="AD4109" s="6" t="s">
        <v>7587</v>
      </c>
      <c r="AE4109" s="155" t="s">
        <v>436</v>
      </c>
      <c r="AF4109" s="159" t="s">
        <v>8311</v>
      </c>
      <c r="AG4109" s="160" t="s">
        <v>5430</v>
      </c>
      <c r="AH4109" s="194" t="s">
        <v>678</v>
      </c>
      <c r="AI4109" s="6" t="s">
        <v>3768</v>
      </c>
      <c r="AJ4109" s="3" t="s">
        <v>8218</v>
      </c>
      <c r="AK4109" t="s">
        <v>8218</v>
      </c>
    </row>
    <row r="4110" spans="29:37" ht="13.5">
      <c r="AC4110" s="6" t="s">
        <v>1540</v>
      </c>
      <c r="AD4110" s="6" t="s">
        <v>7587</v>
      </c>
      <c r="AE4110" s="155" t="s">
        <v>1038</v>
      </c>
      <c r="AF4110" s="159" t="s">
        <v>8299</v>
      </c>
      <c r="AG4110" s="160" t="s">
        <v>5431</v>
      </c>
      <c r="AH4110" s="194" t="s">
        <v>678</v>
      </c>
      <c r="AI4110" s="6" t="s">
        <v>3816</v>
      </c>
      <c r="AJ4110" s="3" t="s">
        <v>8218</v>
      </c>
      <c r="AK4110" t="s">
        <v>8218</v>
      </c>
    </row>
    <row r="4111" spans="29:37" ht="13.5">
      <c r="AC4111" s="6" t="s">
        <v>5114</v>
      </c>
      <c r="AD4111" s="6" t="s">
        <v>7597</v>
      </c>
      <c r="AE4111" s="155" t="s">
        <v>1396</v>
      </c>
      <c r="AF4111" s="159" t="s">
        <v>8300</v>
      </c>
      <c r="AG4111" s="160" t="s">
        <v>5432</v>
      </c>
      <c r="AH4111" s="194" t="s">
        <v>678</v>
      </c>
      <c r="AI4111" s="6" t="s">
        <v>166</v>
      </c>
      <c r="AJ4111" s="3" t="s">
        <v>8224</v>
      </c>
      <c r="AK4111" t="s">
        <v>8224</v>
      </c>
    </row>
    <row r="4112" spans="29:37" ht="13.5">
      <c r="AC4112" s="6" t="s">
        <v>74</v>
      </c>
      <c r="AD4112" s="6" t="s">
        <v>7626</v>
      </c>
      <c r="AE4112" s="155" t="s">
        <v>1397</v>
      </c>
      <c r="AF4112" s="159" t="s">
        <v>8300</v>
      </c>
      <c r="AG4112" s="160" t="s">
        <v>5433</v>
      </c>
      <c r="AH4112" s="194" t="s">
        <v>678</v>
      </c>
      <c r="AI4112" s="6" t="s">
        <v>736</v>
      </c>
      <c r="AJ4112" s="3" t="s">
        <v>8222</v>
      </c>
      <c r="AK4112" t="s">
        <v>8670</v>
      </c>
    </row>
    <row r="4113" spans="29:37" ht="13.5">
      <c r="AC4113" s="6" t="s">
        <v>25</v>
      </c>
      <c r="AD4113" s="6" t="s">
        <v>7627</v>
      </c>
      <c r="AE4113" s="155" t="s">
        <v>1039</v>
      </c>
      <c r="AF4113" s="159" t="s">
        <v>8339</v>
      </c>
      <c r="AG4113" s="160" t="s">
        <v>5434</v>
      </c>
      <c r="AH4113" s="194" t="s">
        <v>679</v>
      </c>
      <c r="AI4113" s="6" t="s">
        <v>811</v>
      </c>
      <c r="AJ4113" s="3" t="s">
        <v>8222</v>
      </c>
      <c r="AK4113" t="s">
        <v>8670</v>
      </c>
    </row>
    <row r="4114" spans="29:37" ht="13.5">
      <c r="AC4114" s="6" t="s">
        <v>989</v>
      </c>
      <c r="AD4114" s="6" t="s">
        <v>7611</v>
      </c>
      <c r="AE4114" s="155" t="s">
        <v>24</v>
      </c>
      <c r="AF4114" s="159" t="s">
        <v>8339</v>
      </c>
      <c r="AG4114" s="160" t="s">
        <v>4831</v>
      </c>
      <c r="AH4114" s="194" t="s">
        <v>678</v>
      </c>
      <c r="AI4114" s="6" t="s">
        <v>1632</v>
      </c>
      <c r="AJ4114" s="3" t="s">
        <v>8197</v>
      </c>
      <c r="AK4114" t="s">
        <v>8197</v>
      </c>
    </row>
    <row r="4115" spans="29:37" ht="13.5">
      <c r="AC4115" s="6" t="s">
        <v>155</v>
      </c>
      <c r="AD4115" s="6" t="s">
        <v>7587</v>
      </c>
      <c r="AE4115" s="155" t="s">
        <v>1398</v>
      </c>
      <c r="AF4115" s="159" t="s">
        <v>8300</v>
      </c>
      <c r="AG4115" s="160" t="s">
        <v>5435</v>
      </c>
      <c r="AH4115" s="194" t="s">
        <v>678</v>
      </c>
      <c r="AI4115" s="6" t="s">
        <v>3186</v>
      </c>
      <c r="AJ4115" s="3" t="s">
        <v>8193</v>
      </c>
      <c r="AK4115" t="s">
        <v>8205</v>
      </c>
    </row>
    <row r="4116" spans="29:37" ht="13.5">
      <c r="AC4116" s="6" t="s">
        <v>5456</v>
      </c>
      <c r="AD4116" s="6" t="s">
        <v>7617</v>
      </c>
      <c r="AE4116" s="155" t="s">
        <v>1399</v>
      </c>
      <c r="AF4116" s="159" t="s">
        <v>8406</v>
      </c>
      <c r="AG4116" s="160" t="s">
        <v>5436</v>
      </c>
      <c r="AH4116" s="194" t="s">
        <v>678</v>
      </c>
      <c r="AI4116" s="6" t="s">
        <v>265</v>
      </c>
      <c r="AJ4116" s="3" t="s">
        <v>8228</v>
      </c>
      <c r="AK4116" t="s">
        <v>8228</v>
      </c>
    </row>
    <row r="4117" spans="29:37" ht="13.5">
      <c r="AC4117" s="6" t="s">
        <v>6703</v>
      </c>
      <c r="AD4117" s="6" t="s">
        <v>7587</v>
      </c>
      <c r="AE4117" s="155" t="s">
        <v>437</v>
      </c>
      <c r="AF4117" s="159" t="s">
        <v>8339</v>
      </c>
      <c r="AG4117" s="160" t="s">
        <v>5437</v>
      </c>
      <c r="AH4117" s="194" t="s">
        <v>679</v>
      </c>
      <c r="AI4117" s="6" t="s">
        <v>308</v>
      </c>
      <c r="AJ4117" s="3" t="s">
        <v>8208</v>
      </c>
      <c r="AK4117" t="s">
        <v>8667</v>
      </c>
    </row>
    <row r="4118" spans="29:37" ht="13.5">
      <c r="AC4118" s="6" t="s">
        <v>6704</v>
      </c>
      <c r="AD4118" s="6" t="s">
        <v>7587</v>
      </c>
      <c r="AE4118" s="155" t="s">
        <v>19</v>
      </c>
      <c r="AF4118" s="159" t="s">
        <v>8300</v>
      </c>
      <c r="AG4118" s="160" t="s">
        <v>5275</v>
      </c>
      <c r="AH4118" s="194" t="s">
        <v>678</v>
      </c>
      <c r="AI4118" s="6" t="s">
        <v>323</v>
      </c>
      <c r="AJ4118" s="3" t="s">
        <v>8209</v>
      </c>
      <c r="AK4118" t="s">
        <v>8209</v>
      </c>
    </row>
    <row r="4119" spans="29:37" ht="13.5">
      <c r="AC4119" s="6" t="s">
        <v>6705</v>
      </c>
      <c r="AD4119" s="6" t="s">
        <v>7628</v>
      </c>
      <c r="AE4119" s="155" t="s">
        <v>1400</v>
      </c>
      <c r="AF4119" s="159" t="s">
        <v>8342</v>
      </c>
      <c r="AG4119" s="160" t="s">
        <v>4832</v>
      </c>
      <c r="AH4119" s="194" t="s">
        <v>678</v>
      </c>
      <c r="AI4119" s="6" t="s">
        <v>367</v>
      </c>
      <c r="AJ4119" s="3" t="s">
        <v>8200</v>
      </c>
      <c r="AK4119" t="s">
        <v>8200</v>
      </c>
    </row>
    <row r="4120" spans="29:37" ht="13.5">
      <c r="AC4120" s="6" t="s">
        <v>5768</v>
      </c>
      <c r="AD4120" s="6" t="s">
        <v>7587</v>
      </c>
      <c r="AE4120" s="155" t="s">
        <v>11</v>
      </c>
      <c r="AF4120" s="159" t="s">
        <v>8339</v>
      </c>
      <c r="AG4120" s="160" t="s">
        <v>5438</v>
      </c>
      <c r="AH4120" s="194" t="s">
        <v>678</v>
      </c>
      <c r="AI4120" s="6" t="s">
        <v>9</v>
      </c>
      <c r="AJ4120" s="3" t="s">
        <v>8209</v>
      </c>
      <c r="AK4120" t="s">
        <v>8209</v>
      </c>
    </row>
    <row r="4121" spans="29:37" ht="13.5">
      <c r="AC4121" s="6" t="s">
        <v>5238</v>
      </c>
      <c r="AD4121" s="6" t="s">
        <v>7587</v>
      </c>
      <c r="AE4121" s="155" t="s">
        <v>438</v>
      </c>
      <c r="AF4121" s="159" t="s">
        <v>8339</v>
      </c>
      <c r="AG4121" s="160" t="s">
        <v>5292</v>
      </c>
      <c r="AH4121" s="194" t="s">
        <v>678</v>
      </c>
      <c r="AI4121" s="6" t="s">
        <v>414</v>
      </c>
      <c r="AJ4121" s="3" t="s">
        <v>8196</v>
      </c>
      <c r="AK4121" t="s">
        <v>8196</v>
      </c>
    </row>
    <row r="4122" spans="29:37" ht="13.5">
      <c r="AC4122" s="6" t="s">
        <v>127</v>
      </c>
      <c r="AD4122" s="6" t="s">
        <v>7608</v>
      </c>
      <c r="AE4122" s="155" t="s">
        <v>439</v>
      </c>
      <c r="AF4122" s="159" t="s">
        <v>8300</v>
      </c>
      <c r="AG4122" s="160" t="s">
        <v>5439</v>
      </c>
      <c r="AH4122" s="194" t="s">
        <v>678</v>
      </c>
      <c r="AI4122" s="6" t="s">
        <v>1392</v>
      </c>
      <c r="AJ4122" s="3" t="s">
        <v>8195</v>
      </c>
      <c r="AK4122" t="s">
        <v>8195</v>
      </c>
    </row>
    <row r="4123" spans="29:37" ht="13.5">
      <c r="AC4123" s="6" t="s">
        <v>6706</v>
      </c>
      <c r="AD4123" s="6" t="s">
        <v>7587</v>
      </c>
      <c r="AE4123" s="155" t="s">
        <v>440</v>
      </c>
      <c r="AF4123" s="159" t="s">
        <v>8297</v>
      </c>
      <c r="AG4123" s="160" t="s">
        <v>5276</v>
      </c>
      <c r="AH4123" s="194" t="s">
        <v>678</v>
      </c>
      <c r="AI4123" s="6" t="s">
        <v>1400</v>
      </c>
      <c r="AJ4123" s="3" t="s">
        <v>8195</v>
      </c>
      <c r="AK4123" t="s">
        <v>8195</v>
      </c>
    </row>
    <row r="4124" spans="29:37" ht="13.5">
      <c r="AC4124" s="6" t="s">
        <v>1594</v>
      </c>
      <c r="AD4124" s="6" t="s">
        <v>7587</v>
      </c>
      <c r="AE4124" s="155" t="s">
        <v>441</v>
      </c>
      <c r="AF4124" s="159" t="s">
        <v>8355</v>
      </c>
      <c r="AG4124" s="160" t="s">
        <v>5279</v>
      </c>
      <c r="AH4124" s="194" t="s">
        <v>678</v>
      </c>
      <c r="AI4124" s="6" t="s">
        <v>443</v>
      </c>
      <c r="AJ4124" s="3" t="s">
        <v>8195</v>
      </c>
      <c r="AK4124" t="s">
        <v>8195</v>
      </c>
    </row>
    <row r="4125" spans="29:37" ht="13.5">
      <c r="AC4125" s="6" t="s">
        <v>1187</v>
      </c>
      <c r="AD4125" s="6" t="s">
        <v>7629</v>
      </c>
      <c r="AE4125" s="155" t="s">
        <v>442</v>
      </c>
      <c r="AF4125" s="159" t="s">
        <v>8339</v>
      </c>
      <c r="AG4125" s="160" t="s">
        <v>5280</v>
      </c>
      <c r="AH4125" s="194" t="s">
        <v>678</v>
      </c>
      <c r="AI4125" s="6" t="s">
        <v>1404</v>
      </c>
      <c r="AJ4125" s="3" t="s">
        <v>8208</v>
      </c>
      <c r="AK4125" t="s">
        <v>8667</v>
      </c>
    </row>
    <row r="4126" spans="29:37" ht="13.5">
      <c r="AC4126" s="6" t="s">
        <v>6707</v>
      </c>
      <c r="AD4126" s="6" t="s">
        <v>7587</v>
      </c>
      <c r="AE4126" s="155" t="s">
        <v>443</v>
      </c>
      <c r="AF4126" s="159" t="s">
        <v>8300</v>
      </c>
      <c r="AG4126" s="160" t="s">
        <v>5440</v>
      </c>
      <c r="AH4126" s="194" t="s">
        <v>678</v>
      </c>
      <c r="AI4126" s="6" t="s">
        <v>476</v>
      </c>
      <c r="AJ4126" s="3" t="s">
        <v>8228</v>
      </c>
      <c r="AK4126" t="s">
        <v>8228</v>
      </c>
    </row>
    <row r="4127" spans="29:37" ht="13.5">
      <c r="AC4127" s="6" t="s">
        <v>1496</v>
      </c>
      <c r="AD4127" s="6" t="s">
        <v>7605</v>
      </c>
      <c r="AE4127" s="155" t="s">
        <v>444</v>
      </c>
      <c r="AF4127" s="159" t="s">
        <v>8300</v>
      </c>
      <c r="AG4127" s="160" t="s">
        <v>5184</v>
      </c>
      <c r="AH4127" s="194" t="s">
        <v>4700</v>
      </c>
      <c r="AI4127" s="6" t="s">
        <v>531</v>
      </c>
      <c r="AJ4127" s="3" t="s">
        <v>8200</v>
      </c>
      <c r="AK4127" t="s">
        <v>8200</v>
      </c>
    </row>
    <row r="4128" spans="29:37" ht="13.5">
      <c r="AC4128" s="6" t="s">
        <v>4354</v>
      </c>
      <c r="AD4128" s="6" t="s">
        <v>7568</v>
      </c>
      <c r="AE4128" s="155" t="s">
        <v>445</v>
      </c>
      <c r="AF4128" s="159" t="s">
        <v>8541</v>
      </c>
      <c r="AG4128" s="160" t="s">
        <v>5240</v>
      </c>
      <c r="AH4128" s="194" t="s">
        <v>4700</v>
      </c>
      <c r="AI4128" s="6" t="s">
        <v>541</v>
      </c>
      <c r="AJ4128" s="3" t="s">
        <v>8196</v>
      </c>
      <c r="AK4128" t="s">
        <v>8196</v>
      </c>
    </row>
    <row r="4129" spans="29:37" ht="13.5">
      <c r="AC4129" s="6" t="s">
        <v>1500</v>
      </c>
      <c r="AD4129" s="6" t="s">
        <v>7623</v>
      </c>
      <c r="AE4129" s="155" t="s">
        <v>446</v>
      </c>
      <c r="AF4129" s="159" t="s">
        <v>8339</v>
      </c>
      <c r="AG4129" s="160" t="s">
        <v>5250</v>
      </c>
      <c r="AH4129" s="194" t="s">
        <v>679</v>
      </c>
      <c r="AI4129" s="6" t="s">
        <v>549</v>
      </c>
      <c r="AJ4129" s="3" t="s">
        <v>8195</v>
      </c>
      <c r="AK4129" t="s">
        <v>8195</v>
      </c>
    </row>
    <row r="4130" spans="29:37" ht="13.5">
      <c r="AC4130" s="6" t="s">
        <v>156</v>
      </c>
      <c r="AD4130" s="6" t="s">
        <v>7587</v>
      </c>
      <c r="AE4130" s="155" t="s">
        <v>32</v>
      </c>
      <c r="AF4130" s="159" t="s">
        <v>8342</v>
      </c>
      <c r="AG4130" s="160" t="s">
        <v>5180</v>
      </c>
      <c r="AH4130" s="194" t="s">
        <v>679</v>
      </c>
      <c r="AI4130" s="6" t="s">
        <v>969</v>
      </c>
      <c r="AJ4130" s="3" t="s">
        <v>8196</v>
      </c>
      <c r="AK4130" t="s">
        <v>8196</v>
      </c>
    </row>
    <row r="4131" spans="29:37" ht="13.5">
      <c r="AC4131" s="6" t="s">
        <v>5048</v>
      </c>
      <c r="AD4131" s="6" t="s">
        <v>7630</v>
      </c>
      <c r="AE4131" s="155" t="s">
        <v>447</v>
      </c>
      <c r="AF4131" s="159" t="s">
        <v>8312</v>
      </c>
      <c r="AG4131" s="160" t="s">
        <v>5441</v>
      </c>
      <c r="AH4131" s="194" t="s">
        <v>679</v>
      </c>
      <c r="AI4131" s="6" t="s">
        <v>638</v>
      </c>
      <c r="AJ4131" s="3" t="s">
        <v>8216</v>
      </c>
      <c r="AK4131" t="s">
        <v>8216</v>
      </c>
    </row>
    <row r="4132" spans="29:37" ht="13.5">
      <c r="AC4132" s="6" t="s">
        <v>5498</v>
      </c>
      <c r="AD4132" s="6" t="s">
        <v>7587</v>
      </c>
      <c r="AE4132" s="155" t="s">
        <v>448</v>
      </c>
      <c r="AF4132" s="159" t="s">
        <v>8339</v>
      </c>
      <c r="AG4132" s="160" t="s">
        <v>994</v>
      </c>
      <c r="AH4132" s="194" t="s">
        <v>679</v>
      </c>
      <c r="AI4132" s="6" t="s">
        <v>1628</v>
      </c>
      <c r="AJ4132" s="3" t="s">
        <v>8198</v>
      </c>
      <c r="AK4132" t="s">
        <v>8198</v>
      </c>
    </row>
    <row r="4133" spans="29:37" ht="13.5">
      <c r="AC4133" s="6" t="s">
        <v>75</v>
      </c>
      <c r="AD4133" s="6" t="s">
        <v>7626</v>
      </c>
      <c r="AE4133" s="155" t="s">
        <v>449</v>
      </c>
      <c r="AF4133" s="159" t="s">
        <v>8339</v>
      </c>
      <c r="AG4133" s="160" t="s">
        <v>995</v>
      </c>
      <c r="AH4133" s="194" t="s">
        <v>679</v>
      </c>
      <c r="AI4133" s="6" t="s">
        <v>673</v>
      </c>
      <c r="AJ4133" s="3" t="s">
        <v>8198</v>
      </c>
      <c r="AK4133" t="s">
        <v>8198</v>
      </c>
    </row>
    <row r="4134" spans="29:37" ht="13.5">
      <c r="AC4134" s="6" t="s">
        <v>5212</v>
      </c>
      <c r="AD4134" s="6" t="s">
        <v>7631</v>
      </c>
      <c r="AE4134" s="155" t="s">
        <v>450</v>
      </c>
      <c r="AF4134" s="159" t="s">
        <v>8299</v>
      </c>
      <c r="AG4134" s="160" t="s">
        <v>2494</v>
      </c>
      <c r="AH4134" s="194" t="s">
        <v>1314</v>
      </c>
      <c r="AI4134" s="6" t="s">
        <v>1562</v>
      </c>
      <c r="AJ4134" s="3" t="s">
        <v>8210</v>
      </c>
      <c r="AK4134" t="s">
        <v>8210</v>
      </c>
    </row>
    <row r="4135" spans="29:37" ht="13.5">
      <c r="AC4135" s="6" t="s">
        <v>5169</v>
      </c>
      <c r="AD4135" s="6" t="s">
        <v>7624</v>
      </c>
      <c r="AE4135" s="155" t="s">
        <v>1401</v>
      </c>
      <c r="AF4135" s="159" t="s">
        <v>8547</v>
      </c>
      <c r="AG4135" s="160" t="s">
        <v>2495</v>
      </c>
      <c r="AH4135" s="194" t="s">
        <v>679</v>
      </c>
      <c r="AI4135" s="6" t="s">
        <v>3740</v>
      </c>
      <c r="AJ4135" s="3" t="s">
        <v>8245</v>
      </c>
      <c r="AK4135" t="s">
        <v>8676</v>
      </c>
    </row>
    <row r="4136" spans="29:37" ht="13.5">
      <c r="AC4136" s="6" t="s">
        <v>675</v>
      </c>
      <c r="AD4136" s="6" t="s">
        <v>7614</v>
      </c>
      <c r="AE4136" s="155" t="s">
        <v>1040</v>
      </c>
      <c r="AF4136" s="159" t="s">
        <v>8339</v>
      </c>
      <c r="AG4136" s="160" t="s">
        <v>2496</v>
      </c>
      <c r="AH4136" s="194" t="s">
        <v>679</v>
      </c>
      <c r="AI4136" s="6" t="s">
        <v>3404</v>
      </c>
      <c r="AJ4136" s="3" t="s">
        <v>8211</v>
      </c>
      <c r="AK4136" t="s">
        <v>8242</v>
      </c>
    </row>
    <row r="4137" spans="29:37" ht="13.5">
      <c r="AC4137" s="6" t="s">
        <v>1149</v>
      </c>
      <c r="AD4137" s="6" t="s">
        <v>7610</v>
      </c>
      <c r="AE4137" s="155" t="s">
        <v>451</v>
      </c>
      <c r="AF4137" s="159" t="s">
        <v>8339</v>
      </c>
      <c r="AG4137" s="160" t="s">
        <v>2642</v>
      </c>
      <c r="AH4137" s="194" t="s">
        <v>1314</v>
      </c>
      <c r="AI4137" s="6" t="s">
        <v>2388</v>
      </c>
      <c r="AJ4137" s="3" t="s">
        <v>8237</v>
      </c>
      <c r="AK4137" t="s">
        <v>8237</v>
      </c>
    </row>
    <row r="4138" spans="29:37" ht="13.5">
      <c r="AC4138" s="6" t="s">
        <v>1502</v>
      </c>
      <c r="AD4138" s="6" t="s">
        <v>7612</v>
      </c>
      <c r="AE4138" s="155" t="s">
        <v>452</v>
      </c>
      <c r="AF4138" s="159" t="s">
        <v>8342</v>
      </c>
      <c r="AG4138" s="160" t="s">
        <v>2643</v>
      </c>
      <c r="AH4138" s="194" t="s">
        <v>679</v>
      </c>
      <c r="AI4138" s="6" t="s">
        <v>2098</v>
      </c>
      <c r="AJ4138" s="3" t="s">
        <v>8213</v>
      </c>
      <c r="AK4138" t="s">
        <v>8213</v>
      </c>
    </row>
    <row r="4139" spans="29:37" ht="13.5">
      <c r="AC4139" s="6" t="s">
        <v>5521</v>
      </c>
      <c r="AD4139" s="6" t="s">
        <v>7597</v>
      </c>
      <c r="AE4139" s="155" t="s">
        <v>453</v>
      </c>
      <c r="AF4139" s="159" t="s">
        <v>8339</v>
      </c>
      <c r="AG4139" s="160" t="s">
        <v>2644</v>
      </c>
      <c r="AH4139" s="194" t="s">
        <v>1314</v>
      </c>
      <c r="AI4139" s="6" t="s">
        <v>2099</v>
      </c>
      <c r="AJ4139" s="3" t="s">
        <v>8213</v>
      </c>
      <c r="AK4139" t="s">
        <v>8213</v>
      </c>
    </row>
    <row r="4140" spans="29:37" ht="13.5">
      <c r="AC4140" s="6" t="s">
        <v>6708</v>
      </c>
      <c r="AD4140" s="6" t="s">
        <v>7632</v>
      </c>
      <c r="AE4140" s="155" t="s">
        <v>1402</v>
      </c>
      <c r="AF4140" s="159" t="s">
        <v>8297</v>
      </c>
      <c r="AG4140" s="161" t="s">
        <v>2660</v>
      </c>
      <c r="AH4140" s="194" t="s">
        <v>679</v>
      </c>
      <c r="AI4140" s="6" t="s">
        <v>6662</v>
      </c>
      <c r="AJ4140" s="3" t="s">
        <v>8219</v>
      </c>
      <c r="AK4140" t="s">
        <v>8219</v>
      </c>
    </row>
    <row r="4141" spans="29:37" ht="13.5">
      <c r="AC4141" s="6" t="s">
        <v>6709</v>
      </c>
      <c r="AD4141" s="6" t="s">
        <v>7587</v>
      </c>
      <c r="AE4141" s="155" t="s">
        <v>939</v>
      </c>
      <c r="AF4141" s="159" t="s">
        <v>8339</v>
      </c>
      <c r="AG4141" s="160" t="s">
        <v>3979</v>
      </c>
      <c r="AH4141" s="194" t="s">
        <v>679</v>
      </c>
      <c r="AI4141" s="6" t="s">
        <v>489</v>
      </c>
      <c r="AJ4141" s="3" t="s">
        <v>8200</v>
      </c>
      <c r="AK4141" t="s">
        <v>8200</v>
      </c>
    </row>
    <row r="4142" spans="29:37" ht="13.5">
      <c r="AC4142" s="6" t="s">
        <v>16</v>
      </c>
      <c r="AD4142" s="6" t="s">
        <v>7623</v>
      </c>
      <c r="AE4142" s="155" t="s">
        <v>454</v>
      </c>
      <c r="AF4142" s="159" t="s">
        <v>8548</v>
      </c>
      <c r="AG4142" s="160" t="s">
        <v>2661</v>
      </c>
      <c r="AH4142" s="194" t="s">
        <v>679</v>
      </c>
      <c r="AI4142" s="6" t="s">
        <v>165</v>
      </c>
      <c r="AJ4142" s="3" t="s">
        <v>8224</v>
      </c>
      <c r="AK4142" t="s">
        <v>8224</v>
      </c>
    </row>
    <row r="4143" spans="29:37" ht="13.5">
      <c r="AC4143" s="6" t="s">
        <v>5329</v>
      </c>
      <c r="AD4143" s="6" t="s">
        <v>7633</v>
      </c>
      <c r="AE4143" s="155" t="s">
        <v>455</v>
      </c>
      <c r="AF4143" s="159" t="s">
        <v>8339</v>
      </c>
      <c r="AG4143" s="160" t="s">
        <v>2671</v>
      </c>
      <c r="AH4143" s="194" t="s">
        <v>679</v>
      </c>
      <c r="AI4143" s="6" t="s">
        <v>1494</v>
      </c>
      <c r="AJ4143" s="3" t="s">
        <v>8224</v>
      </c>
      <c r="AK4143" t="s">
        <v>8224</v>
      </c>
    </row>
    <row r="4144" spans="29:37" ht="13.5">
      <c r="AC4144" s="6" t="s">
        <v>1593</v>
      </c>
      <c r="AD4144" s="6" t="s">
        <v>7587</v>
      </c>
      <c r="AE4144" s="155" t="s">
        <v>456</v>
      </c>
      <c r="AF4144" s="159" t="s">
        <v>8342</v>
      </c>
      <c r="AG4144" s="160" t="s">
        <v>2672</v>
      </c>
      <c r="AH4144" s="194" t="s">
        <v>1314</v>
      </c>
      <c r="AI4144" s="6" t="s">
        <v>4102</v>
      </c>
      <c r="AJ4144" s="3" t="s">
        <v>8225</v>
      </c>
      <c r="AK4144" t="s">
        <v>8225</v>
      </c>
    </row>
    <row r="4145" spans="29:37" ht="13.5">
      <c r="AC4145" s="6" t="s">
        <v>4782</v>
      </c>
      <c r="AD4145" s="6" t="s">
        <v>7597</v>
      </c>
      <c r="AE4145" s="155" t="s">
        <v>457</v>
      </c>
      <c r="AF4145" s="159" t="s">
        <v>8299</v>
      </c>
      <c r="AG4145" s="160" t="s">
        <v>2681</v>
      </c>
      <c r="AH4145" s="194" t="s">
        <v>1314</v>
      </c>
      <c r="AI4145" s="6" t="s">
        <v>4131</v>
      </c>
      <c r="AJ4145" s="3" t="s">
        <v>8229</v>
      </c>
      <c r="AK4145" t="s">
        <v>8229</v>
      </c>
    </row>
    <row r="4146" spans="29:37" ht="13.5">
      <c r="AC4146" s="6" t="s">
        <v>630</v>
      </c>
      <c r="AD4146" s="6" t="s">
        <v>7619</v>
      </c>
      <c r="AE4146" s="155" t="s">
        <v>458</v>
      </c>
      <c r="AF4146" s="159" t="s">
        <v>8300</v>
      </c>
      <c r="AG4146" s="160" t="s">
        <v>1310</v>
      </c>
      <c r="AH4146" s="194" t="s">
        <v>1314</v>
      </c>
      <c r="AI4146" s="6" t="s">
        <v>1616</v>
      </c>
      <c r="AJ4146" s="3" t="s">
        <v>8198</v>
      </c>
      <c r="AK4146" t="s">
        <v>8198</v>
      </c>
    </row>
    <row r="4147" spans="29:37" ht="13.5">
      <c r="AC4147" s="6" t="s">
        <v>1586</v>
      </c>
      <c r="AD4147" s="6" t="s">
        <v>7587</v>
      </c>
      <c r="AE4147" s="155" t="s">
        <v>459</v>
      </c>
      <c r="AF4147" s="159" t="s">
        <v>8300</v>
      </c>
      <c r="AG4147" s="160" t="s">
        <v>1311</v>
      </c>
      <c r="AH4147" s="194" t="s">
        <v>1314</v>
      </c>
      <c r="AI4147" s="6" t="s">
        <v>670</v>
      </c>
      <c r="AJ4147" s="3" t="s">
        <v>8198</v>
      </c>
      <c r="AK4147" t="s">
        <v>8198</v>
      </c>
    </row>
    <row r="4148" spans="29:37" ht="13.5">
      <c r="AC4148" s="6" t="s">
        <v>1572</v>
      </c>
      <c r="AD4148" s="6" t="s">
        <v>7587</v>
      </c>
      <c r="AE4148" s="155" t="s">
        <v>936</v>
      </c>
      <c r="AF4148" s="159" t="s">
        <v>8300</v>
      </c>
      <c r="AG4148" s="160" t="s">
        <v>2662</v>
      </c>
      <c r="AH4148" s="194" t="s">
        <v>679</v>
      </c>
      <c r="AI4148" s="6" t="s">
        <v>1629</v>
      </c>
      <c r="AJ4148" s="3" t="s">
        <v>8198</v>
      </c>
      <c r="AK4148" t="s">
        <v>8198</v>
      </c>
    </row>
    <row r="4149" spans="29:37" ht="13.5">
      <c r="AC4149" s="6" t="s">
        <v>1497</v>
      </c>
      <c r="AD4149" s="6" t="s">
        <v>7605</v>
      </c>
      <c r="AE4149" s="155" t="s">
        <v>460</v>
      </c>
      <c r="AF4149" s="159" t="s">
        <v>8339</v>
      </c>
      <c r="AG4149" s="160" t="s">
        <v>2663</v>
      </c>
      <c r="AH4149" s="194" t="s">
        <v>679</v>
      </c>
      <c r="AI4149" s="6" t="s">
        <v>1549</v>
      </c>
      <c r="AJ4149" s="3" t="s">
        <v>8198</v>
      </c>
      <c r="AK4149" t="s">
        <v>8198</v>
      </c>
    </row>
    <row r="4150" spans="29:37" ht="13.5">
      <c r="AC4150" s="6" t="s">
        <v>993</v>
      </c>
      <c r="AD4150" s="6" t="s">
        <v>7587</v>
      </c>
      <c r="AE4150" s="155" t="s">
        <v>1403</v>
      </c>
      <c r="AF4150" s="159" t="s">
        <v>8340</v>
      </c>
      <c r="AG4150" s="160" t="s">
        <v>2664</v>
      </c>
      <c r="AH4150" s="194" t="s">
        <v>679</v>
      </c>
      <c r="AI4150" s="6" t="s">
        <v>1550</v>
      </c>
      <c r="AJ4150" s="3" t="s">
        <v>8198</v>
      </c>
      <c r="AK4150" t="s">
        <v>8198</v>
      </c>
    </row>
    <row r="4151" spans="29:37" ht="13.5">
      <c r="AC4151" s="6" t="s">
        <v>121</v>
      </c>
      <c r="AD4151" s="6" t="s">
        <v>7605</v>
      </c>
      <c r="AE4151" s="155" t="s">
        <v>461</v>
      </c>
      <c r="AF4151" s="159" t="s">
        <v>8347</v>
      </c>
      <c r="AG4151" s="160" t="s">
        <v>2665</v>
      </c>
      <c r="AH4151" s="194" t="s">
        <v>679</v>
      </c>
      <c r="AI4151" s="6" t="s">
        <v>1551</v>
      </c>
      <c r="AJ4151" s="3" t="s">
        <v>8198</v>
      </c>
      <c r="AK4151" t="s">
        <v>8198</v>
      </c>
    </row>
    <row r="4152" spans="29:37" ht="13.5">
      <c r="AC4152" s="6" t="s">
        <v>1544</v>
      </c>
      <c r="AD4152" s="6" t="s">
        <v>7587</v>
      </c>
      <c r="AE4152" s="155" t="s">
        <v>462</v>
      </c>
      <c r="AF4152" s="159" t="s">
        <v>8549</v>
      </c>
      <c r="AG4152" s="160" t="s">
        <v>2666</v>
      </c>
      <c r="AH4152" s="194" t="s">
        <v>679</v>
      </c>
      <c r="AI4152" s="6" t="s">
        <v>1553</v>
      </c>
      <c r="AJ4152" s="3" t="s">
        <v>8198</v>
      </c>
      <c r="AK4152" t="s">
        <v>8198</v>
      </c>
    </row>
    <row r="4153" spans="29:37" ht="13.5">
      <c r="AC4153" s="6" t="s">
        <v>3831</v>
      </c>
      <c r="AD4153" s="6" t="s">
        <v>7587</v>
      </c>
      <c r="AE4153" s="155" t="s">
        <v>1404</v>
      </c>
      <c r="AF4153" s="159" t="s">
        <v>8339</v>
      </c>
      <c r="AG4153" s="160" t="s">
        <v>2696</v>
      </c>
      <c r="AH4153" s="194" t="s">
        <v>679</v>
      </c>
      <c r="AI4153" s="6" t="s">
        <v>1555</v>
      </c>
      <c r="AJ4153" s="3" t="s">
        <v>8198</v>
      </c>
      <c r="AK4153" t="s">
        <v>8198</v>
      </c>
    </row>
    <row r="4154" spans="29:37" ht="13.5">
      <c r="AC4154" s="6">
        <v>1600</v>
      </c>
      <c r="AD4154" s="6" t="s">
        <v>7587</v>
      </c>
      <c r="AE4154" s="155" t="s">
        <v>1405</v>
      </c>
      <c r="AF4154" s="159" t="s">
        <v>8339</v>
      </c>
      <c r="AG4154" s="160" t="s">
        <v>2727</v>
      </c>
      <c r="AH4154" s="194" t="s">
        <v>1314</v>
      </c>
      <c r="AI4154" s="6" t="s">
        <v>1556</v>
      </c>
      <c r="AJ4154" s="3" t="s">
        <v>8198</v>
      </c>
      <c r="AK4154" t="s">
        <v>8198</v>
      </c>
    </row>
    <row r="4155" spans="29:37" ht="13.5">
      <c r="AC4155" s="6" t="s">
        <v>1008</v>
      </c>
      <c r="AD4155" s="6" t="s">
        <v>7632</v>
      </c>
      <c r="AE4155" s="155" t="s">
        <v>1406</v>
      </c>
      <c r="AF4155" s="159" t="s">
        <v>8342</v>
      </c>
      <c r="AG4155" s="160" t="s">
        <v>2728</v>
      </c>
      <c r="AH4155" s="194" t="s">
        <v>679</v>
      </c>
      <c r="AI4155" s="6" t="s">
        <v>1557</v>
      </c>
      <c r="AJ4155" s="3" t="s">
        <v>8198</v>
      </c>
      <c r="AK4155" t="s">
        <v>8198</v>
      </c>
    </row>
    <row r="4156" spans="29:37" ht="13.5">
      <c r="AC4156" s="6" t="s">
        <v>4349</v>
      </c>
      <c r="AD4156" s="6" t="s">
        <v>7616</v>
      </c>
      <c r="AE4156" s="155" t="s">
        <v>1407</v>
      </c>
      <c r="AF4156" s="159" t="s">
        <v>8339</v>
      </c>
      <c r="AG4156" s="160" t="s">
        <v>1106</v>
      </c>
      <c r="AH4156" s="194" t="s">
        <v>679</v>
      </c>
      <c r="AI4156" s="6" t="s">
        <v>1558</v>
      </c>
      <c r="AJ4156" s="3" t="s">
        <v>8198</v>
      </c>
      <c r="AK4156" t="s">
        <v>8198</v>
      </c>
    </row>
    <row r="4157" spans="29:37" ht="13.5">
      <c r="AC4157" s="6" t="s">
        <v>5813</v>
      </c>
      <c r="AD4157" s="6" t="s">
        <v>7587</v>
      </c>
      <c r="AE4157" s="155" t="s">
        <v>463</v>
      </c>
      <c r="AF4157" s="159" t="s">
        <v>8339</v>
      </c>
      <c r="AG4157" s="160" t="s">
        <v>1489</v>
      </c>
      <c r="AH4157" s="194" t="s">
        <v>679</v>
      </c>
      <c r="AI4157" s="6" t="s">
        <v>3789</v>
      </c>
      <c r="AJ4157" s="3" t="s">
        <v>8199</v>
      </c>
      <c r="AK4157" t="s">
        <v>8199</v>
      </c>
    </row>
    <row r="4158" spans="29:37" ht="13.5">
      <c r="AC4158" s="6" t="s">
        <v>1498</v>
      </c>
      <c r="AD4158" s="6" t="s">
        <v>7605</v>
      </c>
      <c r="AE4158" s="155" t="s">
        <v>1408</v>
      </c>
      <c r="AF4158" s="159" t="s">
        <v>8299</v>
      </c>
      <c r="AG4158" s="160" t="s">
        <v>1490</v>
      </c>
      <c r="AH4158" s="194" t="s">
        <v>679</v>
      </c>
      <c r="AI4158" s="6" t="s">
        <v>777</v>
      </c>
      <c r="AJ4158" s="3" t="s">
        <v>8273</v>
      </c>
      <c r="AK4158" t="s">
        <v>8273</v>
      </c>
    </row>
    <row r="4159" spans="29:37" ht="13.5">
      <c r="AC4159" s="6" t="s">
        <v>5520</v>
      </c>
      <c r="AD4159" s="6" t="s">
        <v>7597</v>
      </c>
      <c r="AE4159" s="155" t="s">
        <v>465</v>
      </c>
      <c r="AF4159" s="159" t="s">
        <v>8347</v>
      </c>
      <c r="AG4159" s="160" t="s">
        <v>599</v>
      </c>
      <c r="AH4159" s="194" t="s">
        <v>679</v>
      </c>
      <c r="AI4159" s="6" t="s">
        <v>1036</v>
      </c>
      <c r="AJ4159" s="3" t="s">
        <v>8195</v>
      </c>
      <c r="AK4159" t="s">
        <v>8195</v>
      </c>
    </row>
    <row r="4160" spans="29:37" ht="13.5">
      <c r="AC4160" s="6" t="s">
        <v>621</v>
      </c>
      <c r="AD4160" s="6" t="s">
        <v>7634</v>
      </c>
      <c r="AE4160" s="155" t="s">
        <v>466</v>
      </c>
      <c r="AF4160" s="159" t="s">
        <v>8375</v>
      </c>
      <c r="AG4160" s="160" t="s">
        <v>600</v>
      </c>
      <c r="AH4160" s="194" t="s">
        <v>679</v>
      </c>
      <c r="AI4160" s="6" t="s">
        <v>1047</v>
      </c>
      <c r="AJ4160" s="3" t="s">
        <v>8228</v>
      </c>
      <c r="AK4160" t="s">
        <v>8228</v>
      </c>
    </row>
    <row r="4161" spans="29:37" ht="13.5">
      <c r="AC4161" s="6" t="s">
        <v>5049</v>
      </c>
      <c r="AD4161" s="6" t="s">
        <v>7635</v>
      </c>
      <c r="AE4161" s="155" t="s">
        <v>467</v>
      </c>
      <c r="AF4161" s="159" t="s">
        <v>8300</v>
      </c>
      <c r="AG4161" s="160" t="s">
        <v>958</v>
      </c>
      <c r="AH4161" s="194" t="s">
        <v>679</v>
      </c>
      <c r="AI4161" s="6" t="s">
        <v>527</v>
      </c>
      <c r="AJ4161" s="3" t="s">
        <v>8208</v>
      </c>
      <c r="AK4161" t="s">
        <v>8667</v>
      </c>
    </row>
    <row r="4162" spans="29:37" ht="13.5">
      <c r="AC4162" s="6" t="s">
        <v>6710</v>
      </c>
      <c r="AD4162" s="6" t="s">
        <v>7636</v>
      </c>
      <c r="AE4162" s="155" t="s">
        <v>468</v>
      </c>
      <c r="AF4162" s="159" t="s">
        <v>8300</v>
      </c>
      <c r="AG4162" s="160" t="s">
        <v>601</v>
      </c>
      <c r="AH4162" s="194" t="s">
        <v>679</v>
      </c>
      <c r="AI4162" s="6" t="s">
        <v>534</v>
      </c>
      <c r="AJ4162" s="3" t="s">
        <v>8208</v>
      </c>
      <c r="AK4162" t="s">
        <v>8667</v>
      </c>
    </row>
    <row r="4163" spans="29:37" ht="13.5">
      <c r="AC4163" s="6">
        <v>625367</v>
      </c>
      <c r="AD4163" s="6" t="s">
        <v>7637</v>
      </c>
      <c r="AE4163" s="155" t="s">
        <v>1409</v>
      </c>
      <c r="AF4163" s="159" t="s">
        <v>8299</v>
      </c>
      <c r="AG4163" s="160" t="s">
        <v>602</v>
      </c>
      <c r="AH4163" s="194" t="s">
        <v>678</v>
      </c>
      <c r="AI4163" s="6" t="s">
        <v>583</v>
      </c>
      <c r="AJ4163" s="3" t="s">
        <v>8195</v>
      </c>
      <c r="AK4163" t="s">
        <v>8195</v>
      </c>
    </row>
    <row r="4164" spans="29:37" ht="13.5">
      <c r="AC4164" s="6" t="s">
        <v>6711</v>
      </c>
      <c r="AD4164" s="6" t="s">
        <v>7636</v>
      </c>
      <c r="AE4164" s="155" t="s">
        <v>469</v>
      </c>
      <c r="AF4164" s="159" t="s">
        <v>8339</v>
      </c>
      <c r="AG4164" s="160" t="s">
        <v>603</v>
      </c>
      <c r="AH4164" s="194" t="s">
        <v>678</v>
      </c>
      <c r="AI4164" s="6" t="s">
        <v>3750</v>
      </c>
      <c r="AJ4164" s="3" t="s">
        <v>8244</v>
      </c>
      <c r="AK4164" t="s">
        <v>8244</v>
      </c>
    </row>
    <row r="4165" spans="29:37" ht="13.5">
      <c r="AC4165" s="6" t="s">
        <v>77</v>
      </c>
      <c r="AD4165" s="6" t="s">
        <v>7532</v>
      </c>
      <c r="AE4165" s="155" t="s">
        <v>470</v>
      </c>
      <c r="AF4165" s="159" t="s">
        <v>8321</v>
      </c>
      <c r="AG4165" s="160" t="s">
        <v>1107</v>
      </c>
      <c r="AH4165" s="194" t="s">
        <v>679</v>
      </c>
      <c r="AI4165" s="6" t="s">
        <v>1368</v>
      </c>
      <c r="AJ4165" s="3" t="s">
        <v>8208</v>
      </c>
      <c r="AK4165" t="s">
        <v>8667</v>
      </c>
    </row>
    <row r="4166" spans="29:37" ht="13.5">
      <c r="AC4166" s="6" t="s">
        <v>613</v>
      </c>
      <c r="AD4166" s="6" t="s">
        <v>7636</v>
      </c>
      <c r="AE4166" s="155" t="s">
        <v>471</v>
      </c>
      <c r="AF4166" s="159" t="s">
        <v>8311</v>
      </c>
      <c r="AG4166" s="160" t="s">
        <v>4447</v>
      </c>
      <c r="AH4166" s="194" t="s">
        <v>679</v>
      </c>
      <c r="AI4166" s="6" t="s">
        <v>537</v>
      </c>
      <c r="AJ4166" s="3" t="s">
        <v>8208</v>
      </c>
      <c r="AK4166" t="s">
        <v>8667</v>
      </c>
    </row>
    <row r="4167" spans="29:37" ht="13.5">
      <c r="AC4167" s="6" t="s">
        <v>4444</v>
      </c>
      <c r="AD4167" s="6" t="s">
        <v>7587</v>
      </c>
      <c r="AE4167" s="155" t="s">
        <v>472</v>
      </c>
      <c r="AF4167" s="159" t="s">
        <v>8300</v>
      </c>
      <c r="AG4167" s="160" t="s">
        <v>5208</v>
      </c>
      <c r="AH4167" s="194" t="s">
        <v>679</v>
      </c>
      <c r="AI4167" s="6" t="s">
        <v>802</v>
      </c>
      <c r="AJ4167" s="3" t="s">
        <v>8263</v>
      </c>
      <c r="AK4167" t="s">
        <v>8263</v>
      </c>
    </row>
    <row r="4168" spans="29:37" ht="13.5">
      <c r="AC4168" s="6" t="s">
        <v>624</v>
      </c>
      <c r="AD4168" s="6" t="s">
        <v>7634</v>
      </c>
      <c r="AE4168" s="155" t="s">
        <v>473</v>
      </c>
      <c r="AF4168" s="159" t="s">
        <v>8339</v>
      </c>
      <c r="AG4168" s="160" t="s">
        <v>5265</v>
      </c>
      <c r="AH4168" s="194" t="s">
        <v>679</v>
      </c>
      <c r="AI4168" s="6" t="s">
        <v>2214</v>
      </c>
      <c r="AJ4168" s="3" t="s">
        <v>8235</v>
      </c>
      <c r="AK4168" t="s">
        <v>8672</v>
      </c>
    </row>
    <row r="4169" spans="29:37" ht="13.5">
      <c r="AC4169" s="6" t="s">
        <v>5448</v>
      </c>
      <c r="AD4169" s="6" t="s">
        <v>7597</v>
      </c>
      <c r="AE4169" s="155" t="s">
        <v>1041</v>
      </c>
      <c r="AF4169" s="159" t="s">
        <v>8339</v>
      </c>
      <c r="AG4169" s="160" t="s">
        <v>5258</v>
      </c>
      <c r="AH4169" s="194" t="s">
        <v>1314</v>
      </c>
      <c r="AI4169" s="6" t="s">
        <v>2215</v>
      </c>
      <c r="AJ4169" s="3" t="s">
        <v>8235</v>
      </c>
      <c r="AK4169" t="s">
        <v>8672</v>
      </c>
    </row>
    <row r="4170" spans="29:37" ht="13.5">
      <c r="AC4170" s="6" t="s">
        <v>1476</v>
      </c>
      <c r="AD4170" s="6" t="s">
        <v>7638</v>
      </c>
      <c r="AE4170" s="155" t="s">
        <v>474</v>
      </c>
      <c r="AF4170" s="159" t="s">
        <v>8300</v>
      </c>
      <c r="AG4170" s="160" t="s">
        <v>5142</v>
      </c>
      <c r="AH4170" s="194" t="s">
        <v>1314</v>
      </c>
      <c r="AI4170" s="6" t="s">
        <v>3621</v>
      </c>
      <c r="AJ4170" s="3" t="s">
        <v>8213</v>
      </c>
      <c r="AK4170" t="s">
        <v>8213</v>
      </c>
    </row>
    <row r="4171" spans="29:37" ht="13.5">
      <c r="AC4171" s="6" t="s">
        <v>72</v>
      </c>
      <c r="AD4171" s="6" t="s">
        <v>7532</v>
      </c>
      <c r="AE4171" s="155" t="s">
        <v>475</v>
      </c>
      <c r="AF4171" s="159" t="s">
        <v>8300</v>
      </c>
      <c r="AG4171" s="160" t="s">
        <v>5085</v>
      </c>
      <c r="AH4171" s="194" t="s">
        <v>679</v>
      </c>
      <c r="AI4171" s="6" t="s">
        <v>1648</v>
      </c>
      <c r="AJ4171" s="3" t="s">
        <v>8210</v>
      </c>
      <c r="AK4171" t="s">
        <v>8210</v>
      </c>
    </row>
    <row r="4172" spans="29:37" ht="13.5">
      <c r="AC4172" s="6" t="s">
        <v>1475</v>
      </c>
      <c r="AD4172" s="6" t="s">
        <v>7638</v>
      </c>
      <c r="AE4172" s="155" t="s">
        <v>476</v>
      </c>
      <c r="AF4172" s="159" t="s">
        <v>8342</v>
      </c>
      <c r="AG4172" s="160" t="s">
        <v>5047</v>
      </c>
      <c r="AH4172" s="194" t="s">
        <v>1314</v>
      </c>
      <c r="AI4172" s="6" t="s">
        <v>3698</v>
      </c>
      <c r="AJ4172" s="3" t="s">
        <v>8218</v>
      </c>
      <c r="AK4172" t="s">
        <v>8218</v>
      </c>
    </row>
    <row r="4173" spans="29:37" ht="13.5">
      <c r="AC4173" s="6" t="s">
        <v>76</v>
      </c>
      <c r="AD4173" s="6" t="s">
        <v>7532</v>
      </c>
      <c r="AE4173" s="155" t="s">
        <v>477</v>
      </c>
      <c r="AF4173" s="159" t="s">
        <v>8300</v>
      </c>
      <c r="AG4173" s="160" t="s">
        <v>2212</v>
      </c>
      <c r="AH4173" s="194" t="s">
        <v>679</v>
      </c>
      <c r="AI4173" s="6" t="s">
        <v>3713</v>
      </c>
      <c r="AJ4173" s="3" t="s">
        <v>8199</v>
      </c>
      <c r="AK4173" t="s">
        <v>8199</v>
      </c>
    </row>
    <row r="4174" spans="29:37" ht="13.5">
      <c r="AC4174" s="6" t="s">
        <v>73</v>
      </c>
      <c r="AD4174" s="6" t="s">
        <v>7532</v>
      </c>
      <c r="AE4174" s="155" t="s">
        <v>478</v>
      </c>
      <c r="AF4174" s="159" t="s">
        <v>8300</v>
      </c>
      <c r="AG4174" s="160" t="s">
        <v>2381</v>
      </c>
      <c r="AH4174" s="194" t="s">
        <v>679</v>
      </c>
      <c r="AI4174" s="6" t="s">
        <v>3728</v>
      </c>
      <c r="AJ4174" s="3" t="s">
        <v>8199</v>
      </c>
      <c r="AK4174" t="s">
        <v>8199</v>
      </c>
    </row>
    <row r="4175" spans="29:37" ht="13.5">
      <c r="AC4175" s="6" t="s">
        <v>988</v>
      </c>
      <c r="AD4175" s="6" t="s">
        <v>7532</v>
      </c>
      <c r="AE4175" s="155" t="s">
        <v>479</v>
      </c>
      <c r="AF4175" s="159" t="s">
        <v>8339</v>
      </c>
      <c r="AG4175" s="160" t="s">
        <v>2382</v>
      </c>
      <c r="AH4175" s="194" t="s">
        <v>678</v>
      </c>
      <c r="AI4175" s="6" t="s">
        <v>3729</v>
      </c>
      <c r="AJ4175" s="3" t="s">
        <v>8245</v>
      </c>
      <c r="AK4175" t="s">
        <v>8676</v>
      </c>
    </row>
    <row r="4176" spans="29:37" ht="13.5">
      <c r="AC4176" s="6" t="s">
        <v>71</v>
      </c>
      <c r="AD4176" s="6" t="s">
        <v>7532</v>
      </c>
      <c r="AE4176" s="155" t="s">
        <v>1042</v>
      </c>
      <c r="AF4176" s="159" t="s">
        <v>8366</v>
      </c>
      <c r="AG4176" s="160" t="s">
        <v>3980</v>
      </c>
      <c r="AH4176" s="194" t="s">
        <v>1314</v>
      </c>
      <c r="AI4176" s="6" t="s">
        <v>3731</v>
      </c>
      <c r="AJ4176" s="3" t="s">
        <v>8199</v>
      </c>
      <c r="AK4176" t="s">
        <v>8199</v>
      </c>
    </row>
    <row r="4177" spans="29:37" ht="13.5">
      <c r="AC4177" s="6" t="s">
        <v>5244</v>
      </c>
      <c r="AD4177" s="6" t="s">
        <v>7587</v>
      </c>
      <c r="AE4177" s="155" t="s">
        <v>480</v>
      </c>
      <c r="AF4177" s="159" t="s">
        <v>8339</v>
      </c>
      <c r="AG4177" s="160" t="s">
        <v>3981</v>
      </c>
      <c r="AH4177" s="194" t="s">
        <v>1314</v>
      </c>
      <c r="AI4177" s="6" t="s">
        <v>3733</v>
      </c>
      <c r="AJ4177" s="3" t="s">
        <v>8199</v>
      </c>
      <c r="AK4177" t="s">
        <v>8199</v>
      </c>
    </row>
    <row r="4178" spans="29:37" ht="13.5">
      <c r="AC4178" s="6" t="s">
        <v>1198</v>
      </c>
      <c r="AD4178" s="6" t="s">
        <v>7617</v>
      </c>
      <c r="AE4178" s="155" t="s">
        <v>1043</v>
      </c>
      <c r="AF4178" s="159" t="s">
        <v>8339</v>
      </c>
      <c r="AG4178" s="160" t="s">
        <v>3982</v>
      </c>
      <c r="AH4178" s="194" t="s">
        <v>1314</v>
      </c>
      <c r="AI4178" s="6" t="s">
        <v>3745</v>
      </c>
      <c r="AJ4178" s="3" t="s">
        <v>8218</v>
      </c>
      <c r="AK4178" t="s">
        <v>8218</v>
      </c>
    </row>
    <row r="4179" spans="29:37" ht="13.5">
      <c r="AC4179" s="6" t="s">
        <v>78</v>
      </c>
      <c r="AD4179" s="6" t="s">
        <v>7532</v>
      </c>
      <c r="AE4179" s="155" t="s">
        <v>481</v>
      </c>
      <c r="AF4179" s="159" t="s">
        <v>8339</v>
      </c>
      <c r="AG4179" s="160" t="s">
        <v>3983</v>
      </c>
      <c r="AH4179" s="194" t="s">
        <v>1314</v>
      </c>
      <c r="AI4179" s="6" t="s">
        <v>3761</v>
      </c>
      <c r="AJ4179" s="3" t="s">
        <v>8218</v>
      </c>
      <c r="AK4179" t="s">
        <v>8218</v>
      </c>
    </row>
    <row r="4180" spans="29:37" ht="13.5">
      <c r="AC4180" s="6" t="s">
        <v>6712</v>
      </c>
      <c r="AD4180" s="6" t="s">
        <v>7639</v>
      </c>
      <c r="AE4180" s="155" t="s">
        <v>482</v>
      </c>
      <c r="AF4180" s="159" t="s">
        <v>8356</v>
      </c>
      <c r="AG4180" s="160" t="s">
        <v>2637</v>
      </c>
      <c r="AH4180" s="194" t="s">
        <v>1314</v>
      </c>
      <c r="AI4180" s="6" t="s">
        <v>3762</v>
      </c>
      <c r="AJ4180" s="3" t="s">
        <v>8244</v>
      </c>
      <c r="AK4180" t="s">
        <v>8244</v>
      </c>
    </row>
    <row r="4181" spans="29:37" ht="13.5">
      <c r="AC4181" s="6" t="s">
        <v>1005</v>
      </c>
      <c r="AD4181" s="6" t="s">
        <v>7532</v>
      </c>
      <c r="AE4181" s="155" t="s">
        <v>483</v>
      </c>
      <c r="AF4181" s="159" t="s">
        <v>8300</v>
      </c>
      <c r="AG4181" s="160" t="s">
        <v>1492</v>
      </c>
      <c r="AH4181" s="194" t="s">
        <v>679</v>
      </c>
      <c r="AI4181" s="6" t="s">
        <v>3763</v>
      </c>
      <c r="AJ4181" s="3" t="s">
        <v>8199</v>
      </c>
      <c r="AK4181" t="s">
        <v>8199</v>
      </c>
    </row>
    <row r="4182" spans="29:37" ht="13.5">
      <c r="AC4182" s="6" t="s">
        <v>5259</v>
      </c>
      <c r="AD4182" s="6" t="s">
        <v>7630</v>
      </c>
      <c r="AE4182" s="155" t="s">
        <v>10</v>
      </c>
      <c r="AF4182" s="159" t="s">
        <v>8351</v>
      </c>
      <c r="AG4182" s="160" t="s">
        <v>1965</v>
      </c>
      <c r="AH4182" s="194" t="s">
        <v>678</v>
      </c>
      <c r="AI4182" s="6" t="s">
        <v>3766</v>
      </c>
      <c r="AJ4182" s="3" t="s">
        <v>8218</v>
      </c>
      <c r="AK4182" t="s">
        <v>8218</v>
      </c>
    </row>
    <row r="4183" spans="29:37" ht="13.5">
      <c r="AC4183" s="6" t="s">
        <v>5495</v>
      </c>
      <c r="AD4183" s="6" t="s">
        <v>7640</v>
      </c>
      <c r="AE4183" s="155" t="s">
        <v>484</v>
      </c>
      <c r="AF4183" s="159" t="s">
        <v>8351</v>
      </c>
      <c r="AG4183" s="160" t="s">
        <v>2066</v>
      </c>
      <c r="AH4183" s="194" t="s">
        <v>679</v>
      </c>
      <c r="AI4183" s="6" t="s">
        <v>3767</v>
      </c>
      <c r="AJ4183" s="3" t="s">
        <v>8218</v>
      </c>
      <c r="AK4183" t="s">
        <v>8218</v>
      </c>
    </row>
    <row r="4184" spans="29:37" ht="13.5">
      <c r="AC4184" s="6" t="s">
        <v>1499</v>
      </c>
      <c r="AD4184" s="6" t="s">
        <v>7605</v>
      </c>
      <c r="AE4184" s="155" t="s">
        <v>485</v>
      </c>
      <c r="AF4184" s="159" t="s">
        <v>8339</v>
      </c>
      <c r="AG4184" s="160" t="s">
        <v>1245</v>
      </c>
      <c r="AH4184" s="194" t="s">
        <v>1314</v>
      </c>
      <c r="AI4184" s="6" t="s">
        <v>3772</v>
      </c>
      <c r="AJ4184" s="3" t="s">
        <v>8199</v>
      </c>
      <c r="AK4184" t="s">
        <v>8199</v>
      </c>
    </row>
    <row r="4185" spans="29:37" ht="13.5">
      <c r="AC4185" s="6" t="s">
        <v>1530</v>
      </c>
      <c r="AD4185" s="6" t="s">
        <v>7641</v>
      </c>
      <c r="AE4185" s="155" t="s">
        <v>486</v>
      </c>
      <c r="AF4185" s="159" t="s">
        <v>8550</v>
      </c>
      <c r="AG4185" s="160" t="s">
        <v>2243</v>
      </c>
      <c r="AH4185" s="194" t="s">
        <v>679</v>
      </c>
      <c r="AI4185" s="6" t="s">
        <v>3773</v>
      </c>
      <c r="AJ4185" s="3" t="s">
        <v>8199</v>
      </c>
      <c r="AK4185" t="s">
        <v>8199</v>
      </c>
    </row>
    <row r="4186" spans="29:37" ht="13.5">
      <c r="AC4186" s="6">
        <v>475350</v>
      </c>
      <c r="AD4186" s="6" t="s">
        <v>7642</v>
      </c>
      <c r="AE4186" s="155" t="s">
        <v>487</v>
      </c>
      <c r="AF4186" s="159" t="s">
        <v>8425</v>
      </c>
      <c r="AG4186" s="160" t="s">
        <v>2250</v>
      </c>
      <c r="AH4186" s="194" t="s">
        <v>679</v>
      </c>
      <c r="AI4186" s="6" t="s">
        <v>3775</v>
      </c>
      <c r="AJ4186" s="3" t="s">
        <v>8245</v>
      </c>
      <c r="AK4186" t="s">
        <v>8676</v>
      </c>
    </row>
    <row r="4187" spans="29:37" ht="13.5">
      <c r="AC4187" s="6" t="s">
        <v>5461</v>
      </c>
      <c r="AD4187" s="6" t="s">
        <v>7620</v>
      </c>
      <c r="AE4187" s="155" t="s">
        <v>488</v>
      </c>
      <c r="AF4187" s="159" t="s">
        <v>8300</v>
      </c>
      <c r="AG4187" s="160" t="s">
        <v>52</v>
      </c>
      <c r="AH4187" s="194" t="s">
        <v>679</v>
      </c>
      <c r="AI4187" s="6" t="s">
        <v>3776</v>
      </c>
      <c r="AJ4187" s="3" t="s">
        <v>8245</v>
      </c>
      <c r="AK4187" t="s">
        <v>8676</v>
      </c>
    </row>
    <row r="4188" spans="29:37" ht="13.5">
      <c r="AC4188" s="6" t="s">
        <v>5144</v>
      </c>
      <c r="AD4188" s="6" t="s">
        <v>7587</v>
      </c>
      <c r="AE4188" s="155" t="s">
        <v>489</v>
      </c>
      <c r="AF4188" s="159" t="s">
        <v>8342</v>
      </c>
      <c r="AG4188" s="160" t="s">
        <v>1333</v>
      </c>
      <c r="AH4188" s="194" t="s">
        <v>679</v>
      </c>
      <c r="AI4188" s="6" t="s">
        <v>3785</v>
      </c>
      <c r="AJ4188" s="3" t="s">
        <v>8245</v>
      </c>
      <c r="AK4188" t="s">
        <v>8676</v>
      </c>
    </row>
    <row r="4189" spans="29:37" ht="13.5">
      <c r="AC4189" s="6" t="s">
        <v>6713</v>
      </c>
      <c r="AD4189" s="6" t="s">
        <v>7643</v>
      </c>
      <c r="AE4189" s="155" t="s">
        <v>490</v>
      </c>
      <c r="AF4189" s="159" t="s">
        <v>8299</v>
      </c>
      <c r="AG4189" s="160" t="s">
        <v>1483</v>
      </c>
      <c r="AH4189" s="194" t="s">
        <v>679</v>
      </c>
      <c r="AI4189" s="6" t="s">
        <v>3788</v>
      </c>
      <c r="AJ4189" s="3" t="s">
        <v>8199</v>
      </c>
      <c r="AK4189" t="s">
        <v>8199</v>
      </c>
    </row>
    <row r="4190" spans="29:37" ht="13.5">
      <c r="AC4190" s="6" t="s">
        <v>5330</v>
      </c>
      <c r="AD4190" s="6" t="s">
        <v>7644</v>
      </c>
      <c r="AE4190" s="155" t="s">
        <v>491</v>
      </c>
      <c r="AF4190" s="159" t="s">
        <v>8300</v>
      </c>
      <c r="AG4190" s="160" t="s">
        <v>1108</v>
      </c>
      <c r="AH4190" s="194" t="s">
        <v>679</v>
      </c>
      <c r="AI4190" s="6" t="s">
        <v>3790</v>
      </c>
      <c r="AJ4190" s="3" t="s">
        <v>8244</v>
      </c>
      <c r="AK4190" t="s">
        <v>8244</v>
      </c>
    </row>
    <row r="4191" spans="29:37" ht="13.5">
      <c r="AC4191" s="6" t="s">
        <v>5247</v>
      </c>
      <c r="AD4191" s="6" t="s">
        <v>7645</v>
      </c>
      <c r="AE4191" s="155" t="s">
        <v>492</v>
      </c>
      <c r="AF4191" s="159" t="s">
        <v>8300</v>
      </c>
      <c r="AG4191" s="160" t="s">
        <v>604</v>
      </c>
      <c r="AH4191" s="194" t="s">
        <v>679</v>
      </c>
      <c r="AI4191" s="6" t="s">
        <v>3791</v>
      </c>
      <c r="AJ4191" s="3" t="s">
        <v>8244</v>
      </c>
      <c r="AK4191" t="s">
        <v>8244</v>
      </c>
    </row>
    <row r="4192" spans="29:37" ht="13.5">
      <c r="AC4192" s="6" t="s">
        <v>4409</v>
      </c>
      <c r="AD4192" s="6" t="s">
        <v>7587</v>
      </c>
      <c r="AE4192" s="155" t="s">
        <v>1410</v>
      </c>
      <c r="AF4192" s="159" t="s">
        <v>8339</v>
      </c>
      <c r="AG4192" s="160" t="s">
        <v>1488</v>
      </c>
      <c r="AH4192" s="194" t="s">
        <v>679</v>
      </c>
      <c r="AI4192" s="6" t="s">
        <v>3792</v>
      </c>
      <c r="AJ4192" s="3" t="s">
        <v>8244</v>
      </c>
      <c r="AK4192" t="s">
        <v>8244</v>
      </c>
    </row>
    <row r="4193" spans="29:37" ht="13.5">
      <c r="AC4193" s="6" t="s">
        <v>5356</v>
      </c>
      <c r="AD4193" s="6" t="s">
        <v>7587</v>
      </c>
      <c r="AE4193" s="155" t="s">
        <v>493</v>
      </c>
      <c r="AF4193" s="159" t="s">
        <v>8299</v>
      </c>
      <c r="AG4193" s="160" t="s">
        <v>605</v>
      </c>
      <c r="AH4193" s="194" t="s">
        <v>679</v>
      </c>
      <c r="AI4193" s="6" t="s">
        <v>3796</v>
      </c>
      <c r="AJ4193" s="3" t="s">
        <v>8199</v>
      </c>
      <c r="AK4193" t="s">
        <v>8199</v>
      </c>
    </row>
    <row r="4194" spans="29:37" ht="13.5">
      <c r="AC4194" s="6" t="s">
        <v>5459</v>
      </c>
      <c r="AD4194" s="6" t="s">
        <v>7646</v>
      </c>
      <c r="AE4194" s="155" t="s">
        <v>494</v>
      </c>
      <c r="AF4194" s="159" t="s">
        <v>8342</v>
      </c>
      <c r="AG4194" s="160" t="s">
        <v>1493</v>
      </c>
      <c r="AH4194" s="194" t="s">
        <v>679</v>
      </c>
      <c r="AI4194" s="6" t="s">
        <v>3804</v>
      </c>
      <c r="AJ4194" s="3" t="s">
        <v>8218</v>
      </c>
      <c r="AK4194" t="s">
        <v>8218</v>
      </c>
    </row>
    <row r="4195" spans="29:37" ht="13.5">
      <c r="AC4195" s="6" t="s">
        <v>4350</v>
      </c>
      <c r="AD4195" s="6" t="s">
        <v>7647</v>
      </c>
      <c r="AE4195" s="155" t="s">
        <v>6</v>
      </c>
      <c r="AF4195" s="159" t="s">
        <v>8339</v>
      </c>
      <c r="AG4195" s="160" t="s">
        <v>1494</v>
      </c>
      <c r="AH4195" s="194" t="s">
        <v>678</v>
      </c>
      <c r="AI4195" s="6" t="s">
        <v>3807</v>
      </c>
      <c r="AJ4195" s="3" t="s">
        <v>8218</v>
      </c>
      <c r="AK4195" t="s">
        <v>8218</v>
      </c>
    </row>
    <row r="4196" spans="29:37" ht="13.5">
      <c r="AC4196" s="6" t="s">
        <v>1013</v>
      </c>
      <c r="AD4196" s="6" t="s">
        <v>7648</v>
      </c>
      <c r="AE4196" s="155" t="s">
        <v>20</v>
      </c>
      <c r="AF4196" s="159" t="s">
        <v>8339</v>
      </c>
      <c r="AG4196" s="160" t="s">
        <v>606</v>
      </c>
      <c r="AH4196" s="194" t="s">
        <v>679</v>
      </c>
      <c r="AI4196" s="6" t="s">
        <v>3808</v>
      </c>
      <c r="AJ4196" s="3" t="s">
        <v>8218</v>
      </c>
      <c r="AK4196" t="s">
        <v>8218</v>
      </c>
    </row>
    <row r="4197" spans="29:37" ht="13.5">
      <c r="AC4197" s="6" t="s">
        <v>1423</v>
      </c>
      <c r="AD4197" s="6" t="s">
        <v>7649</v>
      </c>
      <c r="AE4197" s="155" t="s">
        <v>495</v>
      </c>
      <c r="AF4197" s="159" t="s">
        <v>8299</v>
      </c>
      <c r="AG4197" s="160" t="s">
        <v>1495</v>
      </c>
      <c r="AH4197" s="194" t="s">
        <v>678</v>
      </c>
      <c r="AI4197" s="6" t="s">
        <v>3809</v>
      </c>
      <c r="AJ4197" s="3" t="s">
        <v>8218</v>
      </c>
      <c r="AK4197" t="s">
        <v>8218</v>
      </c>
    </row>
    <row r="4198" spans="29:37" ht="13.5">
      <c r="AC4198" s="6" t="s">
        <v>4353</v>
      </c>
      <c r="AD4198" s="6" t="s">
        <v>7650</v>
      </c>
      <c r="AE4198" s="155" t="s">
        <v>496</v>
      </c>
      <c r="AF4198" s="159" t="s">
        <v>8339</v>
      </c>
      <c r="AG4198" s="160" t="s">
        <v>1548</v>
      </c>
      <c r="AH4198" s="194" t="s">
        <v>678</v>
      </c>
      <c r="AI4198" s="6" t="s">
        <v>3811</v>
      </c>
      <c r="AJ4198" s="3" t="s">
        <v>8244</v>
      </c>
      <c r="AK4198" t="s">
        <v>8244</v>
      </c>
    </row>
    <row r="4199" spans="29:37" ht="13.5">
      <c r="AC4199" s="6" t="s">
        <v>148</v>
      </c>
      <c r="AD4199" s="6" t="s">
        <v>7649</v>
      </c>
      <c r="AE4199" s="155" t="s">
        <v>497</v>
      </c>
      <c r="AF4199" s="159" t="s">
        <v>8339</v>
      </c>
      <c r="AG4199" s="160" t="s">
        <v>1571</v>
      </c>
      <c r="AH4199" s="194" t="s">
        <v>678</v>
      </c>
      <c r="AI4199" s="6" t="s">
        <v>3814</v>
      </c>
      <c r="AJ4199" s="3" t="s">
        <v>8218</v>
      </c>
      <c r="AK4199" t="s">
        <v>8218</v>
      </c>
    </row>
    <row r="4200" spans="29:37" ht="13.5">
      <c r="AC4200" s="6" t="s">
        <v>6714</v>
      </c>
      <c r="AD4200" s="6" t="s">
        <v>7651</v>
      </c>
      <c r="AE4200" s="155" t="s">
        <v>498</v>
      </c>
      <c r="AF4200" s="159" t="s">
        <v>8300</v>
      </c>
      <c r="AG4200" s="160" t="s">
        <v>1637</v>
      </c>
      <c r="AH4200" s="194" t="s">
        <v>679</v>
      </c>
      <c r="AI4200" s="6" t="s">
        <v>3817</v>
      </c>
      <c r="AJ4200" s="3" t="s">
        <v>8218</v>
      </c>
      <c r="AK4200" t="s">
        <v>8218</v>
      </c>
    </row>
    <row r="4201" spans="29:37" ht="13.5">
      <c r="AC4201" s="6">
        <v>475349</v>
      </c>
      <c r="AD4201" s="6" t="s">
        <v>7642</v>
      </c>
      <c r="AE4201" s="155" t="s">
        <v>499</v>
      </c>
      <c r="AF4201" s="159" t="s">
        <v>8341</v>
      </c>
      <c r="AG4201" s="160" t="s">
        <v>1638</v>
      </c>
      <c r="AH4201" s="194" t="s">
        <v>679</v>
      </c>
      <c r="AI4201" s="6" t="s">
        <v>3818</v>
      </c>
      <c r="AJ4201" s="3" t="s">
        <v>8199</v>
      </c>
      <c r="AK4201" t="s">
        <v>8199</v>
      </c>
    </row>
    <row r="4202" spans="29:37" ht="13.5">
      <c r="AC4202" s="6" t="s">
        <v>1514</v>
      </c>
      <c r="AD4202" s="6" t="s">
        <v>7652</v>
      </c>
      <c r="AE4202" s="155" t="s">
        <v>500</v>
      </c>
      <c r="AF4202" s="159" t="s">
        <v>8309</v>
      </c>
      <c r="AG4202" s="160" t="s">
        <v>1639</v>
      </c>
      <c r="AH4202" s="194" t="s">
        <v>679</v>
      </c>
      <c r="AI4202" s="6" t="s">
        <v>3823</v>
      </c>
      <c r="AJ4202" s="3" t="s">
        <v>8218</v>
      </c>
      <c r="AK4202" t="s">
        <v>8218</v>
      </c>
    </row>
    <row r="4203" spans="29:37" ht="13.5">
      <c r="AC4203" s="6" t="s">
        <v>5354</v>
      </c>
      <c r="AD4203" s="6" t="s">
        <v>7587</v>
      </c>
      <c r="AE4203" s="155" t="s">
        <v>501</v>
      </c>
      <c r="AF4203" s="159" t="s">
        <v>8339</v>
      </c>
      <c r="AG4203" s="160" t="s">
        <v>1640</v>
      </c>
      <c r="AH4203" s="194" t="s">
        <v>679</v>
      </c>
      <c r="AI4203" s="6" t="s">
        <v>3824</v>
      </c>
      <c r="AJ4203" s="3" t="s">
        <v>8218</v>
      </c>
      <c r="AK4203" t="s">
        <v>8218</v>
      </c>
    </row>
    <row r="4204" spans="29:37" ht="13.5">
      <c r="AC4204" s="6" t="s">
        <v>6715</v>
      </c>
      <c r="AD4204" s="6" t="s">
        <v>7643</v>
      </c>
      <c r="AE4204" s="155" t="s">
        <v>502</v>
      </c>
      <c r="AF4204" s="159" t="s">
        <v>8339</v>
      </c>
      <c r="AG4204" s="160" t="s">
        <v>4446</v>
      </c>
      <c r="AH4204" s="194" t="s">
        <v>679</v>
      </c>
      <c r="AI4204" s="6" t="s">
        <v>4717</v>
      </c>
      <c r="AJ4204" s="3" t="s">
        <v>8199</v>
      </c>
      <c r="AK4204" t="s">
        <v>8199</v>
      </c>
    </row>
    <row r="4205" spans="29:37" ht="13.5">
      <c r="AC4205" s="6">
        <v>25260</v>
      </c>
      <c r="AD4205" s="6" t="s">
        <v>7559</v>
      </c>
      <c r="AE4205" s="155" t="s">
        <v>503</v>
      </c>
      <c r="AF4205" s="159" t="s">
        <v>8339</v>
      </c>
      <c r="AG4205" s="160" t="s">
        <v>5156</v>
      </c>
      <c r="AH4205" s="194" t="s">
        <v>679</v>
      </c>
      <c r="AI4205" s="6" t="s">
        <v>4485</v>
      </c>
      <c r="AJ4205" s="3" t="s">
        <v>8245</v>
      </c>
      <c r="AK4205" t="s">
        <v>8676</v>
      </c>
    </row>
    <row r="4206" spans="29:37" ht="13.5">
      <c r="AC4206" s="6" t="s">
        <v>5460</v>
      </c>
      <c r="AD4206" s="6" t="s">
        <v>7642</v>
      </c>
      <c r="AE4206" s="155" t="s">
        <v>504</v>
      </c>
      <c r="AF4206" s="159" t="s">
        <v>8551</v>
      </c>
      <c r="AG4206" s="160" t="s">
        <v>5133</v>
      </c>
      <c r="AH4206" s="194" t="s">
        <v>1314</v>
      </c>
      <c r="AI4206" s="6" t="s">
        <v>5283</v>
      </c>
      <c r="AJ4206" s="3" t="s">
        <v>8199</v>
      </c>
      <c r="AK4206" t="s">
        <v>8199</v>
      </c>
    </row>
    <row r="4207" spans="29:37" ht="13.5">
      <c r="AC4207" s="6">
        <v>525365</v>
      </c>
      <c r="AD4207" s="6" t="s">
        <v>7619</v>
      </c>
      <c r="AE4207" s="155" t="s">
        <v>505</v>
      </c>
      <c r="AF4207" s="159" t="s">
        <v>8299</v>
      </c>
      <c r="AG4207" s="160" t="s">
        <v>5080</v>
      </c>
      <c r="AH4207" s="194" t="s">
        <v>1314</v>
      </c>
      <c r="AI4207" s="6" t="s">
        <v>5277</v>
      </c>
      <c r="AJ4207" s="3" t="s">
        <v>8199</v>
      </c>
      <c r="AK4207" t="s">
        <v>8199</v>
      </c>
    </row>
    <row r="4208" spans="29:37" ht="13.5">
      <c r="AC4208" s="6" t="s">
        <v>1529</v>
      </c>
      <c r="AD4208" s="6" t="s">
        <v>7653</v>
      </c>
      <c r="AE4208" s="155" t="s">
        <v>506</v>
      </c>
      <c r="AF4208" s="159" t="s">
        <v>8507</v>
      </c>
      <c r="AG4208" s="160" t="s">
        <v>5442</v>
      </c>
      <c r="AH4208" s="194" t="s">
        <v>1314</v>
      </c>
      <c r="AI4208" s="6" t="s">
        <v>5299</v>
      </c>
      <c r="AJ4208" s="3" t="s">
        <v>8244</v>
      </c>
      <c r="AK4208" t="s">
        <v>8244</v>
      </c>
    </row>
    <row r="4209" spans="29:37" ht="13.5">
      <c r="AC4209" s="6" t="s">
        <v>1648</v>
      </c>
      <c r="AD4209" s="6" t="s">
        <v>7635</v>
      </c>
      <c r="AE4209" s="155" t="s">
        <v>1411</v>
      </c>
      <c r="AF4209" s="159" t="s">
        <v>8300</v>
      </c>
      <c r="AG4209" s="160" t="s">
        <v>5443</v>
      </c>
      <c r="AH4209" s="194" t="s">
        <v>1314</v>
      </c>
      <c r="AI4209" s="6" t="s">
        <v>2485</v>
      </c>
      <c r="AJ4209" s="3" t="s">
        <v>8226</v>
      </c>
      <c r="AK4209" t="s">
        <v>8671</v>
      </c>
    </row>
    <row r="4210" spans="29:37" ht="13.5">
      <c r="AC4210" s="6" t="s">
        <v>1513</v>
      </c>
      <c r="AD4210" s="6" t="s">
        <v>7652</v>
      </c>
      <c r="AE4210" s="155" t="s">
        <v>1412</v>
      </c>
      <c r="AF4210" s="159" t="s">
        <v>8320</v>
      </c>
      <c r="AG4210" s="160" t="s">
        <v>5444</v>
      </c>
      <c r="AH4210" s="194" t="s">
        <v>1314</v>
      </c>
      <c r="AI4210" s="6" t="s">
        <v>2564</v>
      </c>
      <c r="AJ4210" s="3" t="s">
        <v>8226</v>
      </c>
      <c r="AK4210" t="s">
        <v>8671</v>
      </c>
    </row>
    <row r="4211" spans="29:37" ht="13.5">
      <c r="AC4211" s="6" t="s">
        <v>4723</v>
      </c>
      <c r="AD4211" s="6" t="s">
        <v>7620</v>
      </c>
      <c r="AE4211" s="155" t="s">
        <v>1413</v>
      </c>
      <c r="AF4211" s="159" t="s">
        <v>8300</v>
      </c>
      <c r="AG4211" s="160" t="s">
        <v>3984</v>
      </c>
      <c r="AH4211" s="194" t="s">
        <v>679</v>
      </c>
      <c r="AI4211" s="6" t="s">
        <v>3830</v>
      </c>
      <c r="AJ4211" s="3" t="s">
        <v>8226</v>
      </c>
      <c r="AK4211" t="s">
        <v>8671</v>
      </c>
    </row>
    <row r="4212" spans="29:37" ht="13.5">
      <c r="AC4212" s="6" t="s">
        <v>1645</v>
      </c>
      <c r="AD4212" s="6" t="s">
        <v>7635</v>
      </c>
      <c r="AE4212" s="155" t="s">
        <v>1414</v>
      </c>
      <c r="AF4212" s="159" t="s">
        <v>8300</v>
      </c>
      <c r="AG4212" s="160" t="s">
        <v>3985</v>
      </c>
      <c r="AH4212" s="194" t="s">
        <v>679</v>
      </c>
      <c r="AI4212" s="6" t="s">
        <v>1544</v>
      </c>
      <c r="AJ4212" s="3" t="s">
        <v>8197</v>
      </c>
      <c r="AK4212" t="s">
        <v>8197</v>
      </c>
    </row>
    <row r="4213" spans="29:37" ht="13.5">
      <c r="AC4213" s="6" t="s">
        <v>1154</v>
      </c>
      <c r="AD4213" s="6" t="s">
        <v>7654</v>
      </c>
      <c r="AE4213" s="155" t="s">
        <v>1044</v>
      </c>
      <c r="AF4213" s="159" t="s">
        <v>8339</v>
      </c>
      <c r="AG4213" s="160" t="s">
        <v>3986</v>
      </c>
      <c r="AH4213" s="194" t="s">
        <v>679</v>
      </c>
      <c r="AI4213" s="6" t="s">
        <v>1566</v>
      </c>
      <c r="AJ4213" s="3" t="s">
        <v>8197</v>
      </c>
      <c r="AK4213" t="s">
        <v>8197</v>
      </c>
    </row>
    <row r="4214" spans="29:37" ht="13.5">
      <c r="AC4214" s="6" t="s">
        <v>1479</v>
      </c>
      <c r="AD4214" s="6" t="s">
        <v>7655</v>
      </c>
      <c r="AE4214" s="155" t="s">
        <v>507</v>
      </c>
      <c r="AF4214" s="159" t="s">
        <v>8300</v>
      </c>
      <c r="AG4214" s="160" t="s">
        <v>3987</v>
      </c>
      <c r="AH4214" s="194" t="s">
        <v>679</v>
      </c>
      <c r="AI4214" s="6" t="s">
        <v>158</v>
      </c>
      <c r="AJ4214" s="3" t="s">
        <v>8197</v>
      </c>
      <c r="AK4214" t="s">
        <v>8197</v>
      </c>
    </row>
    <row r="4215" spans="29:37" ht="13.5">
      <c r="AC4215" s="6" t="s">
        <v>1649</v>
      </c>
      <c r="AD4215" s="6" t="s">
        <v>7635</v>
      </c>
      <c r="AE4215" s="155" t="s">
        <v>508</v>
      </c>
      <c r="AF4215" s="159" t="s">
        <v>8299</v>
      </c>
      <c r="AG4215" s="160" t="s">
        <v>3988</v>
      </c>
      <c r="AH4215" s="194" t="s">
        <v>679</v>
      </c>
      <c r="AI4215" s="6" t="s">
        <v>1579</v>
      </c>
      <c r="AJ4215" s="3" t="s">
        <v>8197</v>
      </c>
      <c r="AK4215" t="s">
        <v>8197</v>
      </c>
    </row>
    <row r="4216" spans="29:37" ht="13.5">
      <c r="AC4216" s="6" t="s">
        <v>623</v>
      </c>
      <c r="AD4216" s="6" t="s">
        <v>7656</v>
      </c>
      <c r="AE4216" s="155" t="s">
        <v>509</v>
      </c>
      <c r="AF4216" s="159" t="s">
        <v>8356</v>
      </c>
      <c r="AG4216" s="160" t="s">
        <v>3989</v>
      </c>
      <c r="AH4216" s="194" t="s">
        <v>679</v>
      </c>
      <c r="AI4216" s="6" t="s">
        <v>1585</v>
      </c>
      <c r="AJ4216" s="3" t="s">
        <v>8197</v>
      </c>
      <c r="AK4216" t="s">
        <v>8197</v>
      </c>
    </row>
    <row r="4217" spans="29:37" ht="13.5">
      <c r="AC4217" s="6" t="s">
        <v>6716</v>
      </c>
      <c r="AD4217" s="6" t="s">
        <v>7657</v>
      </c>
      <c r="AE4217" s="155" t="s">
        <v>510</v>
      </c>
      <c r="AF4217" s="159" t="s">
        <v>8300</v>
      </c>
      <c r="AG4217" s="160" t="s">
        <v>3990</v>
      </c>
      <c r="AH4217" s="194" t="s">
        <v>679</v>
      </c>
      <c r="AI4217" s="6" t="s">
        <v>1589</v>
      </c>
      <c r="AJ4217" s="3" t="s">
        <v>8197</v>
      </c>
      <c r="AK4217" t="s">
        <v>8197</v>
      </c>
    </row>
    <row r="4218" spans="29:37" ht="13.5">
      <c r="AC4218" s="6" t="s">
        <v>6717</v>
      </c>
      <c r="AD4218" s="6" t="s">
        <v>7643</v>
      </c>
      <c r="AE4218" s="155" t="s">
        <v>511</v>
      </c>
      <c r="AF4218" s="159" t="s">
        <v>8300</v>
      </c>
      <c r="AG4218" s="160" t="s">
        <v>3991</v>
      </c>
      <c r="AH4218" s="194" t="s">
        <v>679</v>
      </c>
      <c r="AI4218" s="6" t="s">
        <v>1593</v>
      </c>
      <c r="AJ4218" s="3" t="s">
        <v>8197</v>
      </c>
      <c r="AK4218" t="s">
        <v>8197</v>
      </c>
    </row>
    <row r="4219" spans="29:37" ht="13.5">
      <c r="AC4219" s="6" t="s">
        <v>5219</v>
      </c>
      <c r="AD4219" s="6" t="s">
        <v>7635</v>
      </c>
      <c r="AE4219" s="155" t="s">
        <v>512</v>
      </c>
      <c r="AF4219" s="159" t="s">
        <v>8300</v>
      </c>
      <c r="AG4219" s="160" t="s">
        <v>3992</v>
      </c>
      <c r="AH4219" s="194" t="s">
        <v>1314</v>
      </c>
      <c r="AI4219" s="6" t="s">
        <v>6663</v>
      </c>
      <c r="AJ4219" s="3" t="s">
        <v>8219</v>
      </c>
      <c r="AK4219" t="s">
        <v>8219</v>
      </c>
    </row>
    <row r="4220" spans="29:37" ht="13.5">
      <c r="AC4220" s="6" t="s">
        <v>5353</v>
      </c>
      <c r="AD4220" s="6" t="s">
        <v>7587</v>
      </c>
      <c r="AE4220" s="155" t="s">
        <v>513</v>
      </c>
      <c r="AF4220" s="159" t="s">
        <v>8300</v>
      </c>
      <c r="AG4220" s="160" t="s">
        <v>3993</v>
      </c>
      <c r="AH4220" s="194" t="s">
        <v>679</v>
      </c>
      <c r="AI4220" s="6" t="s">
        <v>1895</v>
      </c>
      <c r="AJ4220" s="3" t="s">
        <v>8227</v>
      </c>
      <c r="AK4220" t="s">
        <v>8227</v>
      </c>
    </row>
    <row r="4221" spans="29:37" ht="13.5">
      <c r="AC4221" s="6" t="s">
        <v>4472</v>
      </c>
      <c r="AD4221" s="6" t="s">
        <v>7617</v>
      </c>
      <c r="AE4221" s="155" t="s">
        <v>1419</v>
      </c>
      <c r="AF4221" s="159" t="s">
        <v>8300</v>
      </c>
      <c r="AG4221" s="160" t="s">
        <v>3994</v>
      </c>
      <c r="AH4221" s="194" t="s">
        <v>1314</v>
      </c>
      <c r="AI4221" s="6" t="s">
        <v>6667</v>
      </c>
      <c r="AJ4221" s="3" t="s">
        <v>8197</v>
      </c>
      <c r="AK4221" t="s">
        <v>8197</v>
      </c>
    </row>
    <row r="4222" spans="29:37" ht="13.5">
      <c r="AC4222" s="6" t="s">
        <v>5246</v>
      </c>
      <c r="AD4222" s="6" t="s">
        <v>7631</v>
      </c>
      <c r="AE4222" s="155" t="s">
        <v>514</v>
      </c>
      <c r="AF4222" s="159" t="s">
        <v>8339</v>
      </c>
      <c r="AG4222" s="160" t="s">
        <v>5035</v>
      </c>
      <c r="AH4222" s="194" t="s">
        <v>1314</v>
      </c>
      <c r="AI4222" s="6" t="s">
        <v>6691</v>
      </c>
      <c r="AJ4222" s="3" t="s">
        <v>8197</v>
      </c>
      <c r="AK4222" t="s">
        <v>8197</v>
      </c>
    </row>
    <row r="4223" spans="29:37" ht="13.5">
      <c r="AC4223" s="6" t="s">
        <v>1512</v>
      </c>
      <c r="AD4223" s="6" t="s">
        <v>7652</v>
      </c>
      <c r="AE4223" s="155" t="s">
        <v>515</v>
      </c>
      <c r="AF4223" s="159" t="s">
        <v>8299</v>
      </c>
      <c r="AG4223" s="160" t="s">
        <v>5170</v>
      </c>
      <c r="AH4223" s="194" t="s">
        <v>1314</v>
      </c>
      <c r="AI4223" s="6" t="s">
        <v>6709</v>
      </c>
      <c r="AJ4223" s="3" t="s">
        <v>8197</v>
      </c>
      <c r="AK4223" t="s">
        <v>8197</v>
      </c>
    </row>
    <row r="4224" spans="29:37" ht="13.5">
      <c r="AC4224" s="6" t="s">
        <v>137</v>
      </c>
      <c r="AD4224" s="6" t="s">
        <v>7658</v>
      </c>
      <c r="AE4224" s="155" t="s">
        <v>516</v>
      </c>
      <c r="AF4224" s="159" t="s">
        <v>8309</v>
      </c>
      <c r="AG4224" s="160" t="s">
        <v>5053</v>
      </c>
      <c r="AH4224" s="194" t="s">
        <v>1314</v>
      </c>
      <c r="AI4224" s="6" t="s">
        <v>6680</v>
      </c>
      <c r="AJ4224" s="3" t="s">
        <v>8197</v>
      </c>
      <c r="AK4224" t="s">
        <v>8197</v>
      </c>
    </row>
    <row r="4225" spans="29:37" ht="13.5">
      <c r="AC4225" s="6">
        <v>625368</v>
      </c>
      <c r="AD4225" s="6" t="s">
        <v>7637</v>
      </c>
      <c r="AE4225" s="155" t="s">
        <v>517</v>
      </c>
      <c r="AF4225" s="159" t="s">
        <v>8339</v>
      </c>
      <c r="AG4225" s="160" t="s">
        <v>5069</v>
      </c>
      <c r="AH4225" s="194" t="s">
        <v>1314</v>
      </c>
      <c r="AI4225" s="6" t="s">
        <v>6682</v>
      </c>
      <c r="AJ4225" s="3" t="s">
        <v>8197</v>
      </c>
      <c r="AK4225" t="s">
        <v>8197</v>
      </c>
    </row>
    <row r="4226" spans="29:37" ht="13.5">
      <c r="AC4226" s="6">
        <v>15251</v>
      </c>
      <c r="AD4226" s="6" t="s">
        <v>7571</v>
      </c>
      <c r="AE4226" s="155" t="s">
        <v>518</v>
      </c>
      <c r="AF4226" s="159" t="s">
        <v>8339</v>
      </c>
      <c r="AG4226" s="160" t="s">
        <v>1715</v>
      </c>
      <c r="AH4226" s="194" t="s">
        <v>679</v>
      </c>
      <c r="AI4226" s="6" t="s">
        <v>6683</v>
      </c>
      <c r="AJ4226" s="3" t="s">
        <v>8197</v>
      </c>
      <c r="AK4226" t="s">
        <v>8197</v>
      </c>
    </row>
    <row r="4227" spans="29:37" ht="13.5">
      <c r="AC4227" s="6" t="s">
        <v>1657</v>
      </c>
      <c r="AD4227" s="6" t="s">
        <v>7659</v>
      </c>
      <c r="AE4227" s="155" t="s">
        <v>519</v>
      </c>
      <c r="AF4227" s="159" t="s">
        <v>8300</v>
      </c>
      <c r="AG4227" s="160" t="s">
        <v>1717</v>
      </c>
      <c r="AH4227" s="194" t="s">
        <v>679</v>
      </c>
      <c r="AI4227" s="6" t="s">
        <v>6703</v>
      </c>
      <c r="AJ4227" s="3" t="s">
        <v>8197</v>
      </c>
      <c r="AK4227" t="s">
        <v>8197</v>
      </c>
    </row>
    <row r="4228" spans="29:37" ht="13.5">
      <c r="AC4228" s="6" t="s">
        <v>5149</v>
      </c>
      <c r="AD4228" s="6" t="s">
        <v>7630</v>
      </c>
      <c r="AE4228" s="155" t="s">
        <v>3972</v>
      </c>
      <c r="AF4228" s="159" t="s">
        <v>8300</v>
      </c>
      <c r="AG4228" s="160" t="s">
        <v>1719</v>
      </c>
      <c r="AH4228" s="194" t="s">
        <v>679</v>
      </c>
      <c r="AI4228" s="6" t="s">
        <v>6700</v>
      </c>
      <c r="AJ4228" s="3" t="s">
        <v>8197</v>
      </c>
      <c r="AK4228" t="s">
        <v>8197</v>
      </c>
    </row>
    <row r="4229" spans="29:37" ht="13.5">
      <c r="AC4229" s="6" t="s">
        <v>6718</v>
      </c>
      <c r="AD4229" s="6" t="s">
        <v>7607</v>
      </c>
      <c r="AE4229" s="155" t="s">
        <v>1045</v>
      </c>
      <c r="AF4229" s="159" t="s">
        <v>8300</v>
      </c>
      <c r="AG4229" s="160" t="s">
        <v>1721</v>
      </c>
      <c r="AH4229" s="194" t="s">
        <v>679</v>
      </c>
      <c r="AI4229" s="6" t="s">
        <v>6697</v>
      </c>
      <c r="AJ4229" s="3" t="s">
        <v>8197</v>
      </c>
      <c r="AK4229" t="s">
        <v>8197</v>
      </c>
    </row>
    <row r="4230" spans="29:37" ht="13.5">
      <c r="AC4230" s="6" t="s">
        <v>5200</v>
      </c>
      <c r="AD4230" s="6" t="s">
        <v>7660</v>
      </c>
      <c r="AE4230" s="155" t="s">
        <v>520</v>
      </c>
      <c r="AF4230" s="159" t="s">
        <v>8300</v>
      </c>
      <c r="AG4230" s="160" t="s">
        <v>1722</v>
      </c>
      <c r="AH4230" s="194" t="s">
        <v>679</v>
      </c>
      <c r="AI4230" s="6" t="s">
        <v>6688</v>
      </c>
      <c r="AJ4230" s="3" t="s">
        <v>8197</v>
      </c>
      <c r="AK4230" t="s">
        <v>8197</v>
      </c>
    </row>
    <row r="4231" spans="29:37" ht="13.5">
      <c r="AC4231" s="6" t="s">
        <v>6719</v>
      </c>
      <c r="AD4231" s="6" t="s">
        <v>7643</v>
      </c>
      <c r="AE4231" s="155" t="s">
        <v>951</v>
      </c>
      <c r="AF4231" s="159" t="s">
        <v>8339</v>
      </c>
      <c r="AG4231" s="160" t="s">
        <v>1724</v>
      </c>
      <c r="AH4231" s="194" t="s">
        <v>1314</v>
      </c>
      <c r="AI4231" s="6" t="s">
        <v>6693</v>
      </c>
      <c r="AJ4231" s="3" t="s">
        <v>8197</v>
      </c>
      <c r="AK4231" t="s">
        <v>8197</v>
      </c>
    </row>
    <row r="4232" spans="29:37" ht="13.5">
      <c r="AC4232" s="6" t="s">
        <v>1527</v>
      </c>
      <c r="AD4232" s="6" t="s">
        <v>7661</v>
      </c>
      <c r="AE4232" s="155" t="s">
        <v>1046</v>
      </c>
      <c r="AF4232" s="159" t="s">
        <v>8300</v>
      </c>
      <c r="AG4232" s="160" t="s">
        <v>1763</v>
      </c>
      <c r="AH4232" s="194" t="s">
        <v>678</v>
      </c>
      <c r="AI4232" s="6" t="s">
        <v>6692</v>
      </c>
      <c r="AJ4232" s="3" t="s">
        <v>8197</v>
      </c>
      <c r="AK4232" t="s">
        <v>8197</v>
      </c>
    </row>
    <row r="4233" spans="29:37" ht="13.5">
      <c r="AC4233" s="6" t="s">
        <v>5343</v>
      </c>
      <c r="AD4233" s="6" t="s">
        <v>7620</v>
      </c>
      <c r="AE4233" s="155" t="s">
        <v>3973</v>
      </c>
      <c r="AF4233" s="159" t="s">
        <v>8300</v>
      </c>
      <c r="AG4233" s="160" t="s">
        <v>1764</v>
      </c>
      <c r="AH4233" s="194" t="s">
        <v>678</v>
      </c>
      <c r="AI4233" s="6" t="s">
        <v>6679</v>
      </c>
      <c r="AJ4233" s="3" t="s">
        <v>8197</v>
      </c>
      <c r="AK4233" t="s">
        <v>8197</v>
      </c>
    </row>
    <row r="4234" spans="29:37" ht="13.5">
      <c r="AC4234" s="6" t="s">
        <v>5135</v>
      </c>
      <c r="AD4234" s="6" t="s">
        <v>7634</v>
      </c>
      <c r="AE4234" s="155" t="s">
        <v>3974</v>
      </c>
      <c r="AF4234" s="159" t="s">
        <v>8300</v>
      </c>
      <c r="AG4234" s="160" t="s">
        <v>1765</v>
      </c>
      <c r="AH4234" s="194" t="s">
        <v>678</v>
      </c>
      <c r="AI4234" s="6" t="s">
        <v>6681</v>
      </c>
      <c r="AJ4234" s="3" t="s">
        <v>8197</v>
      </c>
      <c r="AK4234" t="s">
        <v>8197</v>
      </c>
    </row>
    <row r="4235" spans="29:37" ht="13.5">
      <c r="AC4235" s="6">
        <v>335412</v>
      </c>
      <c r="AD4235" s="6" t="s">
        <v>7662</v>
      </c>
      <c r="AE4235" s="155" t="s">
        <v>1047</v>
      </c>
      <c r="AF4235" s="159" t="s">
        <v>8339</v>
      </c>
      <c r="AG4235" s="160" t="s">
        <v>1766</v>
      </c>
      <c r="AH4235" s="194" t="s">
        <v>678</v>
      </c>
      <c r="AI4235" s="6" t="s">
        <v>6675</v>
      </c>
      <c r="AJ4235" s="3" t="s">
        <v>8197</v>
      </c>
      <c r="AK4235" t="s">
        <v>8197</v>
      </c>
    </row>
    <row r="4236" spans="29:37" ht="13.5">
      <c r="AC4236" s="6" t="s">
        <v>1511</v>
      </c>
      <c r="AD4236" s="6" t="s">
        <v>7652</v>
      </c>
      <c r="AE4236" s="155" t="s">
        <v>955</v>
      </c>
      <c r="AF4236" s="159" t="s">
        <v>8300</v>
      </c>
      <c r="AG4236" s="160" t="s">
        <v>1906</v>
      </c>
      <c r="AH4236" s="194" t="s">
        <v>4700</v>
      </c>
      <c r="AI4236" s="6" t="s">
        <v>6686</v>
      </c>
      <c r="AJ4236" s="3" t="s">
        <v>8197</v>
      </c>
      <c r="AK4236" t="s">
        <v>8197</v>
      </c>
    </row>
    <row r="4237" spans="29:37" ht="13.5">
      <c r="AC4237" s="6" t="s">
        <v>1666</v>
      </c>
      <c r="AD4237" s="6" t="s">
        <v>7663</v>
      </c>
      <c r="AE4237" s="155" t="s">
        <v>1435</v>
      </c>
      <c r="AF4237" s="159" t="s">
        <v>8300</v>
      </c>
      <c r="AG4237" s="160" t="s">
        <v>1907</v>
      </c>
      <c r="AH4237" s="194" t="s">
        <v>678</v>
      </c>
      <c r="AI4237" s="6" t="s">
        <v>6704</v>
      </c>
      <c r="AJ4237" s="3" t="s">
        <v>8197</v>
      </c>
      <c r="AK4237" t="s">
        <v>8197</v>
      </c>
    </row>
    <row r="4238" spans="29:37" ht="13.5">
      <c r="AC4238" s="6" t="s">
        <v>1433</v>
      </c>
      <c r="AD4238" s="6" t="s">
        <v>7664</v>
      </c>
      <c r="AE4238" s="155" t="s">
        <v>3975</v>
      </c>
      <c r="AF4238" s="159" t="s">
        <v>8339</v>
      </c>
      <c r="AG4238" s="160" t="s">
        <v>1973</v>
      </c>
      <c r="AH4238" s="194" t="s">
        <v>678</v>
      </c>
      <c r="AI4238" s="6" t="s">
        <v>1547</v>
      </c>
      <c r="AJ4238" s="3" t="s">
        <v>8219</v>
      </c>
      <c r="AK4238" t="s">
        <v>8219</v>
      </c>
    </row>
    <row r="4239" spans="29:37" ht="13.5">
      <c r="AC4239" s="6" t="s">
        <v>5344</v>
      </c>
      <c r="AD4239" s="6" t="s">
        <v>7660</v>
      </c>
      <c r="AE4239" s="155" t="s">
        <v>4514</v>
      </c>
      <c r="AF4239" s="159" t="s">
        <v>8300</v>
      </c>
      <c r="AG4239" s="160" t="s">
        <v>2056</v>
      </c>
      <c r="AH4239" s="194" t="s">
        <v>679</v>
      </c>
      <c r="AI4239" s="6" t="s">
        <v>730</v>
      </c>
      <c r="AJ4239" s="3" t="s">
        <v>8273</v>
      </c>
      <c r="AK4239" t="s">
        <v>8273</v>
      </c>
    </row>
    <row r="4240" spans="29:37" ht="13.5">
      <c r="AC4240" s="6" t="s">
        <v>1155</v>
      </c>
      <c r="AD4240" s="6" t="s">
        <v>7654</v>
      </c>
      <c r="AE4240" s="155" t="s">
        <v>521</v>
      </c>
      <c r="AF4240" s="159" t="s">
        <v>8300</v>
      </c>
      <c r="AG4240" s="160" t="s">
        <v>2067</v>
      </c>
      <c r="AH4240" s="194" t="s">
        <v>679</v>
      </c>
      <c r="AI4240" s="6" t="s">
        <v>732</v>
      </c>
      <c r="AJ4240" s="3" t="s">
        <v>8234</v>
      </c>
      <c r="AK4240" t="s">
        <v>8234</v>
      </c>
    </row>
    <row r="4241" spans="29:37" ht="13.5">
      <c r="AC4241" s="6" t="s">
        <v>5217</v>
      </c>
      <c r="AD4241" s="6" t="s">
        <v>7634</v>
      </c>
      <c r="AE4241" s="155" t="s">
        <v>522</v>
      </c>
      <c r="AF4241" s="159" t="s">
        <v>8347</v>
      </c>
      <c r="AG4241" s="160" t="s">
        <v>2068</v>
      </c>
      <c r="AH4241" s="194" t="s">
        <v>679</v>
      </c>
      <c r="AI4241" s="6" t="s">
        <v>737</v>
      </c>
      <c r="AJ4241" s="3" t="s">
        <v>8222</v>
      </c>
      <c r="AK4241" t="s">
        <v>8670</v>
      </c>
    </row>
    <row r="4242" spans="29:37" ht="13.5">
      <c r="AC4242" s="6" t="s">
        <v>6720</v>
      </c>
      <c r="AD4242" s="6" t="s">
        <v>7559</v>
      </c>
      <c r="AE4242" s="155" t="s">
        <v>947</v>
      </c>
      <c r="AF4242" s="159" t="s">
        <v>8339</v>
      </c>
      <c r="AG4242" s="160" t="s">
        <v>4498</v>
      </c>
      <c r="AH4242" s="194" t="s">
        <v>679</v>
      </c>
      <c r="AI4242" s="6" t="s">
        <v>1863</v>
      </c>
      <c r="AJ4242" s="3" t="s">
        <v>8234</v>
      </c>
      <c r="AK4242" t="s">
        <v>8234</v>
      </c>
    </row>
    <row r="4243" spans="29:37" ht="13.5">
      <c r="AC4243" s="6">
        <v>335303</v>
      </c>
      <c r="AD4243" s="6" t="s">
        <v>7662</v>
      </c>
      <c r="AE4243" s="155" t="s">
        <v>1048</v>
      </c>
      <c r="AF4243" s="159" t="s">
        <v>8339</v>
      </c>
      <c r="AG4243" s="160" t="s">
        <v>2163</v>
      </c>
      <c r="AH4243" s="194" t="s">
        <v>678</v>
      </c>
      <c r="AI4243" s="6" t="s">
        <v>1866</v>
      </c>
      <c r="AJ4243" s="3" t="s">
        <v>8234</v>
      </c>
      <c r="AK4243" t="s">
        <v>8234</v>
      </c>
    </row>
    <row r="4244" spans="29:37" ht="13.5">
      <c r="AC4244" s="6" t="s">
        <v>1481</v>
      </c>
      <c r="AD4244" s="6" t="s">
        <v>7665</v>
      </c>
      <c r="AE4244" s="155" t="s">
        <v>1049</v>
      </c>
      <c r="AF4244" s="159" t="s">
        <v>8339</v>
      </c>
      <c r="AG4244" s="160" t="s">
        <v>607</v>
      </c>
      <c r="AH4244" s="194" t="s">
        <v>679</v>
      </c>
      <c r="AI4244" s="6" t="s">
        <v>1869</v>
      </c>
      <c r="AJ4244" s="3" t="s">
        <v>8234</v>
      </c>
      <c r="AK4244" t="s">
        <v>8234</v>
      </c>
    </row>
    <row r="4245" spans="29:37" ht="13.5">
      <c r="AC4245" s="6" t="s">
        <v>5063</v>
      </c>
      <c r="AD4245" s="6" t="s">
        <v>7617</v>
      </c>
      <c r="AE4245" s="155" t="s">
        <v>523</v>
      </c>
      <c r="AF4245" s="159" t="s">
        <v>8339</v>
      </c>
      <c r="AG4245" s="160" t="s">
        <v>608</v>
      </c>
      <c r="AH4245" s="194" t="s">
        <v>679</v>
      </c>
      <c r="AI4245" s="6" t="s">
        <v>1871</v>
      </c>
      <c r="AJ4245" s="3" t="s">
        <v>8234</v>
      </c>
      <c r="AK4245" t="s">
        <v>8234</v>
      </c>
    </row>
    <row r="4246" spans="29:37" ht="13.5">
      <c r="AC4246" s="6">
        <v>365324</v>
      </c>
      <c r="AD4246" s="6" t="s">
        <v>7666</v>
      </c>
      <c r="AE4246" s="155" t="s">
        <v>524</v>
      </c>
      <c r="AF4246" s="159" t="s">
        <v>8339</v>
      </c>
      <c r="AG4246" s="160" t="s">
        <v>609</v>
      </c>
      <c r="AH4246" s="194" t="s">
        <v>679</v>
      </c>
      <c r="AI4246" s="6" t="s">
        <v>1882</v>
      </c>
      <c r="AJ4246" s="3" t="s">
        <v>8273</v>
      </c>
      <c r="AK4246" t="s">
        <v>8273</v>
      </c>
    </row>
    <row r="4247" spans="29:37" ht="13.5">
      <c r="AC4247" s="6" t="s">
        <v>4352</v>
      </c>
      <c r="AD4247" s="6" t="s">
        <v>7650</v>
      </c>
      <c r="AE4247" s="155" t="s">
        <v>946</v>
      </c>
      <c r="AF4247" s="159" t="s">
        <v>8339</v>
      </c>
      <c r="AG4247" s="160" t="s">
        <v>1970</v>
      </c>
      <c r="AH4247" s="194" t="s">
        <v>679</v>
      </c>
      <c r="AI4247" s="6" t="s">
        <v>744</v>
      </c>
      <c r="AJ4247" s="3" t="s">
        <v>8273</v>
      </c>
      <c r="AK4247" t="s">
        <v>8273</v>
      </c>
    </row>
    <row r="4248" spans="29:37" ht="13.5">
      <c r="AC4248" s="6" t="s">
        <v>1430</v>
      </c>
      <c r="AD4248" s="6" t="s">
        <v>7667</v>
      </c>
      <c r="AE4248" s="155" t="s">
        <v>1436</v>
      </c>
      <c r="AF4248" s="159" t="s">
        <v>8299</v>
      </c>
      <c r="AG4248" s="160" t="s">
        <v>3995</v>
      </c>
      <c r="AH4248" s="194" t="s">
        <v>1314</v>
      </c>
      <c r="AI4248" s="6" t="s">
        <v>745</v>
      </c>
      <c r="AJ4248" s="3" t="s">
        <v>8273</v>
      </c>
      <c r="AK4248" t="s">
        <v>8273</v>
      </c>
    </row>
    <row r="4249" spans="29:37" ht="13.5">
      <c r="AC4249" s="6" t="s">
        <v>4454</v>
      </c>
      <c r="AD4249" s="6" t="s">
        <v>7634</v>
      </c>
      <c r="AE4249" s="155" t="s">
        <v>525</v>
      </c>
      <c r="AF4249" s="159" t="s">
        <v>8339</v>
      </c>
      <c r="AG4249" s="160" t="s">
        <v>2544</v>
      </c>
      <c r="AH4249" s="194" t="s">
        <v>1314</v>
      </c>
      <c r="AI4249" s="6" t="s">
        <v>746</v>
      </c>
      <c r="AJ4249" s="3" t="s">
        <v>8273</v>
      </c>
      <c r="AK4249" t="s">
        <v>8273</v>
      </c>
    </row>
    <row r="4250" spans="29:37" ht="13.5">
      <c r="AC4250" s="6">
        <v>335411</v>
      </c>
      <c r="AD4250" s="6" t="s">
        <v>7662</v>
      </c>
      <c r="AE4250" s="155" t="s">
        <v>526</v>
      </c>
      <c r="AF4250" s="159" t="s">
        <v>8342</v>
      </c>
      <c r="AG4250" s="160" t="s">
        <v>1794</v>
      </c>
      <c r="AH4250" s="194" t="s">
        <v>679</v>
      </c>
      <c r="AI4250" s="6" t="s">
        <v>747</v>
      </c>
      <c r="AJ4250" s="3" t="s">
        <v>8273</v>
      </c>
      <c r="AK4250" t="s">
        <v>8273</v>
      </c>
    </row>
    <row r="4251" spans="29:37" ht="13.5">
      <c r="AC4251" s="6">
        <v>625369</v>
      </c>
      <c r="AD4251" s="6" t="s">
        <v>7637</v>
      </c>
      <c r="AE4251" s="155" t="s">
        <v>5</v>
      </c>
      <c r="AF4251" s="159" t="s">
        <v>8300</v>
      </c>
      <c r="AG4251" s="160" t="s">
        <v>2187</v>
      </c>
      <c r="AH4251" s="194" t="s">
        <v>678</v>
      </c>
      <c r="AI4251" s="6" t="s">
        <v>748</v>
      </c>
      <c r="AJ4251" s="3" t="s">
        <v>8273</v>
      </c>
      <c r="AK4251" t="s">
        <v>8273</v>
      </c>
    </row>
    <row r="4252" spans="29:37" ht="13.5">
      <c r="AC4252" s="6" t="s">
        <v>1515</v>
      </c>
      <c r="AD4252" s="6" t="s">
        <v>7668</v>
      </c>
      <c r="AE4252" s="155" t="s">
        <v>1050</v>
      </c>
      <c r="AF4252" s="159" t="s">
        <v>8299</v>
      </c>
      <c r="AG4252" s="160" t="s">
        <v>2188</v>
      </c>
      <c r="AH4252" s="194" t="s">
        <v>679</v>
      </c>
      <c r="AI4252" s="6" t="s">
        <v>749</v>
      </c>
      <c r="AJ4252" s="3" t="s">
        <v>8273</v>
      </c>
      <c r="AK4252" t="s">
        <v>8273</v>
      </c>
    </row>
    <row r="4253" spans="29:37" ht="13.5">
      <c r="AC4253" s="6" t="s">
        <v>1147</v>
      </c>
      <c r="AD4253" s="6" t="s">
        <v>7669</v>
      </c>
      <c r="AE4253" s="155" t="s">
        <v>1051</v>
      </c>
      <c r="AF4253" s="159" t="s">
        <v>8339</v>
      </c>
      <c r="AG4253" s="160" t="s">
        <v>2189</v>
      </c>
      <c r="AH4253" s="194" t="s">
        <v>679</v>
      </c>
      <c r="AI4253" s="6" t="s">
        <v>750</v>
      </c>
      <c r="AJ4253" s="3" t="s">
        <v>8273</v>
      </c>
      <c r="AK4253" t="s">
        <v>8273</v>
      </c>
    </row>
    <row r="4254" spans="29:37" ht="13.5">
      <c r="AC4254" s="6" t="s">
        <v>5480</v>
      </c>
      <c r="AD4254" s="6" t="s">
        <v>7670</v>
      </c>
      <c r="AE4254" s="155" t="s">
        <v>527</v>
      </c>
      <c r="AF4254" s="159" t="s">
        <v>8339</v>
      </c>
      <c r="AG4254" s="160" t="s">
        <v>2190</v>
      </c>
      <c r="AH4254" s="194" t="s">
        <v>678</v>
      </c>
      <c r="AI4254" s="6" t="s">
        <v>751</v>
      </c>
      <c r="AJ4254" s="3" t="s">
        <v>8263</v>
      </c>
      <c r="AK4254" t="s">
        <v>8263</v>
      </c>
    </row>
    <row r="4255" spans="29:37" ht="13.5">
      <c r="AC4255" s="6" t="s">
        <v>5086</v>
      </c>
      <c r="AD4255" s="6" t="s">
        <v>7620</v>
      </c>
      <c r="AE4255" s="155" t="s">
        <v>1052</v>
      </c>
      <c r="AF4255" s="159" t="s">
        <v>8339</v>
      </c>
      <c r="AG4255" s="160" t="s">
        <v>2191</v>
      </c>
      <c r="AH4255" s="194" t="s">
        <v>679</v>
      </c>
      <c r="AI4255" s="6" t="s">
        <v>752</v>
      </c>
      <c r="AJ4255" s="3" t="s">
        <v>8273</v>
      </c>
      <c r="AK4255" t="s">
        <v>8273</v>
      </c>
    </row>
    <row r="4256" spans="29:37" ht="13.5">
      <c r="AC4256" s="6" t="s">
        <v>4314</v>
      </c>
      <c r="AD4256" s="6" t="s">
        <v>7671</v>
      </c>
      <c r="AE4256" s="155" t="s">
        <v>528</v>
      </c>
      <c r="AF4256" s="159" t="s">
        <v>8300</v>
      </c>
      <c r="AG4256" s="160" t="s">
        <v>1291</v>
      </c>
      <c r="AH4256" s="194" t="s">
        <v>1314</v>
      </c>
      <c r="AI4256" s="6" t="s">
        <v>754</v>
      </c>
      <c r="AJ4256" s="3" t="s">
        <v>8263</v>
      </c>
      <c r="AK4256" t="s">
        <v>8263</v>
      </c>
    </row>
    <row r="4257" spans="29:37" ht="13.5">
      <c r="AC4257" s="6" t="s">
        <v>5444</v>
      </c>
      <c r="AD4257" s="6" t="s">
        <v>7630</v>
      </c>
      <c r="AE4257" s="155" t="s">
        <v>529</v>
      </c>
      <c r="AF4257" s="159" t="s">
        <v>8439</v>
      </c>
      <c r="AG4257" s="160" t="s">
        <v>2192</v>
      </c>
      <c r="AH4257" s="194" t="s">
        <v>679</v>
      </c>
      <c r="AI4257" s="6" t="s">
        <v>756</v>
      </c>
      <c r="AJ4257" s="3" t="s">
        <v>8263</v>
      </c>
      <c r="AK4257" t="s">
        <v>8263</v>
      </c>
    </row>
    <row r="4258" spans="29:37" ht="13.5">
      <c r="AC4258" s="6">
        <v>525364</v>
      </c>
      <c r="AD4258" s="6" t="s">
        <v>7619</v>
      </c>
      <c r="AE4258" s="155" t="s">
        <v>530</v>
      </c>
      <c r="AF4258" s="159" t="s">
        <v>8342</v>
      </c>
      <c r="AG4258" s="160" t="s">
        <v>1759</v>
      </c>
      <c r="AH4258" s="194" t="s">
        <v>679</v>
      </c>
      <c r="AI4258" s="6" t="s">
        <v>760</v>
      </c>
      <c r="AJ4258" s="3" t="s">
        <v>8263</v>
      </c>
      <c r="AK4258" t="s">
        <v>8263</v>
      </c>
    </row>
    <row r="4259" spans="29:37" ht="13.5">
      <c r="AC4259" s="6" t="s">
        <v>4411</v>
      </c>
      <c r="AD4259" s="6" t="s">
        <v>7672</v>
      </c>
      <c r="AE4259" s="155" t="s">
        <v>1437</v>
      </c>
      <c r="AF4259" s="159" t="s">
        <v>8552</v>
      </c>
      <c r="AG4259" s="160" t="s">
        <v>1913</v>
      </c>
      <c r="AH4259" s="194" t="s">
        <v>679</v>
      </c>
      <c r="AI4259" s="6" t="s">
        <v>761</v>
      </c>
      <c r="AJ4259" s="3" t="s">
        <v>8263</v>
      </c>
      <c r="AK4259" t="s">
        <v>8263</v>
      </c>
    </row>
    <row r="4260" spans="29:37" ht="13.5">
      <c r="AC4260" s="6" t="s">
        <v>1563</v>
      </c>
      <c r="AD4260" s="6" t="s">
        <v>7660</v>
      </c>
      <c r="AE4260" s="155" t="s">
        <v>531</v>
      </c>
      <c r="AF4260" s="159" t="s">
        <v>8339</v>
      </c>
      <c r="AG4260" s="160" t="s">
        <v>1981</v>
      </c>
      <c r="AH4260" s="194" t="s">
        <v>679</v>
      </c>
      <c r="AI4260" s="6" t="s">
        <v>762</v>
      </c>
      <c r="AJ4260" s="3" t="s">
        <v>8263</v>
      </c>
      <c r="AK4260" t="s">
        <v>8263</v>
      </c>
    </row>
    <row r="4261" spans="29:37" ht="13.5">
      <c r="AC4261" s="6" t="s">
        <v>1420</v>
      </c>
      <c r="AD4261" s="6" t="s">
        <v>7660</v>
      </c>
      <c r="AE4261" s="155" t="s">
        <v>532</v>
      </c>
      <c r="AF4261" s="159" t="s">
        <v>8320</v>
      </c>
      <c r="AG4261" s="160" t="s">
        <v>3996</v>
      </c>
      <c r="AH4261" s="194" t="s">
        <v>1314</v>
      </c>
      <c r="AI4261" s="6" t="s">
        <v>763</v>
      </c>
      <c r="AJ4261" s="3" t="s">
        <v>8263</v>
      </c>
      <c r="AK4261" t="s">
        <v>8263</v>
      </c>
    </row>
    <row r="4262" spans="29:37" ht="13.5">
      <c r="AC4262" s="6" t="s">
        <v>618</v>
      </c>
      <c r="AD4262" s="6" t="s">
        <v>7669</v>
      </c>
      <c r="AE4262" s="155" t="s">
        <v>1053</v>
      </c>
      <c r="AF4262" s="159" t="s">
        <v>8300</v>
      </c>
      <c r="AG4262" s="160" t="s">
        <v>3997</v>
      </c>
      <c r="AH4262" s="194" t="s">
        <v>679</v>
      </c>
      <c r="AI4262" s="6" t="s">
        <v>767</v>
      </c>
      <c r="AJ4262" s="3" t="s">
        <v>8273</v>
      </c>
      <c r="AK4262" t="s">
        <v>8273</v>
      </c>
    </row>
    <row r="4263" spans="29:37" ht="13.5">
      <c r="AC4263" s="6">
        <v>335301</v>
      </c>
      <c r="AD4263" s="6" t="s">
        <v>7662</v>
      </c>
      <c r="AE4263" s="155" t="s">
        <v>533</v>
      </c>
      <c r="AF4263" s="159" t="s">
        <v>8339</v>
      </c>
      <c r="AG4263" s="160" t="s">
        <v>3998</v>
      </c>
      <c r="AH4263" s="194" t="s">
        <v>679</v>
      </c>
      <c r="AI4263" s="6" t="s">
        <v>769</v>
      </c>
      <c r="AJ4263" s="3" t="s">
        <v>8263</v>
      </c>
      <c r="AK4263" t="s">
        <v>8263</v>
      </c>
    </row>
    <row r="4264" spans="29:37" ht="13.5">
      <c r="AC4264" s="6" t="s">
        <v>4455</v>
      </c>
      <c r="AD4264" s="6" t="s">
        <v>7620</v>
      </c>
      <c r="AE4264" s="155" t="s">
        <v>534</v>
      </c>
      <c r="AF4264" s="159" t="s">
        <v>8339</v>
      </c>
      <c r="AG4264" s="160" t="s">
        <v>3999</v>
      </c>
      <c r="AH4264" s="194" t="s">
        <v>679</v>
      </c>
      <c r="AI4264" s="6" t="s">
        <v>770</v>
      </c>
      <c r="AJ4264" s="3" t="s">
        <v>8273</v>
      </c>
      <c r="AK4264" t="s">
        <v>8273</v>
      </c>
    </row>
    <row r="4265" spans="29:37" ht="13.5">
      <c r="AC4265" s="6">
        <v>335410</v>
      </c>
      <c r="AD4265" s="6" t="s">
        <v>7662</v>
      </c>
      <c r="AE4265" s="155" t="s">
        <v>1054</v>
      </c>
      <c r="AF4265" s="159" t="s">
        <v>8375</v>
      </c>
      <c r="AG4265" s="160" t="s">
        <v>2528</v>
      </c>
      <c r="AH4265" s="194" t="s">
        <v>679</v>
      </c>
      <c r="AI4265" s="6" t="s">
        <v>772</v>
      </c>
      <c r="AJ4265" s="3" t="s">
        <v>8234</v>
      </c>
      <c r="AK4265" t="s">
        <v>8234</v>
      </c>
    </row>
    <row r="4266" spans="29:37" ht="13.5">
      <c r="AC4266" s="6" t="s">
        <v>6721</v>
      </c>
      <c r="AD4266" s="6" t="s">
        <v>7673</v>
      </c>
      <c r="AE4266" s="155" t="s">
        <v>942</v>
      </c>
      <c r="AF4266" s="159" t="s">
        <v>8339</v>
      </c>
      <c r="AG4266" s="160" t="s">
        <v>2785</v>
      </c>
      <c r="AH4266" s="194" t="s">
        <v>679</v>
      </c>
      <c r="AI4266" s="6" t="s">
        <v>773</v>
      </c>
      <c r="AJ4266" s="3" t="s">
        <v>8273</v>
      </c>
      <c r="AK4266" t="s">
        <v>8273</v>
      </c>
    </row>
    <row r="4267" spans="29:37" ht="13.5">
      <c r="AC4267" s="6" t="s">
        <v>1421</v>
      </c>
      <c r="AD4267" s="6" t="s">
        <v>7660</v>
      </c>
      <c r="AE4267" s="155" t="s">
        <v>944</v>
      </c>
      <c r="AF4267" s="159" t="s">
        <v>8300</v>
      </c>
      <c r="AG4267" s="160" t="s">
        <v>2787</v>
      </c>
      <c r="AH4267" s="194" t="s">
        <v>679</v>
      </c>
      <c r="AI4267" s="6" t="s">
        <v>1885</v>
      </c>
      <c r="AJ4267" s="3" t="s">
        <v>8234</v>
      </c>
      <c r="AK4267" t="s">
        <v>8234</v>
      </c>
    </row>
    <row r="4268" spans="29:37" ht="13.5">
      <c r="AC4268" s="6" t="s">
        <v>620</v>
      </c>
      <c r="AD4268" s="6" t="s">
        <v>7674</v>
      </c>
      <c r="AE4268" s="155" t="s">
        <v>535</v>
      </c>
      <c r="AF4268" s="159" t="s">
        <v>8339</v>
      </c>
      <c r="AG4268" s="160" t="s">
        <v>2806</v>
      </c>
      <c r="AH4268" s="194" t="s">
        <v>679</v>
      </c>
      <c r="AI4268" s="6" t="s">
        <v>780</v>
      </c>
      <c r="AJ4268" s="3" t="s">
        <v>8222</v>
      </c>
      <c r="AK4268" t="s">
        <v>8670</v>
      </c>
    </row>
    <row r="4269" spans="29:37" ht="13.5">
      <c r="AC4269" s="6" t="s">
        <v>1564</v>
      </c>
      <c r="AD4269" s="6" t="s">
        <v>7660</v>
      </c>
      <c r="AE4269" s="155" t="s">
        <v>956</v>
      </c>
      <c r="AF4269" s="159" t="s">
        <v>8339</v>
      </c>
      <c r="AG4269" s="160" t="s">
        <v>1761</v>
      </c>
      <c r="AH4269" s="194" t="s">
        <v>678</v>
      </c>
      <c r="AI4269" s="6" t="s">
        <v>1920</v>
      </c>
      <c r="AJ4269" s="3" t="s">
        <v>8234</v>
      </c>
      <c r="AK4269" t="s">
        <v>8234</v>
      </c>
    </row>
    <row r="4270" spans="29:37" ht="13.5">
      <c r="AC4270" s="6" t="s">
        <v>5194</v>
      </c>
      <c r="AD4270" s="6" t="s">
        <v>7620</v>
      </c>
      <c r="AE4270" s="155" t="s">
        <v>1438</v>
      </c>
      <c r="AF4270" s="159" t="s">
        <v>8339</v>
      </c>
      <c r="AG4270" s="160" t="s">
        <v>1762</v>
      </c>
      <c r="AH4270" s="194" t="s">
        <v>679</v>
      </c>
      <c r="AI4270" s="6" t="s">
        <v>784</v>
      </c>
      <c r="AJ4270" s="3" t="s">
        <v>8263</v>
      </c>
      <c r="AK4270" t="s">
        <v>8263</v>
      </c>
    </row>
    <row r="4271" spans="29:37" ht="13.5">
      <c r="AC4271" s="6" t="s">
        <v>1562</v>
      </c>
      <c r="AD4271" s="6" t="s">
        <v>7660</v>
      </c>
      <c r="AE4271" s="155" t="s">
        <v>536</v>
      </c>
      <c r="AF4271" s="159" t="s">
        <v>8339</v>
      </c>
      <c r="AG4271" s="160" t="s">
        <v>1826</v>
      </c>
      <c r="AH4271" s="194" t="s">
        <v>679</v>
      </c>
      <c r="AI4271" s="6" t="s">
        <v>1020</v>
      </c>
      <c r="AJ4271" s="3" t="s">
        <v>8222</v>
      </c>
      <c r="AK4271" t="s">
        <v>8670</v>
      </c>
    </row>
    <row r="4272" spans="29:37" ht="13.5">
      <c r="AC4272" s="6" t="s">
        <v>6722</v>
      </c>
      <c r="AD4272" s="6" t="s">
        <v>7607</v>
      </c>
      <c r="AE4272" s="155" t="s">
        <v>1055</v>
      </c>
      <c r="AF4272" s="159" t="s">
        <v>8346</v>
      </c>
      <c r="AG4272" s="160" t="s">
        <v>1827</v>
      </c>
      <c r="AH4272" s="194" t="s">
        <v>1314</v>
      </c>
      <c r="AI4272" s="6" t="s">
        <v>792</v>
      </c>
      <c r="AJ4272" s="3" t="s">
        <v>8273</v>
      </c>
      <c r="AK4272" t="s">
        <v>8273</v>
      </c>
    </row>
    <row r="4273" spans="29:37" ht="13.5">
      <c r="AC4273" s="6" t="s">
        <v>676</v>
      </c>
      <c r="AD4273" s="6" t="s">
        <v>7660</v>
      </c>
      <c r="AE4273" s="155" t="s">
        <v>1056</v>
      </c>
      <c r="AF4273" s="159" t="s">
        <v>8339</v>
      </c>
      <c r="AG4273" s="160" t="s">
        <v>1839</v>
      </c>
      <c r="AH4273" s="194" t="s">
        <v>679</v>
      </c>
      <c r="AI4273" s="6" t="s">
        <v>800</v>
      </c>
      <c r="AJ4273" s="3" t="s">
        <v>8273</v>
      </c>
      <c r="AK4273" t="s">
        <v>8273</v>
      </c>
    </row>
    <row r="4274" spans="29:37" ht="13.5">
      <c r="AC4274" s="6">
        <v>25335</v>
      </c>
      <c r="AD4274" s="6" t="s">
        <v>7559</v>
      </c>
      <c r="AE4274" s="155" t="s">
        <v>960</v>
      </c>
      <c r="AF4274" s="159" t="s">
        <v>8359</v>
      </c>
      <c r="AG4274" s="160" t="s">
        <v>1840</v>
      </c>
      <c r="AH4274" s="194" t="s">
        <v>679</v>
      </c>
      <c r="AI4274" s="6" t="s">
        <v>812</v>
      </c>
      <c r="AJ4274" s="3" t="s">
        <v>8273</v>
      </c>
      <c r="AK4274" t="s">
        <v>8273</v>
      </c>
    </row>
    <row r="4275" spans="29:37" ht="13.5">
      <c r="AC4275" s="6" t="s">
        <v>655</v>
      </c>
      <c r="AD4275" s="6" t="s">
        <v>7675</v>
      </c>
      <c r="AE4275" s="155" t="s">
        <v>537</v>
      </c>
      <c r="AF4275" s="159" t="s">
        <v>8553</v>
      </c>
      <c r="AG4275" s="160" t="s">
        <v>1841</v>
      </c>
      <c r="AH4275" s="194" t="s">
        <v>679</v>
      </c>
      <c r="AI4275" s="6" t="s">
        <v>839</v>
      </c>
      <c r="AJ4275" s="3" t="s">
        <v>8263</v>
      </c>
      <c r="AK4275" t="s">
        <v>8263</v>
      </c>
    </row>
    <row r="4276" spans="29:37" ht="13.5">
      <c r="AC4276" s="6">
        <v>335302</v>
      </c>
      <c r="AD4276" s="6" t="s">
        <v>7662</v>
      </c>
      <c r="AE4276" s="155" t="s">
        <v>1439</v>
      </c>
      <c r="AF4276" s="159" t="s">
        <v>8339</v>
      </c>
      <c r="AG4276" s="160" t="s">
        <v>2009</v>
      </c>
      <c r="AH4276" s="194" t="s">
        <v>679</v>
      </c>
      <c r="AI4276" s="6" t="s">
        <v>691</v>
      </c>
      <c r="AJ4276" s="3" t="s">
        <v>8273</v>
      </c>
      <c r="AK4276" t="s">
        <v>8273</v>
      </c>
    </row>
    <row r="4277" spans="29:37" ht="13.5">
      <c r="AC4277" s="6" t="s">
        <v>669</v>
      </c>
      <c r="AD4277" s="6" t="s">
        <v>7620</v>
      </c>
      <c r="AE4277" s="155" t="s">
        <v>538</v>
      </c>
      <c r="AF4277" s="159" t="s">
        <v>8375</v>
      </c>
      <c r="AG4277" s="160" t="s">
        <v>2010</v>
      </c>
      <c r="AH4277" s="194" t="s">
        <v>1314</v>
      </c>
      <c r="AI4277" s="6" t="s">
        <v>1024</v>
      </c>
      <c r="AJ4277" s="3" t="s">
        <v>8222</v>
      </c>
      <c r="AK4277" t="s">
        <v>8670</v>
      </c>
    </row>
    <row r="4278" spans="29:37" ht="13.5">
      <c r="AC4278" s="6" t="s">
        <v>677</v>
      </c>
      <c r="AD4278" s="6" t="s">
        <v>7676</v>
      </c>
      <c r="AE4278" s="155" t="s">
        <v>539</v>
      </c>
      <c r="AF4278" s="159" t="s">
        <v>8339</v>
      </c>
      <c r="AG4278" s="160" t="s">
        <v>2011</v>
      </c>
      <c r="AH4278" s="194" t="s">
        <v>679</v>
      </c>
      <c r="AI4278" s="6" t="s">
        <v>1888</v>
      </c>
      <c r="AJ4278" s="3" t="s">
        <v>8217</v>
      </c>
      <c r="AK4278" t="s">
        <v>8668</v>
      </c>
    </row>
    <row r="4279" spans="29:37" ht="13.5">
      <c r="AC4279" s="6">
        <v>335409</v>
      </c>
      <c r="AD4279" s="6" t="s">
        <v>7662</v>
      </c>
      <c r="AE4279" s="155" t="s">
        <v>1057</v>
      </c>
      <c r="AF4279" s="159" t="s">
        <v>8300</v>
      </c>
      <c r="AG4279" s="160" t="s">
        <v>2263</v>
      </c>
      <c r="AH4279" s="194" t="s">
        <v>679</v>
      </c>
      <c r="AI4279" s="6" t="s">
        <v>66</v>
      </c>
      <c r="AJ4279" s="3" t="s">
        <v>8218</v>
      </c>
      <c r="AK4279" t="s">
        <v>8218</v>
      </c>
    </row>
    <row r="4280" spans="29:37" ht="13.5">
      <c r="AC4280" s="6" t="s">
        <v>5488</v>
      </c>
      <c r="AD4280" s="6" t="s">
        <v>7651</v>
      </c>
      <c r="AE4280" s="155" t="s">
        <v>540</v>
      </c>
      <c r="AF4280" s="159" t="s">
        <v>8339</v>
      </c>
      <c r="AG4280" s="160" t="s">
        <v>2</v>
      </c>
      <c r="AH4280" s="194" t="s">
        <v>679</v>
      </c>
      <c r="AI4280" s="6" t="s">
        <v>2854</v>
      </c>
      <c r="AJ4280" s="3" t="s">
        <v>8203</v>
      </c>
      <c r="AK4280" t="s">
        <v>8203</v>
      </c>
    </row>
    <row r="4281" spans="29:37" ht="13.5">
      <c r="AC4281" s="6">
        <v>625370</v>
      </c>
      <c r="AD4281" s="6" t="s">
        <v>7637</v>
      </c>
      <c r="AE4281" s="155" t="s">
        <v>541</v>
      </c>
      <c r="AF4281" s="159" t="s">
        <v>8339</v>
      </c>
      <c r="AG4281" s="160" t="s">
        <v>5102</v>
      </c>
      <c r="AH4281" s="194" t="s">
        <v>679</v>
      </c>
      <c r="AI4281" s="6" t="s">
        <v>2856</v>
      </c>
      <c r="AJ4281" s="3" t="s">
        <v>8203</v>
      </c>
      <c r="AK4281" t="s">
        <v>8203</v>
      </c>
    </row>
    <row r="4282" spans="29:37" ht="13.5">
      <c r="AC4282" s="6" t="s">
        <v>1620</v>
      </c>
      <c r="AD4282" s="6" t="s">
        <v>7620</v>
      </c>
      <c r="AE4282" s="155" t="s">
        <v>1058</v>
      </c>
      <c r="AF4282" s="159" t="s">
        <v>8299</v>
      </c>
      <c r="AG4282" s="160" t="s">
        <v>5245</v>
      </c>
      <c r="AH4282" s="194" t="s">
        <v>679</v>
      </c>
      <c r="AI4282" s="6" t="s">
        <v>2857</v>
      </c>
      <c r="AJ4282" s="3" t="s">
        <v>8246</v>
      </c>
      <c r="AK4282" t="s">
        <v>8246</v>
      </c>
    </row>
    <row r="4283" spans="29:37" ht="13.5">
      <c r="AC4283" s="6" t="s">
        <v>1623</v>
      </c>
      <c r="AD4283" s="6" t="s">
        <v>7620</v>
      </c>
      <c r="AE4283" s="155" t="s">
        <v>4830</v>
      </c>
      <c r="AF4283" s="159" t="s">
        <v>8300</v>
      </c>
      <c r="AG4283" s="160" t="s">
        <v>5071</v>
      </c>
      <c r="AH4283" s="194" t="s">
        <v>679</v>
      </c>
      <c r="AI4283" s="6" t="s">
        <v>2858</v>
      </c>
      <c r="AJ4283" s="3" t="s">
        <v>8204</v>
      </c>
      <c r="AK4283" t="s">
        <v>8204</v>
      </c>
    </row>
    <row r="4284" spans="29:37" ht="13.5">
      <c r="AC4284" s="6" t="s">
        <v>619</v>
      </c>
      <c r="AD4284" s="6" t="s">
        <v>7669</v>
      </c>
      <c r="AE4284" s="155" t="s">
        <v>542</v>
      </c>
      <c r="AF4284" s="159" t="s">
        <v>8347</v>
      </c>
      <c r="AG4284" s="160" t="s">
        <v>5138</v>
      </c>
      <c r="AH4284" s="194" t="s">
        <v>1314</v>
      </c>
      <c r="AI4284" s="6" t="s">
        <v>2861</v>
      </c>
      <c r="AJ4284" s="3" t="s">
        <v>8193</v>
      </c>
      <c r="AK4284" t="s">
        <v>8205</v>
      </c>
    </row>
    <row r="4285" spans="29:37" ht="13.5">
      <c r="AC4285" s="6" t="s">
        <v>5479</v>
      </c>
      <c r="AD4285" s="6" t="s">
        <v>7670</v>
      </c>
      <c r="AE4285" s="155" t="s">
        <v>1059</v>
      </c>
      <c r="AF4285" s="159" t="s">
        <v>8300</v>
      </c>
      <c r="AG4285" s="160" t="s">
        <v>5032</v>
      </c>
      <c r="AH4285" s="194" t="s">
        <v>1314</v>
      </c>
      <c r="AI4285" s="6" t="s">
        <v>2862</v>
      </c>
      <c r="AJ4285" s="3" t="s">
        <v>8204</v>
      </c>
      <c r="AK4285" t="s">
        <v>8204</v>
      </c>
    </row>
    <row r="4286" spans="29:37" ht="13.5">
      <c r="AC4286" s="6" t="s">
        <v>3576</v>
      </c>
      <c r="AD4286" s="6" t="s">
        <v>7677</v>
      </c>
      <c r="AE4286" s="155" t="s">
        <v>1196</v>
      </c>
      <c r="AF4286" s="159" t="s">
        <v>8339</v>
      </c>
      <c r="AG4286" s="160" t="s">
        <v>5036</v>
      </c>
      <c r="AH4286" s="194" t="s">
        <v>1314</v>
      </c>
      <c r="AI4286" s="6" t="s">
        <v>2863</v>
      </c>
      <c r="AJ4286" s="3" t="s">
        <v>8204</v>
      </c>
      <c r="AK4286" t="s">
        <v>8204</v>
      </c>
    </row>
    <row r="4287" spans="29:37" ht="13.5">
      <c r="AC4287" s="6" t="s">
        <v>652</v>
      </c>
      <c r="AD4287" s="6" t="s">
        <v>7675</v>
      </c>
      <c r="AE4287" s="155" t="s">
        <v>1060</v>
      </c>
      <c r="AF4287" s="159" t="s">
        <v>8299</v>
      </c>
      <c r="AG4287" s="160" t="s">
        <v>5228</v>
      </c>
      <c r="AH4287" s="194" t="s">
        <v>1314</v>
      </c>
      <c r="AI4287" s="6" t="s">
        <v>2864</v>
      </c>
      <c r="AJ4287" s="3" t="s">
        <v>8193</v>
      </c>
      <c r="AK4287" t="s">
        <v>8205</v>
      </c>
    </row>
    <row r="4288" spans="29:37" ht="13.5">
      <c r="AC4288" s="6" t="s">
        <v>1621</v>
      </c>
      <c r="AD4288" s="6" t="s">
        <v>7620</v>
      </c>
      <c r="AE4288" s="155" t="s">
        <v>943</v>
      </c>
      <c r="AF4288" s="159" t="s">
        <v>8339</v>
      </c>
      <c r="AG4288" s="160" t="s">
        <v>5263</v>
      </c>
      <c r="AH4288" s="194" t="s">
        <v>1314</v>
      </c>
      <c r="AI4288" s="6" t="s">
        <v>2867</v>
      </c>
      <c r="AJ4288" s="3" t="s">
        <v>8204</v>
      </c>
      <c r="AK4288" t="s">
        <v>8204</v>
      </c>
    </row>
    <row r="4289" spans="29:37" ht="13.5">
      <c r="AC4289" s="6">
        <v>335300</v>
      </c>
      <c r="AD4289" s="6" t="s">
        <v>7662</v>
      </c>
      <c r="AE4289" s="155" t="s">
        <v>543</v>
      </c>
      <c r="AF4289" s="159" t="s">
        <v>8300</v>
      </c>
      <c r="AG4289" s="160" t="s">
        <v>5033</v>
      </c>
      <c r="AH4289" s="194" t="s">
        <v>679</v>
      </c>
      <c r="AI4289" s="6" t="s">
        <v>2869</v>
      </c>
      <c r="AJ4289" s="3" t="s">
        <v>8204</v>
      </c>
      <c r="AK4289" t="s">
        <v>8204</v>
      </c>
    </row>
    <row r="4290" spans="29:37" ht="13.5">
      <c r="AC4290" s="6">
        <v>325299</v>
      </c>
      <c r="AD4290" s="6" t="s">
        <v>7678</v>
      </c>
      <c r="AE4290" s="155" t="s">
        <v>544</v>
      </c>
      <c r="AF4290" s="159" t="s">
        <v>8297</v>
      </c>
      <c r="AG4290" s="160" t="s">
        <v>5261</v>
      </c>
      <c r="AH4290" s="194" t="s">
        <v>1314</v>
      </c>
      <c r="AI4290" s="6" t="s">
        <v>2872</v>
      </c>
      <c r="AJ4290" s="3" t="s">
        <v>8247</v>
      </c>
      <c r="AK4290" t="s">
        <v>8247</v>
      </c>
    </row>
    <row r="4291" spans="29:37" ht="13.5">
      <c r="AC4291" s="6" t="s">
        <v>654</v>
      </c>
      <c r="AD4291" s="6" t="s">
        <v>7675</v>
      </c>
      <c r="AE4291" s="155" t="s">
        <v>545</v>
      </c>
      <c r="AF4291" s="159" t="s">
        <v>8339</v>
      </c>
      <c r="AG4291" s="160" t="s">
        <v>5271</v>
      </c>
      <c r="AH4291" s="194" t="s">
        <v>679</v>
      </c>
      <c r="AI4291" s="6" t="s">
        <v>2874</v>
      </c>
      <c r="AJ4291" s="3" t="s">
        <v>8246</v>
      </c>
      <c r="AK4291" t="s">
        <v>8246</v>
      </c>
    </row>
    <row r="4292" spans="29:37" ht="13.5">
      <c r="AC4292" s="6" t="s">
        <v>79</v>
      </c>
      <c r="AD4292" s="6" t="s">
        <v>7677</v>
      </c>
      <c r="AE4292" s="155" t="s">
        <v>546</v>
      </c>
      <c r="AF4292" s="159" t="s">
        <v>8300</v>
      </c>
      <c r="AG4292" s="160" t="s">
        <v>5272</v>
      </c>
      <c r="AH4292" s="194" t="s">
        <v>1314</v>
      </c>
      <c r="AI4292" s="6" t="s">
        <v>2876</v>
      </c>
      <c r="AJ4292" s="3" t="s">
        <v>8264</v>
      </c>
      <c r="AK4292" t="s">
        <v>8264</v>
      </c>
    </row>
    <row r="4293" spans="29:37" ht="13.5">
      <c r="AC4293" s="6" t="s">
        <v>653</v>
      </c>
      <c r="AD4293" s="6" t="s">
        <v>7675</v>
      </c>
      <c r="AE4293" s="155" t="s">
        <v>547</v>
      </c>
      <c r="AF4293" s="159" t="s">
        <v>8312</v>
      </c>
      <c r="AG4293" s="160" t="s">
        <v>2223</v>
      </c>
      <c r="AH4293" s="194" t="s">
        <v>679</v>
      </c>
      <c r="AI4293" s="6" t="s">
        <v>2878</v>
      </c>
      <c r="AJ4293" s="3" t="s">
        <v>8193</v>
      </c>
      <c r="AK4293" t="s">
        <v>8205</v>
      </c>
    </row>
    <row r="4294" spans="29:37" ht="13.5">
      <c r="AC4294" s="6" t="s">
        <v>1558</v>
      </c>
      <c r="AD4294" s="6" t="s">
        <v>7620</v>
      </c>
      <c r="AE4294" s="155" t="s">
        <v>548</v>
      </c>
      <c r="AF4294" s="159" t="s">
        <v>8339</v>
      </c>
      <c r="AG4294" s="160" t="s">
        <v>2224</v>
      </c>
      <c r="AH4294" s="194" t="s">
        <v>679</v>
      </c>
      <c r="AI4294" s="6" t="s">
        <v>2880</v>
      </c>
      <c r="AJ4294" s="3" t="s">
        <v>8204</v>
      </c>
      <c r="AK4294" t="s">
        <v>8204</v>
      </c>
    </row>
    <row r="4295" spans="29:37" ht="13.5">
      <c r="AC4295" s="6" t="s">
        <v>1624</v>
      </c>
      <c r="AD4295" s="6" t="s">
        <v>7620</v>
      </c>
      <c r="AE4295" s="155" t="s">
        <v>549</v>
      </c>
      <c r="AF4295" s="159" t="s">
        <v>8339</v>
      </c>
      <c r="AG4295" s="160" t="s">
        <v>2225</v>
      </c>
      <c r="AH4295" s="194" t="s">
        <v>679</v>
      </c>
      <c r="AI4295" s="6" t="s">
        <v>2881</v>
      </c>
      <c r="AJ4295" s="3" t="s">
        <v>8246</v>
      </c>
      <c r="AK4295" t="s">
        <v>8246</v>
      </c>
    </row>
    <row r="4296" spans="29:37" ht="13.5">
      <c r="AC4296" s="6" t="s">
        <v>1619</v>
      </c>
      <c r="AD4296" s="6" t="s">
        <v>7620</v>
      </c>
      <c r="AE4296" s="155" t="s">
        <v>550</v>
      </c>
      <c r="AF4296" s="159" t="s">
        <v>8299</v>
      </c>
      <c r="AG4296" s="160" t="s">
        <v>2226</v>
      </c>
      <c r="AH4296" s="194" t="s">
        <v>679</v>
      </c>
      <c r="AI4296" s="6" t="s">
        <v>2884</v>
      </c>
      <c r="AJ4296" s="3" t="s">
        <v>8246</v>
      </c>
      <c r="AK4296" t="s">
        <v>8246</v>
      </c>
    </row>
    <row r="4297" spans="29:37" ht="13.5">
      <c r="AC4297" s="6" t="s">
        <v>1622</v>
      </c>
      <c r="AD4297" s="6" t="s">
        <v>7620</v>
      </c>
      <c r="AE4297" s="155" t="s">
        <v>1440</v>
      </c>
      <c r="AF4297" s="159" t="s">
        <v>8300</v>
      </c>
      <c r="AG4297" s="160" t="s">
        <v>2524</v>
      </c>
      <c r="AH4297" s="194" t="s">
        <v>679</v>
      </c>
      <c r="AI4297" s="6" t="s">
        <v>2885</v>
      </c>
      <c r="AJ4297" s="3" t="s">
        <v>8246</v>
      </c>
      <c r="AK4297" t="s">
        <v>8246</v>
      </c>
    </row>
    <row r="4298" spans="29:37" ht="13.5">
      <c r="AC4298" s="6" t="s">
        <v>1553</v>
      </c>
      <c r="AD4298" s="6" t="s">
        <v>7620</v>
      </c>
      <c r="AE4298" s="155" t="s">
        <v>1441</v>
      </c>
      <c r="AF4298" s="159" t="s">
        <v>8339</v>
      </c>
      <c r="AG4298" s="160" t="s">
        <v>2612</v>
      </c>
      <c r="AH4298" s="194" t="s">
        <v>1314</v>
      </c>
      <c r="AI4298" s="6" t="s">
        <v>2886</v>
      </c>
      <c r="AJ4298" s="3" t="s">
        <v>8203</v>
      </c>
      <c r="AK4298" t="s">
        <v>8203</v>
      </c>
    </row>
    <row r="4299" spans="29:37" ht="13.5">
      <c r="AC4299" s="6" t="s">
        <v>1555</v>
      </c>
      <c r="AD4299" s="6" t="s">
        <v>7620</v>
      </c>
      <c r="AE4299" s="155" t="s">
        <v>551</v>
      </c>
      <c r="AF4299" s="159" t="s">
        <v>8339</v>
      </c>
      <c r="AG4299" s="160" t="s">
        <v>2678</v>
      </c>
      <c r="AH4299" s="194" t="s">
        <v>1314</v>
      </c>
      <c r="AI4299" s="6" t="s">
        <v>2887</v>
      </c>
      <c r="AJ4299" s="3" t="s">
        <v>8246</v>
      </c>
      <c r="AK4299" t="s">
        <v>8246</v>
      </c>
    </row>
    <row r="4300" spans="29:37" ht="13.5">
      <c r="AC4300" s="6" t="s">
        <v>3575</v>
      </c>
      <c r="AD4300" s="6" t="s">
        <v>7677</v>
      </c>
      <c r="AE4300" s="155" t="s">
        <v>552</v>
      </c>
      <c r="AF4300" s="159" t="s">
        <v>8341</v>
      </c>
      <c r="AG4300" s="160" t="s">
        <v>2321</v>
      </c>
      <c r="AH4300" s="194" t="s">
        <v>679</v>
      </c>
      <c r="AI4300" s="6" t="s">
        <v>2889</v>
      </c>
      <c r="AJ4300" s="3" t="s">
        <v>8246</v>
      </c>
      <c r="AK4300" t="s">
        <v>8246</v>
      </c>
    </row>
    <row r="4301" spans="29:37" ht="13.5">
      <c r="AC4301" s="6" t="s">
        <v>6723</v>
      </c>
      <c r="AD4301" s="6" t="s">
        <v>7620</v>
      </c>
      <c r="AE4301" s="155" t="s">
        <v>553</v>
      </c>
      <c r="AF4301" s="159" t="s">
        <v>8309</v>
      </c>
      <c r="AG4301" s="160" t="s">
        <v>2800</v>
      </c>
      <c r="AH4301" s="194" t="s">
        <v>1314</v>
      </c>
      <c r="AI4301" s="6" t="s">
        <v>2892</v>
      </c>
      <c r="AJ4301" s="3" t="s">
        <v>8246</v>
      </c>
      <c r="AK4301" t="s">
        <v>8246</v>
      </c>
    </row>
    <row r="4302" spans="29:37" ht="13.5">
      <c r="AC4302" s="6" t="s">
        <v>6724</v>
      </c>
      <c r="AD4302" s="6" t="s">
        <v>7620</v>
      </c>
      <c r="AE4302" s="155" t="s">
        <v>554</v>
      </c>
      <c r="AF4302" s="159" t="s">
        <v>8339</v>
      </c>
      <c r="AG4302" s="160" t="s">
        <v>2330</v>
      </c>
      <c r="AH4302" s="194" t="s">
        <v>1314</v>
      </c>
      <c r="AI4302" s="6" t="s">
        <v>2893</v>
      </c>
      <c r="AJ4302" s="3" t="s">
        <v>8246</v>
      </c>
      <c r="AK4302" t="s">
        <v>8246</v>
      </c>
    </row>
    <row r="4303" spans="29:37" ht="13.5">
      <c r="AC4303" s="6" t="s">
        <v>1124</v>
      </c>
      <c r="AD4303" s="6" t="s">
        <v>7620</v>
      </c>
      <c r="AE4303" s="155" t="s">
        <v>555</v>
      </c>
      <c r="AF4303" s="159" t="s">
        <v>8339</v>
      </c>
      <c r="AG4303" s="160" t="s">
        <v>2331</v>
      </c>
      <c r="AH4303" s="194" t="s">
        <v>1314</v>
      </c>
      <c r="AI4303" s="6" t="s">
        <v>2895</v>
      </c>
      <c r="AJ4303" s="3" t="s">
        <v>8193</v>
      </c>
      <c r="AK4303" t="s">
        <v>8205</v>
      </c>
    </row>
    <row r="4304" spans="29:37" ht="13.5">
      <c r="AC4304" s="6" t="s">
        <v>1551</v>
      </c>
      <c r="AD4304" s="6" t="s">
        <v>7620</v>
      </c>
      <c r="AE4304" s="155" t="s">
        <v>556</v>
      </c>
      <c r="AF4304" s="159" t="s">
        <v>8339</v>
      </c>
      <c r="AG4304" s="160" t="s">
        <v>2332</v>
      </c>
      <c r="AH4304" s="194" t="s">
        <v>1314</v>
      </c>
      <c r="AI4304" s="6" t="s">
        <v>2897</v>
      </c>
      <c r="AJ4304" s="3" t="s">
        <v>8246</v>
      </c>
      <c r="AK4304" t="s">
        <v>8246</v>
      </c>
    </row>
    <row r="4305" spans="29:37" ht="13.5">
      <c r="AC4305" s="6" t="s">
        <v>1156</v>
      </c>
      <c r="AD4305" s="6" t="s">
        <v>7679</v>
      </c>
      <c r="AE4305" s="155" t="s">
        <v>557</v>
      </c>
      <c r="AF4305" s="159" t="s">
        <v>8339</v>
      </c>
      <c r="AG4305" s="160" t="s">
        <v>2333</v>
      </c>
      <c r="AH4305" s="194" t="s">
        <v>679</v>
      </c>
      <c r="AI4305" s="6" t="s">
        <v>2899</v>
      </c>
      <c r="AJ4305" s="3" t="s">
        <v>8246</v>
      </c>
      <c r="AK4305" t="s">
        <v>8246</v>
      </c>
    </row>
    <row r="4306" spans="29:37" ht="13.5">
      <c r="AC4306" s="6" t="s">
        <v>663</v>
      </c>
      <c r="AD4306" s="6" t="s">
        <v>7620</v>
      </c>
      <c r="AE4306" s="155" t="s">
        <v>558</v>
      </c>
      <c r="AF4306" s="159" t="s">
        <v>8300</v>
      </c>
      <c r="AG4306" s="160" t="s">
        <v>2798</v>
      </c>
      <c r="AH4306" s="194" t="s">
        <v>679</v>
      </c>
      <c r="AI4306" s="6" t="s">
        <v>2902</v>
      </c>
      <c r="AJ4306" s="3" t="s">
        <v>8246</v>
      </c>
      <c r="AK4306" t="s">
        <v>8246</v>
      </c>
    </row>
    <row r="4307" spans="29:37" ht="13.5">
      <c r="AC4307" s="6" t="s">
        <v>1617</v>
      </c>
      <c r="AD4307" s="6" t="s">
        <v>7620</v>
      </c>
      <c r="AE4307" s="155" t="s">
        <v>986</v>
      </c>
      <c r="AF4307" s="159" t="s">
        <v>8300</v>
      </c>
      <c r="AG4307" s="160" t="s">
        <v>1241</v>
      </c>
      <c r="AH4307" s="194" t="s">
        <v>1314</v>
      </c>
      <c r="AI4307" s="6" t="s">
        <v>2904</v>
      </c>
      <c r="AJ4307" s="3" t="s">
        <v>8247</v>
      </c>
      <c r="AK4307" t="s">
        <v>8247</v>
      </c>
    </row>
    <row r="4308" spans="29:37" ht="13.5">
      <c r="AC4308" s="6" t="s">
        <v>1559</v>
      </c>
      <c r="AD4308" s="6" t="s">
        <v>7620</v>
      </c>
      <c r="AE4308" s="155" t="s">
        <v>559</v>
      </c>
      <c r="AF4308" s="159" t="s">
        <v>8339</v>
      </c>
      <c r="AG4308" s="160" t="s">
        <v>2344</v>
      </c>
      <c r="AH4308" s="194" t="s">
        <v>1314</v>
      </c>
      <c r="AI4308" s="6" t="s">
        <v>2905</v>
      </c>
      <c r="AJ4308" s="3" t="s">
        <v>8203</v>
      </c>
      <c r="AK4308" t="s">
        <v>8203</v>
      </c>
    </row>
    <row r="4309" spans="29:37" ht="13.5">
      <c r="AC4309" s="6" t="s">
        <v>4712</v>
      </c>
      <c r="AD4309" s="6" t="s">
        <v>7620</v>
      </c>
      <c r="AE4309" s="155" t="s">
        <v>954</v>
      </c>
      <c r="AF4309" s="159" t="s">
        <v>8339</v>
      </c>
      <c r="AG4309" s="160" t="s">
        <v>2345</v>
      </c>
      <c r="AH4309" s="194" t="s">
        <v>1314</v>
      </c>
      <c r="AI4309" s="6" t="s">
        <v>2906</v>
      </c>
      <c r="AJ4309" s="3" t="s">
        <v>8193</v>
      </c>
      <c r="AK4309" t="s">
        <v>8205</v>
      </c>
    </row>
    <row r="4310" spans="29:37" ht="13.5">
      <c r="AC4310" s="6" t="s">
        <v>1557</v>
      </c>
      <c r="AD4310" s="6" t="s">
        <v>7620</v>
      </c>
      <c r="AE4310" s="155" t="s">
        <v>1442</v>
      </c>
      <c r="AF4310" s="159" t="s">
        <v>8554</v>
      </c>
      <c r="AG4310" s="160" t="s">
        <v>1799</v>
      </c>
      <c r="AH4310" s="194" t="s">
        <v>1314</v>
      </c>
      <c r="AI4310" s="6" t="s">
        <v>2907</v>
      </c>
      <c r="AJ4310" s="3" t="s">
        <v>8204</v>
      </c>
      <c r="AK4310" t="s">
        <v>8204</v>
      </c>
    </row>
    <row r="4311" spans="29:37" ht="13.5">
      <c r="AC4311" s="6" t="s">
        <v>666</v>
      </c>
      <c r="AD4311" s="6" t="s">
        <v>7620</v>
      </c>
      <c r="AE4311" s="155" t="s">
        <v>560</v>
      </c>
      <c r="AF4311" s="159" t="s">
        <v>8299</v>
      </c>
      <c r="AG4311" s="160" t="s">
        <v>1800</v>
      </c>
      <c r="AH4311" s="194" t="s">
        <v>679</v>
      </c>
      <c r="AI4311" s="6" t="s">
        <v>2908</v>
      </c>
      <c r="AJ4311" s="3" t="s">
        <v>8193</v>
      </c>
      <c r="AK4311" t="s">
        <v>8205</v>
      </c>
    </row>
    <row r="4312" spans="29:37" ht="13.5">
      <c r="AC4312" s="6" t="s">
        <v>1625</v>
      </c>
      <c r="AD4312" s="6" t="s">
        <v>7620</v>
      </c>
      <c r="AE4312" s="155" t="s">
        <v>561</v>
      </c>
      <c r="AF4312" s="159" t="s">
        <v>8346</v>
      </c>
      <c r="AG4312" s="160" t="s">
        <v>1801</v>
      </c>
      <c r="AH4312" s="194" t="s">
        <v>679</v>
      </c>
      <c r="AI4312" s="6" t="s">
        <v>2910</v>
      </c>
      <c r="AJ4312" s="3" t="s">
        <v>8193</v>
      </c>
      <c r="AK4312" t="s">
        <v>8205</v>
      </c>
    </row>
    <row r="4313" spans="29:37" ht="13.5">
      <c r="AC4313" s="6" t="s">
        <v>667</v>
      </c>
      <c r="AD4313" s="6" t="s">
        <v>7620</v>
      </c>
      <c r="AE4313" s="155" t="s">
        <v>1443</v>
      </c>
      <c r="AF4313" s="159" t="s">
        <v>8300</v>
      </c>
      <c r="AG4313" s="160" t="s">
        <v>5173</v>
      </c>
      <c r="AH4313" s="194" t="s">
        <v>679</v>
      </c>
      <c r="AI4313" s="6" t="s">
        <v>2911</v>
      </c>
      <c r="AJ4313" s="3" t="s">
        <v>8193</v>
      </c>
      <c r="AK4313" t="s">
        <v>8205</v>
      </c>
    </row>
    <row r="4314" spans="29:37" ht="13.5">
      <c r="AC4314" s="6" t="s">
        <v>1316</v>
      </c>
      <c r="AD4314" s="6" t="s">
        <v>7620</v>
      </c>
      <c r="AE4314" s="155" t="s">
        <v>966</v>
      </c>
      <c r="AF4314" s="159" t="s">
        <v>8339</v>
      </c>
      <c r="AG4314" s="160" t="s">
        <v>5251</v>
      </c>
      <c r="AH4314" s="194" t="s">
        <v>1314</v>
      </c>
      <c r="AI4314" s="6" t="s">
        <v>2913</v>
      </c>
      <c r="AJ4314" s="3" t="s">
        <v>8203</v>
      </c>
      <c r="AK4314" t="s">
        <v>8203</v>
      </c>
    </row>
    <row r="4315" spans="29:37" ht="13.5">
      <c r="AC4315" s="6" t="s">
        <v>4441</v>
      </c>
      <c r="AD4315" s="6" t="s">
        <v>7680</v>
      </c>
      <c r="AE4315" s="155" t="s">
        <v>1061</v>
      </c>
      <c r="AF4315" s="159" t="s">
        <v>8300</v>
      </c>
      <c r="AG4315" s="160" t="s">
        <v>5099</v>
      </c>
      <c r="AH4315" s="194" t="s">
        <v>679</v>
      </c>
      <c r="AI4315" s="6" t="s">
        <v>2914</v>
      </c>
      <c r="AJ4315" s="3" t="s">
        <v>8193</v>
      </c>
      <c r="AK4315" t="s">
        <v>8205</v>
      </c>
    </row>
    <row r="4316" spans="29:37" ht="13.5">
      <c r="AC4316" s="6" t="s">
        <v>668</v>
      </c>
      <c r="AD4316" s="6" t="s">
        <v>7620</v>
      </c>
      <c r="AE4316" s="155" t="s">
        <v>1062</v>
      </c>
      <c r="AF4316" s="159" t="s">
        <v>8339</v>
      </c>
      <c r="AG4316" s="160" t="s">
        <v>5445</v>
      </c>
      <c r="AH4316" s="194" t="s">
        <v>1314</v>
      </c>
      <c r="AI4316" s="6" t="s">
        <v>2915</v>
      </c>
      <c r="AJ4316" s="3" t="s">
        <v>8203</v>
      </c>
      <c r="AK4316" t="s">
        <v>8203</v>
      </c>
    </row>
    <row r="4317" spans="29:37" ht="13.5">
      <c r="AC4317" s="6" t="s">
        <v>1570</v>
      </c>
      <c r="AD4317" s="6" t="s">
        <v>7620</v>
      </c>
      <c r="AE4317" s="155" t="s">
        <v>972</v>
      </c>
      <c r="AF4317" s="159" t="s">
        <v>8300</v>
      </c>
      <c r="AG4317" s="160" t="s">
        <v>5446</v>
      </c>
      <c r="AH4317" s="194" t="s">
        <v>1314</v>
      </c>
      <c r="AI4317" s="6" t="s">
        <v>2916</v>
      </c>
      <c r="AJ4317" s="3" t="s">
        <v>8193</v>
      </c>
      <c r="AK4317" t="s">
        <v>8205</v>
      </c>
    </row>
    <row r="4318" spans="29:37" ht="13.5">
      <c r="AC4318" s="6" t="s">
        <v>1628</v>
      </c>
      <c r="AD4318" s="6" t="s">
        <v>7620</v>
      </c>
      <c r="AE4318" s="155" t="s">
        <v>1063</v>
      </c>
      <c r="AF4318" s="159" t="s">
        <v>8300</v>
      </c>
      <c r="AG4318" s="160" t="s">
        <v>2497</v>
      </c>
      <c r="AH4318" s="194" t="s">
        <v>679</v>
      </c>
      <c r="AI4318" s="6" t="s">
        <v>1213</v>
      </c>
      <c r="AJ4318" s="3" t="s">
        <v>8264</v>
      </c>
      <c r="AK4318" t="s">
        <v>8264</v>
      </c>
    </row>
    <row r="4319" spans="29:37" ht="13.5">
      <c r="AC4319" s="6" t="s">
        <v>5156</v>
      </c>
      <c r="AD4319" s="6" t="s">
        <v>7630</v>
      </c>
      <c r="AE4319" s="155" t="s">
        <v>950</v>
      </c>
      <c r="AF4319" s="159" t="s">
        <v>8300</v>
      </c>
      <c r="AG4319" s="160" t="s">
        <v>2498</v>
      </c>
      <c r="AH4319" s="194" t="s">
        <v>679</v>
      </c>
      <c r="AI4319" s="6" t="s">
        <v>2919</v>
      </c>
      <c r="AJ4319" s="3" t="s">
        <v>8264</v>
      </c>
      <c r="AK4319" t="s">
        <v>8264</v>
      </c>
    </row>
    <row r="4320" spans="29:37" ht="13.5">
      <c r="AC4320" s="6" t="s">
        <v>1549</v>
      </c>
      <c r="AD4320" s="6" t="s">
        <v>7620</v>
      </c>
      <c r="AE4320" s="155" t="s">
        <v>1064</v>
      </c>
      <c r="AF4320" s="159" t="s">
        <v>8342</v>
      </c>
      <c r="AG4320" s="160" t="s">
        <v>2499</v>
      </c>
      <c r="AH4320" s="194" t="s">
        <v>679</v>
      </c>
      <c r="AI4320" s="6" t="s">
        <v>2920</v>
      </c>
      <c r="AJ4320" s="3" t="s">
        <v>8264</v>
      </c>
      <c r="AK4320" t="s">
        <v>8264</v>
      </c>
    </row>
    <row r="4321" spans="29:37" ht="13.5">
      <c r="AC4321" s="6" t="s">
        <v>656</v>
      </c>
      <c r="AD4321" s="6" t="s">
        <v>7620</v>
      </c>
      <c r="AE4321" s="155" t="s">
        <v>562</v>
      </c>
      <c r="AF4321" s="159" t="s">
        <v>8300</v>
      </c>
      <c r="AG4321" s="160" t="s">
        <v>2674</v>
      </c>
      <c r="AH4321" s="194" t="s">
        <v>679</v>
      </c>
      <c r="AI4321" s="6" t="s">
        <v>2921</v>
      </c>
      <c r="AJ4321" s="3" t="s">
        <v>8193</v>
      </c>
      <c r="AK4321" t="s">
        <v>8205</v>
      </c>
    </row>
    <row r="4322" spans="29:37" ht="13.5">
      <c r="AC4322" s="6" t="s">
        <v>1561</v>
      </c>
      <c r="AD4322" s="6" t="s">
        <v>7620</v>
      </c>
      <c r="AE4322" s="155" t="s">
        <v>563</v>
      </c>
      <c r="AF4322" s="159" t="s">
        <v>8346</v>
      </c>
      <c r="AG4322" s="160" t="s">
        <v>2675</v>
      </c>
      <c r="AH4322" s="194" t="s">
        <v>679</v>
      </c>
      <c r="AI4322" s="6" t="s">
        <v>2922</v>
      </c>
      <c r="AJ4322" s="3" t="s">
        <v>8246</v>
      </c>
      <c r="AK4322" t="s">
        <v>8246</v>
      </c>
    </row>
    <row r="4323" spans="29:37" ht="13.5">
      <c r="AC4323" s="6" t="s">
        <v>1616</v>
      </c>
      <c r="AD4323" s="6" t="s">
        <v>7620</v>
      </c>
      <c r="AE4323" s="155" t="s">
        <v>564</v>
      </c>
      <c r="AF4323" s="159" t="s">
        <v>8339</v>
      </c>
      <c r="AG4323" s="160" t="s">
        <v>2676</v>
      </c>
      <c r="AH4323" s="194" t="s">
        <v>679</v>
      </c>
      <c r="AI4323" s="6" t="s">
        <v>2923</v>
      </c>
      <c r="AJ4323" s="3" t="s">
        <v>8204</v>
      </c>
      <c r="AK4323" t="s">
        <v>8204</v>
      </c>
    </row>
    <row r="4324" spans="29:37" ht="13.5">
      <c r="AC4324" s="6" t="s">
        <v>1629</v>
      </c>
      <c r="AD4324" s="6" t="s">
        <v>7620</v>
      </c>
      <c r="AE4324" s="155" t="s">
        <v>565</v>
      </c>
      <c r="AF4324" s="159" t="s">
        <v>8300</v>
      </c>
      <c r="AG4324" s="160" t="s">
        <v>1805</v>
      </c>
      <c r="AH4324" s="194" t="s">
        <v>679</v>
      </c>
      <c r="AI4324" s="6" t="s">
        <v>2926</v>
      </c>
      <c r="AJ4324" s="3" t="s">
        <v>8246</v>
      </c>
      <c r="AK4324" t="s">
        <v>8246</v>
      </c>
    </row>
    <row r="4325" spans="29:37" ht="13.5">
      <c r="AC4325" s="6" t="s">
        <v>1552</v>
      </c>
      <c r="AD4325" s="6" t="s">
        <v>7620</v>
      </c>
      <c r="AE4325" s="155" t="s">
        <v>3976</v>
      </c>
      <c r="AF4325" s="159" t="s">
        <v>8300</v>
      </c>
      <c r="AG4325" s="160" t="s">
        <v>2158</v>
      </c>
      <c r="AH4325" s="194" t="s">
        <v>678</v>
      </c>
      <c r="AI4325" s="6" t="s">
        <v>2929</v>
      </c>
      <c r="AJ4325" s="3" t="s">
        <v>8247</v>
      </c>
      <c r="AK4325" t="s">
        <v>8247</v>
      </c>
    </row>
    <row r="4326" spans="29:37" ht="13.5">
      <c r="AC4326" s="6" t="s">
        <v>662</v>
      </c>
      <c r="AD4326" s="6" t="s">
        <v>7620</v>
      </c>
      <c r="AE4326" s="155" t="s">
        <v>1065</v>
      </c>
      <c r="AF4326" s="159" t="s">
        <v>8300</v>
      </c>
      <c r="AG4326" s="160" t="s">
        <v>2185</v>
      </c>
      <c r="AH4326" s="194" t="s">
        <v>678</v>
      </c>
      <c r="AI4326" s="6" t="s">
        <v>2932</v>
      </c>
      <c r="AJ4326" s="3" t="s">
        <v>8240</v>
      </c>
      <c r="AK4326" t="s">
        <v>8240</v>
      </c>
    </row>
    <row r="4327" spans="29:37" ht="13.5">
      <c r="AC4327" s="6" t="s">
        <v>1554</v>
      </c>
      <c r="AD4327" s="6" t="s">
        <v>7620</v>
      </c>
      <c r="AE4327" s="155" t="s">
        <v>566</v>
      </c>
      <c r="AF4327" s="159" t="s">
        <v>8339</v>
      </c>
      <c r="AG4327" s="160" t="s">
        <v>2593</v>
      </c>
      <c r="AH4327" s="194" t="s">
        <v>679</v>
      </c>
      <c r="AI4327" s="6" t="s">
        <v>2933</v>
      </c>
      <c r="AJ4327" s="3" t="s">
        <v>8240</v>
      </c>
      <c r="AK4327" t="s">
        <v>8240</v>
      </c>
    </row>
    <row r="4328" spans="29:37" ht="13.5">
      <c r="AC4328" s="6" t="s">
        <v>1627</v>
      </c>
      <c r="AD4328" s="6" t="s">
        <v>7620</v>
      </c>
      <c r="AE4328" s="155" t="s">
        <v>957</v>
      </c>
      <c r="AF4328" s="159" t="s">
        <v>8300</v>
      </c>
      <c r="AG4328" s="160" t="s">
        <v>2594</v>
      </c>
      <c r="AH4328" s="194" t="s">
        <v>679</v>
      </c>
      <c r="AI4328" s="6" t="s">
        <v>2935</v>
      </c>
      <c r="AJ4328" s="3" t="s">
        <v>8240</v>
      </c>
      <c r="AK4328" t="s">
        <v>8240</v>
      </c>
    </row>
    <row r="4329" spans="29:37" ht="13.5">
      <c r="AC4329" s="6" t="s">
        <v>1600</v>
      </c>
      <c r="AD4329" s="6" t="s">
        <v>7680</v>
      </c>
      <c r="AE4329" s="155" t="s">
        <v>567</v>
      </c>
      <c r="AF4329" s="159" t="s">
        <v>8300</v>
      </c>
      <c r="AG4329" s="160" t="s">
        <v>1785</v>
      </c>
      <c r="AH4329" s="194" t="s">
        <v>679</v>
      </c>
      <c r="AI4329" s="6" t="s">
        <v>2937</v>
      </c>
      <c r="AJ4329" s="3" t="s">
        <v>8247</v>
      </c>
      <c r="AK4329" t="s">
        <v>8247</v>
      </c>
    </row>
    <row r="4330" spans="29:37" ht="13.5">
      <c r="AC4330" s="6" t="s">
        <v>1145</v>
      </c>
      <c r="AD4330" s="6" t="s">
        <v>7671</v>
      </c>
      <c r="AE4330" s="155" t="s">
        <v>568</v>
      </c>
      <c r="AF4330" s="159" t="s">
        <v>8300</v>
      </c>
      <c r="AG4330" s="160" t="s">
        <v>1786</v>
      </c>
      <c r="AH4330" s="194" t="s">
        <v>679</v>
      </c>
      <c r="AI4330" s="6" t="s">
        <v>2938</v>
      </c>
      <c r="AJ4330" s="3" t="s">
        <v>8246</v>
      </c>
      <c r="AK4330" t="s">
        <v>8246</v>
      </c>
    </row>
    <row r="4331" spans="29:37" ht="13.5">
      <c r="AC4331" s="6" t="s">
        <v>1615</v>
      </c>
      <c r="AD4331" s="6" t="s">
        <v>7620</v>
      </c>
      <c r="AE4331" s="155" t="s">
        <v>1444</v>
      </c>
      <c r="AF4331" s="159" t="s">
        <v>8309</v>
      </c>
      <c r="AG4331" s="160" t="s">
        <v>1787</v>
      </c>
      <c r="AH4331" s="194" t="s">
        <v>679</v>
      </c>
      <c r="AI4331" s="6" t="s">
        <v>2940</v>
      </c>
      <c r="AJ4331" s="3" t="s">
        <v>8240</v>
      </c>
      <c r="AK4331" t="s">
        <v>8240</v>
      </c>
    </row>
    <row r="4332" spans="29:37" ht="13.5">
      <c r="AC4332" s="6" t="s">
        <v>4351</v>
      </c>
      <c r="AD4332" s="6" t="s">
        <v>7681</v>
      </c>
      <c r="AE4332" s="155" t="s">
        <v>569</v>
      </c>
      <c r="AF4332" s="159" t="s">
        <v>8342</v>
      </c>
      <c r="AG4332" s="160" t="s">
        <v>1788</v>
      </c>
      <c r="AH4332" s="194" t="s">
        <v>679</v>
      </c>
      <c r="AI4332" s="6" t="s">
        <v>2941</v>
      </c>
      <c r="AJ4332" s="3" t="s">
        <v>8240</v>
      </c>
      <c r="AK4332" t="s">
        <v>8240</v>
      </c>
    </row>
    <row r="4333" spans="29:37" ht="13.5">
      <c r="AC4333" s="6" t="s">
        <v>1626</v>
      </c>
      <c r="AD4333" s="6" t="s">
        <v>7620</v>
      </c>
      <c r="AE4333" s="155" t="s">
        <v>1445</v>
      </c>
      <c r="AF4333" s="159" t="s">
        <v>8339</v>
      </c>
      <c r="AG4333" s="160" t="s">
        <v>1789</v>
      </c>
      <c r="AH4333" s="194" t="s">
        <v>679</v>
      </c>
      <c r="AI4333" s="6" t="s">
        <v>2947</v>
      </c>
      <c r="AJ4333" s="3" t="s">
        <v>8264</v>
      </c>
      <c r="AK4333" t="s">
        <v>8264</v>
      </c>
    </row>
    <row r="4334" spans="29:37" ht="13.5">
      <c r="AC4334" s="6" t="s">
        <v>5185</v>
      </c>
      <c r="AD4334" s="6" t="s">
        <v>7620</v>
      </c>
      <c r="AE4334" s="155" t="s">
        <v>1446</v>
      </c>
      <c r="AF4334" s="159" t="s">
        <v>8300</v>
      </c>
      <c r="AG4334" s="160" t="s">
        <v>1790</v>
      </c>
      <c r="AH4334" s="194" t="s">
        <v>678</v>
      </c>
      <c r="AI4334" s="6" t="s">
        <v>2950</v>
      </c>
      <c r="AJ4334" s="3" t="s">
        <v>8220</v>
      </c>
      <c r="AK4334" t="s">
        <v>8220</v>
      </c>
    </row>
    <row r="4335" spans="29:37" ht="13.5">
      <c r="AC4335" s="6" t="s">
        <v>1610</v>
      </c>
      <c r="AD4335" s="6" t="s">
        <v>7680</v>
      </c>
      <c r="AE4335" s="155" t="s">
        <v>570</v>
      </c>
      <c r="AF4335" s="159" t="s">
        <v>8342</v>
      </c>
      <c r="AG4335" s="160" t="s">
        <v>2053</v>
      </c>
      <c r="AH4335" s="194" t="s">
        <v>679</v>
      </c>
      <c r="AI4335" s="6" t="s">
        <v>2952</v>
      </c>
      <c r="AJ4335" s="3" t="s">
        <v>8247</v>
      </c>
      <c r="AK4335" t="s">
        <v>8247</v>
      </c>
    </row>
    <row r="4336" spans="29:37" ht="13.5">
      <c r="AC4336" s="6" t="s">
        <v>665</v>
      </c>
      <c r="AD4336" s="6" t="s">
        <v>7620</v>
      </c>
      <c r="AE4336" s="155" t="s">
        <v>571</v>
      </c>
      <c r="AF4336" s="159" t="s">
        <v>8300</v>
      </c>
      <c r="AG4336" s="161" t="s">
        <v>4499</v>
      </c>
      <c r="AH4336" s="194" t="s">
        <v>679</v>
      </c>
      <c r="AI4336" s="6" t="s">
        <v>2957</v>
      </c>
      <c r="AJ4336" s="3" t="s">
        <v>8247</v>
      </c>
      <c r="AK4336" t="s">
        <v>8247</v>
      </c>
    </row>
    <row r="4337" spans="29:37" ht="13.5">
      <c r="AC4337" s="6" t="s">
        <v>1630</v>
      </c>
      <c r="AD4337" s="6" t="s">
        <v>7620</v>
      </c>
      <c r="AE4337" s="155" t="s">
        <v>572</v>
      </c>
      <c r="AF4337" s="159" t="s">
        <v>8300</v>
      </c>
      <c r="AG4337" s="160" t="s">
        <v>2244</v>
      </c>
      <c r="AH4337" s="194" t="s">
        <v>678</v>
      </c>
      <c r="AI4337" s="6" t="s">
        <v>2959</v>
      </c>
      <c r="AJ4337" s="3" t="s">
        <v>8193</v>
      </c>
      <c r="AK4337" t="s">
        <v>8205</v>
      </c>
    </row>
    <row r="4338" spans="29:37" ht="13.5">
      <c r="AC4338" s="6" t="s">
        <v>1556</v>
      </c>
      <c r="AD4338" s="6" t="s">
        <v>7620</v>
      </c>
      <c r="AE4338" s="155" t="s">
        <v>1447</v>
      </c>
      <c r="AF4338" s="159" t="s">
        <v>8339</v>
      </c>
      <c r="AG4338" s="160" t="s">
        <v>2245</v>
      </c>
      <c r="AH4338" s="194" t="s">
        <v>679</v>
      </c>
      <c r="AI4338" s="6" t="s">
        <v>2960</v>
      </c>
      <c r="AJ4338" s="3" t="s">
        <v>8193</v>
      </c>
      <c r="AK4338" t="s">
        <v>8205</v>
      </c>
    </row>
    <row r="4339" spans="29:37" ht="13.5">
      <c r="AC4339" s="6" t="s">
        <v>604</v>
      </c>
      <c r="AD4339" s="6" t="s">
        <v>7682</v>
      </c>
      <c r="AE4339" s="155" t="s">
        <v>4713</v>
      </c>
      <c r="AF4339" s="159" t="s">
        <v>8300</v>
      </c>
      <c r="AG4339" s="160" t="s">
        <v>2251</v>
      </c>
      <c r="AH4339" s="194" t="s">
        <v>679</v>
      </c>
      <c r="AI4339" s="6" t="s">
        <v>2963</v>
      </c>
      <c r="AJ4339" s="3" t="s">
        <v>8220</v>
      </c>
      <c r="AK4339" t="s">
        <v>8220</v>
      </c>
    </row>
    <row r="4340" spans="29:37" ht="13.5">
      <c r="AC4340" s="6" t="s">
        <v>4714</v>
      </c>
      <c r="AD4340" s="6" t="s">
        <v>7620</v>
      </c>
      <c r="AE4340" s="155" t="s">
        <v>1066</v>
      </c>
      <c r="AF4340" s="159" t="s">
        <v>8300</v>
      </c>
      <c r="AG4340" s="160" t="s">
        <v>4000</v>
      </c>
      <c r="AH4340" s="194" t="s">
        <v>1314</v>
      </c>
      <c r="AI4340" s="6" t="s">
        <v>2980</v>
      </c>
      <c r="AJ4340" s="3" t="s">
        <v>8264</v>
      </c>
      <c r="AK4340" t="s">
        <v>8264</v>
      </c>
    </row>
    <row r="4341" spans="29:37" ht="13.5">
      <c r="AC4341" s="6" t="s">
        <v>1614</v>
      </c>
      <c r="AD4341" s="6" t="s">
        <v>7620</v>
      </c>
      <c r="AE4341" s="155" t="s">
        <v>973</v>
      </c>
      <c r="AF4341" s="159" t="s">
        <v>8339</v>
      </c>
      <c r="AG4341" s="160" t="s">
        <v>44</v>
      </c>
      <c r="AH4341" s="194" t="s">
        <v>1314</v>
      </c>
      <c r="AI4341" s="6" t="s">
        <v>2983</v>
      </c>
      <c r="AJ4341" s="3" t="s">
        <v>8193</v>
      </c>
      <c r="AK4341" t="s">
        <v>8205</v>
      </c>
    </row>
    <row r="4342" spans="29:37" ht="13.5">
      <c r="AC4342" s="6" t="s">
        <v>671</v>
      </c>
      <c r="AD4342" s="6" t="s">
        <v>7620</v>
      </c>
      <c r="AE4342" s="155" t="s">
        <v>983</v>
      </c>
      <c r="AF4342" s="159" t="s">
        <v>8351</v>
      </c>
      <c r="AG4342" s="160" t="s">
        <v>1208</v>
      </c>
      <c r="AH4342" s="194" t="s">
        <v>679</v>
      </c>
      <c r="AI4342" s="6" t="s">
        <v>2991</v>
      </c>
      <c r="AJ4342" s="3" t="s">
        <v>8205</v>
      </c>
      <c r="AK4342" t="s">
        <v>8211</v>
      </c>
    </row>
    <row r="4343" spans="29:37" ht="13.5">
      <c r="AC4343" s="6" t="s">
        <v>4779</v>
      </c>
      <c r="AD4343" s="6" t="s">
        <v>7620</v>
      </c>
      <c r="AE4343" s="155" t="s">
        <v>1448</v>
      </c>
      <c r="AF4343" s="159" t="s">
        <v>8300</v>
      </c>
      <c r="AG4343" s="160" t="s">
        <v>4001</v>
      </c>
      <c r="AH4343" s="194" t="s">
        <v>679</v>
      </c>
      <c r="AI4343" s="6" t="s">
        <v>2992</v>
      </c>
      <c r="AJ4343" s="3" t="s">
        <v>8205</v>
      </c>
      <c r="AK4343" t="s">
        <v>8211</v>
      </c>
    </row>
    <row r="4344" spans="29:37" ht="13.5">
      <c r="AC4344" s="6" t="s">
        <v>4517</v>
      </c>
      <c r="AD4344" s="6" t="s">
        <v>7620</v>
      </c>
      <c r="AE4344" s="155" t="s">
        <v>573</v>
      </c>
      <c r="AF4344" s="159" t="s">
        <v>8300</v>
      </c>
      <c r="AG4344" s="160" t="s">
        <v>1109</v>
      </c>
      <c r="AH4344" s="194" t="s">
        <v>679</v>
      </c>
      <c r="AI4344" s="6" t="s">
        <v>2993</v>
      </c>
      <c r="AJ4344" s="3" t="s">
        <v>8204</v>
      </c>
      <c r="AK4344" t="s">
        <v>8204</v>
      </c>
    </row>
    <row r="4345" spans="29:37" ht="13.5">
      <c r="AC4345" s="6" t="s">
        <v>670</v>
      </c>
      <c r="AD4345" s="6" t="s">
        <v>7620</v>
      </c>
      <c r="AE4345" s="155" t="s">
        <v>1449</v>
      </c>
      <c r="AF4345" s="159" t="s">
        <v>8300</v>
      </c>
      <c r="AG4345" s="160" t="s">
        <v>107</v>
      </c>
      <c r="AH4345" s="194" t="s">
        <v>679</v>
      </c>
      <c r="AI4345" s="6" t="s">
        <v>2997</v>
      </c>
      <c r="AJ4345" s="3" t="s">
        <v>8204</v>
      </c>
      <c r="AK4345" t="s">
        <v>8204</v>
      </c>
    </row>
    <row r="4346" spans="29:37" ht="13.5">
      <c r="AC4346" s="6" t="s">
        <v>664</v>
      </c>
      <c r="AD4346" s="6" t="s">
        <v>7620</v>
      </c>
      <c r="AE4346" s="155" t="s">
        <v>1067</v>
      </c>
      <c r="AF4346" s="159" t="s">
        <v>8300</v>
      </c>
      <c r="AG4346" s="160" t="s">
        <v>4002</v>
      </c>
      <c r="AH4346" s="194" t="s">
        <v>679</v>
      </c>
      <c r="AI4346" s="6" t="s">
        <v>2999</v>
      </c>
      <c r="AJ4346" s="3" t="s">
        <v>8193</v>
      </c>
      <c r="AK4346" t="s">
        <v>8205</v>
      </c>
    </row>
    <row r="4347" spans="29:37" ht="13.5">
      <c r="AC4347" s="6" t="s">
        <v>1550</v>
      </c>
      <c r="AD4347" s="6" t="s">
        <v>7620</v>
      </c>
      <c r="AE4347" s="155" t="s">
        <v>574</v>
      </c>
      <c r="AF4347" s="159" t="s">
        <v>8339</v>
      </c>
      <c r="AG4347" s="160" t="s">
        <v>4478</v>
      </c>
      <c r="AH4347" s="194" t="s">
        <v>679</v>
      </c>
      <c r="AI4347" s="6" t="s">
        <v>3000</v>
      </c>
      <c r="AJ4347" s="3" t="s">
        <v>8240</v>
      </c>
      <c r="AK4347" t="s">
        <v>8240</v>
      </c>
    </row>
    <row r="4348" spans="29:37" ht="13.5">
      <c r="AC4348" s="6" t="s">
        <v>661</v>
      </c>
      <c r="AD4348" s="6" t="s">
        <v>7620</v>
      </c>
      <c r="AE4348" s="155" t="s">
        <v>575</v>
      </c>
      <c r="AF4348" s="159" t="s">
        <v>8300</v>
      </c>
      <c r="AG4348" s="160" t="s">
        <v>1110</v>
      </c>
      <c r="AH4348" s="194" t="s">
        <v>679</v>
      </c>
      <c r="AI4348" s="6" t="s">
        <v>3001</v>
      </c>
      <c r="AJ4348" s="3" t="s">
        <v>8193</v>
      </c>
      <c r="AK4348" t="s">
        <v>8205</v>
      </c>
    </row>
    <row r="4349" spans="29:37" ht="13.5">
      <c r="AC4349" s="6" t="s">
        <v>1199</v>
      </c>
      <c r="AD4349" s="6" t="s">
        <v>7617</v>
      </c>
      <c r="AE4349" s="155" t="s">
        <v>576</v>
      </c>
      <c r="AF4349" s="159" t="s">
        <v>8300</v>
      </c>
      <c r="AG4349" s="160" t="s">
        <v>1111</v>
      </c>
      <c r="AH4349" s="194" t="s">
        <v>679</v>
      </c>
      <c r="AI4349" s="6" t="s">
        <v>3004</v>
      </c>
      <c r="AJ4349" s="3" t="s">
        <v>8204</v>
      </c>
      <c r="AK4349" t="s">
        <v>8204</v>
      </c>
    </row>
    <row r="4350" spans="29:37" ht="13.5">
      <c r="AC4350" s="6" t="s">
        <v>5105</v>
      </c>
      <c r="AD4350" s="6" t="s">
        <v>7620</v>
      </c>
      <c r="AE4350" s="155" t="s">
        <v>577</v>
      </c>
      <c r="AF4350" s="159" t="s">
        <v>8375</v>
      </c>
      <c r="AG4350" s="160" t="s">
        <v>941</v>
      </c>
      <c r="AH4350" s="194" t="s">
        <v>679</v>
      </c>
      <c r="AI4350" s="6" t="s">
        <v>3014</v>
      </c>
      <c r="AJ4350" s="3" t="s">
        <v>8193</v>
      </c>
      <c r="AK4350" t="s">
        <v>8205</v>
      </c>
    </row>
    <row r="4351" spans="29:37" ht="13.5">
      <c r="AC4351" s="6" t="s">
        <v>1434</v>
      </c>
      <c r="AD4351" s="6" t="s">
        <v>7620</v>
      </c>
      <c r="AE4351" s="155" t="s">
        <v>1450</v>
      </c>
      <c r="AF4351" s="159" t="s">
        <v>8339</v>
      </c>
      <c r="AG4351" s="160" t="s">
        <v>4468</v>
      </c>
      <c r="AH4351" s="194" t="s">
        <v>1314</v>
      </c>
      <c r="AI4351" s="6" t="s">
        <v>3020</v>
      </c>
      <c r="AJ4351" s="3" t="s">
        <v>8193</v>
      </c>
      <c r="AK4351" t="s">
        <v>8205</v>
      </c>
    </row>
    <row r="4352" spans="29:37" ht="13.5">
      <c r="AC4352" s="6" t="s">
        <v>5104</v>
      </c>
      <c r="AD4352" s="6" t="s">
        <v>7620</v>
      </c>
      <c r="AE4352" s="155" t="s">
        <v>1451</v>
      </c>
      <c r="AF4352" s="159" t="s">
        <v>8339</v>
      </c>
      <c r="AG4352" s="160" t="s">
        <v>4003</v>
      </c>
      <c r="AH4352" s="194" t="s">
        <v>678</v>
      </c>
      <c r="AI4352" s="6" t="s">
        <v>3023</v>
      </c>
      <c r="AJ4352" s="3" t="s">
        <v>8193</v>
      </c>
      <c r="AK4352" t="s">
        <v>8205</v>
      </c>
    </row>
    <row r="4353" spans="29:37" ht="13.5">
      <c r="AC4353" s="6" t="s">
        <v>1611</v>
      </c>
      <c r="AD4353" s="6" t="s">
        <v>7680</v>
      </c>
      <c r="AE4353" s="155" t="s">
        <v>1453</v>
      </c>
      <c r="AF4353" s="159" t="s">
        <v>8339</v>
      </c>
      <c r="AG4353" s="160" t="s">
        <v>4004</v>
      </c>
      <c r="AH4353" s="194" t="s">
        <v>679</v>
      </c>
      <c r="AI4353" s="6" t="s">
        <v>3025</v>
      </c>
      <c r="AJ4353" s="3" t="s">
        <v>8193</v>
      </c>
      <c r="AK4353" t="s">
        <v>8205</v>
      </c>
    </row>
    <row r="4354" spans="29:37" ht="13.5">
      <c r="AC4354" s="6" t="s">
        <v>125</v>
      </c>
      <c r="AD4354" s="6" t="s">
        <v>7671</v>
      </c>
      <c r="AE4354" s="155" t="s">
        <v>1454</v>
      </c>
      <c r="AF4354" s="159" t="s">
        <v>8299</v>
      </c>
      <c r="AG4354" s="160" t="s">
        <v>85</v>
      </c>
      <c r="AH4354" s="194" t="s">
        <v>679</v>
      </c>
      <c r="AI4354" s="6" t="s">
        <v>3029</v>
      </c>
      <c r="AJ4354" s="3" t="s">
        <v>8203</v>
      </c>
      <c r="AK4354" t="s">
        <v>8203</v>
      </c>
    </row>
    <row r="4355" spans="29:37" ht="13.5">
      <c r="AC4355" s="6" t="s">
        <v>5285</v>
      </c>
      <c r="AD4355" s="6" t="s">
        <v>7620</v>
      </c>
      <c r="AE4355" s="155" t="s">
        <v>1455</v>
      </c>
      <c r="AF4355" s="159" t="s">
        <v>8299</v>
      </c>
      <c r="AG4355" s="160" t="s">
        <v>86</v>
      </c>
      <c r="AH4355" s="194" t="s">
        <v>679</v>
      </c>
      <c r="AI4355" s="6" t="s">
        <v>3035</v>
      </c>
      <c r="AJ4355" s="3" t="s">
        <v>8246</v>
      </c>
      <c r="AK4355" t="s">
        <v>8246</v>
      </c>
    </row>
    <row r="4356" spans="29:37" ht="13.5">
      <c r="AC4356" s="6" t="s">
        <v>658</v>
      </c>
      <c r="AD4356" s="6" t="s">
        <v>7620</v>
      </c>
      <c r="AE4356" s="155" t="s">
        <v>1207</v>
      </c>
      <c r="AF4356" s="159" t="s">
        <v>8300</v>
      </c>
      <c r="AG4356" s="160" t="s">
        <v>87</v>
      </c>
      <c r="AH4356" s="194" t="s">
        <v>678</v>
      </c>
      <c r="AI4356" s="6" t="s">
        <v>3036</v>
      </c>
      <c r="AJ4356" s="3" t="s">
        <v>8246</v>
      </c>
      <c r="AK4356" t="s">
        <v>8246</v>
      </c>
    </row>
    <row r="4357" spans="29:37" ht="13.5">
      <c r="AC4357" s="6" t="s">
        <v>5133</v>
      </c>
      <c r="AD4357" s="6" t="s">
        <v>7630</v>
      </c>
      <c r="AE4357" s="155" t="s">
        <v>1456</v>
      </c>
      <c r="AF4357" s="159" t="s">
        <v>8339</v>
      </c>
      <c r="AG4357" s="160" t="s">
        <v>88</v>
      </c>
      <c r="AH4357" s="194" t="s">
        <v>679</v>
      </c>
      <c r="AI4357" s="6" t="s">
        <v>3037</v>
      </c>
      <c r="AJ4357" s="3" t="s">
        <v>8193</v>
      </c>
      <c r="AK4357" t="s">
        <v>8205</v>
      </c>
    </row>
    <row r="4358" spans="29:37" ht="13.5">
      <c r="AC4358" s="6" t="s">
        <v>1560</v>
      </c>
      <c r="AD4358" s="6" t="s">
        <v>7620</v>
      </c>
      <c r="AE4358" s="155" t="s">
        <v>1068</v>
      </c>
      <c r="AF4358" s="159" t="s">
        <v>8300</v>
      </c>
      <c r="AG4358" s="160" t="s">
        <v>4005</v>
      </c>
      <c r="AH4358" s="194" t="s">
        <v>679</v>
      </c>
      <c r="AI4358" s="6" t="s">
        <v>3052</v>
      </c>
      <c r="AJ4358" s="3" t="s">
        <v>8264</v>
      </c>
      <c r="AK4358" t="s">
        <v>8264</v>
      </c>
    </row>
    <row r="4359" spans="29:37" ht="13.5">
      <c r="AC4359" s="6" t="s">
        <v>1429</v>
      </c>
      <c r="AD4359" s="6" t="s">
        <v>7683</v>
      </c>
      <c r="AE4359" s="155" t="s">
        <v>1457</v>
      </c>
      <c r="AF4359" s="159" t="s">
        <v>8339</v>
      </c>
      <c r="AG4359" s="160" t="s">
        <v>4006</v>
      </c>
      <c r="AH4359" s="194" t="s">
        <v>679</v>
      </c>
      <c r="AI4359" s="6" t="s">
        <v>3054</v>
      </c>
      <c r="AJ4359" s="3" t="s">
        <v>8240</v>
      </c>
      <c r="AK4359" t="s">
        <v>8240</v>
      </c>
    </row>
    <row r="4360" spans="29:37" ht="13.5">
      <c r="AC4360" s="6" t="s">
        <v>4043</v>
      </c>
      <c r="AD4360" s="6" t="s">
        <v>7684</v>
      </c>
      <c r="AE4360" s="155" t="s">
        <v>578</v>
      </c>
      <c r="AF4360" s="159" t="s">
        <v>8300</v>
      </c>
      <c r="AG4360" s="160" t="s">
        <v>89</v>
      </c>
      <c r="AH4360" s="194" t="s">
        <v>679</v>
      </c>
      <c r="AI4360" s="6" t="s">
        <v>3055</v>
      </c>
      <c r="AJ4360" s="3" t="s">
        <v>8211</v>
      </c>
      <c r="AK4360" t="s">
        <v>8242</v>
      </c>
    </row>
    <row r="4361" spans="29:37" ht="13.5">
      <c r="AC4361" s="6" t="s">
        <v>672</v>
      </c>
      <c r="AD4361" s="6" t="s">
        <v>7620</v>
      </c>
      <c r="AE4361" s="155" t="s">
        <v>579</v>
      </c>
      <c r="AF4361" s="159" t="s">
        <v>8300</v>
      </c>
      <c r="AG4361" s="160" t="s">
        <v>4007</v>
      </c>
      <c r="AH4361" s="194" t="s">
        <v>679</v>
      </c>
      <c r="AI4361" s="6" t="s">
        <v>3071</v>
      </c>
      <c r="AJ4361" s="3" t="s">
        <v>8193</v>
      </c>
      <c r="AK4361" t="s">
        <v>8205</v>
      </c>
    </row>
    <row r="4362" spans="29:37" ht="13.5">
      <c r="AC4362" s="6" t="s">
        <v>6725</v>
      </c>
      <c r="AD4362" s="6" t="s">
        <v>7685</v>
      </c>
      <c r="AE4362" s="155" t="s">
        <v>4715</v>
      </c>
      <c r="AF4362" s="159" t="s">
        <v>8300</v>
      </c>
      <c r="AG4362" s="160" t="s">
        <v>4008</v>
      </c>
      <c r="AH4362" s="194" t="s">
        <v>679</v>
      </c>
      <c r="AI4362" s="6" t="s">
        <v>3081</v>
      </c>
      <c r="AJ4362" s="3" t="s">
        <v>8246</v>
      </c>
      <c r="AK4362" t="s">
        <v>8246</v>
      </c>
    </row>
    <row r="4363" spans="29:37" ht="13.5">
      <c r="AC4363" s="6" t="s">
        <v>6726</v>
      </c>
      <c r="AD4363" s="6" t="s">
        <v>7620</v>
      </c>
      <c r="AE4363" s="155" t="s">
        <v>1458</v>
      </c>
      <c r="AF4363" s="159" t="s">
        <v>8339</v>
      </c>
      <c r="AG4363" s="160" t="s">
        <v>4009</v>
      </c>
      <c r="AH4363" s="194" t="s">
        <v>679</v>
      </c>
      <c r="AI4363" s="6" t="s">
        <v>3086</v>
      </c>
      <c r="AJ4363" s="3" t="s">
        <v>8204</v>
      </c>
      <c r="AK4363" t="s">
        <v>8204</v>
      </c>
    </row>
    <row r="4364" spans="29:37" ht="13.5">
      <c r="AC4364" s="6" t="s">
        <v>673</v>
      </c>
      <c r="AD4364" s="6" t="s">
        <v>7620</v>
      </c>
      <c r="AE4364" s="155" t="s">
        <v>580</v>
      </c>
      <c r="AF4364" s="159" t="s">
        <v>8339</v>
      </c>
      <c r="AG4364" s="160" t="s">
        <v>4010</v>
      </c>
      <c r="AH4364" s="194" t="s">
        <v>679</v>
      </c>
      <c r="AI4364" s="6" t="s">
        <v>3087</v>
      </c>
      <c r="AJ4364" s="3" t="s">
        <v>8204</v>
      </c>
      <c r="AK4364" t="s">
        <v>8204</v>
      </c>
    </row>
    <row r="4365" spans="29:37" ht="13.5">
      <c r="AC4365" s="6" t="s">
        <v>5517</v>
      </c>
      <c r="AD4365" s="6" t="s">
        <v>7630</v>
      </c>
      <c r="AE4365" s="155" t="s">
        <v>581</v>
      </c>
      <c r="AF4365" s="159" t="s">
        <v>8299</v>
      </c>
      <c r="AG4365" s="160" t="s">
        <v>90</v>
      </c>
      <c r="AH4365" s="194" t="s">
        <v>679</v>
      </c>
      <c r="AI4365" s="6" t="s">
        <v>3091</v>
      </c>
      <c r="AJ4365" s="3" t="s">
        <v>8247</v>
      </c>
      <c r="AK4365" t="s">
        <v>8247</v>
      </c>
    </row>
    <row r="4366" spans="29:37" ht="13.5">
      <c r="AC4366" s="6" t="s">
        <v>1483</v>
      </c>
      <c r="AD4366" s="6" t="s">
        <v>7686</v>
      </c>
      <c r="AE4366" s="155" t="s">
        <v>582</v>
      </c>
      <c r="AF4366" s="159" t="s">
        <v>8339</v>
      </c>
      <c r="AG4366" s="160" t="s">
        <v>4011</v>
      </c>
      <c r="AH4366" s="194" t="s">
        <v>679</v>
      </c>
      <c r="AI4366" s="6" t="s">
        <v>3102</v>
      </c>
      <c r="AJ4366" s="3" t="s">
        <v>8203</v>
      </c>
      <c r="AK4366" t="s">
        <v>8203</v>
      </c>
    </row>
    <row r="4367" spans="29:37" ht="13.5">
      <c r="AC4367" s="6" t="s">
        <v>1639</v>
      </c>
      <c r="AD4367" s="6" t="s">
        <v>7630</v>
      </c>
      <c r="AE4367" s="155" t="s">
        <v>583</v>
      </c>
      <c r="AF4367" s="159" t="s">
        <v>8339</v>
      </c>
      <c r="AG4367" s="160" t="s">
        <v>91</v>
      </c>
      <c r="AH4367" s="194" t="s">
        <v>678</v>
      </c>
      <c r="AI4367" s="6" t="s">
        <v>3104</v>
      </c>
      <c r="AJ4367" s="3" t="s">
        <v>8204</v>
      </c>
      <c r="AK4367" t="s">
        <v>8204</v>
      </c>
    </row>
    <row r="4368" spans="29:37" ht="13.5">
      <c r="AC4368" s="6" t="s">
        <v>5085</v>
      </c>
      <c r="AD4368" s="6" t="s">
        <v>7630</v>
      </c>
      <c r="AE4368" s="155" t="s">
        <v>584</v>
      </c>
      <c r="AF4368" s="159" t="s">
        <v>8299</v>
      </c>
      <c r="AG4368" s="160" t="s">
        <v>92</v>
      </c>
      <c r="AH4368" s="194" t="s">
        <v>679</v>
      </c>
      <c r="AI4368" s="6" t="s">
        <v>3105</v>
      </c>
      <c r="AJ4368" s="3" t="s">
        <v>8246</v>
      </c>
      <c r="AK4368" t="s">
        <v>8246</v>
      </c>
    </row>
    <row r="4369" spans="29:37" ht="13.5">
      <c r="AC4369" s="6" t="s">
        <v>1613</v>
      </c>
      <c r="AD4369" s="6" t="s">
        <v>7680</v>
      </c>
      <c r="AE4369" s="155" t="s">
        <v>585</v>
      </c>
      <c r="AF4369" s="159" t="s">
        <v>8341</v>
      </c>
      <c r="AG4369" s="160" t="s">
        <v>93</v>
      </c>
      <c r="AH4369" s="194" t="s">
        <v>679</v>
      </c>
      <c r="AI4369" s="6" t="s">
        <v>3118</v>
      </c>
      <c r="AJ4369" s="3" t="s">
        <v>8203</v>
      </c>
      <c r="AK4369" t="s">
        <v>8203</v>
      </c>
    </row>
    <row r="4370" spans="29:37" ht="13.5">
      <c r="AC4370" s="6" t="s">
        <v>1108</v>
      </c>
      <c r="AD4370" s="6" t="s">
        <v>7686</v>
      </c>
      <c r="AE4370" s="155" t="s">
        <v>586</v>
      </c>
      <c r="AF4370" s="159" t="s">
        <v>8339</v>
      </c>
      <c r="AG4370" s="160" t="s">
        <v>94</v>
      </c>
      <c r="AH4370" s="194" t="s">
        <v>679</v>
      </c>
      <c r="AI4370" s="6" t="s">
        <v>3122</v>
      </c>
      <c r="AJ4370" s="3" t="s">
        <v>8193</v>
      </c>
      <c r="AK4370" t="s">
        <v>8205</v>
      </c>
    </row>
    <row r="4371" spans="29:37" ht="13.5">
      <c r="AC4371" s="6" t="s">
        <v>170</v>
      </c>
      <c r="AD4371" s="6" t="s">
        <v>7680</v>
      </c>
      <c r="AE4371" s="155" t="s">
        <v>587</v>
      </c>
      <c r="AF4371" s="159" t="s">
        <v>8339</v>
      </c>
      <c r="AG4371" s="160" t="s">
        <v>4012</v>
      </c>
      <c r="AH4371" s="194" t="s">
        <v>679</v>
      </c>
      <c r="AI4371" s="6" t="s">
        <v>3135</v>
      </c>
      <c r="AJ4371" s="3" t="s">
        <v>8203</v>
      </c>
      <c r="AK4371" t="s">
        <v>8203</v>
      </c>
    </row>
    <row r="4372" spans="29:37" ht="13.5">
      <c r="AC4372" s="6" t="s">
        <v>5366</v>
      </c>
      <c r="AD4372" s="6" t="s">
        <v>7680</v>
      </c>
      <c r="AE4372" s="155" t="s">
        <v>588</v>
      </c>
      <c r="AF4372" s="159" t="s">
        <v>8300</v>
      </c>
      <c r="AG4372" s="160" t="s">
        <v>95</v>
      </c>
      <c r="AH4372" s="194" t="s">
        <v>679</v>
      </c>
      <c r="AI4372" s="6" t="s">
        <v>3136</v>
      </c>
      <c r="AJ4372" s="3" t="s">
        <v>8246</v>
      </c>
      <c r="AK4372" t="s">
        <v>8246</v>
      </c>
    </row>
    <row r="4373" spans="29:37" ht="13.5">
      <c r="AC4373" s="6" t="s">
        <v>660</v>
      </c>
      <c r="AD4373" s="6" t="s">
        <v>7687</v>
      </c>
      <c r="AE4373" s="155" t="s">
        <v>589</v>
      </c>
      <c r="AF4373" s="159" t="s">
        <v>8299</v>
      </c>
      <c r="AG4373" s="160" t="s">
        <v>4013</v>
      </c>
      <c r="AH4373" s="194" t="s">
        <v>679</v>
      </c>
      <c r="AI4373" s="6" t="s">
        <v>3140</v>
      </c>
      <c r="AJ4373" s="3" t="s">
        <v>8204</v>
      </c>
      <c r="AK4373" t="s">
        <v>8204</v>
      </c>
    </row>
    <row r="4374" spans="29:37" ht="13.5">
      <c r="AC4374" s="6" t="s">
        <v>1608</v>
      </c>
      <c r="AD4374" s="6" t="s">
        <v>7680</v>
      </c>
      <c r="AE4374" s="155" t="s">
        <v>590</v>
      </c>
      <c r="AF4374" s="159" t="s">
        <v>8312</v>
      </c>
      <c r="AG4374" s="160" t="s">
        <v>4014</v>
      </c>
      <c r="AH4374" s="194" t="s">
        <v>679</v>
      </c>
      <c r="AI4374" s="6" t="s">
        <v>3147</v>
      </c>
      <c r="AJ4374" s="3" t="s">
        <v>8193</v>
      </c>
      <c r="AK4374" t="s">
        <v>8205</v>
      </c>
    </row>
    <row r="4375" spans="29:37" ht="13.5">
      <c r="AC4375" s="6" t="s">
        <v>165</v>
      </c>
      <c r="AD4375" s="6" t="s">
        <v>7680</v>
      </c>
      <c r="AE4375" s="155" t="s">
        <v>591</v>
      </c>
      <c r="AF4375" s="159" t="s">
        <v>8300</v>
      </c>
      <c r="AG4375" s="160" t="s">
        <v>96</v>
      </c>
      <c r="AH4375" s="194" t="s">
        <v>679</v>
      </c>
      <c r="AI4375" s="6" t="s">
        <v>3150</v>
      </c>
      <c r="AJ4375" s="3" t="s">
        <v>8246</v>
      </c>
      <c r="AK4375" t="s">
        <v>8246</v>
      </c>
    </row>
    <row r="4376" spans="29:37" ht="13.5">
      <c r="AC4376" s="6" t="s">
        <v>1597</v>
      </c>
      <c r="AD4376" s="6" t="s">
        <v>7680</v>
      </c>
      <c r="AE4376" s="155" t="s">
        <v>1470</v>
      </c>
      <c r="AF4376" s="159" t="s">
        <v>8300</v>
      </c>
      <c r="AG4376" s="160" t="s">
        <v>97</v>
      </c>
      <c r="AH4376" s="194" t="s">
        <v>679</v>
      </c>
      <c r="AI4376" s="6" t="s">
        <v>3151</v>
      </c>
      <c r="AJ4376" s="3" t="s">
        <v>8247</v>
      </c>
      <c r="AK4376" t="s">
        <v>8247</v>
      </c>
    </row>
    <row r="4377" spans="29:37" ht="13.5">
      <c r="AC4377" s="6" t="s">
        <v>5477</v>
      </c>
      <c r="AD4377" s="6" t="s">
        <v>7620</v>
      </c>
      <c r="AE4377" s="155" t="s">
        <v>1471</v>
      </c>
      <c r="AF4377" s="159" t="s">
        <v>8309</v>
      </c>
      <c r="AG4377" s="160" t="s">
        <v>108</v>
      </c>
      <c r="AH4377" s="194" t="s">
        <v>679</v>
      </c>
      <c r="AI4377" s="6" t="s">
        <v>3154</v>
      </c>
      <c r="AJ4377" s="3" t="s">
        <v>8211</v>
      </c>
      <c r="AK4377" t="s">
        <v>8242</v>
      </c>
    </row>
    <row r="4378" spans="29:37" ht="13.5">
      <c r="AC4378" s="6" t="s">
        <v>1503</v>
      </c>
      <c r="AD4378" s="6" t="s">
        <v>7688</v>
      </c>
      <c r="AE4378" s="155" t="s">
        <v>35</v>
      </c>
      <c r="AF4378" s="159" t="s">
        <v>8339</v>
      </c>
      <c r="AG4378" s="160" t="s">
        <v>4015</v>
      </c>
      <c r="AH4378" s="194" t="s">
        <v>679</v>
      </c>
      <c r="AI4378" s="6" t="s">
        <v>5383</v>
      </c>
      <c r="AJ4378" s="3" t="s">
        <v>8246</v>
      </c>
      <c r="AK4378" t="s">
        <v>8246</v>
      </c>
    </row>
    <row r="4379" spans="29:37" ht="13.5">
      <c r="AC4379" s="6" t="s">
        <v>1609</v>
      </c>
      <c r="AD4379" s="6" t="s">
        <v>7680</v>
      </c>
      <c r="AE4379" s="155" t="s">
        <v>592</v>
      </c>
      <c r="AF4379" s="159" t="s">
        <v>8320</v>
      </c>
      <c r="AG4379" s="160" t="s">
        <v>98</v>
      </c>
      <c r="AH4379" s="194" t="s">
        <v>679</v>
      </c>
      <c r="AI4379" s="6" t="s">
        <v>3155</v>
      </c>
      <c r="AJ4379" s="3" t="s">
        <v>8246</v>
      </c>
      <c r="AK4379" t="s">
        <v>8246</v>
      </c>
    </row>
    <row r="4380" spans="29:37" ht="13.5">
      <c r="AC4380" s="6" t="s">
        <v>1598</v>
      </c>
      <c r="AD4380" s="6" t="s">
        <v>7680</v>
      </c>
      <c r="AE4380" s="155" t="s">
        <v>593</v>
      </c>
      <c r="AF4380" s="159" t="s">
        <v>8300</v>
      </c>
      <c r="AG4380" s="160" t="s">
        <v>99</v>
      </c>
      <c r="AH4380" s="194" t="s">
        <v>679</v>
      </c>
      <c r="AI4380" s="6" t="s">
        <v>3156</v>
      </c>
      <c r="AJ4380" s="3" t="s">
        <v>8247</v>
      </c>
      <c r="AK4380" t="s">
        <v>8247</v>
      </c>
    </row>
    <row r="4381" spans="29:37" ht="13.5">
      <c r="AC4381" s="6" t="s">
        <v>1596</v>
      </c>
      <c r="AD4381" s="6" t="s">
        <v>7680</v>
      </c>
      <c r="AE4381" s="155" t="s">
        <v>1069</v>
      </c>
      <c r="AF4381" s="159" t="s">
        <v>8300</v>
      </c>
      <c r="AG4381" s="160" t="s">
        <v>4016</v>
      </c>
      <c r="AH4381" s="194" t="s">
        <v>678</v>
      </c>
      <c r="AI4381" s="6" t="s">
        <v>3158</v>
      </c>
      <c r="AJ4381" s="3" t="s">
        <v>8204</v>
      </c>
      <c r="AK4381" t="s">
        <v>8204</v>
      </c>
    </row>
    <row r="4382" spans="29:37" ht="13.5">
      <c r="AC4382" s="6" t="s">
        <v>991</v>
      </c>
      <c r="AD4382" s="6" t="s">
        <v>7689</v>
      </c>
      <c r="AE4382" s="155" t="s">
        <v>1070</v>
      </c>
      <c r="AF4382" s="159" t="s">
        <v>8339</v>
      </c>
      <c r="AG4382" s="160" t="s">
        <v>109</v>
      </c>
      <c r="AH4382" s="194" t="s">
        <v>679</v>
      </c>
      <c r="AI4382" s="6" t="s">
        <v>3451</v>
      </c>
      <c r="AJ4382" s="3" t="s">
        <v>8240</v>
      </c>
      <c r="AK4382" t="s">
        <v>8240</v>
      </c>
    </row>
    <row r="4383" spans="29:37" ht="13.5">
      <c r="AC4383" s="6" t="s">
        <v>5223</v>
      </c>
      <c r="AD4383" s="6" t="s">
        <v>7690</v>
      </c>
      <c r="AE4383" s="155" t="s">
        <v>1247</v>
      </c>
      <c r="AF4383" s="159" t="s">
        <v>8300</v>
      </c>
      <c r="AG4383" s="160" t="s">
        <v>100</v>
      </c>
      <c r="AH4383" s="194" t="s">
        <v>679</v>
      </c>
      <c r="AI4383" s="6" t="s">
        <v>3163</v>
      </c>
      <c r="AJ4383" s="3" t="s">
        <v>8246</v>
      </c>
      <c r="AK4383" t="s">
        <v>8246</v>
      </c>
    </row>
    <row r="4384" spans="29:37" ht="13.5">
      <c r="AC4384" s="6" t="s">
        <v>169</v>
      </c>
      <c r="AD4384" s="6" t="s">
        <v>7680</v>
      </c>
      <c r="AE4384" s="155" t="s">
        <v>1071</v>
      </c>
      <c r="AF4384" s="159" t="s">
        <v>8339</v>
      </c>
      <c r="AG4384" s="160" t="s">
        <v>4017</v>
      </c>
      <c r="AH4384" s="194" t="s">
        <v>679</v>
      </c>
      <c r="AI4384" s="6" t="s">
        <v>3177</v>
      </c>
      <c r="AJ4384" s="3" t="s">
        <v>8193</v>
      </c>
      <c r="AK4384" t="s">
        <v>8205</v>
      </c>
    </row>
    <row r="4385" spans="29:37" ht="13.5">
      <c r="AC4385" s="6" t="s">
        <v>166</v>
      </c>
      <c r="AD4385" s="6" t="s">
        <v>7680</v>
      </c>
      <c r="AE4385" s="155" t="s">
        <v>1491</v>
      </c>
      <c r="AF4385" s="159" t="s">
        <v>8339</v>
      </c>
      <c r="AG4385" s="160" t="s">
        <v>4018</v>
      </c>
      <c r="AH4385" s="194" t="s">
        <v>679</v>
      </c>
      <c r="AI4385" s="6" t="s">
        <v>3178</v>
      </c>
      <c r="AJ4385" s="3" t="s">
        <v>8203</v>
      </c>
      <c r="AK4385" t="s">
        <v>8203</v>
      </c>
    </row>
    <row r="4386" spans="29:37" ht="13.5">
      <c r="AC4386" s="6" t="s">
        <v>1631</v>
      </c>
      <c r="AD4386" s="6" t="s">
        <v>7620</v>
      </c>
      <c r="AE4386" s="155" t="s">
        <v>1195</v>
      </c>
      <c r="AF4386" s="159" t="s">
        <v>8339</v>
      </c>
      <c r="AG4386" s="160" t="s">
        <v>101</v>
      </c>
      <c r="AH4386" s="194" t="s">
        <v>679</v>
      </c>
      <c r="AI4386" s="6" t="s">
        <v>3448</v>
      </c>
      <c r="AJ4386" s="3" t="s">
        <v>8264</v>
      </c>
      <c r="AK4386" t="s">
        <v>8264</v>
      </c>
    </row>
    <row r="4387" spans="29:37" ht="13.5">
      <c r="AC4387" s="6" t="s">
        <v>1640</v>
      </c>
      <c r="AD4387" s="6" t="s">
        <v>7630</v>
      </c>
      <c r="AE4387" s="155" t="s">
        <v>1072</v>
      </c>
      <c r="AF4387" s="159" t="s">
        <v>8339</v>
      </c>
      <c r="AG4387" s="160" t="s">
        <v>4019</v>
      </c>
      <c r="AH4387" s="194" t="s">
        <v>679</v>
      </c>
      <c r="AI4387" s="6" t="s">
        <v>3184</v>
      </c>
      <c r="AJ4387" s="3" t="s">
        <v>8203</v>
      </c>
      <c r="AK4387" t="s">
        <v>8203</v>
      </c>
    </row>
    <row r="4388" spans="29:37" ht="13.5">
      <c r="AC4388" s="6" t="s">
        <v>1599</v>
      </c>
      <c r="AD4388" s="6" t="s">
        <v>7680</v>
      </c>
      <c r="AE4388" s="155" t="s">
        <v>1073</v>
      </c>
      <c r="AF4388" s="159" t="s">
        <v>8300</v>
      </c>
      <c r="AG4388" s="160" t="s">
        <v>4020</v>
      </c>
      <c r="AH4388" s="194" t="s">
        <v>679</v>
      </c>
      <c r="AI4388" s="6" t="s">
        <v>3196</v>
      </c>
      <c r="AJ4388" s="3" t="s">
        <v>8205</v>
      </c>
      <c r="AK4388" t="s">
        <v>8211</v>
      </c>
    </row>
    <row r="4389" spans="29:37" ht="13.5">
      <c r="AC4389" s="6" t="s">
        <v>168</v>
      </c>
      <c r="AD4389" s="6" t="s">
        <v>7680</v>
      </c>
      <c r="AE4389" s="155" t="s">
        <v>1074</v>
      </c>
      <c r="AF4389" s="159" t="s">
        <v>8300</v>
      </c>
      <c r="AG4389" s="160" t="s">
        <v>4021</v>
      </c>
      <c r="AH4389" s="194" t="s">
        <v>679</v>
      </c>
      <c r="AI4389" s="6" t="s">
        <v>3198</v>
      </c>
      <c r="AJ4389" s="3" t="s">
        <v>8264</v>
      </c>
      <c r="AK4389" t="s">
        <v>8264</v>
      </c>
    </row>
    <row r="4390" spans="29:37" ht="13.5">
      <c r="AC4390" s="6" t="s">
        <v>5328</v>
      </c>
      <c r="AD4390" s="6" t="s">
        <v>7691</v>
      </c>
      <c r="AE4390" s="155" t="s">
        <v>594</v>
      </c>
      <c r="AF4390" s="159" t="s">
        <v>8300</v>
      </c>
      <c r="AG4390" s="160" t="s">
        <v>4022</v>
      </c>
      <c r="AH4390" s="194" t="s">
        <v>679</v>
      </c>
      <c r="AI4390" s="6" t="s">
        <v>3209</v>
      </c>
      <c r="AJ4390" s="3" t="s">
        <v>8193</v>
      </c>
      <c r="AK4390" t="s">
        <v>8205</v>
      </c>
    </row>
    <row r="4391" spans="29:37" ht="13.5">
      <c r="AC4391" s="6" t="s">
        <v>5080</v>
      </c>
      <c r="AD4391" s="6" t="s">
        <v>7630</v>
      </c>
      <c r="AE4391" s="155" t="s">
        <v>1075</v>
      </c>
      <c r="AF4391" s="159" t="s">
        <v>8300</v>
      </c>
      <c r="AG4391" s="160" t="s">
        <v>4023</v>
      </c>
      <c r="AH4391" s="194" t="s">
        <v>679</v>
      </c>
      <c r="AI4391" s="6" t="s">
        <v>3211</v>
      </c>
      <c r="AJ4391" s="3" t="s">
        <v>8246</v>
      </c>
      <c r="AK4391" t="s">
        <v>8246</v>
      </c>
    </row>
    <row r="4392" spans="29:37" ht="13.5">
      <c r="AC4392" s="6" t="s">
        <v>167</v>
      </c>
      <c r="AD4392" s="6" t="s">
        <v>7680</v>
      </c>
      <c r="AE4392" s="155" t="s">
        <v>1189</v>
      </c>
      <c r="AF4392" s="159" t="s">
        <v>8339</v>
      </c>
      <c r="AG4392" s="160" t="s">
        <v>102</v>
      </c>
      <c r="AH4392" s="194" t="s">
        <v>679</v>
      </c>
      <c r="AI4392" s="6" t="s">
        <v>3216</v>
      </c>
      <c r="AJ4392" s="3" t="s">
        <v>8240</v>
      </c>
      <c r="AK4392" t="s">
        <v>8240</v>
      </c>
    </row>
    <row r="4393" spans="29:37" ht="13.5">
      <c r="AC4393" s="6" t="s">
        <v>5443</v>
      </c>
      <c r="AD4393" s="6" t="s">
        <v>7630</v>
      </c>
      <c r="AE4393" s="155" t="s">
        <v>595</v>
      </c>
      <c r="AF4393" s="159" t="s">
        <v>8339</v>
      </c>
      <c r="AG4393" s="160" t="s">
        <v>106</v>
      </c>
      <c r="AH4393" s="194" t="s">
        <v>679</v>
      </c>
      <c r="AI4393" s="6" t="s">
        <v>3224</v>
      </c>
      <c r="AJ4393" s="3" t="s">
        <v>8211</v>
      </c>
      <c r="AK4393" t="s">
        <v>8242</v>
      </c>
    </row>
    <row r="4394" spans="29:37" ht="13.5">
      <c r="AC4394" s="6" t="s">
        <v>1595</v>
      </c>
      <c r="AD4394" s="6" t="s">
        <v>7680</v>
      </c>
      <c r="AE4394" s="155" t="s">
        <v>1076</v>
      </c>
      <c r="AF4394" s="159" t="s">
        <v>8300</v>
      </c>
      <c r="AG4394" s="160" t="s">
        <v>103</v>
      </c>
      <c r="AH4394" s="194" t="s">
        <v>679</v>
      </c>
      <c r="AI4394" s="6" t="s">
        <v>3226</v>
      </c>
      <c r="AJ4394" s="3" t="s">
        <v>8204</v>
      </c>
      <c r="AK4394" t="s">
        <v>8204</v>
      </c>
    </row>
    <row r="4395" spans="29:37" ht="13.5">
      <c r="AC4395" s="6" t="s">
        <v>1571</v>
      </c>
      <c r="AD4395" s="6" t="s">
        <v>7630</v>
      </c>
      <c r="AE4395" s="155" t="s">
        <v>1517</v>
      </c>
      <c r="AF4395" s="159" t="s">
        <v>8300</v>
      </c>
      <c r="AG4395" s="160" t="s">
        <v>104</v>
      </c>
      <c r="AH4395" s="194" t="s">
        <v>679</v>
      </c>
      <c r="AI4395" s="6" t="s">
        <v>3231</v>
      </c>
      <c r="AJ4395" s="3" t="s">
        <v>8240</v>
      </c>
      <c r="AK4395" t="s">
        <v>8240</v>
      </c>
    </row>
    <row r="4396" spans="29:37" ht="13.5">
      <c r="AC4396" s="6" t="s">
        <v>1494</v>
      </c>
      <c r="AD4396" s="6" t="s">
        <v>7630</v>
      </c>
      <c r="AE4396" s="155" t="s">
        <v>1518</v>
      </c>
      <c r="AF4396" s="159" t="s">
        <v>8300</v>
      </c>
      <c r="AG4396" s="160" t="s">
        <v>4024</v>
      </c>
      <c r="AH4396" s="194" t="s">
        <v>679</v>
      </c>
      <c r="AI4396" s="6" t="s">
        <v>3240</v>
      </c>
      <c r="AJ4396" s="3" t="s">
        <v>8193</v>
      </c>
      <c r="AK4396" t="s">
        <v>8205</v>
      </c>
    </row>
    <row r="4397" spans="29:37" ht="13.5">
      <c r="AC4397" s="6" t="s">
        <v>1546</v>
      </c>
      <c r="AD4397" s="6" t="s">
        <v>7680</v>
      </c>
      <c r="AE4397" s="155" t="s">
        <v>597</v>
      </c>
      <c r="AF4397" s="159" t="s">
        <v>8339</v>
      </c>
      <c r="AG4397" s="160" t="s">
        <v>4025</v>
      </c>
      <c r="AH4397" s="194" t="s">
        <v>679</v>
      </c>
      <c r="AI4397" s="6" t="s">
        <v>3247</v>
      </c>
      <c r="AJ4397" s="3" t="s">
        <v>8193</v>
      </c>
      <c r="AK4397" t="s">
        <v>8205</v>
      </c>
    </row>
    <row r="4398" spans="29:37" ht="13.5">
      <c r="AC4398" s="6" t="s">
        <v>1002</v>
      </c>
      <c r="AD4398" s="6" t="s">
        <v>7690</v>
      </c>
      <c r="AE4398" s="155" t="s">
        <v>1077</v>
      </c>
      <c r="AF4398" s="159" t="s">
        <v>8339</v>
      </c>
      <c r="AG4398" s="160" t="s">
        <v>105</v>
      </c>
      <c r="AH4398" s="194" t="s">
        <v>679</v>
      </c>
      <c r="AI4398" s="6" t="s">
        <v>3250</v>
      </c>
      <c r="AJ4398" s="3" t="s">
        <v>8264</v>
      </c>
      <c r="AK4398" t="s">
        <v>8264</v>
      </c>
    </row>
    <row r="4399" spans="29:37" ht="13.5">
      <c r="AC4399" s="6" t="s">
        <v>5365</v>
      </c>
      <c r="AD4399" s="6" t="s">
        <v>7680</v>
      </c>
      <c r="AE4399" s="155" t="s">
        <v>1078</v>
      </c>
      <c r="AF4399" s="159" t="s">
        <v>8300</v>
      </c>
      <c r="AG4399" s="160" t="s">
        <v>4026</v>
      </c>
      <c r="AH4399" s="194" t="s">
        <v>679</v>
      </c>
      <c r="AI4399" s="6" t="s">
        <v>4748</v>
      </c>
      <c r="AJ4399" s="3" t="s">
        <v>8246</v>
      </c>
      <c r="AK4399" t="s">
        <v>8246</v>
      </c>
    </row>
    <row r="4400" spans="29:37" ht="13.5">
      <c r="AC4400" s="6" t="s">
        <v>1568</v>
      </c>
      <c r="AD4400" s="6" t="s">
        <v>7680</v>
      </c>
      <c r="AE4400" s="155" t="s">
        <v>1079</v>
      </c>
      <c r="AF4400" s="159" t="s">
        <v>8339</v>
      </c>
      <c r="AG4400" s="160" t="s">
        <v>4027</v>
      </c>
      <c r="AH4400" s="194" t="s">
        <v>679</v>
      </c>
      <c r="AI4400" s="6" t="s">
        <v>3274</v>
      </c>
      <c r="AJ4400" s="3" t="s">
        <v>8247</v>
      </c>
      <c r="AK4400" t="s">
        <v>8247</v>
      </c>
    </row>
    <row r="4401" spans="29:37" ht="13.5">
      <c r="AC4401" s="6" t="s">
        <v>1333</v>
      </c>
      <c r="AD4401" s="6" t="s">
        <v>7630</v>
      </c>
      <c r="AE4401" s="155" t="s">
        <v>1080</v>
      </c>
      <c r="AF4401" s="159" t="s">
        <v>8297</v>
      </c>
      <c r="AG4401" s="160" t="s">
        <v>4028</v>
      </c>
      <c r="AH4401" s="194" t="s">
        <v>679</v>
      </c>
      <c r="AI4401" s="6" t="s">
        <v>5384</v>
      </c>
      <c r="AJ4401" s="3" t="s">
        <v>8246</v>
      </c>
      <c r="AK4401" t="s">
        <v>8246</v>
      </c>
    </row>
    <row r="4402" spans="29:37" ht="13.5">
      <c r="AC4402" s="6" t="s">
        <v>4703</v>
      </c>
      <c r="AD4402" s="6" t="s">
        <v>7620</v>
      </c>
      <c r="AE4402" s="155" t="s">
        <v>1081</v>
      </c>
      <c r="AF4402" s="159" t="s">
        <v>8339</v>
      </c>
      <c r="AG4402" s="160" t="s">
        <v>4029</v>
      </c>
      <c r="AH4402" s="194" t="s">
        <v>679</v>
      </c>
      <c r="AI4402" s="6" t="s">
        <v>3303</v>
      </c>
      <c r="AJ4402" s="3" t="s">
        <v>8203</v>
      </c>
      <c r="AK4402" t="s">
        <v>8203</v>
      </c>
    </row>
    <row r="4403" spans="29:37" ht="13.5">
      <c r="AC4403" s="6" t="s">
        <v>1607</v>
      </c>
      <c r="AD4403" s="6" t="s">
        <v>7680</v>
      </c>
      <c r="AE4403" s="155" t="s">
        <v>1192</v>
      </c>
      <c r="AF4403" s="159" t="s">
        <v>8339</v>
      </c>
      <c r="AG4403" s="160" t="s">
        <v>4030</v>
      </c>
      <c r="AH4403" s="194" t="s">
        <v>679</v>
      </c>
      <c r="AI4403" s="6" t="s">
        <v>3307</v>
      </c>
      <c r="AJ4403" s="3" t="s">
        <v>8204</v>
      </c>
      <c r="AK4403" t="s">
        <v>8204</v>
      </c>
    </row>
    <row r="4404" spans="29:37" ht="13.5">
      <c r="AC4404" s="6" t="s">
        <v>1548</v>
      </c>
      <c r="AD4404" s="6" t="s">
        <v>7630</v>
      </c>
      <c r="AE4404" s="155" t="s">
        <v>1520</v>
      </c>
      <c r="AF4404" s="159" t="s">
        <v>8300</v>
      </c>
      <c r="AG4404" s="160" t="s">
        <v>4031</v>
      </c>
      <c r="AH4404" s="194" t="s">
        <v>1314</v>
      </c>
      <c r="AI4404" s="6" t="s">
        <v>4747</v>
      </c>
      <c r="AJ4404" s="3" t="s">
        <v>8193</v>
      </c>
      <c r="AK4404" t="s">
        <v>8205</v>
      </c>
    </row>
    <row r="4405" spans="29:37" ht="13.5">
      <c r="AC4405" s="6" t="s">
        <v>1606</v>
      </c>
      <c r="AD4405" s="6" t="s">
        <v>7680</v>
      </c>
      <c r="AE4405" s="155" t="s">
        <v>1521</v>
      </c>
      <c r="AF4405" s="159" t="s">
        <v>8300</v>
      </c>
      <c r="AG4405" s="160" t="s">
        <v>4033</v>
      </c>
      <c r="AH4405" s="194" t="s">
        <v>679</v>
      </c>
      <c r="AI4405" s="6" t="s">
        <v>3309</v>
      </c>
      <c r="AJ4405" s="3" t="s">
        <v>8193</v>
      </c>
      <c r="AK4405" t="s">
        <v>8205</v>
      </c>
    </row>
    <row r="4406" spans="29:37" ht="13.5">
      <c r="AC4406" s="6" t="s">
        <v>1605</v>
      </c>
      <c r="AD4406" s="6" t="s">
        <v>7680</v>
      </c>
      <c r="AE4406" s="155" t="s">
        <v>1082</v>
      </c>
      <c r="AF4406" s="159" t="s">
        <v>8300</v>
      </c>
      <c r="AG4406" s="160" t="s">
        <v>4034</v>
      </c>
      <c r="AH4406" s="194" t="s">
        <v>1314</v>
      </c>
      <c r="AI4406" s="6" t="s">
        <v>3312</v>
      </c>
      <c r="AJ4406" s="3" t="s">
        <v>8204</v>
      </c>
      <c r="AK4406" t="s">
        <v>8204</v>
      </c>
    </row>
    <row r="4407" spans="29:37" ht="13.5">
      <c r="AC4407" s="6" t="s">
        <v>606</v>
      </c>
      <c r="AD4407" s="6" t="s">
        <v>7630</v>
      </c>
      <c r="AE4407" s="155" t="s">
        <v>1083</v>
      </c>
      <c r="AF4407" s="159" t="s">
        <v>8300</v>
      </c>
      <c r="AG4407" s="160" t="s">
        <v>1309</v>
      </c>
      <c r="AH4407" s="194" t="s">
        <v>679</v>
      </c>
      <c r="AI4407" s="6" t="s">
        <v>3887</v>
      </c>
      <c r="AJ4407" s="3" t="s">
        <v>8264</v>
      </c>
      <c r="AK4407" t="s">
        <v>8264</v>
      </c>
    </row>
    <row r="4408" spans="29:37" ht="13.5">
      <c r="AC4408" s="6" t="s">
        <v>1495</v>
      </c>
      <c r="AD4408" s="6" t="s">
        <v>7630</v>
      </c>
      <c r="AE4408" s="155" t="s">
        <v>1084</v>
      </c>
      <c r="AF4408" s="159" t="s">
        <v>8299</v>
      </c>
      <c r="AG4408" s="160" t="s">
        <v>5116</v>
      </c>
      <c r="AH4408" s="194" t="s">
        <v>1314</v>
      </c>
      <c r="AI4408" s="6" t="s">
        <v>3324</v>
      </c>
      <c r="AJ4408" s="3" t="s">
        <v>8203</v>
      </c>
      <c r="AK4408" t="s">
        <v>8203</v>
      </c>
    </row>
    <row r="4409" spans="29:37" ht="13.5">
      <c r="AC4409" s="6" t="s">
        <v>1638</v>
      </c>
      <c r="AD4409" s="6" t="s">
        <v>7630</v>
      </c>
      <c r="AE4409" s="155" t="s">
        <v>1085</v>
      </c>
      <c r="AF4409" s="159" t="s">
        <v>8339</v>
      </c>
      <c r="AG4409" s="160" t="s">
        <v>5050</v>
      </c>
      <c r="AH4409" s="194" t="s">
        <v>1314</v>
      </c>
      <c r="AI4409" s="6" t="s">
        <v>3888</v>
      </c>
      <c r="AJ4409" s="3" t="s">
        <v>8204</v>
      </c>
      <c r="AK4409" t="s">
        <v>8204</v>
      </c>
    </row>
    <row r="4410" spans="29:37" ht="13.5">
      <c r="AC4410" s="6" t="s">
        <v>5364</v>
      </c>
      <c r="AD4410" s="6" t="s">
        <v>7680</v>
      </c>
      <c r="AE4410" s="155" t="s">
        <v>598</v>
      </c>
      <c r="AF4410" s="159" t="s">
        <v>8300</v>
      </c>
      <c r="AG4410" s="160" t="s">
        <v>5118</v>
      </c>
      <c r="AH4410" s="194" t="s">
        <v>1314</v>
      </c>
      <c r="AI4410" s="6" t="s">
        <v>3342</v>
      </c>
      <c r="AJ4410" s="3" t="s">
        <v>8240</v>
      </c>
      <c r="AK4410" t="s">
        <v>8240</v>
      </c>
    </row>
    <row r="4411" spans="29:37" ht="13.5">
      <c r="AC4411" s="6" t="s">
        <v>1157</v>
      </c>
      <c r="AD4411" s="6" t="s">
        <v>7679</v>
      </c>
      <c r="AE4411" s="155" t="s">
        <v>969</v>
      </c>
      <c r="AF4411" s="159" t="s">
        <v>8339</v>
      </c>
      <c r="AG4411" s="160" t="s">
        <v>5130</v>
      </c>
      <c r="AH4411" s="194" t="s">
        <v>1314</v>
      </c>
      <c r="AI4411" s="6" t="s">
        <v>5313</v>
      </c>
      <c r="AJ4411" s="3" t="s">
        <v>8203</v>
      </c>
      <c r="AK4411" t="s">
        <v>8203</v>
      </c>
    </row>
    <row r="4412" spans="29:37" ht="13.5">
      <c r="AC4412" s="6" t="s">
        <v>5241</v>
      </c>
      <c r="AD4412" s="6" t="s">
        <v>7620</v>
      </c>
      <c r="AE4412" s="155" t="s">
        <v>962</v>
      </c>
      <c r="AF4412" s="159" t="s">
        <v>8300</v>
      </c>
      <c r="AG4412" s="160" t="s">
        <v>5126</v>
      </c>
      <c r="AH4412" s="194" t="s">
        <v>1314</v>
      </c>
      <c r="AI4412" s="6" t="s">
        <v>3357</v>
      </c>
      <c r="AJ4412" s="3" t="s">
        <v>8204</v>
      </c>
      <c r="AK4412" t="s">
        <v>8204</v>
      </c>
    </row>
    <row r="4413" spans="29:37" ht="13.5">
      <c r="AC4413" s="6" t="s">
        <v>1573</v>
      </c>
      <c r="AD4413" s="6" t="s">
        <v>7680</v>
      </c>
      <c r="AE4413" s="155" t="s">
        <v>1663</v>
      </c>
      <c r="AF4413" s="159" t="s">
        <v>8339</v>
      </c>
      <c r="AG4413" s="160" t="s">
        <v>5227</v>
      </c>
      <c r="AH4413" s="194" t="s">
        <v>1314</v>
      </c>
      <c r="AI4413" s="6" t="s">
        <v>3365</v>
      </c>
      <c r="AJ4413" s="3" t="s">
        <v>8203</v>
      </c>
      <c r="AK4413" t="s">
        <v>8203</v>
      </c>
    </row>
    <row r="4414" spans="29:37" ht="13.5">
      <c r="AC4414" s="6" t="s">
        <v>1003</v>
      </c>
      <c r="AD4414" s="6" t="s">
        <v>7690</v>
      </c>
      <c r="AE4414" s="155" t="s">
        <v>953</v>
      </c>
      <c r="AF4414" s="159" t="s">
        <v>8300</v>
      </c>
      <c r="AG4414" s="160" t="s">
        <v>5447</v>
      </c>
      <c r="AH4414" s="194" t="s">
        <v>1314</v>
      </c>
      <c r="AI4414" s="6" t="s">
        <v>1233</v>
      </c>
      <c r="AJ4414" s="3" t="s">
        <v>8203</v>
      </c>
      <c r="AK4414" t="s">
        <v>8203</v>
      </c>
    </row>
    <row r="4415" spans="29:37" ht="13.5">
      <c r="AC4415" s="6" t="s">
        <v>659</v>
      </c>
      <c r="AD4415" s="6" t="s">
        <v>7692</v>
      </c>
      <c r="AE4415" s="155" t="s">
        <v>984</v>
      </c>
      <c r="AF4415" s="159" t="s">
        <v>8418</v>
      </c>
      <c r="AG4415" s="160" t="s">
        <v>2262</v>
      </c>
      <c r="AH4415" s="194" t="s">
        <v>678</v>
      </c>
      <c r="AI4415" s="6" t="s">
        <v>3370</v>
      </c>
      <c r="AJ4415" s="3" t="s">
        <v>8204</v>
      </c>
      <c r="AK4415" t="s">
        <v>8204</v>
      </c>
    </row>
    <row r="4416" spans="29:37" ht="13.5">
      <c r="AC4416" s="6" t="s">
        <v>657</v>
      </c>
      <c r="AD4416" s="6" t="s">
        <v>7620</v>
      </c>
      <c r="AE4416" s="155" t="s">
        <v>1086</v>
      </c>
      <c r="AF4416" s="159" t="s">
        <v>8300</v>
      </c>
      <c r="AG4416" s="160" t="s">
        <v>2186</v>
      </c>
      <c r="AH4416" s="194" t="s">
        <v>679</v>
      </c>
      <c r="AI4416" s="6" t="s">
        <v>3371</v>
      </c>
      <c r="AJ4416" s="3" t="s">
        <v>8203</v>
      </c>
      <c r="AK4416" t="s">
        <v>8203</v>
      </c>
    </row>
    <row r="4417" spans="29:37" ht="13.5">
      <c r="AC4417" s="6" t="s">
        <v>1545</v>
      </c>
      <c r="AD4417" s="6" t="s">
        <v>7680</v>
      </c>
      <c r="AE4417" s="155" t="s">
        <v>952</v>
      </c>
      <c r="AF4417" s="159" t="s">
        <v>8339</v>
      </c>
      <c r="AG4417" s="160" t="s">
        <v>4035</v>
      </c>
      <c r="AH4417" s="194" t="s">
        <v>1314</v>
      </c>
      <c r="AI4417" s="6" t="s">
        <v>3892</v>
      </c>
      <c r="AJ4417" s="3" t="s">
        <v>8203</v>
      </c>
      <c r="AK4417" t="s">
        <v>8203</v>
      </c>
    </row>
    <row r="4418" spans="29:37" ht="13.5">
      <c r="AC4418" s="6" t="s">
        <v>1602</v>
      </c>
      <c r="AD4418" s="6" t="s">
        <v>7680</v>
      </c>
      <c r="AE4418" s="155" t="s">
        <v>1651</v>
      </c>
      <c r="AF4418" s="159" t="s">
        <v>8300</v>
      </c>
      <c r="AG4418" s="160" t="s">
        <v>4036</v>
      </c>
      <c r="AH4418" s="194" t="s">
        <v>1314</v>
      </c>
      <c r="AI4418" s="6" t="s">
        <v>3377</v>
      </c>
      <c r="AJ4418" s="3" t="s">
        <v>8204</v>
      </c>
      <c r="AK4418" t="s">
        <v>8204</v>
      </c>
    </row>
    <row r="4419" spans="29:37" ht="13.5">
      <c r="AC4419" s="6" t="s">
        <v>605</v>
      </c>
      <c r="AD4419" s="6" t="s">
        <v>7630</v>
      </c>
      <c r="AE4419" s="155" t="s">
        <v>1188</v>
      </c>
      <c r="AF4419" s="159" t="s">
        <v>8300</v>
      </c>
      <c r="AG4419" s="160" t="s">
        <v>4037</v>
      </c>
      <c r="AH4419" s="194" t="s">
        <v>679</v>
      </c>
      <c r="AI4419" s="6" t="s">
        <v>3894</v>
      </c>
      <c r="AJ4419" s="3" t="s">
        <v>8203</v>
      </c>
      <c r="AK4419" t="s">
        <v>8203</v>
      </c>
    </row>
    <row r="4420" spans="29:37" ht="13.5">
      <c r="AC4420" s="6" t="s">
        <v>1604</v>
      </c>
      <c r="AD4420" s="6" t="s">
        <v>7680</v>
      </c>
      <c r="AE4420" s="155" t="s">
        <v>1087</v>
      </c>
      <c r="AF4420" s="159" t="s">
        <v>8300</v>
      </c>
      <c r="AG4420" s="160" t="s">
        <v>4038</v>
      </c>
      <c r="AH4420" s="194" t="s">
        <v>679</v>
      </c>
      <c r="AI4420" s="6" t="s">
        <v>3895</v>
      </c>
      <c r="AJ4420" s="3" t="s">
        <v>8203</v>
      </c>
      <c r="AK4420" t="s">
        <v>8203</v>
      </c>
    </row>
    <row r="4421" spans="29:37" ht="13.5">
      <c r="AC4421" s="6" t="s">
        <v>1637</v>
      </c>
      <c r="AD4421" s="6" t="s">
        <v>7630</v>
      </c>
      <c r="AE4421" s="155" t="s">
        <v>1522</v>
      </c>
      <c r="AF4421" s="159" t="s">
        <v>8312</v>
      </c>
      <c r="AG4421" s="160" t="s">
        <v>4039</v>
      </c>
      <c r="AH4421" s="194" t="s">
        <v>1314</v>
      </c>
      <c r="AI4421" s="6" t="s">
        <v>3385</v>
      </c>
      <c r="AJ4421" s="3" t="s">
        <v>8204</v>
      </c>
      <c r="AK4421" t="s">
        <v>8204</v>
      </c>
    </row>
    <row r="4422" spans="29:37" ht="13.5">
      <c r="AC4422" s="6" t="s">
        <v>1603</v>
      </c>
      <c r="AD4422" s="6" t="s">
        <v>7680</v>
      </c>
      <c r="AE4422" s="155" t="s">
        <v>1088</v>
      </c>
      <c r="AF4422" s="159" t="s">
        <v>8300</v>
      </c>
      <c r="AG4422" s="160" t="s">
        <v>4040</v>
      </c>
      <c r="AH4422" s="194" t="s">
        <v>679</v>
      </c>
      <c r="AI4422" s="6" t="s">
        <v>3389</v>
      </c>
      <c r="AJ4422" s="3" t="s">
        <v>8264</v>
      </c>
      <c r="AK4422" t="s">
        <v>8264</v>
      </c>
    </row>
    <row r="4423" spans="29:37" ht="13.5">
      <c r="AC4423" s="6" t="s">
        <v>1504</v>
      </c>
      <c r="AD4423" s="6" t="s">
        <v>7688</v>
      </c>
      <c r="AE4423" s="155" t="s">
        <v>1089</v>
      </c>
      <c r="AF4423" s="159" t="s">
        <v>8300</v>
      </c>
      <c r="AG4423" s="160" t="s">
        <v>4041</v>
      </c>
      <c r="AH4423" s="194" t="s">
        <v>1314</v>
      </c>
      <c r="AI4423" s="6" t="s">
        <v>3394</v>
      </c>
      <c r="AJ4423" s="3" t="s">
        <v>8203</v>
      </c>
      <c r="AK4423" t="s">
        <v>8203</v>
      </c>
    </row>
    <row r="4424" spans="29:37" ht="13.5">
      <c r="AC4424" s="6" t="s">
        <v>1493</v>
      </c>
      <c r="AD4424" s="6" t="s">
        <v>7630</v>
      </c>
      <c r="AE4424" s="155" t="s">
        <v>1523</v>
      </c>
      <c r="AF4424" s="159" t="s">
        <v>8300</v>
      </c>
      <c r="AG4424" s="160" t="s">
        <v>4042</v>
      </c>
      <c r="AH4424" s="194" t="s">
        <v>1314</v>
      </c>
      <c r="AI4424" s="6" t="s">
        <v>3397</v>
      </c>
      <c r="AJ4424" s="3" t="s">
        <v>8203</v>
      </c>
      <c r="AK4424" t="s">
        <v>8203</v>
      </c>
    </row>
    <row r="4425" spans="29:37" ht="13.5">
      <c r="AC4425" s="6" t="s">
        <v>1601</v>
      </c>
      <c r="AD4425" s="6" t="s">
        <v>7680</v>
      </c>
      <c r="AE4425" s="155" t="s">
        <v>3977</v>
      </c>
      <c r="AF4425" s="159" t="s">
        <v>8300</v>
      </c>
      <c r="AG4425" s="160" t="s">
        <v>4781</v>
      </c>
      <c r="AH4425" s="194" t="s">
        <v>679</v>
      </c>
      <c r="AI4425" s="6" t="s">
        <v>3898</v>
      </c>
      <c r="AJ4425" s="3" t="s">
        <v>8203</v>
      </c>
      <c r="AK4425" t="s">
        <v>8203</v>
      </c>
    </row>
    <row r="4426" spans="29:37" ht="13.5">
      <c r="AC4426" s="6" t="s">
        <v>2243</v>
      </c>
      <c r="AD4426" s="6" t="s">
        <v>7693</v>
      </c>
      <c r="AE4426" s="155" t="s">
        <v>1090</v>
      </c>
      <c r="AF4426" s="159" t="s">
        <v>8300</v>
      </c>
      <c r="AG4426" s="160" t="s">
        <v>5150</v>
      </c>
      <c r="AH4426" s="194" t="s">
        <v>679</v>
      </c>
      <c r="AI4426" s="6" t="s">
        <v>3398</v>
      </c>
      <c r="AJ4426" s="3" t="s">
        <v>8205</v>
      </c>
      <c r="AK4426" t="s">
        <v>8211</v>
      </c>
    </row>
    <row r="4427" spans="29:37" ht="13.5">
      <c r="AC4427" s="6" t="s">
        <v>2250</v>
      </c>
      <c r="AD4427" s="6" t="s">
        <v>7693</v>
      </c>
      <c r="AE4427" s="155" t="s">
        <v>1091</v>
      </c>
      <c r="AF4427" s="159" t="s">
        <v>8300</v>
      </c>
      <c r="AG4427" s="160" t="s">
        <v>4043</v>
      </c>
      <c r="AH4427" s="194" t="s">
        <v>679</v>
      </c>
      <c r="AI4427" s="6" t="s">
        <v>4755</v>
      </c>
      <c r="AJ4427" s="3" t="s">
        <v>8264</v>
      </c>
      <c r="AK4427" t="s">
        <v>8264</v>
      </c>
    </row>
    <row r="4428" spans="29:37" ht="13.5">
      <c r="AC4428" s="6" t="s">
        <v>1004</v>
      </c>
      <c r="AD4428" s="6" t="s">
        <v>7690</v>
      </c>
      <c r="AE4428" s="155" t="s">
        <v>1092</v>
      </c>
      <c r="AF4428" s="159" t="s">
        <v>8339</v>
      </c>
      <c r="AG4428" s="160" t="s">
        <v>4044</v>
      </c>
      <c r="AH4428" s="194" t="s">
        <v>678</v>
      </c>
      <c r="AI4428" s="6" t="s">
        <v>5394</v>
      </c>
      <c r="AJ4428" s="3" t="s">
        <v>8203</v>
      </c>
      <c r="AK4428" t="s">
        <v>8203</v>
      </c>
    </row>
    <row r="4429" spans="29:37" ht="13.5">
      <c r="AC4429" s="6" t="s">
        <v>1200</v>
      </c>
      <c r="AD4429" s="6" t="s">
        <v>7587</v>
      </c>
      <c r="AE4429" s="155" t="s">
        <v>975</v>
      </c>
      <c r="AF4429" s="159" t="s">
        <v>8339</v>
      </c>
      <c r="AG4429" s="160" t="s">
        <v>1246</v>
      </c>
      <c r="AH4429" s="194" t="s">
        <v>679</v>
      </c>
      <c r="AI4429" s="6" t="s">
        <v>5404</v>
      </c>
      <c r="AJ4429" s="3" t="s">
        <v>8204</v>
      </c>
      <c r="AK4429" t="s">
        <v>8204</v>
      </c>
    </row>
    <row r="4430" spans="29:37" ht="13.5">
      <c r="AC4430" s="6" t="s">
        <v>5265</v>
      </c>
      <c r="AD4430" s="6" t="s">
        <v>7694</v>
      </c>
      <c r="AE4430" s="155" t="s">
        <v>4705</v>
      </c>
      <c r="AF4430" s="159" t="s">
        <v>8300</v>
      </c>
      <c r="AG4430" s="160" t="s">
        <v>5153</v>
      </c>
      <c r="AH4430" s="194" t="s">
        <v>1314</v>
      </c>
      <c r="AI4430" s="6" t="s">
        <v>195</v>
      </c>
      <c r="AJ4430" s="3" t="s">
        <v>8212</v>
      </c>
      <c r="AK4430" t="s">
        <v>8212</v>
      </c>
    </row>
    <row r="4431" spans="29:37" ht="13.5">
      <c r="AC4431" s="6" t="s">
        <v>130</v>
      </c>
      <c r="AD4431" s="6" t="s">
        <v>7695</v>
      </c>
      <c r="AE4431" s="155" t="s">
        <v>1274</v>
      </c>
      <c r="AF4431" s="159" t="s">
        <v>8300</v>
      </c>
      <c r="AG4431" s="160" t="s">
        <v>4045</v>
      </c>
      <c r="AH4431" s="194" t="s">
        <v>679</v>
      </c>
      <c r="AI4431" s="6" t="s">
        <v>227</v>
      </c>
      <c r="AJ4431" s="3" t="s">
        <v>8228</v>
      </c>
      <c r="AK4431" t="s">
        <v>8228</v>
      </c>
    </row>
    <row r="4432" spans="29:37" ht="13.5">
      <c r="AC4432" s="6" t="s">
        <v>1501</v>
      </c>
      <c r="AD4432" s="6" t="s">
        <v>7696</v>
      </c>
      <c r="AE4432" s="155" t="s">
        <v>967</v>
      </c>
      <c r="AF4432" s="159" t="s">
        <v>8300</v>
      </c>
      <c r="AG4432" s="160" t="s">
        <v>4046</v>
      </c>
      <c r="AH4432" s="194" t="s">
        <v>679</v>
      </c>
      <c r="AI4432" s="6" t="s">
        <v>1342</v>
      </c>
      <c r="AJ4432" s="3" t="s">
        <v>8201</v>
      </c>
      <c r="AK4432" t="s">
        <v>8666</v>
      </c>
    </row>
    <row r="4433" spans="29:37" ht="13.5">
      <c r="AC4433" s="6" t="s">
        <v>6727</v>
      </c>
      <c r="AD4433" s="6" t="s">
        <v>7685</v>
      </c>
      <c r="AE4433" s="155" t="s">
        <v>1275</v>
      </c>
      <c r="AF4433" s="159" t="s">
        <v>8300</v>
      </c>
      <c r="AG4433" s="160" t="s">
        <v>4047</v>
      </c>
      <c r="AH4433" s="194" t="s">
        <v>679</v>
      </c>
      <c r="AI4433" s="6" t="s">
        <v>1344</v>
      </c>
      <c r="AJ4433" s="3" t="s">
        <v>8196</v>
      </c>
      <c r="AK4433" t="s">
        <v>8196</v>
      </c>
    </row>
    <row r="4434" spans="29:37" ht="13.5">
      <c r="AC4434" s="6" t="s">
        <v>5478</v>
      </c>
      <c r="AD4434" s="6" t="s">
        <v>7620</v>
      </c>
      <c r="AE4434" s="155" t="s">
        <v>1094</v>
      </c>
      <c r="AF4434" s="159" t="s">
        <v>8299</v>
      </c>
      <c r="AG4434" s="160" t="s">
        <v>4048</v>
      </c>
      <c r="AH4434" s="194" t="s">
        <v>679</v>
      </c>
      <c r="AI4434" s="6" t="s">
        <v>230</v>
      </c>
      <c r="AJ4434" s="3" t="s">
        <v>8195</v>
      </c>
      <c r="AK4434" t="s">
        <v>8195</v>
      </c>
    </row>
    <row r="4435" spans="29:37" ht="13.5">
      <c r="AC4435" s="6" t="s">
        <v>3908</v>
      </c>
      <c r="AD4435" s="6" t="s">
        <v>7689</v>
      </c>
      <c r="AE4435" s="155" t="s">
        <v>976</v>
      </c>
      <c r="AF4435" s="159" t="s">
        <v>8300</v>
      </c>
      <c r="AG4435" s="160" t="s">
        <v>4837</v>
      </c>
      <c r="AH4435" s="194" t="s">
        <v>679</v>
      </c>
      <c r="AI4435" s="6" t="s">
        <v>231</v>
      </c>
      <c r="AJ4435" s="3" t="s">
        <v>8201</v>
      </c>
      <c r="AK4435" t="s">
        <v>8666</v>
      </c>
    </row>
    <row r="4436" spans="29:37" ht="13.5">
      <c r="AC4436" s="6" t="s">
        <v>5142</v>
      </c>
      <c r="AD4436" s="6" t="s">
        <v>7697</v>
      </c>
      <c r="AE4436" s="155" t="s">
        <v>1524</v>
      </c>
      <c r="AF4436" s="159" t="s">
        <v>8320</v>
      </c>
      <c r="AG4436" s="160" t="s">
        <v>5075</v>
      </c>
      <c r="AH4436" s="194" t="s">
        <v>1314</v>
      </c>
      <c r="AI4436" s="6" t="s">
        <v>233</v>
      </c>
      <c r="AJ4436" s="3" t="s">
        <v>8201</v>
      </c>
      <c r="AK4436" t="s">
        <v>8666</v>
      </c>
    </row>
    <row r="4437" spans="29:37" ht="13.5">
      <c r="AC4437" s="6" t="s">
        <v>5097</v>
      </c>
      <c r="AD4437" s="6" t="s">
        <v>7620</v>
      </c>
      <c r="AE4437" s="155" t="s">
        <v>1525</v>
      </c>
      <c r="AF4437" s="159" t="s">
        <v>8300</v>
      </c>
      <c r="AG4437" s="160" t="s">
        <v>5077</v>
      </c>
      <c r="AH4437" s="194" t="s">
        <v>1314</v>
      </c>
      <c r="AI4437" s="6" t="s">
        <v>234</v>
      </c>
      <c r="AJ4437" s="3" t="s">
        <v>8196</v>
      </c>
      <c r="AK4437" t="s">
        <v>8196</v>
      </c>
    </row>
    <row r="4438" spans="29:37" ht="13.5">
      <c r="AC4438" s="6" t="s">
        <v>2265</v>
      </c>
      <c r="AD4438" s="6" t="s">
        <v>7650</v>
      </c>
      <c r="AE4438" s="155" t="s">
        <v>1095</v>
      </c>
      <c r="AF4438" s="159" t="s">
        <v>8300</v>
      </c>
      <c r="AG4438" s="160" t="s">
        <v>5042</v>
      </c>
      <c r="AH4438" s="194" t="s">
        <v>1314</v>
      </c>
      <c r="AI4438" s="6" t="s">
        <v>1347</v>
      </c>
      <c r="AJ4438" s="3" t="s">
        <v>8195</v>
      </c>
      <c r="AK4438" t="s">
        <v>8195</v>
      </c>
    </row>
    <row r="4439" spans="29:37" ht="13.5">
      <c r="AC4439" s="6" t="s">
        <v>82</v>
      </c>
      <c r="AD4439" s="6" t="s">
        <v>7698</v>
      </c>
      <c r="AE4439" s="155" t="s">
        <v>982</v>
      </c>
      <c r="AF4439" s="159" t="s">
        <v>8339</v>
      </c>
      <c r="AG4439" s="160" t="s">
        <v>5127</v>
      </c>
      <c r="AH4439" s="194" t="s">
        <v>1314</v>
      </c>
      <c r="AI4439" s="6" t="s">
        <v>236</v>
      </c>
      <c r="AJ4439" s="3" t="s">
        <v>8201</v>
      </c>
      <c r="AK4439" t="s">
        <v>8666</v>
      </c>
    </row>
    <row r="4440" spans="29:37" ht="13.5">
      <c r="AC4440" s="6" t="s">
        <v>1490</v>
      </c>
      <c r="AD4440" s="6" t="s">
        <v>7697</v>
      </c>
      <c r="AE4440" s="155" t="s">
        <v>1096</v>
      </c>
      <c r="AF4440" s="159" t="s">
        <v>8300</v>
      </c>
      <c r="AG4440" s="160" t="s">
        <v>4049</v>
      </c>
      <c r="AH4440" s="194" t="s">
        <v>679</v>
      </c>
      <c r="AI4440" s="6" t="s">
        <v>237</v>
      </c>
      <c r="AJ4440" s="3" t="s">
        <v>8196</v>
      </c>
      <c r="AK4440" t="s">
        <v>8196</v>
      </c>
    </row>
    <row r="4441" spans="29:37" ht="13.5">
      <c r="AC4441" s="6" t="s">
        <v>1425</v>
      </c>
      <c r="AD4441" s="6" t="s">
        <v>7699</v>
      </c>
      <c r="AE4441" s="155" t="s">
        <v>4738</v>
      </c>
      <c r="AF4441" s="159" t="s">
        <v>8342</v>
      </c>
      <c r="AG4441" s="160" t="s">
        <v>4050</v>
      </c>
      <c r="AH4441" s="194" t="s">
        <v>679</v>
      </c>
      <c r="AI4441" s="6" t="s">
        <v>238</v>
      </c>
      <c r="AJ4441" s="3" t="s">
        <v>8209</v>
      </c>
      <c r="AK4441" t="s">
        <v>8209</v>
      </c>
    </row>
    <row r="4442" spans="29:37" ht="13.5">
      <c r="AC4442" s="6" t="s">
        <v>176</v>
      </c>
      <c r="AD4442" s="6" t="s">
        <v>7699</v>
      </c>
      <c r="AE4442" s="155" t="s">
        <v>1097</v>
      </c>
      <c r="AF4442" s="159" t="s">
        <v>8300</v>
      </c>
      <c r="AG4442" s="160" t="s">
        <v>4051</v>
      </c>
      <c r="AH4442" s="194" t="s">
        <v>679</v>
      </c>
      <c r="AI4442" s="6" t="s">
        <v>241</v>
      </c>
      <c r="AJ4442" s="3" t="s">
        <v>8201</v>
      </c>
      <c r="AK4442" t="s">
        <v>8666</v>
      </c>
    </row>
    <row r="4443" spans="29:37" ht="13.5">
      <c r="AC4443" s="6" t="s">
        <v>5363</v>
      </c>
      <c r="AD4443" s="6" t="s">
        <v>7680</v>
      </c>
      <c r="AE4443" s="155" t="s">
        <v>1276</v>
      </c>
      <c r="AF4443" s="159" t="s">
        <v>8300</v>
      </c>
      <c r="AG4443" s="160" t="s">
        <v>4052</v>
      </c>
      <c r="AH4443" s="194" t="s">
        <v>679</v>
      </c>
      <c r="AI4443" s="6" t="s">
        <v>243</v>
      </c>
      <c r="AJ4443" s="3" t="s">
        <v>8209</v>
      </c>
      <c r="AK4443" t="s">
        <v>8209</v>
      </c>
    </row>
    <row r="4444" spans="29:37" ht="13.5">
      <c r="AC4444" s="6" t="s">
        <v>177</v>
      </c>
      <c r="AD4444" s="6" t="s">
        <v>7699</v>
      </c>
      <c r="AE4444" s="155" t="s">
        <v>1098</v>
      </c>
      <c r="AF4444" s="159" t="s">
        <v>8300</v>
      </c>
      <c r="AG4444" s="160" t="s">
        <v>4053</v>
      </c>
      <c r="AH4444" s="194" t="s">
        <v>679</v>
      </c>
      <c r="AI4444" s="6" t="s">
        <v>1348</v>
      </c>
      <c r="AJ4444" s="3" t="s">
        <v>8201</v>
      </c>
      <c r="AK4444" t="s">
        <v>8666</v>
      </c>
    </row>
    <row r="4445" spans="29:37" ht="13.5">
      <c r="AC4445" s="6" t="s">
        <v>1012</v>
      </c>
      <c r="AD4445" s="6" t="s">
        <v>7680</v>
      </c>
      <c r="AE4445" s="155" t="s">
        <v>1655</v>
      </c>
      <c r="AF4445" s="159" t="s">
        <v>8342</v>
      </c>
      <c r="AG4445" s="160" t="s">
        <v>4054</v>
      </c>
      <c r="AH4445" s="194" t="s">
        <v>679</v>
      </c>
      <c r="AI4445" s="6" t="s">
        <v>246</v>
      </c>
      <c r="AJ4445" s="3" t="s">
        <v>8195</v>
      </c>
      <c r="AK4445" t="s">
        <v>8195</v>
      </c>
    </row>
    <row r="4446" spans="29:37" ht="13.5">
      <c r="AC4446" s="6" t="s">
        <v>1029</v>
      </c>
      <c r="AD4446" s="6" t="s">
        <v>7699</v>
      </c>
      <c r="AE4446" s="155" t="s">
        <v>1099</v>
      </c>
      <c r="AF4446" s="159" t="s">
        <v>8300</v>
      </c>
      <c r="AG4446" s="160" t="s">
        <v>4055</v>
      </c>
      <c r="AH4446" s="194" t="s">
        <v>679</v>
      </c>
      <c r="AI4446" s="6" t="s">
        <v>247</v>
      </c>
      <c r="AJ4446" s="3" t="s">
        <v>8201</v>
      </c>
      <c r="AK4446" t="s">
        <v>8666</v>
      </c>
    </row>
    <row r="4447" spans="29:37" ht="13.5">
      <c r="AC4447" s="6" t="s">
        <v>1505</v>
      </c>
      <c r="AD4447" s="6" t="s">
        <v>7688</v>
      </c>
      <c r="AE4447" s="155" t="s">
        <v>1653</v>
      </c>
      <c r="AF4447" s="159" t="s">
        <v>8300</v>
      </c>
      <c r="AG4447" s="160" t="s">
        <v>4056</v>
      </c>
      <c r="AH4447" s="194" t="s">
        <v>679</v>
      </c>
      <c r="AI4447" s="6" t="s">
        <v>248</v>
      </c>
      <c r="AJ4447" s="3" t="s">
        <v>8209</v>
      </c>
      <c r="AK4447" t="s">
        <v>8209</v>
      </c>
    </row>
    <row r="4448" spans="29:37" ht="13.5">
      <c r="AC4448" s="6" t="s">
        <v>1489</v>
      </c>
      <c r="AD4448" s="6" t="s">
        <v>7697</v>
      </c>
      <c r="AE4448" s="155" t="s">
        <v>1652</v>
      </c>
      <c r="AF4448" s="159" t="s">
        <v>8300</v>
      </c>
      <c r="AG4448" s="160" t="s">
        <v>4057</v>
      </c>
      <c r="AH4448" s="194" t="s">
        <v>679</v>
      </c>
      <c r="AI4448" s="6" t="s">
        <v>250</v>
      </c>
      <c r="AJ4448" s="3" t="s">
        <v>8209</v>
      </c>
      <c r="AK4448" t="s">
        <v>8209</v>
      </c>
    </row>
    <row r="4449" spans="29:37" ht="13.5">
      <c r="AC4449" s="6" t="s">
        <v>1612</v>
      </c>
      <c r="AD4449" s="6" t="s">
        <v>7680</v>
      </c>
      <c r="AE4449" s="155" t="s">
        <v>1100</v>
      </c>
      <c r="AF4449" s="159" t="s">
        <v>8300</v>
      </c>
      <c r="AG4449" s="160" t="s">
        <v>4058</v>
      </c>
      <c r="AH4449" s="194" t="s">
        <v>679</v>
      </c>
      <c r="AI4449" s="6" t="s">
        <v>252</v>
      </c>
      <c r="AJ4449" s="3" t="s">
        <v>8209</v>
      </c>
      <c r="AK4449" t="s">
        <v>8209</v>
      </c>
    </row>
    <row r="4450" spans="29:37" ht="13.5">
      <c r="AC4450" s="6" t="s">
        <v>4456</v>
      </c>
      <c r="AD4450" s="6" t="s">
        <v>7620</v>
      </c>
      <c r="AE4450" s="155" t="s">
        <v>1660</v>
      </c>
      <c r="AF4450" s="159" t="s">
        <v>8300</v>
      </c>
      <c r="AG4450" s="160" t="s">
        <v>965</v>
      </c>
      <c r="AH4450" s="194" t="s">
        <v>679</v>
      </c>
      <c r="AI4450" s="6" t="s">
        <v>253</v>
      </c>
      <c r="AJ4450" s="3" t="s">
        <v>8201</v>
      </c>
      <c r="AK4450" t="s">
        <v>8666</v>
      </c>
    </row>
    <row r="4451" spans="29:37" ht="13.5">
      <c r="AC4451" s="6" t="s">
        <v>1125</v>
      </c>
      <c r="AD4451" s="6" t="s">
        <v>7700</v>
      </c>
      <c r="AE4451" s="155" t="s">
        <v>1186</v>
      </c>
      <c r="AF4451" s="159" t="s">
        <v>8300</v>
      </c>
      <c r="AG4451" s="160" t="s">
        <v>4474</v>
      </c>
      <c r="AH4451" s="194" t="s">
        <v>679</v>
      </c>
      <c r="AI4451" s="6" t="s">
        <v>255</v>
      </c>
      <c r="AJ4451" s="3" t="s">
        <v>8196</v>
      </c>
      <c r="AK4451" t="s">
        <v>8196</v>
      </c>
    </row>
    <row r="4452" spans="29:37" ht="13.5">
      <c r="AC4452" s="6" t="s">
        <v>5518</v>
      </c>
      <c r="AD4452" s="6" t="s">
        <v>7701</v>
      </c>
      <c r="AE4452" s="155" t="s">
        <v>1101</v>
      </c>
      <c r="AF4452" s="159" t="s">
        <v>8339</v>
      </c>
      <c r="AG4452" s="160" t="s">
        <v>1526</v>
      </c>
      <c r="AH4452" s="194" t="s">
        <v>679</v>
      </c>
      <c r="AI4452" s="6" t="s">
        <v>1352</v>
      </c>
      <c r="AJ4452" s="3" t="s">
        <v>8195</v>
      </c>
      <c r="AK4452" t="s">
        <v>8195</v>
      </c>
    </row>
    <row r="4453" spans="29:37" ht="13.5">
      <c r="AC4453" s="6" t="s">
        <v>5489</v>
      </c>
      <c r="AD4453" s="6" t="s">
        <v>7702</v>
      </c>
      <c r="AE4453" s="155" t="s">
        <v>1102</v>
      </c>
      <c r="AF4453" s="159" t="s">
        <v>8300</v>
      </c>
      <c r="AG4453" s="160" t="s">
        <v>4437</v>
      </c>
      <c r="AH4453" s="194" t="s">
        <v>679</v>
      </c>
      <c r="AI4453" s="6" t="s">
        <v>258</v>
      </c>
      <c r="AJ4453" s="3" t="s">
        <v>8209</v>
      </c>
      <c r="AK4453" t="s">
        <v>8209</v>
      </c>
    </row>
    <row r="4454" spans="29:37" ht="13.5">
      <c r="AC4454" s="6" t="s">
        <v>4443</v>
      </c>
      <c r="AD4454" s="6" t="s">
        <v>7620</v>
      </c>
      <c r="AE4454" s="155" t="s">
        <v>1279</v>
      </c>
      <c r="AF4454" s="159" t="s">
        <v>8339</v>
      </c>
      <c r="AG4454" s="160" t="s">
        <v>4438</v>
      </c>
      <c r="AH4454" s="194" t="s">
        <v>1314</v>
      </c>
      <c r="AI4454" s="6" t="s">
        <v>262</v>
      </c>
      <c r="AJ4454" s="3" t="s">
        <v>8195</v>
      </c>
      <c r="AK4454" t="s">
        <v>8195</v>
      </c>
    </row>
    <row r="4455" spans="29:37" ht="13.5">
      <c r="AC4455" s="6" t="s">
        <v>1151</v>
      </c>
      <c r="AD4455" s="6" t="s">
        <v>7695</v>
      </c>
      <c r="AE4455" s="155" t="s">
        <v>1667</v>
      </c>
      <c r="AF4455" s="159" t="s">
        <v>8300</v>
      </c>
      <c r="AG4455" s="160" t="s">
        <v>5132</v>
      </c>
      <c r="AH4455" s="194" t="s">
        <v>1314</v>
      </c>
      <c r="AI4455" s="6" t="s">
        <v>264</v>
      </c>
      <c r="AJ4455" s="3" t="s">
        <v>8209</v>
      </c>
      <c r="AK4455" t="s">
        <v>8209</v>
      </c>
    </row>
    <row r="4456" spans="29:37" ht="13.5">
      <c r="AC4456" s="6" t="s">
        <v>1136</v>
      </c>
      <c r="AD4456" s="6" t="s">
        <v>7685</v>
      </c>
      <c r="AE4456" s="155" t="s">
        <v>1662</v>
      </c>
      <c r="AF4456" s="159" t="s">
        <v>8300</v>
      </c>
      <c r="AG4456" s="160" t="s">
        <v>2595</v>
      </c>
      <c r="AH4456" s="194" t="s">
        <v>4700</v>
      </c>
      <c r="AI4456" s="6" t="s">
        <v>267</v>
      </c>
      <c r="AJ4456" s="3" t="s">
        <v>8209</v>
      </c>
      <c r="AK4456" t="s">
        <v>8209</v>
      </c>
    </row>
    <row r="4457" spans="29:37" ht="13.5">
      <c r="AC4457" s="6" t="s">
        <v>1658</v>
      </c>
      <c r="AD4457" s="6" t="s">
        <v>7688</v>
      </c>
      <c r="AE4457" s="155" t="s">
        <v>1668</v>
      </c>
      <c r="AF4457" s="159" t="s">
        <v>8300</v>
      </c>
      <c r="AG4457" s="160" t="s">
        <v>2596</v>
      </c>
      <c r="AH4457" s="194" t="s">
        <v>679</v>
      </c>
      <c r="AI4457" s="6" t="s">
        <v>269</v>
      </c>
      <c r="AJ4457" s="3" t="s">
        <v>8195</v>
      </c>
      <c r="AK4457" t="s">
        <v>8195</v>
      </c>
    </row>
    <row r="4458" spans="29:37" ht="13.5">
      <c r="AC4458" s="6" t="s">
        <v>5442</v>
      </c>
      <c r="AD4458" s="6" t="s">
        <v>7703</v>
      </c>
      <c r="AE4458" s="155" t="s">
        <v>1665</v>
      </c>
      <c r="AF4458" s="159" t="s">
        <v>8339</v>
      </c>
      <c r="AG4458" s="160" t="s">
        <v>2597</v>
      </c>
      <c r="AH4458" s="194" t="s">
        <v>1314</v>
      </c>
      <c r="AI4458" s="6" t="s">
        <v>1356</v>
      </c>
      <c r="AJ4458" s="3" t="s">
        <v>8195</v>
      </c>
      <c r="AK4458" t="s">
        <v>8195</v>
      </c>
    </row>
    <row r="4459" spans="29:37" ht="13.5">
      <c r="AC4459" s="6" t="s">
        <v>4447</v>
      </c>
      <c r="AD4459" s="6" t="s">
        <v>7680</v>
      </c>
      <c r="AE4459" s="155" t="s">
        <v>1103</v>
      </c>
      <c r="AF4459" s="159" t="s">
        <v>8342</v>
      </c>
      <c r="AG4459" s="160" t="s">
        <v>2598</v>
      </c>
      <c r="AH4459" s="194" t="s">
        <v>1314</v>
      </c>
      <c r="AI4459" s="6" t="s">
        <v>271</v>
      </c>
      <c r="AJ4459" s="3" t="s">
        <v>8195</v>
      </c>
      <c r="AK4459" t="s">
        <v>8195</v>
      </c>
    </row>
    <row r="4460" spans="29:37" ht="13.5">
      <c r="AC4460" s="6" t="s">
        <v>124</v>
      </c>
      <c r="AD4460" s="6" t="s">
        <v>7685</v>
      </c>
      <c r="AE4460" s="155" t="s">
        <v>1104</v>
      </c>
      <c r="AF4460" s="159" t="s">
        <v>8300</v>
      </c>
      <c r="AG4460" s="160" t="s">
        <v>2599</v>
      </c>
      <c r="AH4460" s="194" t="s">
        <v>1314</v>
      </c>
      <c r="AI4460" s="6" t="s">
        <v>272</v>
      </c>
      <c r="AJ4460" s="3" t="s">
        <v>8209</v>
      </c>
      <c r="AK4460" t="s">
        <v>8209</v>
      </c>
    </row>
    <row r="4461" spans="29:37" ht="13.5">
      <c r="AC4461" s="6" t="s">
        <v>1492</v>
      </c>
      <c r="AD4461" s="6" t="s">
        <v>7704</v>
      </c>
      <c r="AE4461" s="155" t="s">
        <v>1197</v>
      </c>
      <c r="AF4461" s="159" t="s">
        <v>8300</v>
      </c>
      <c r="AG4461" s="160" t="s">
        <v>2705</v>
      </c>
      <c r="AH4461" s="194" t="s">
        <v>1314</v>
      </c>
      <c r="AI4461" s="6" t="s">
        <v>273</v>
      </c>
      <c r="AJ4461" s="3" t="s">
        <v>8209</v>
      </c>
      <c r="AK4461" t="s">
        <v>8209</v>
      </c>
    </row>
    <row r="4462" spans="29:37" ht="13.5">
      <c r="AC4462" s="6" t="s">
        <v>5367</v>
      </c>
      <c r="AD4462" s="6" t="s">
        <v>7705</v>
      </c>
      <c r="AE4462" s="155" t="s">
        <v>1201</v>
      </c>
      <c r="AF4462" s="159" t="s">
        <v>8300</v>
      </c>
      <c r="AG4462" s="160" t="s">
        <v>2799</v>
      </c>
      <c r="AH4462" s="194" t="s">
        <v>1314</v>
      </c>
      <c r="AI4462" s="6" t="s">
        <v>274</v>
      </c>
      <c r="AJ4462" s="3" t="s">
        <v>8209</v>
      </c>
      <c r="AK4462" t="s">
        <v>8209</v>
      </c>
    </row>
    <row r="4463" spans="29:37" ht="13.5">
      <c r="AC4463" s="6" t="s">
        <v>600</v>
      </c>
      <c r="AD4463" s="6" t="s">
        <v>7706</v>
      </c>
      <c r="AE4463" s="155" t="s">
        <v>1190</v>
      </c>
      <c r="AF4463" s="159" t="s">
        <v>8339</v>
      </c>
      <c r="AG4463" s="160" t="s">
        <v>2325</v>
      </c>
      <c r="AH4463" s="194" t="s">
        <v>1314</v>
      </c>
      <c r="AI4463" s="6" t="s">
        <v>275</v>
      </c>
      <c r="AJ4463" s="3" t="s">
        <v>8209</v>
      </c>
      <c r="AK4463" t="s">
        <v>8209</v>
      </c>
    </row>
    <row r="4464" spans="29:37" ht="13.5">
      <c r="AC4464" s="6">
        <v>25263</v>
      </c>
      <c r="AD4464" s="6" t="s">
        <v>7707</v>
      </c>
      <c r="AE4464" s="155" t="s">
        <v>4433</v>
      </c>
      <c r="AF4464" s="159" t="s">
        <v>8300</v>
      </c>
      <c r="AG4464" s="160" t="s">
        <v>1270</v>
      </c>
      <c r="AH4464" s="194" t="s">
        <v>679</v>
      </c>
      <c r="AI4464" s="6" t="s">
        <v>278</v>
      </c>
      <c r="AJ4464" s="3" t="s">
        <v>8195</v>
      </c>
      <c r="AK4464" t="s">
        <v>8195</v>
      </c>
    </row>
    <row r="4465" spans="29:37" ht="13.5">
      <c r="AC4465" s="6" t="s">
        <v>5187</v>
      </c>
      <c r="AD4465" s="6" t="s">
        <v>7708</v>
      </c>
      <c r="AE4465" s="155" t="s">
        <v>1528</v>
      </c>
      <c r="AF4465" s="159" t="s">
        <v>8300</v>
      </c>
      <c r="AG4465" s="160" t="s">
        <v>2500</v>
      </c>
      <c r="AH4465" s="194" t="s">
        <v>679</v>
      </c>
      <c r="AI4465" s="6" t="s">
        <v>281</v>
      </c>
      <c r="AJ4465" s="3" t="s">
        <v>8196</v>
      </c>
      <c r="AK4465" t="s">
        <v>8196</v>
      </c>
    </row>
    <row r="4466" spans="29:37" ht="13.5">
      <c r="AC4466" s="6" t="s">
        <v>5379</v>
      </c>
      <c r="AD4466" s="6" t="s">
        <v>7680</v>
      </c>
      <c r="AE4466" s="155" t="s">
        <v>1654</v>
      </c>
      <c r="AF4466" s="159" t="s">
        <v>8300</v>
      </c>
      <c r="AG4466" s="160" t="s">
        <v>2537</v>
      </c>
      <c r="AH4466" s="194" t="s">
        <v>1314</v>
      </c>
      <c r="AI4466" s="6" t="s">
        <v>282</v>
      </c>
      <c r="AJ4466" s="3" t="s">
        <v>8209</v>
      </c>
      <c r="AK4466" t="s">
        <v>8209</v>
      </c>
    </row>
    <row r="4467" spans="29:37" ht="13.5">
      <c r="AC4467" s="6" t="s">
        <v>5208</v>
      </c>
      <c r="AD4467" s="6" t="s">
        <v>7694</v>
      </c>
      <c r="AE4467" s="155" t="s">
        <v>1105</v>
      </c>
      <c r="AF4467" s="159" t="s">
        <v>8300</v>
      </c>
      <c r="AG4467" s="160" t="s">
        <v>2581</v>
      </c>
      <c r="AH4467" s="194" t="s">
        <v>679</v>
      </c>
      <c r="AI4467" s="6" t="s">
        <v>284</v>
      </c>
      <c r="AJ4467" s="3" t="s">
        <v>8195</v>
      </c>
      <c r="AK4467" t="s">
        <v>8195</v>
      </c>
    </row>
    <row r="4468" spans="29:37" ht="13.5">
      <c r="AC4468" s="6" t="s">
        <v>1634</v>
      </c>
      <c r="AD4468" s="6" t="s">
        <v>7709</v>
      </c>
      <c r="AE4468" s="155" t="s">
        <v>1670</v>
      </c>
      <c r="AF4468" s="159" t="s">
        <v>8300</v>
      </c>
      <c r="AG4468" s="160" t="s">
        <v>2688</v>
      </c>
      <c r="AH4468" s="194" t="s">
        <v>679</v>
      </c>
      <c r="AI4468" s="6" t="s">
        <v>285</v>
      </c>
      <c r="AJ4468" s="3" t="s">
        <v>8200</v>
      </c>
      <c r="AK4468" t="s">
        <v>8200</v>
      </c>
    </row>
    <row r="4469" spans="29:37" ht="13.5">
      <c r="AC4469" s="6" t="s">
        <v>958</v>
      </c>
      <c r="AD4469" s="6" t="s">
        <v>7706</v>
      </c>
      <c r="AE4469" s="155" t="s">
        <v>3978</v>
      </c>
      <c r="AF4469" s="159" t="s">
        <v>8300</v>
      </c>
      <c r="AG4469" s="160" t="s">
        <v>2689</v>
      </c>
      <c r="AH4469" s="194" t="s">
        <v>1314</v>
      </c>
      <c r="AI4469" s="6" t="s">
        <v>290</v>
      </c>
      <c r="AJ4469" s="3" t="s">
        <v>8208</v>
      </c>
      <c r="AK4469" t="s">
        <v>8667</v>
      </c>
    </row>
    <row r="4470" spans="29:37" ht="13.5">
      <c r="AC4470" s="6" t="s">
        <v>602</v>
      </c>
      <c r="AD4470" s="6" t="s">
        <v>7710</v>
      </c>
      <c r="AE4470" s="155" t="s">
        <v>971</v>
      </c>
      <c r="AF4470" s="159" t="s">
        <v>8300</v>
      </c>
      <c r="AG4470" s="160" t="s">
        <v>2746</v>
      </c>
      <c r="AH4470" s="194" t="s">
        <v>679</v>
      </c>
      <c r="AI4470" s="6" t="s">
        <v>291</v>
      </c>
      <c r="AJ4470" s="3" t="s">
        <v>8208</v>
      </c>
      <c r="AK4470" t="s">
        <v>8667</v>
      </c>
    </row>
    <row r="4471" spans="29:37" ht="13.5">
      <c r="AC4471" s="6" t="s">
        <v>1106</v>
      </c>
      <c r="AD4471" s="6" t="s">
        <v>7706</v>
      </c>
      <c r="AE4471" s="155" t="s">
        <v>4452</v>
      </c>
      <c r="AF4471" s="159" t="s">
        <v>8300</v>
      </c>
      <c r="AG4471" s="160" t="s">
        <v>1306</v>
      </c>
      <c r="AH4471" s="194" t="s">
        <v>1314</v>
      </c>
      <c r="AI4471" s="6" t="s">
        <v>292</v>
      </c>
      <c r="AJ4471" s="3" t="s">
        <v>8208</v>
      </c>
      <c r="AK4471" t="s">
        <v>8667</v>
      </c>
    </row>
    <row r="4472" spans="29:37" ht="13.5">
      <c r="AC4472" s="6" t="s">
        <v>1137</v>
      </c>
      <c r="AD4472" s="6" t="s">
        <v>7685</v>
      </c>
      <c r="AE4472" s="155" t="s">
        <v>4710</v>
      </c>
      <c r="AF4472" s="159" t="s">
        <v>8300</v>
      </c>
      <c r="AG4472" s="160" t="s">
        <v>1308</v>
      </c>
      <c r="AH4472" s="194" t="s">
        <v>1314</v>
      </c>
      <c r="AI4472" s="6" t="s">
        <v>294</v>
      </c>
      <c r="AJ4472" s="3" t="s">
        <v>8208</v>
      </c>
      <c r="AK4472" t="s">
        <v>8667</v>
      </c>
    </row>
    <row r="4473" spans="29:37" ht="13.5">
      <c r="AC4473" s="6" t="s">
        <v>603</v>
      </c>
      <c r="AD4473" s="6" t="s">
        <v>7706</v>
      </c>
      <c r="AE4473" s="155" t="s">
        <v>4737</v>
      </c>
      <c r="AF4473" s="159" t="s">
        <v>8339</v>
      </c>
      <c r="AG4473" s="160" t="s">
        <v>2797</v>
      </c>
      <c r="AH4473" s="194" t="s">
        <v>1314</v>
      </c>
      <c r="AI4473" s="6" t="s">
        <v>296</v>
      </c>
      <c r="AJ4473" s="3" t="s">
        <v>8207</v>
      </c>
      <c r="AK4473" t="s">
        <v>8207</v>
      </c>
    </row>
    <row r="4474" spans="29:37" ht="13.5">
      <c r="AC4474" s="6" t="s">
        <v>1107</v>
      </c>
      <c r="AD4474" s="6" t="s">
        <v>7706</v>
      </c>
      <c r="AE4474" s="155" t="s">
        <v>4728</v>
      </c>
      <c r="AF4474" s="159" t="s">
        <v>8300</v>
      </c>
      <c r="AG4474" s="160" t="s">
        <v>1963</v>
      </c>
      <c r="AH4474" s="194" t="s">
        <v>679</v>
      </c>
      <c r="AI4474" s="6" t="s">
        <v>298</v>
      </c>
      <c r="AJ4474" s="3" t="s">
        <v>8228</v>
      </c>
      <c r="AK4474" t="s">
        <v>8228</v>
      </c>
    </row>
    <row r="4475" spans="29:37" ht="13.5">
      <c r="AC4475" s="6" t="s">
        <v>1818</v>
      </c>
      <c r="AD4475" s="6" t="s">
        <v>7711</v>
      </c>
      <c r="AE4475" s="155" t="s">
        <v>4743</v>
      </c>
      <c r="AF4475" s="159" t="s">
        <v>8346</v>
      </c>
      <c r="AG4475" s="160" t="s">
        <v>2069</v>
      </c>
      <c r="AH4475" s="194" t="s">
        <v>679</v>
      </c>
      <c r="AI4475" s="6" t="s">
        <v>299</v>
      </c>
      <c r="AJ4475" s="3" t="s">
        <v>8228</v>
      </c>
      <c r="AK4475" t="s">
        <v>8228</v>
      </c>
    </row>
    <row r="4476" spans="29:37" ht="13.5">
      <c r="AC4476" s="6" t="s">
        <v>1488</v>
      </c>
      <c r="AD4476" s="6" t="s">
        <v>7712</v>
      </c>
      <c r="AE4476" s="155" t="s">
        <v>4732</v>
      </c>
      <c r="AF4476" s="159" t="s">
        <v>8346</v>
      </c>
      <c r="AG4476" s="160" t="s">
        <v>2586</v>
      </c>
      <c r="AH4476" s="194" t="s">
        <v>1314</v>
      </c>
      <c r="AI4476" s="6" t="s">
        <v>300</v>
      </c>
      <c r="AJ4476" s="3" t="s">
        <v>8228</v>
      </c>
      <c r="AK4476" t="s">
        <v>8228</v>
      </c>
    </row>
    <row r="4477" spans="29:37" ht="13.5">
      <c r="AC4477" s="6" t="s">
        <v>599</v>
      </c>
      <c r="AD4477" s="6" t="s">
        <v>7706</v>
      </c>
      <c r="AE4477" s="155" t="s">
        <v>4751</v>
      </c>
      <c r="AF4477" s="159" t="s">
        <v>8300</v>
      </c>
      <c r="AG4477" s="160" t="s">
        <v>1740</v>
      </c>
      <c r="AH4477" s="194" t="s">
        <v>679</v>
      </c>
      <c r="AI4477" s="6" t="s">
        <v>303</v>
      </c>
      <c r="AJ4477" s="3" t="s">
        <v>8200</v>
      </c>
      <c r="AK4477" t="s">
        <v>8200</v>
      </c>
    </row>
    <row r="4478" spans="29:37" ht="13.5">
      <c r="AC4478" s="6">
        <v>23462</v>
      </c>
      <c r="AD4478" s="6" t="s">
        <v>7708</v>
      </c>
      <c r="AE4478" s="155" t="s">
        <v>4749</v>
      </c>
      <c r="AF4478" s="159" t="s">
        <v>8342</v>
      </c>
      <c r="AG4478" s="160" t="s">
        <v>1741</v>
      </c>
      <c r="AH4478" s="194" t="s">
        <v>679</v>
      </c>
      <c r="AI4478" s="6" t="s">
        <v>306</v>
      </c>
      <c r="AJ4478" s="3" t="s">
        <v>8228</v>
      </c>
      <c r="AK4478" t="s">
        <v>8228</v>
      </c>
    </row>
    <row r="4479" spans="29:37" ht="13.5">
      <c r="AC4479" s="6" t="s">
        <v>1816</v>
      </c>
      <c r="AD4479" s="6" t="s">
        <v>7711</v>
      </c>
      <c r="AE4479" s="155" t="s">
        <v>4720</v>
      </c>
      <c r="AF4479" s="159" t="s">
        <v>8339</v>
      </c>
      <c r="AG4479" s="160" t="s">
        <v>1742</v>
      </c>
      <c r="AH4479" s="194" t="s">
        <v>679</v>
      </c>
      <c r="AI4479" s="6" t="s">
        <v>309</v>
      </c>
      <c r="AJ4479" s="3" t="s">
        <v>8228</v>
      </c>
      <c r="AK4479" t="s">
        <v>8228</v>
      </c>
    </row>
    <row r="4480" spans="29:37" ht="13.5">
      <c r="AC4480" s="6" t="s">
        <v>601</v>
      </c>
      <c r="AD4480" s="6" t="s">
        <v>7706</v>
      </c>
      <c r="AE4480" s="155" t="s">
        <v>4718</v>
      </c>
      <c r="AF4480" s="159" t="s">
        <v>8300</v>
      </c>
      <c r="AG4480" s="160" t="s">
        <v>1743</v>
      </c>
      <c r="AH4480" s="194" t="s">
        <v>679</v>
      </c>
      <c r="AI4480" s="6" t="s">
        <v>1364</v>
      </c>
      <c r="AJ4480" s="3" t="s">
        <v>8207</v>
      </c>
      <c r="AK4480" t="s">
        <v>8207</v>
      </c>
    </row>
    <row r="4481" spans="29:37" ht="13.5">
      <c r="AC4481" s="6" t="s">
        <v>5380</v>
      </c>
      <c r="AD4481" s="6" t="s">
        <v>7680</v>
      </c>
      <c r="AE4481" s="155" t="s">
        <v>4711</v>
      </c>
      <c r="AF4481" s="159" t="s">
        <v>8339</v>
      </c>
      <c r="AG4481" s="160" t="s">
        <v>1802</v>
      </c>
      <c r="AH4481" s="194" t="s">
        <v>679</v>
      </c>
      <c r="AI4481" s="6" t="s">
        <v>311</v>
      </c>
      <c r="AJ4481" s="3" t="s">
        <v>8196</v>
      </c>
      <c r="AK4481" t="s">
        <v>8196</v>
      </c>
    </row>
    <row r="4482" spans="29:37" ht="13.5">
      <c r="AC4482" s="6" t="s">
        <v>5047</v>
      </c>
      <c r="AD4482" s="6" t="s">
        <v>7713</v>
      </c>
      <c r="AE4482" s="155" t="s">
        <v>4716</v>
      </c>
      <c r="AF4482" s="159" t="s">
        <v>8300</v>
      </c>
      <c r="AG4482" s="160" t="s">
        <v>1244</v>
      </c>
      <c r="AH4482" s="194" t="s">
        <v>678</v>
      </c>
      <c r="AI4482" s="6" t="s">
        <v>315</v>
      </c>
      <c r="AJ4482" s="3" t="s">
        <v>8196</v>
      </c>
      <c r="AK4482" t="s">
        <v>8196</v>
      </c>
    </row>
    <row r="4483" spans="29:37" ht="13.5">
      <c r="AC4483" s="6" t="s">
        <v>1817</v>
      </c>
      <c r="AD4483" s="6" t="s">
        <v>7711</v>
      </c>
      <c r="AE4483" s="155" t="s">
        <v>4709</v>
      </c>
      <c r="AF4483" s="159" t="s">
        <v>8339</v>
      </c>
      <c r="AG4483" s="160" t="s">
        <v>1815</v>
      </c>
      <c r="AH4483" s="194" t="s">
        <v>679</v>
      </c>
      <c r="AI4483" s="6" t="s">
        <v>316</v>
      </c>
      <c r="AJ4483" s="3" t="s">
        <v>8196</v>
      </c>
      <c r="AK4483" t="s">
        <v>8196</v>
      </c>
    </row>
    <row r="4484" spans="29:37" ht="13.5">
      <c r="AC4484" s="6" t="s">
        <v>1487</v>
      </c>
      <c r="AD4484" s="6" t="s">
        <v>7714</v>
      </c>
      <c r="AE4484" s="155" t="s">
        <v>5293</v>
      </c>
      <c r="AF4484" s="159" t="s">
        <v>8339</v>
      </c>
      <c r="AG4484" s="160" t="s">
        <v>1833</v>
      </c>
      <c r="AH4484" s="194" t="s">
        <v>679</v>
      </c>
      <c r="AI4484" s="6" t="s">
        <v>317</v>
      </c>
      <c r="AJ4484" s="3" t="s">
        <v>8209</v>
      </c>
      <c r="AK4484" t="s">
        <v>8209</v>
      </c>
    </row>
    <row r="4485" spans="29:37" ht="13.5">
      <c r="AC4485" s="6">
        <v>595396</v>
      </c>
      <c r="AD4485" s="6" t="s">
        <v>7715</v>
      </c>
      <c r="AE4485" s="155" t="s">
        <v>4753</v>
      </c>
      <c r="AF4485" s="159" t="s">
        <v>8339</v>
      </c>
      <c r="AG4485" s="160" t="s">
        <v>1834</v>
      </c>
      <c r="AH4485" s="194" t="s">
        <v>679</v>
      </c>
      <c r="AI4485" s="6" t="s">
        <v>321</v>
      </c>
      <c r="AJ4485" s="3" t="s">
        <v>8209</v>
      </c>
      <c r="AK4485" t="s">
        <v>8209</v>
      </c>
    </row>
    <row r="4486" spans="29:37" ht="13.5">
      <c r="AC4486" s="6" t="s">
        <v>2129</v>
      </c>
      <c r="AD4486" s="6" t="s">
        <v>7716</v>
      </c>
      <c r="AE4486" s="155" t="s">
        <v>5286</v>
      </c>
      <c r="AF4486" s="159" t="s">
        <v>8339</v>
      </c>
      <c r="AG4486" s="160" t="s">
        <v>1846</v>
      </c>
      <c r="AH4486" s="194" t="s">
        <v>678</v>
      </c>
      <c r="AI4486" s="6" t="s">
        <v>324</v>
      </c>
      <c r="AJ4486" s="3" t="s">
        <v>8209</v>
      </c>
      <c r="AK4486" t="s">
        <v>8209</v>
      </c>
    </row>
    <row r="4487" spans="29:37" ht="13.5">
      <c r="AC4487" s="6" t="s">
        <v>2005</v>
      </c>
      <c r="AD4487" s="6" t="s">
        <v>7708</v>
      </c>
      <c r="AE4487" s="155" t="s">
        <v>4719</v>
      </c>
      <c r="AF4487" s="159" t="s">
        <v>8339</v>
      </c>
      <c r="AG4487" s="160" t="s">
        <v>2012</v>
      </c>
      <c r="AH4487" s="194" t="s">
        <v>679</v>
      </c>
      <c r="AI4487" s="6" t="s">
        <v>325</v>
      </c>
      <c r="AJ4487" s="3" t="s">
        <v>8195</v>
      </c>
      <c r="AK4487" t="s">
        <v>8195</v>
      </c>
    </row>
    <row r="4488" spans="29:37" ht="13.5">
      <c r="AC4488" s="6" t="s">
        <v>5501</v>
      </c>
      <c r="AD4488" s="6" t="s">
        <v>7680</v>
      </c>
      <c r="AE4488" s="155" t="s">
        <v>4735</v>
      </c>
      <c r="AF4488" s="159" t="s">
        <v>8339</v>
      </c>
      <c r="AG4488" s="160" t="s">
        <v>2013</v>
      </c>
      <c r="AH4488" s="194" t="s">
        <v>679</v>
      </c>
      <c r="AI4488" s="6" t="s">
        <v>328</v>
      </c>
      <c r="AJ4488" s="3" t="s">
        <v>8208</v>
      </c>
      <c r="AK4488" t="s">
        <v>8667</v>
      </c>
    </row>
    <row r="4489" spans="29:37" ht="13.5">
      <c r="AC4489" s="6">
        <v>745461</v>
      </c>
      <c r="AD4489" s="6" t="s">
        <v>7717</v>
      </c>
      <c r="AE4489" s="155" t="s">
        <v>4734</v>
      </c>
      <c r="AF4489" s="159" t="s">
        <v>8300</v>
      </c>
      <c r="AG4489" s="160" t="s">
        <v>2014</v>
      </c>
      <c r="AH4489" s="194" t="s">
        <v>679</v>
      </c>
      <c r="AI4489" s="6" t="s">
        <v>330</v>
      </c>
      <c r="AJ4489" s="3" t="s">
        <v>8195</v>
      </c>
      <c r="AK4489" t="s">
        <v>8195</v>
      </c>
    </row>
    <row r="4490" spans="29:37" ht="13.5">
      <c r="AC4490" s="6" t="s">
        <v>4457</v>
      </c>
      <c r="AD4490" s="6" t="s">
        <v>7718</v>
      </c>
      <c r="AE4490" s="155" t="s">
        <v>4706</v>
      </c>
      <c r="AF4490" s="159" t="s">
        <v>8339</v>
      </c>
      <c r="AG4490" s="160" t="s">
        <v>2015</v>
      </c>
      <c r="AH4490" s="194" t="s">
        <v>679</v>
      </c>
      <c r="AI4490" s="6" t="s">
        <v>331</v>
      </c>
      <c r="AJ4490" s="3" t="s">
        <v>8208</v>
      </c>
      <c r="AK4490" t="s">
        <v>8667</v>
      </c>
    </row>
    <row r="4491" spans="29:37" ht="13.5">
      <c r="AC4491" s="6">
        <v>25264</v>
      </c>
      <c r="AD4491" s="6" t="s">
        <v>7707</v>
      </c>
      <c r="AE4491" s="155" t="s">
        <v>4727</v>
      </c>
      <c r="AF4491" s="159" t="s">
        <v>8339</v>
      </c>
      <c r="AG4491" s="160" t="s">
        <v>2016</v>
      </c>
      <c r="AH4491" s="194" t="s">
        <v>679</v>
      </c>
      <c r="AI4491" s="6" t="s">
        <v>334</v>
      </c>
      <c r="AJ4491" s="3" t="s">
        <v>8196</v>
      </c>
      <c r="AK4491" t="s">
        <v>8196</v>
      </c>
    </row>
    <row r="4492" spans="29:37" ht="13.5">
      <c r="AC4492" s="6" t="s">
        <v>2119</v>
      </c>
      <c r="AD4492" s="6" t="s">
        <v>7719</v>
      </c>
      <c r="AE4492" s="155" t="s">
        <v>4742</v>
      </c>
      <c r="AF4492" s="159" t="s">
        <v>8300</v>
      </c>
      <c r="AG4492" s="160" t="s">
        <v>2017</v>
      </c>
      <c r="AH4492" s="194" t="s">
        <v>679</v>
      </c>
      <c r="AI4492" s="6" t="s">
        <v>336</v>
      </c>
      <c r="AJ4492" s="3" t="s">
        <v>8228</v>
      </c>
      <c r="AK4492" t="s">
        <v>8228</v>
      </c>
    </row>
    <row r="4493" spans="29:37" ht="13.5">
      <c r="AC4493" s="6" t="s">
        <v>5409</v>
      </c>
      <c r="AD4493" s="6" t="s">
        <v>7720</v>
      </c>
      <c r="AE4493" s="155" t="s">
        <v>4704</v>
      </c>
      <c r="AF4493" s="159" t="s">
        <v>8555</v>
      </c>
      <c r="AG4493" s="160" t="s">
        <v>2018</v>
      </c>
      <c r="AH4493" s="194" t="s">
        <v>679</v>
      </c>
      <c r="AI4493" s="6" t="s">
        <v>340</v>
      </c>
      <c r="AJ4493" s="3" t="s">
        <v>8208</v>
      </c>
      <c r="AK4493" t="s">
        <v>8667</v>
      </c>
    </row>
    <row r="4494" spans="29:37" ht="13.5">
      <c r="AC4494" s="6" t="s">
        <v>1997</v>
      </c>
      <c r="AD4494" s="6" t="s">
        <v>7720</v>
      </c>
      <c r="AE4494" s="155" t="s">
        <v>4839</v>
      </c>
      <c r="AF4494" s="159" t="s">
        <v>8300</v>
      </c>
      <c r="AG4494" s="160" t="s">
        <v>2019</v>
      </c>
      <c r="AH4494" s="194" t="s">
        <v>679</v>
      </c>
      <c r="AI4494" s="6" t="s">
        <v>341</v>
      </c>
      <c r="AJ4494" s="3" t="s">
        <v>8201</v>
      </c>
      <c r="AK4494" t="s">
        <v>8666</v>
      </c>
    </row>
    <row r="4495" spans="29:37" ht="13.5">
      <c r="AC4495" s="6" t="s">
        <v>2109</v>
      </c>
      <c r="AD4495" s="6" t="s">
        <v>7695</v>
      </c>
      <c r="AE4495" s="155" t="s">
        <v>4831</v>
      </c>
      <c r="AF4495" s="159" t="s">
        <v>8339</v>
      </c>
      <c r="AG4495" s="160" t="s">
        <v>2020</v>
      </c>
      <c r="AH4495" s="194" t="s">
        <v>679</v>
      </c>
      <c r="AI4495" s="6" t="s">
        <v>342</v>
      </c>
      <c r="AJ4495" s="3" t="s">
        <v>8201</v>
      </c>
      <c r="AK4495" t="s">
        <v>8666</v>
      </c>
    </row>
    <row r="4496" spans="29:37" ht="13.5">
      <c r="AC4496" s="6" t="s">
        <v>1807</v>
      </c>
      <c r="AD4496" s="6" t="s">
        <v>7721</v>
      </c>
      <c r="AE4496" s="155" t="s">
        <v>4832</v>
      </c>
      <c r="AF4496" s="159" t="s">
        <v>8300</v>
      </c>
      <c r="AG4496" s="160" t="s">
        <v>2030</v>
      </c>
      <c r="AH4496" s="194" t="s">
        <v>679</v>
      </c>
      <c r="AI4496" s="6" t="s">
        <v>344</v>
      </c>
      <c r="AJ4496" s="3" t="s">
        <v>8201</v>
      </c>
      <c r="AK4496" t="s">
        <v>8666</v>
      </c>
    </row>
    <row r="4497" spans="29:37" ht="13.5">
      <c r="AC4497" s="6" t="s">
        <v>3695</v>
      </c>
      <c r="AD4497" s="6" t="s">
        <v>7715</v>
      </c>
      <c r="AE4497" s="155" t="s">
        <v>5276</v>
      </c>
      <c r="AF4497" s="159" t="s">
        <v>8300</v>
      </c>
      <c r="AG4497" s="160" t="s">
        <v>4500</v>
      </c>
      <c r="AH4497" s="194" t="s">
        <v>679</v>
      </c>
      <c r="AI4497" s="6" t="s">
        <v>349</v>
      </c>
      <c r="AJ4497" s="3" t="s">
        <v>8209</v>
      </c>
      <c r="AK4497" t="s">
        <v>8209</v>
      </c>
    </row>
    <row r="4498" spans="29:37" ht="13.5">
      <c r="AC4498" s="6" t="s">
        <v>2004</v>
      </c>
      <c r="AD4498" s="6" t="s">
        <v>7708</v>
      </c>
      <c r="AE4498" s="155" t="s">
        <v>5280</v>
      </c>
      <c r="AF4498" s="159" t="s">
        <v>8300</v>
      </c>
      <c r="AG4498" s="160" t="s">
        <v>4501</v>
      </c>
      <c r="AH4498" s="194" t="s">
        <v>679</v>
      </c>
      <c r="AI4498" s="6" t="s">
        <v>350</v>
      </c>
      <c r="AJ4498" s="3" t="s">
        <v>8209</v>
      </c>
      <c r="AK4498" t="s">
        <v>8209</v>
      </c>
    </row>
    <row r="4499" spans="29:37" ht="13.5">
      <c r="AC4499" s="6" t="s">
        <v>2154</v>
      </c>
      <c r="AD4499" s="6" t="s">
        <v>7722</v>
      </c>
      <c r="AE4499" s="155" t="s">
        <v>994</v>
      </c>
      <c r="AF4499" s="159" t="s">
        <v>8300</v>
      </c>
      <c r="AG4499" s="160" t="s">
        <v>2205</v>
      </c>
      <c r="AH4499" s="194" t="s">
        <v>679</v>
      </c>
      <c r="AI4499" s="6" t="s">
        <v>352</v>
      </c>
      <c r="AJ4499" s="3" t="s">
        <v>8201</v>
      </c>
      <c r="AK4499" t="s">
        <v>8666</v>
      </c>
    </row>
    <row r="4500" spans="29:37" ht="13.5">
      <c r="AC4500" s="6" t="s">
        <v>5408</v>
      </c>
      <c r="AD4500" s="6" t="s">
        <v>7720</v>
      </c>
      <c r="AE4500" s="155" t="s">
        <v>995</v>
      </c>
      <c r="AF4500" s="159" t="s">
        <v>8300</v>
      </c>
      <c r="AG4500" s="160" t="s">
        <v>2206</v>
      </c>
      <c r="AH4500" s="194" t="s">
        <v>679</v>
      </c>
      <c r="AI4500" s="6" t="s">
        <v>1370</v>
      </c>
      <c r="AJ4500" s="3" t="s">
        <v>8201</v>
      </c>
      <c r="AK4500" t="s">
        <v>8666</v>
      </c>
    </row>
    <row r="4501" spans="29:37" ht="13.5">
      <c r="AC4501" s="6" t="s">
        <v>1995</v>
      </c>
      <c r="AD4501" s="6" t="s">
        <v>7720</v>
      </c>
      <c r="AE4501" s="155" t="s">
        <v>607</v>
      </c>
      <c r="AF4501" s="159" t="s">
        <v>8320</v>
      </c>
      <c r="AG4501" s="160" t="s">
        <v>2209</v>
      </c>
      <c r="AH4501" s="194" t="s">
        <v>679</v>
      </c>
      <c r="AI4501" s="6" t="s">
        <v>1371</v>
      </c>
      <c r="AJ4501" s="3" t="s">
        <v>8195</v>
      </c>
      <c r="AK4501" t="s">
        <v>8195</v>
      </c>
    </row>
    <row r="4502" spans="29:37" ht="13.5">
      <c r="AC4502" s="6" t="s">
        <v>2152</v>
      </c>
      <c r="AD4502" s="6" t="s">
        <v>7720</v>
      </c>
      <c r="AE4502" s="155" t="s">
        <v>608</v>
      </c>
      <c r="AF4502" s="159" t="s">
        <v>8300</v>
      </c>
      <c r="AG4502" s="160" t="s">
        <v>610</v>
      </c>
      <c r="AH4502" s="194" t="s">
        <v>679</v>
      </c>
      <c r="AI4502" s="6" t="s">
        <v>354</v>
      </c>
      <c r="AJ4502" s="3" t="s">
        <v>8201</v>
      </c>
      <c r="AK4502" t="s">
        <v>8666</v>
      </c>
    </row>
    <row r="4503" spans="29:37" ht="13.5">
      <c r="AC4503" s="6" t="s">
        <v>6728</v>
      </c>
      <c r="AD4503" s="6" t="s">
        <v>7723</v>
      </c>
      <c r="AE4503" s="155" t="s">
        <v>609</v>
      </c>
      <c r="AF4503" s="159" t="s">
        <v>8300</v>
      </c>
      <c r="AG4503" s="160" t="s">
        <v>611</v>
      </c>
      <c r="AH4503" s="194" t="s">
        <v>679</v>
      </c>
      <c r="AI4503" s="6" t="s">
        <v>355</v>
      </c>
      <c r="AJ4503" s="3" t="s">
        <v>8195</v>
      </c>
      <c r="AK4503" t="s">
        <v>8195</v>
      </c>
    </row>
    <row r="4504" spans="29:37" ht="13.5">
      <c r="AC4504" s="6" t="s">
        <v>1760</v>
      </c>
      <c r="AD4504" s="6" t="s">
        <v>7720</v>
      </c>
      <c r="AE4504" s="155">
        <v>14648</v>
      </c>
      <c r="AF4504" s="159" t="s">
        <v>8339</v>
      </c>
      <c r="AG4504" s="160" t="s">
        <v>612</v>
      </c>
      <c r="AH4504" s="194" t="s">
        <v>679</v>
      </c>
      <c r="AI4504" s="6" t="s">
        <v>359</v>
      </c>
      <c r="AJ4504" s="3" t="s">
        <v>8208</v>
      </c>
      <c r="AK4504" t="s">
        <v>8667</v>
      </c>
    </row>
    <row r="4505" spans="29:37" ht="13.5">
      <c r="AC4505" s="6" t="s">
        <v>2085</v>
      </c>
      <c r="AD4505" s="6" t="s">
        <v>7695</v>
      </c>
      <c r="AE4505" s="155">
        <v>15252</v>
      </c>
      <c r="AF4505" s="159" t="s">
        <v>8300</v>
      </c>
      <c r="AG4505" s="160" t="s">
        <v>4445</v>
      </c>
      <c r="AH4505" s="194" t="s">
        <v>1314</v>
      </c>
      <c r="AI4505" s="6" t="s">
        <v>361</v>
      </c>
      <c r="AJ4505" s="3" t="s">
        <v>8208</v>
      </c>
      <c r="AK4505" t="s">
        <v>8667</v>
      </c>
    </row>
    <row r="4506" spans="29:37" ht="13.5">
      <c r="AC4506" s="6" t="s">
        <v>2153</v>
      </c>
      <c r="AD4506" s="6" t="s">
        <v>7720</v>
      </c>
      <c r="AE4506" s="155">
        <v>15254</v>
      </c>
      <c r="AF4506" s="159" t="s">
        <v>8319</v>
      </c>
      <c r="AG4506" s="160" t="s">
        <v>613</v>
      </c>
      <c r="AH4506" s="194" t="s">
        <v>679</v>
      </c>
      <c r="AI4506" s="6" t="s">
        <v>1372</v>
      </c>
      <c r="AJ4506" s="3" t="s">
        <v>8208</v>
      </c>
      <c r="AK4506" t="s">
        <v>8667</v>
      </c>
    </row>
    <row r="4507" spans="29:37" ht="13.5">
      <c r="AC4507" s="6" t="s">
        <v>5249</v>
      </c>
      <c r="AD4507" s="6" t="s">
        <v>7701</v>
      </c>
      <c r="AE4507" s="155">
        <v>23802</v>
      </c>
      <c r="AF4507" s="159" t="s">
        <v>8339</v>
      </c>
      <c r="AG4507" s="160" t="s">
        <v>614</v>
      </c>
      <c r="AH4507" s="194" t="s">
        <v>679</v>
      </c>
      <c r="AI4507" s="6" t="s">
        <v>362</v>
      </c>
      <c r="AJ4507" s="3" t="s">
        <v>8208</v>
      </c>
      <c r="AK4507" t="s">
        <v>8667</v>
      </c>
    </row>
    <row r="4508" spans="29:37" ht="13.5">
      <c r="AC4508" s="6" t="s">
        <v>2130</v>
      </c>
      <c r="AD4508" s="6" t="s">
        <v>7716</v>
      </c>
      <c r="AE4508" s="155">
        <v>25336</v>
      </c>
      <c r="AF4508" s="159" t="s">
        <v>8300</v>
      </c>
      <c r="AG4508" s="160" t="s">
        <v>30</v>
      </c>
      <c r="AH4508" s="194" t="s">
        <v>679</v>
      </c>
      <c r="AI4508" s="6" t="s">
        <v>363</v>
      </c>
      <c r="AJ4508" s="3" t="s">
        <v>8200</v>
      </c>
      <c r="AK4508" t="s">
        <v>8200</v>
      </c>
    </row>
    <row r="4509" spans="29:37" ht="13.5">
      <c r="AC4509" s="6" t="s">
        <v>2106</v>
      </c>
      <c r="AD4509" s="6" t="s">
        <v>7724</v>
      </c>
      <c r="AE4509" s="155">
        <v>25339</v>
      </c>
      <c r="AF4509" s="159" t="s">
        <v>8371</v>
      </c>
      <c r="AG4509" s="160" t="s">
        <v>4791</v>
      </c>
      <c r="AH4509" s="194" t="s">
        <v>679</v>
      </c>
      <c r="AI4509" s="6" t="s">
        <v>364</v>
      </c>
      <c r="AJ4509" s="3" t="s">
        <v>8228</v>
      </c>
      <c r="AK4509" t="s">
        <v>8228</v>
      </c>
    </row>
    <row r="4510" spans="29:37" ht="13.5">
      <c r="AC4510" s="6" t="s">
        <v>2120</v>
      </c>
      <c r="AD4510" s="6" t="s">
        <v>7719</v>
      </c>
      <c r="AE4510" s="155">
        <v>25340</v>
      </c>
      <c r="AF4510" s="159" t="s">
        <v>8339</v>
      </c>
      <c r="AG4510" s="160" t="s">
        <v>4778</v>
      </c>
      <c r="AH4510" s="194" t="s">
        <v>679</v>
      </c>
      <c r="AI4510" s="6" t="s">
        <v>365</v>
      </c>
      <c r="AJ4510" s="3" t="s">
        <v>8228</v>
      </c>
      <c r="AK4510" t="s">
        <v>8228</v>
      </c>
    </row>
    <row r="4511" spans="29:37" ht="13.5">
      <c r="AC4511" s="6">
        <v>15343</v>
      </c>
      <c r="AD4511" s="6" t="s">
        <v>7725</v>
      </c>
      <c r="AE4511" s="155">
        <v>83633</v>
      </c>
      <c r="AF4511" s="159" t="s">
        <v>8309</v>
      </c>
      <c r="AG4511" s="160" t="s">
        <v>4782</v>
      </c>
      <c r="AH4511" s="194" t="s">
        <v>679</v>
      </c>
      <c r="AI4511" s="6" t="s">
        <v>370</v>
      </c>
      <c r="AJ4511" s="3" t="s">
        <v>8195</v>
      </c>
      <c r="AK4511" t="s">
        <v>8195</v>
      </c>
    </row>
    <row r="4512" spans="29:37" ht="13.5">
      <c r="AC4512" s="6" t="s">
        <v>1996</v>
      </c>
      <c r="AD4512" s="6" t="s">
        <v>7720</v>
      </c>
      <c r="AE4512" s="155">
        <v>85610</v>
      </c>
      <c r="AF4512" s="159" t="s">
        <v>8311</v>
      </c>
      <c r="AG4512" s="160" t="s">
        <v>5246</v>
      </c>
      <c r="AH4512" s="194" t="s">
        <v>679</v>
      </c>
      <c r="AI4512" s="6" t="s">
        <v>373</v>
      </c>
      <c r="AJ4512" s="3" t="s">
        <v>8208</v>
      </c>
      <c r="AK4512" t="s">
        <v>8667</v>
      </c>
    </row>
    <row r="4513" spans="29:37" ht="13.5">
      <c r="AC4513" s="6" t="s">
        <v>2006</v>
      </c>
      <c r="AD4513" s="6" t="s">
        <v>7726</v>
      </c>
      <c r="AE4513" s="155">
        <v>85611</v>
      </c>
      <c r="AF4513" s="159" t="s">
        <v>8297</v>
      </c>
      <c r="AG4513" s="160" t="s">
        <v>615</v>
      </c>
      <c r="AH4513" s="194" t="s">
        <v>679</v>
      </c>
      <c r="AI4513" s="6" t="s">
        <v>374</v>
      </c>
      <c r="AJ4513" s="3" t="s">
        <v>8208</v>
      </c>
      <c r="AK4513" t="s">
        <v>8667</v>
      </c>
    </row>
    <row r="4514" spans="29:37" ht="13.5">
      <c r="AC4514" s="6">
        <v>595395</v>
      </c>
      <c r="AD4514" s="6" t="s">
        <v>7715</v>
      </c>
      <c r="AE4514" s="155">
        <v>85612</v>
      </c>
      <c r="AF4514" s="159" t="s">
        <v>8332</v>
      </c>
      <c r="AG4514" s="160" t="s">
        <v>616</v>
      </c>
      <c r="AH4514" s="194" t="s">
        <v>679</v>
      </c>
      <c r="AI4514" s="6" t="s">
        <v>375</v>
      </c>
      <c r="AJ4514" s="3" t="s">
        <v>8195</v>
      </c>
      <c r="AK4514" t="s">
        <v>8195</v>
      </c>
    </row>
    <row r="4515" spans="29:37" ht="13.5">
      <c r="AC4515" s="6" t="s">
        <v>1769</v>
      </c>
      <c r="AD4515" s="6" t="s">
        <v>7727</v>
      </c>
      <c r="AE4515" s="155">
        <v>113601</v>
      </c>
      <c r="AF4515" s="159" t="s">
        <v>8300</v>
      </c>
      <c r="AG4515" s="160" t="s">
        <v>617</v>
      </c>
      <c r="AH4515" s="194" t="s">
        <v>678</v>
      </c>
      <c r="AI4515" s="6" t="s">
        <v>376</v>
      </c>
      <c r="AJ4515" s="3" t="s">
        <v>8228</v>
      </c>
      <c r="AK4515" t="s">
        <v>8228</v>
      </c>
    </row>
    <row r="4516" spans="29:37" ht="13.5">
      <c r="AC4516" s="6">
        <v>25234</v>
      </c>
      <c r="AD4516" s="6" t="s">
        <v>7707</v>
      </c>
      <c r="AE4516" s="155" t="s">
        <v>113</v>
      </c>
      <c r="AF4516" s="159" t="s">
        <v>8300</v>
      </c>
      <c r="AG4516" s="160" t="s">
        <v>5114</v>
      </c>
      <c r="AH4516" s="194" t="s">
        <v>1314</v>
      </c>
      <c r="AI4516" s="6" t="s">
        <v>378</v>
      </c>
      <c r="AJ4516" s="3" t="s">
        <v>8200</v>
      </c>
      <c r="AK4516" t="s">
        <v>8200</v>
      </c>
    </row>
    <row r="4517" spans="29:37" ht="13.5">
      <c r="AC4517" s="6" t="s">
        <v>2150</v>
      </c>
      <c r="AD4517" s="6" t="s">
        <v>7728</v>
      </c>
      <c r="AE4517" s="155" t="s">
        <v>114</v>
      </c>
      <c r="AF4517" s="159" t="s">
        <v>8300</v>
      </c>
      <c r="AG4517" s="160" t="s">
        <v>5212</v>
      </c>
      <c r="AH4517" s="194" t="s">
        <v>1314</v>
      </c>
      <c r="AI4517" s="6" t="s">
        <v>384</v>
      </c>
      <c r="AJ4517" s="3" t="s">
        <v>8209</v>
      </c>
      <c r="AK4517" t="s">
        <v>8209</v>
      </c>
    </row>
    <row r="4518" spans="29:37" ht="13.5">
      <c r="AC4518" s="6" t="s">
        <v>5341</v>
      </c>
      <c r="AD4518" s="6" t="s">
        <v>7729</v>
      </c>
      <c r="AE4518" s="155" t="s">
        <v>115</v>
      </c>
      <c r="AF4518" s="159" t="s">
        <v>8300</v>
      </c>
      <c r="AG4518" s="160" t="s">
        <v>5448</v>
      </c>
      <c r="AH4518" s="194" t="s">
        <v>1314</v>
      </c>
      <c r="AI4518" s="6" t="s">
        <v>1378</v>
      </c>
      <c r="AJ4518" s="3" t="s">
        <v>8195</v>
      </c>
      <c r="AK4518" t="s">
        <v>8195</v>
      </c>
    </row>
    <row r="4519" spans="29:37" ht="13.5">
      <c r="AC4519" s="6">
        <v>745460</v>
      </c>
      <c r="AD4519" s="6" t="s">
        <v>7730</v>
      </c>
      <c r="AE4519" s="155" t="s">
        <v>116</v>
      </c>
      <c r="AF4519" s="159" t="s">
        <v>8300</v>
      </c>
      <c r="AG4519" s="160" t="s">
        <v>5449</v>
      </c>
      <c r="AH4519" s="194" t="s">
        <v>1314</v>
      </c>
      <c r="AI4519" s="6" t="s">
        <v>389</v>
      </c>
      <c r="AJ4519" s="3" t="s">
        <v>8209</v>
      </c>
      <c r="AK4519" t="s">
        <v>8209</v>
      </c>
    </row>
    <row r="4520" spans="29:37" ht="13.5">
      <c r="AC4520" s="6" t="s">
        <v>2084</v>
      </c>
      <c r="AD4520" s="6" t="s">
        <v>7695</v>
      </c>
      <c r="AE4520" s="155" t="s">
        <v>118</v>
      </c>
      <c r="AF4520" s="159" t="s">
        <v>8309</v>
      </c>
      <c r="AG4520" s="160" t="s">
        <v>2501</v>
      </c>
      <c r="AH4520" s="194" t="s">
        <v>1314</v>
      </c>
      <c r="AI4520" s="6" t="s">
        <v>390</v>
      </c>
      <c r="AJ4520" s="3" t="s">
        <v>8195</v>
      </c>
      <c r="AK4520" t="s">
        <v>8195</v>
      </c>
    </row>
    <row r="4521" spans="29:37" ht="13.5">
      <c r="AC4521" s="6" t="s">
        <v>4496</v>
      </c>
      <c r="AD4521" s="6" t="s">
        <v>7731</v>
      </c>
      <c r="AE4521" s="155" t="s">
        <v>126</v>
      </c>
      <c r="AF4521" s="159" t="s">
        <v>8300</v>
      </c>
      <c r="AG4521" s="160" t="s">
        <v>2502</v>
      </c>
      <c r="AH4521" s="194" t="s">
        <v>679</v>
      </c>
      <c r="AI4521" s="6" t="s">
        <v>391</v>
      </c>
      <c r="AJ4521" s="3" t="s">
        <v>8196</v>
      </c>
      <c r="AK4521" t="s">
        <v>8196</v>
      </c>
    </row>
    <row r="4522" spans="29:37" ht="13.5">
      <c r="AC4522" s="6" t="s">
        <v>4497</v>
      </c>
      <c r="AD4522" s="6" t="s">
        <v>7720</v>
      </c>
      <c r="AE4522" s="155">
        <v>233699</v>
      </c>
      <c r="AF4522" s="159" t="s">
        <v>8300</v>
      </c>
      <c r="AG4522" s="160" t="s">
        <v>2503</v>
      </c>
      <c r="AH4522" s="194" t="s">
        <v>679</v>
      </c>
      <c r="AI4522" s="6" t="s">
        <v>392</v>
      </c>
      <c r="AJ4522" s="3" t="s">
        <v>8209</v>
      </c>
      <c r="AK4522" t="s">
        <v>8209</v>
      </c>
    </row>
    <row r="4523" spans="29:37" ht="13.5">
      <c r="AC4523" s="6" t="s">
        <v>2105</v>
      </c>
      <c r="AD4523" s="6" t="s">
        <v>7724</v>
      </c>
      <c r="AE4523" s="155">
        <v>263630</v>
      </c>
      <c r="AF4523" s="159" t="s">
        <v>8300</v>
      </c>
      <c r="AG4523" s="160" t="s">
        <v>2538</v>
      </c>
      <c r="AH4523" s="194" t="s">
        <v>1314</v>
      </c>
      <c r="AI4523" s="6" t="s">
        <v>1032</v>
      </c>
      <c r="AJ4523" s="3" t="s">
        <v>8208</v>
      </c>
      <c r="AK4523" t="s">
        <v>8667</v>
      </c>
    </row>
    <row r="4524" spans="29:37" ht="13.5">
      <c r="AC4524" s="6" t="s">
        <v>2170</v>
      </c>
      <c r="AD4524" s="6" t="s">
        <v>7715</v>
      </c>
      <c r="AE4524" s="155">
        <v>265286</v>
      </c>
      <c r="AF4524" s="159" t="s">
        <v>8311</v>
      </c>
      <c r="AG4524" s="160" t="s">
        <v>2606</v>
      </c>
      <c r="AH4524" s="194" t="s">
        <v>679</v>
      </c>
      <c r="AI4524" s="6" t="s">
        <v>395</v>
      </c>
      <c r="AJ4524" s="3" t="s">
        <v>8233</v>
      </c>
      <c r="AK4524" t="s">
        <v>8233</v>
      </c>
    </row>
    <row r="4525" spans="29:37" ht="13.5">
      <c r="AC4525" s="6">
        <v>595400</v>
      </c>
      <c r="AD4525" s="6" t="s">
        <v>7715</v>
      </c>
      <c r="AE4525" s="155">
        <v>265287</v>
      </c>
      <c r="AF4525" s="159" t="s">
        <v>8292</v>
      </c>
      <c r="AG4525" s="161" t="s">
        <v>2607</v>
      </c>
      <c r="AH4525" s="194" t="s">
        <v>1314</v>
      </c>
      <c r="AI4525" s="6" t="s">
        <v>3971</v>
      </c>
      <c r="AJ4525" s="3" t="s">
        <v>8209</v>
      </c>
      <c r="AK4525" t="s">
        <v>8209</v>
      </c>
    </row>
    <row r="4526" spans="29:37" ht="13.5">
      <c r="AC4526" s="6" t="s">
        <v>2131</v>
      </c>
      <c r="AD4526" s="6" t="s">
        <v>7716</v>
      </c>
      <c r="AE4526" s="155">
        <v>265288</v>
      </c>
      <c r="AF4526" s="159" t="s">
        <v>8296</v>
      </c>
      <c r="AG4526" s="160" t="s">
        <v>2624</v>
      </c>
      <c r="AH4526" s="194" t="s">
        <v>679</v>
      </c>
      <c r="AI4526" s="6" t="s">
        <v>400</v>
      </c>
      <c r="AJ4526" s="3" t="s">
        <v>8207</v>
      </c>
      <c r="AK4526" t="s">
        <v>8207</v>
      </c>
    </row>
    <row r="4527" spans="29:37" ht="13.5">
      <c r="AC4527" s="6" t="s">
        <v>1775</v>
      </c>
      <c r="AD4527" s="6" t="s">
        <v>7723</v>
      </c>
      <c r="AE4527" s="155">
        <v>265377</v>
      </c>
      <c r="AF4527" s="159" t="s">
        <v>8300</v>
      </c>
      <c r="AG4527" s="160" t="s">
        <v>2636</v>
      </c>
      <c r="AH4527" s="194" t="s">
        <v>1314</v>
      </c>
      <c r="AI4527" s="6" t="s">
        <v>401</v>
      </c>
      <c r="AJ4527" s="3" t="s">
        <v>8207</v>
      </c>
      <c r="AK4527" t="s">
        <v>8207</v>
      </c>
    </row>
    <row r="4528" spans="29:37" ht="13.5">
      <c r="AC4528" s="6" t="s">
        <v>1980</v>
      </c>
      <c r="AD4528" s="6" t="s">
        <v>7727</v>
      </c>
      <c r="AE4528" s="155" t="s">
        <v>1148</v>
      </c>
      <c r="AF4528" s="159" t="s">
        <v>8299</v>
      </c>
      <c r="AG4528" s="160" t="s">
        <v>2682</v>
      </c>
      <c r="AH4528" s="194" t="s">
        <v>679</v>
      </c>
      <c r="AI4528" s="6" t="s">
        <v>402</v>
      </c>
      <c r="AJ4528" s="3" t="s">
        <v>8207</v>
      </c>
      <c r="AK4528" t="s">
        <v>8207</v>
      </c>
    </row>
    <row r="4529" spans="29:37" ht="13.5">
      <c r="AC4529" s="6" t="s">
        <v>1983</v>
      </c>
      <c r="AD4529" s="6" t="s">
        <v>7732</v>
      </c>
      <c r="AE4529" s="155">
        <v>485351</v>
      </c>
      <c r="AF4529" s="159" t="s">
        <v>8300</v>
      </c>
      <c r="AG4529" s="160" t="s">
        <v>2683</v>
      </c>
      <c r="AH4529" s="194" t="s">
        <v>679</v>
      </c>
      <c r="AI4529" s="6" t="s">
        <v>1380</v>
      </c>
      <c r="AJ4529" s="3" t="s">
        <v>8201</v>
      </c>
      <c r="AK4529" t="s">
        <v>8666</v>
      </c>
    </row>
    <row r="4530" spans="29:37" ht="13.5">
      <c r="AC4530" s="6" t="s">
        <v>1901</v>
      </c>
      <c r="AD4530" s="6" t="s">
        <v>7727</v>
      </c>
      <c r="AE4530" s="155">
        <v>485352</v>
      </c>
      <c r="AF4530" s="159" t="s">
        <v>8321</v>
      </c>
      <c r="AG4530" s="160" t="s">
        <v>2684</v>
      </c>
      <c r="AH4530" s="194" t="s">
        <v>1314</v>
      </c>
      <c r="AI4530" s="6" t="s">
        <v>1381</v>
      </c>
      <c r="AJ4530" s="3" t="s">
        <v>8196</v>
      </c>
      <c r="AK4530" t="s">
        <v>8196</v>
      </c>
    </row>
    <row r="4531" spans="29:37" ht="13.5">
      <c r="AC4531" s="6" t="s">
        <v>1776</v>
      </c>
      <c r="AD4531" s="6" t="s">
        <v>7723</v>
      </c>
      <c r="AE4531" s="155">
        <v>485353</v>
      </c>
      <c r="AF4531" s="159" t="s">
        <v>8296</v>
      </c>
      <c r="AG4531" s="160" t="s">
        <v>2716</v>
      </c>
      <c r="AH4531" s="194" t="s">
        <v>1314</v>
      </c>
      <c r="AI4531" s="6" t="s">
        <v>407</v>
      </c>
      <c r="AJ4531" s="3" t="s">
        <v>8196</v>
      </c>
      <c r="AK4531" t="s">
        <v>8196</v>
      </c>
    </row>
    <row r="4532" spans="29:37" ht="13.5">
      <c r="AC4532" s="6" t="s">
        <v>5296</v>
      </c>
      <c r="AD4532" s="6" t="s">
        <v>7723</v>
      </c>
      <c r="AE4532" s="155">
        <v>493631</v>
      </c>
      <c r="AF4532" s="159" t="s">
        <v>8300</v>
      </c>
      <c r="AG4532" s="160" t="s">
        <v>1307</v>
      </c>
      <c r="AH4532" s="194" t="s">
        <v>1314</v>
      </c>
      <c r="AI4532" s="6" t="s">
        <v>408</v>
      </c>
      <c r="AJ4532" s="3" t="s">
        <v>8196</v>
      </c>
      <c r="AK4532" t="s">
        <v>8196</v>
      </c>
    </row>
    <row r="4533" spans="29:37" ht="13.5">
      <c r="AC4533" s="6" t="s">
        <v>1902</v>
      </c>
      <c r="AD4533" s="6" t="s">
        <v>7727</v>
      </c>
      <c r="AE4533" s="155">
        <v>495356</v>
      </c>
      <c r="AF4533" s="159" t="s">
        <v>8296</v>
      </c>
      <c r="AG4533" s="160" t="s">
        <v>5234</v>
      </c>
      <c r="AH4533" s="194" t="s">
        <v>1314</v>
      </c>
      <c r="AI4533" s="6" t="s">
        <v>410</v>
      </c>
      <c r="AJ4533" s="3" t="s">
        <v>8196</v>
      </c>
      <c r="AK4533" t="s">
        <v>8196</v>
      </c>
    </row>
    <row r="4534" spans="29:37" ht="13.5">
      <c r="AC4534" s="6">
        <v>595399</v>
      </c>
      <c r="AD4534" s="6" t="s">
        <v>7715</v>
      </c>
      <c r="AE4534" s="155" t="s">
        <v>978</v>
      </c>
      <c r="AF4534" s="159" t="s">
        <v>8299</v>
      </c>
      <c r="AG4534" s="160" t="s">
        <v>5166</v>
      </c>
      <c r="AH4534" s="194" t="s">
        <v>679</v>
      </c>
      <c r="AI4534" s="6" t="s">
        <v>8</v>
      </c>
      <c r="AJ4534" s="3" t="s">
        <v>8196</v>
      </c>
      <c r="AK4534" t="s">
        <v>8196</v>
      </c>
    </row>
    <row r="4535" spans="29:37" ht="13.5">
      <c r="AC4535" s="6" t="s">
        <v>1778</v>
      </c>
      <c r="AD4535" s="6" t="s">
        <v>7729</v>
      </c>
      <c r="AE4535" s="155">
        <v>505360</v>
      </c>
      <c r="AF4535" s="159" t="s">
        <v>8299</v>
      </c>
      <c r="AG4535" s="160" t="s">
        <v>4059</v>
      </c>
      <c r="AH4535" s="194" t="s">
        <v>679</v>
      </c>
      <c r="AI4535" s="6" t="s">
        <v>14</v>
      </c>
      <c r="AJ4535" s="3" t="s">
        <v>8196</v>
      </c>
      <c r="AK4535" t="s">
        <v>8196</v>
      </c>
    </row>
    <row r="4536" spans="29:37" ht="13.5">
      <c r="AC4536" s="6" t="s">
        <v>1888</v>
      </c>
      <c r="AD4536" s="6" t="s">
        <v>7732</v>
      </c>
      <c r="AE4536" s="155">
        <v>771613</v>
      </c>
      <c r="AF4536" s="159" t="s">
        <v>8300</v>
      </c>
      <c r="AG4536" s="160" t="s">
        <v>4060</v>
      </c>
      <c r="AH4536" s="194" t="s">
        <v>679</v>
      </c>
      <c r="AI4536" s="6" t="s">
        <v>419</v>
      </c>
      <c r="AJ4536" s="3" t="s">
        <v>8196</v>
      </c>
      <c r="AK4536" t="s">
        <v>8196</v>
      </c>
    </row>
    <row r="4537" spans="29:37" ht="13.5">
      <c r="AC4537" s="6" t="s">
        <v>1768</v>
      </c>
      <c r="AD4537" s="6" t="s">
        <v>7727</v>
      </c>
      <c r="AE4537" s="155" t="s">
        <v>1659</v>
      </c>
      <c r="AF4537" s="159" t="s">
        <v>8300</v>
      </c>
      <c r="AG4537" s="160" t="s">
        <v>4061</v>
      </c>
      <c r="AH4537" s="194" t="s">
        <v>678</v>
      </c>
      <c r="AI4537" s="6" t="s">
        <v>1388</v>
      </c>
      <c r="AJ4537" s="3" t="s">
        <v>8195</v>
      </c>
      <c r="AK4537" t="s">
        <v>8195</v>
      </c>
    </row>
    <row r="4538" spans="29:37" ht="13.5">
      <c r="AC4538" s="6" t="s">
        <v>2274</v>
      </c>
      <c r="AD4538" s="6" t="s">
        <v>7723</v>
      </c>
      <c r="AE4538" s="155" t="s">
        <v>5502</v>
      </c>
      <c r="AF4538" s="159" t="s">
        <v>8300</v>
      </c>
      <c r="AG4538" s="160" t="s">
        <v>4062</v>
      </c>
      <c r="AH4538" s="194" t="s">
        <v>679</v>
      </c>
      <c r="AI4538" s="6" t="s">
        <v>1205</v>
      </c>
      <c r="AJ4538" s="3" t="s">
        <v>8195</v>
      </c>
      <c r="AK4538" t="s">
        <v>8195</v>
      </c>
    </row>
    <row r="4539" spans="29:37" ht="13.5">
      <c r="AC4539" s="6" t="s">
        <v>2248</v>
      </c>
      <c r="AD4539" s="6" t="s">
        <v>7729</v>
      </c>
      <c r="AE4539" s="155" t="s">
        <v>5503</v>
      </c>
      <c r="AF4539" s="159" t="s">
        <v>8300</v>
      </c>
      <c r="AG4539" s="160" t="s">
        <v>4063</v>
      </c>
      <c r="AH4539" s="194" t="s">
        <v>678</v>
      </c>
      <c r="AI4539" s="6" t="s">
        <v>1390</v>
      </c>
      <c r="AJ4539" s="3" t="s">
        <v>8195</v>
      </c>
      <c r="AK4539" t="s">
        <v>8195</v>
      </c>
    </row>
    <row r="4540" spans="29:37" ht="13.5">
      <c r="AC4540" s="6" t="s">
        <v>1966</v>
      </c>
      <c r="AD4540" s="6" t="s">
        <v>7715</v>
      </c>
      <c r="AE4540" s="155" t="s">
        <v>5504</v>
      </c>
      <c r="AF4540" s="159" t="s">
        <v>8300</v>
      </c>
      <c r="AG4540" s="160" t="s">
        <v>4064</v>
      </c>
      <c r="AH4540" s="194" t="s">
        <v>679</v>
      </c>
      <c r="AI4540" s="6" t="s">
        <v>1393</v>
      </c>
      <c r="AJ4540" s="3" t="s">
        <v>8195</v>
      </c>
      <c r="AK4540" t="s">
        <v>8195</v>
      </c>
    </row>
    <row r="4541" spans="29:37" ht="13.5">
      <c r="AC4541" s="6">
        <v>595402</v>
      </c>
      <c r="AD4541" s="6" t="s">
        <v>7715</v>
      </c>
      <c r="AE4541" s="155" t="s">
        <v>5505</v>
      </c>
      <c r="AF4541" s="159" t="s">
        <v>8300</v>
      </c>
      <c r="AG4541" s="160" t="s">
        <v>4065</v>
      </c>
      <c r="AH4541" s="194" t="s">
        <v>679</v>
      </c>
      <c r="AI4541" s="6" t="s">
        <v>1037</v>
      </c>
      <c r="AJ4541" s="3" t="s">
        <v>8201</v>
      </c>
      <c r="AK4541" t="s">
        <v>8666</v>
      </c>
    </row>
    <row r="4542" spans="29:37" ht="13.5">
      <c r="AC4542" s="6" t="s">
        <v>1967</v>
      </c>
      <c r="AD4542" s="6" t="s">
        <v>7715</v>
      </c>
      <c r="AE4542" s="155" t="s">
        <v>625</v>
      </c>
      <c r="AF4542" s="159" t="s">
        <v>8311</v>
      </c>
      <c r="AG4542" s="160" t="s">
        <v>4066</v>
      </c>
      <c r="AH4542" s="194" t="s">
        <v>678</v>
      </c>
      <c r="AI4542" s="6" t="s">
        <v>433</v>
      </c>
      <c r="AJ4542" s="3" t="s">
        <v>8201</v>
      </c>
      <c r="AK4542" t="s">
        <v>8666</v>
      </c>
    </row>
    <row r="4543" spans="29:37" ht="13.5">
      <c r="AC4543" s="6" t="s">
        <v>2238</v>
      </c>
      <c r="AD4543" s="6" t="s">
        <v>7729</v>
      </c>
      <c r="AE4543" s="155" t="s">
        <v>626</v>
      </c>
      <c r="AF4543" s="159" t="s">
        <v>8300</v>
      </c>
      <c r="AG4543" s="160" t="s">
        <v>4067</v>
      </c>
      <c r="AH4543" s="194" t="s">
        <v>679</v>
      </c>
      <c r="AI4543" s="6" t="s">
        <v>435</v>
      </c>
      <c r="AJ4543" s="3" t="s">
        <v>8201</v>
      </c>
      <c r="AK4543" t="s">
        <v>8666</v>
      </c>
    </row>
    <row r="4544" spans="29:37" ht="13.5">
      <c r="AC4544" s="6" t="s">
        <v>1780</v>
      </c>
      <c r="AD4544" s="6" t="s">
        <v>7729</v>
      </c>
      <c r="AE4544" s="155" t="s">
        <v>1473</v>
      </c>
      <c r="AF4544" s="159" t="s">
        <v>8300</v>
      </c>
      <c r="AG4544" s="160" t="s">
        <v>1112</v>
      </c>
      <c r="AH4544" s="194" t="s">
        <v>678</v>
      </c>
      <c r="AI4544" s="6" t="s">
        <v>436</v>
      </c>
      <c r="AJ4544" s="3" t="s">
        <v>8201</v>
      </c>
      <c r="AK4544" t="s">
        <v>8666</v>
      </c>
    </row>
    <row r="4545" spans="29:37" ht="13.5">
      <c r="AC4545" s="6" t="s">
        <v>1968</v>
      </c>
      <c r="AD4545" s="6" t="s">
        <v>7715</v>
      </c>
      <c r="AE4545" s="155" t="s">
        <v>1474</v>
      </c>
      <c r="AF4545" s="159" t="s">
        <v>8299</v>
      </c>
      <c r="AG4545" s="160" t="s">
        <v>4068</v>
      </c>
      <c r="AH4545" s="194" t="s">
        <v>679</v>
      </c>
      <c r="AI4545" s="6" t="s">
        <v>1396</v>
      </c>
      <c r="AJ4545" s="3" t="s">
        <v>8201</v>
      </c>
      <c r="AK4545" t="s">
        <v>8666</v>
      </c>
    </row>
    <row r="4546" spans="29:37" ht="13.5">
      <c r="AC4546" s="6" t="s">
        <v>1889</v>
      </c>
      <c r="AD4546" s="6" t="s">
        <v>7732</v>
      </c>
      <c r="AE4546" s="155" t="s">
        <v>627</v>
      </c>
      <c r="AF4546" s="159" t="s">
        <v>8309</v>
      </c>
      <c r="AG4546" s="160" t="s">
        <v>4069</v>
      </c>
      <c r="AH4546" s="194" t="s">
        <v>679</v>
      </c>
      <c r="AI4546" s="6" t="s">
        <v>11</v>
      </c>
      <c r="AJ4546" s="3" t="s">
        <v>8195</v>
      </c>
      <c r="AK4546" t="s">
        <v>8195</v>
      </c>
    </row>
    <row r="4547" spans="29:37" ht="13.5">
      <c r="AC4547" s="6" t="s">
        <v>1777</v>
      </c>
      <c r="AD4547" s="6" t="s">
        <v>7729</v>
      </c>
      <c r="AE4547" s="155" t="s">
        <v>4436</v>
      </c>
      <c r="AF4547" s="159" t="s">
        <v>8300</v>
      </c>
      <c r="AG4547" s="160" t="s">
        <v>1113</v>
      </c>
      <c r="AH4547" s="194" t="s">
        <v>679</v>
      </c>
      <c r="AI4547" s="6" t="s">
        <v>438</v>
      </c>
      <c r="AJ4547" s="3" t="s">
        <v>8195</v>
      </c>
      <c r="AK4547" t="s">
        <v>8195</v>
      </c>
    </row>
    <row r="4548" spans="29:37" ht="13.5">
      <c r="AC4548" s="6" t="s">
        <v>1985</v>
      </c>
      <c r="AD4548" s="6" t="s">
        <v>7732</v>
      </c>
      <c r="AE4548" s="155" t="s">
        <v>4449</v>
      </c>
      <c r="AF4548" s="159" t="s">
        <v>8300</v>
      </c>
      <c r="AG4548" s="160" t="s">
        <v>4070</v>
      </c>
      <c r="AH4548" s="194" t="s">
        <v>678</v>
      </c>
      <c r="AI4548" s="6" t="s">
        <v>449</v>
      </c>
      <c r="AJ4548" s="3" t="s">
        <v>8209</v>
      </c>
      <c r="AK4548" t="s">
        <v>8209</v>
      </c>
    </row>
    <row r="4549" spans="29:37" ht="13.5">
      <c r="AC4549" s="6" t="s">
        <v>2008</v>
      </c>
      <c r="AD4549" s="6" t="s">
        <v>7726</v>
      </c>
      <c r="AE4549" s="155" t="s">
        <v>1646</v>
      </c>
      <c r="AF4549" s="159" t="s">
        <v>8287</v>
      </c>
      <c r="AG4549" s="160" t="s">
        <v>4071</v>
      </c>
      <c r="AH4549" s="194" t="s">
        <v>679</v>
      </c>
      <c r="AI4549" s="6" t="s">
        <v>451</v>
      </c>
      <c r="AJ4549" s="3" t="s">
        <v>8208</v>
      </c>
      <c r="AK4549" t="s">
        <v>8667</v>
      </c>
    </row>
    <row r="4550" spans="29:37" ht="13.5">
      <c r="AC4550" s="6">
        <v>25259</v>
      </c>
      <c r="AD4550" s="6" t="s">
        <v>7707</v>
      </c>
      <c r="AE4550" s="155" t="s">
        <v>1647</v>
      </c>
      <c r="AF4550" s="159" t="s">
        <v>8325</v>
      </c>
      <c r="AG4550" s="160" t="s">
        <v>1114</v>
      </c>
      <c r="AH4550" s="194" t="s">
        <v>678</v>
      </c>
      <c r="AI4550" s="6" t="s">
        <v>453</v>
      </c>
      <c r="AJ4550" s="3" t="s">
        <v>8208</v>
      </c>
      <c r="AK4550" t="s">
        <v>8667</v>
      </c>
    </row>
    <row r="4551" spans="29:37" ht="13.5">
      <c r="AC4551" s="6" t="s">
        <v>1982</v>
      </c>
      <c r="AD4551" s="6" t="s">
        <v>7732</v>
      </c>
      <c r="AE4551" s="155" t="s">
        <v>1650</v>
      </c>
      <c r="AF4551" s="159" t="s">
        <v>8299</v>
      </c>
      <c r="AG4551" s="160" t="s">
        <v>1210</v>
      </c>
      <c r="AH4551" s="194" t="s">
        <v>679</v>
      </c>
      <c r="AI4551" s="6" t="s">
        <v>1402</v>
      </c>
      <c r="AJ4551" s="3" t="s">
        <v>8208</v>
      </c>
      <c r="AK4551" t="s">
        <v>8667</v>
      </c>
    </row>
    <row r="4552" spans="29:37" ht="13.5">
      <c r="AC4552" s="6" t="s">
        <v>2239</v>
      </c>
      <c r="AD4552" s="6" t="s">
        <v>7729</v>
      </c>
      <c r="AE4552" s="155" t="s">
        <v>631</v>
      </c>
      <c r="AF4552" s="159" t="s">
        <v>8341</v>
      </c>
      <c r="AG4552" s="160" t="s">
        <v>4072</v>
      </c>
      <c r="AH4552" s="194" t="s">
        <v>679</v>
      </c>
      <c r="AI4552" s="6" t="s">
        <v>457</v>
      </c>
      <c r="AJ4552" s="3" t="s">
        <v>8208</v>
      </c>
      <c r="AK4552" t="s">
        <v>8667</v>
      </c>
    </row>
    <row r="4553" spans="29:37" ht="13.5">
      <c r="AC4553" s="6" t="s">
        <v>1976</v>
      </c>
      <c r="AD4553" s="6" t="s">
        <v>7732</v>
      </c>
      <c r="AE4553" s="155" t="s">
        <v>632</v>
      </c>
      <c r="AF4553" s="159" t="s">
        <v>8300</v>
      </c>
      <c r="AG4553" s="160" t="s">
        <v>4073</v>
      </c>
      <c r="AH4553" s="194" t="s">
        <v>679</v>
      </c>
      <c r="AI4553" s="6" t="s">
        <v>460</v>
      </c>
      <c r="AJ4553" s="3" t="s">
        <v>8208</v>
      </c>
      <c r="AK4553" t="s">
        <v>8667</v>
      </c>
    </row>
    <row r="4554" spans="29:37" ht="13.5">
      <c r="AC4554" s="6" t="s">
        <v>1975</v>
      </c>
      <c r="AD4554" s="6" t="s">
        <v>7732</v>
      </c>
      <c r="AE4554" s="155" t="s">
        <v>4453</v>
      </c>
      <c r="AF4554" s="159" t="s">
        <v>8300</v>
      </c>
      <c r="AG4554" s="160" t="s">
        <v>4074</v>
      </c>
      <c r="AH4554" s="194" t="s">
        <v>679</v>
      </c>
      <c r="AI4554" s="6" t="s">
        <v>461</v>
      </c>
      <c r="AJ4554" s="3" t="s">
        <v>8208</v>
      </c>
      <c r="AK4554" t="s">
        <v>8667</v>
      </c>
    </row>
    <row r="4555" spans="29:37" ht="13.5">
      <c r="AC4555" s="6" t="s">
        <v>2240</v>
      </c>
      <c r="AD4555" s="6" t="s">
        <v>7729</v>
      </c>
      <c r="AE4555" s="155" t="s">
        <v>1343</v>
      </c>
      <c r="AF4555" s="159" t="s">
        <v>8556</v>
      </c>
      <c r="AG4555" s="160" t="s">
        <v>4460</v>
      </c>
      <c r="AH4555" s="194" t="s">
        <v>1314</v>
      </c>
      <c r="AI4555" s="6" t="s">
        <v>465</v>
      </c>
      <c r="AJ4555" s="3" t="s">
        <v>8209</v>
      </c>
      <c r="AK4555" t="s">
        <v>8209</v>
      </c>
    </row>
    <row r="4556" spans="29:37" ht="13.5">
      <c r="AC4556" s="6" t="s">
        <v>5331</v>
      </c>
      <c r="AD4556" s="6" t="s">
        <v>7733</v>
      </c>
      <c r="AE4556" s="155" t="s">
        <v>1344</v>
      </c>
      <c r="AF4556" s="159" t="s">
        <v>8557</v>
      </c>
      <c r="AG4556" s="160" t="s">
        <v>4462</v>
      </c>
      <c r="AH4556" s="194" t="s">
        <v>1314</v>
      </c>
      <c r="AI4556" s="6" t="s">
        <v>466</v>
      </c>
      <c r="AJ4556" s="3" t="s">
        <v>8209</v>
      </c>
      <c r="AK4556" t="s">
        <v>8209</v>
      </c>
    </row>
    <row r="4557" spans="29:37" ht="13.5">
      <c r="AC4557" s="6" t="s">
        <v>1984</v>
      </c>
      <c r="AD4557" s="6" t="s">
        <v>7732</v>
      </c>
      <c r="AE4557" s="155" t="s">
        <v>229</v>
      </c>
      <c r="AF4557" s="159" t="s">
        <v>8558</v>
      </c>
      <c r="AG4557" s="160" t="s">
        <v>4463</v>
      </c>
      <c r="AH4557" s="194" t="s">
        <v>1314</v>
      </c>
      <c r="AI4557" s="6" t="s">
        <v>467</v>
      </c>
      <c r="AJ4557" s="3" t="s">
        <v>8209</v>
      </c>
      <c r="AK4557" t="s">
        <v>8209</v>
      </c>
    </row>
    <row r="4558" spans="29:37" ht="13.5">
      <c r="AC4558" s="6" t="s">
        <v>1891</v>
      </c>
      <c r="AD4558" s="6" t="s">
        <v>7732</v>
      </c>
      <c r="AE4558" s="155" t="s">
        <v>1346</v>
      </c>
      <c r="AF4558" s="159" t="s">
        <v>8521</v>
      </c>
      <c r="AG4558" s="160" t="s">
        <v>1191</v>
      </c>
      <c r="AH4558" s="194" t="s">
        <v>1314</v>
      </c>
      <c r="AI4558" s="6" t="s">
        <v>468</v>
      </c>
      <c r="AJ4558" s="3" t="s">
        <v>8209</v>
      </c>
      <c r="AK4558" t="s">
        <v>8209</v>
      </c>
    </row>
    <row r="4559" spans="29:37" ht="13.5">
      <c r="AC4559" s="6" t="s">
        <v>1969</v>
      </c>
      <c r="AD4559" s="6" t="s">
        <v>7715</v>
      </c>
      <c r="AE4559" s="155" t="s">
        <v>251</v>
      </c>
      <c r="AF4559" s="159" t="s">
        <v>8559</v>
      </c>
      <c r="AG4559" s="160" t="s">
        <v>4075</v>
      </c>
      <c r="AH4559" s="194" t="s">
        <v>679</v>
      </c>
      <c r="AI4559" s="6" t="s">
        <v>469</v>
      </c>
      <c r="AJ4559" s="3" t="s">
        <v>8200</v>
      </c>
      <c r="AK4559" t="s">
        <v>8200</v>
      </c>
    </row>
    <row r="4560" spans="29:37" ht="13.5">
      <c r="AC4560" s="6" t="s">
        <v>1890</v>
      </c>
      <c r="AD4560" s="6" t="s">
        <v>7732</v>
      </c>
      <c r="AE4560" s="155" t="s">
        <v>254</v>
      </c>
      <c r="AF4560" s="159" t="s">
        <v>8560</v>
      </c>
      <c r="AG4560" s="160" t="s">
        <v>4770</v>
      </c>
      <c r="AH4560" s="194" t="s">
        <v>679</v>
      </c>
      <c r="AI4560" s="6" t="s">
        <v>472</v>
      </c>
      <c r="AJ4560" s="3" t="s">
        <v>8209</v>
      </c>
      <c r="AK4560" t="s">
        <v>8209</v>
      </c>
    </row>
    <row r="4561" spans="29:37" ht="13.5">
      <c r="AC4561" s="6" t="s">
        <v>1987</v>
      </c>
      <c r="AD4561" s="6" t="s">
        <v>7732</v>
      </c>
      <c r="AE4561" s="155" t="s">
        <v>263</v>
      </c>
      <c r="AF4561" s="159" t="s">
        <v>8561</v>
      </c>
      <c r="AG4561" s="160" t="s">
        <v>5051</v>
      </c>
      <c r="AH4561" s="194" t="s">
        <v>679</v>
      </c>
      <c r="AI4561" s="6" t="s">
        <v>474</v>
      </c>
      <c r="AJ4561" s="3" t="s">
        <v>8228</v>
      </c>
      <c r="AK4561" t="s">
        <v>8228</v>
      </c>
    </row>
    <row r="4562" spans="29:37" ht="13.5">
      <c r="AC4562" s="6" t="s">
        <v>2175</v>
      </c>
      <c r="AD4562" s="6" t="s">
        <v>7734</v>
      </c>
      <c r="AE4562" s="155" t="s">
        <v>270</v>
      </c>
      <c r="AF4562" s="159" t="s">
        <v>8562</v>
      </c>
      <c r="AG4562" s="160" t="s">
        <v>5218</v>
      </c>
      <c r="AH4562" s="194" t="s">
        <v>1314</v>
      </c>
      <c r="AI4562" s="6" t="s">
        <v>1043</v>
      </c>
      <c r="AJ4562" s="3" t="s">
        <v>8228</v>
      </c>
      <c r="AK4562" t="s">
        <v>8228</v>
      </c>
    </row>
    <row r="4563" spans="29:37" ht="13.5">
      <c r="AC4563" s="6">
        <v>595401</v>
      </c>
      <c r="AD4563" s="6" t="s">
        <v>7715</v>
      </c>
      <c r="AE4563" s="155" t="s">
        <v>1365</v>
      </c>
      <c r="AF4563" s="159" t="s">
        <v>8424</v>
      </c>
      <c r="AG4563" s="160" t="s">
        <v>5450</v>
      </c>
      <c r="AH4563" s="194" t="s">
        <v>1314</v>
      </c>
      <c r="AI4563" s="6" t="s">
        <v>10</v>
      </c>
      <c r="AJ4563" s="3" t="s">
        <v>8228</v>
      </c>
      <c r="AK4563" t="s">
        <v>8228</v>
      </c>
    </row>
    <row r="4564" spans="29:37" ht="13.5">
      <c r="AC4564" s="6" t="s">
        <v>1923</v>
      </c>
      <c r="AD4564" s="6" t="s">
        <v>7732</v>
      </c>
      <c r="AE4564" s="155" t="s">
        <v>382</v>
      </c>
      <c r="AF4564" s="159" t="s">
        <v>8346</v>
      </c>
      <c r="AG4564" s="160" t="s">
        <v>5451</v>
      </c>
      <c r="AH4564" s="194" t="s">
        <v>1314</v>
      </c>
      <c r="AI4564" s="6" t="s">
        <v>484</v>
      </c>
      <c r="AJ4564" s="3" t="s">
        <v>8228</v>
      </c>
      <c r="AK4564" t="s">
        <v>8228</v>
      </c>
    </row>
    <row r="4565" spans="29:37" ht="13.5">
      <c r="AC4565" s="6" t="s">
        <v>1779</v>
      </c>
      <c r="AD4565" s="6" t="s">
        <v>7729</v>
      </c>
      <c r="AE4565" s="155" t="s">
        <v>391</v>
      </c>
      <c r="AF4565" s="159" t="s">
        <v>8563</v>
      </c>
      <c r="AG4565" s="160" t="s">
        <v>5452</v>
      </c>
      <c r="AH4565" s="194" t="s">
        <v>1314</v>
      </c>
      <c r="AI4565" s="6" t="s">
        <v>485</v>
      </c>
      <c r="AJ4565" s="3" t="s">
        <v>8228</v>
      </c>
      <c r="AK4565" t="s">
        <v>8228</v>
      </c>
    </row>
    <row r="4566" spans="29:37" ht="13.5">
      <c r="AC4566" s="6" t="s">
        <v>1924</v>
      </c>
      <c r="AD4566" s="6" t="s">
        <v>7732</v>
      </c>
      <c r="AE4566" s="155" t="s">
        <v>397</v>
      </c>
      <c r="AF4566" s="159" t="s">
        <v>8372</v>
      </c>
      <c r="AG4566" s="160" t="s">
        <v>5453</v>
      </c>
      <c r="AH4566" s="194" t="s">
        <v>679</v>
      </c>
      <c r="AI4566" s="6" t="s">
        <v>1410</v>
      </c>
      <c r="AJ4566" s="3" t="s">
        <v>8196</v>
      </c>
      <c r="AK4566" t="s">
        <v>8196</v>
      </c>
    </row>
    <row r="4567" spans="29:37" ht="13.5">
      <c r="AC4567" s="6" t="s">
        <v>1986</v>
      </c>
      <c r="AD4567" s="6" t="s">
        <v>7732</v>
      </c>
      <c r="AE4567" s="155" t="s">
        <v>464</v>
      </c>
      <c r="AF4567" s="159" t="s">
        <v>8564</v>
      </c>
      <c r="AG4567" s="160" t="s">
        <v>5454</v>
      </c>
      <c r="AH4567" s="194" t="s">
        <v>1314</v>
      </c>
      <c r="AI4567" s="6" t="s">
        <v>6</v>
      </c>
      <c r="AJ4567" s="3" t="s">
        <v>8209</v>
      </c>
      <c r="AK4567" t="s">
        <v>8209</v>
      </c>
    </row>
    <row r="4568" spans="29:37" ht="13.5">
      <c r="AC4568" s="6" t="s">
        <v>1988</v>
      </c>
      <c r="AD4568" s="6" t="s">
        <v>7732</v>
      </c>
      <c r="AE4568" s="155" t="s">
        <v>1452</v>
      </c>
      <c r="AF4568" s="159" t="s">
        <v>8554</v>
      </c>
      <c r="AG4568" s="160" t="s">
        <v>4076</v>
      </c>
      <c r="AH4568" s="194" t="s">
        <v>1314</v>
      </c>
      <c r="AI4568" s="6" t="s">
        <v>496</v>
      </c>
      <c r="AJ4568" s="3" t="s">
        <v>8209</v>
      </c>
      <c r="AK4568" t="s">
        <v>8209</v>
      </c>
    </row>
    <row r="4569" spans="29:37" ht="13.5">
      <c r="AC4569" s="6" t="s">
        <v>2174</v>
      </c>
      <c r="AD4569" s="6" t="s">
        <v>7734</v>
      </c>
      <c r="AE4569" s="155" t="s">
        <v>596</v>
      </c>
      <c r="AF4569" s="159" t="s">
        <v>8379</v>
      </c>
      <c r="AG4569" s="160" t="s">
        <v>4077</v>
      </c>
      <c r="AH4569" s="194" t="s">
        <v>679</v>
      </c>
      <c r="AI4569" s="6" t="s">
        <v>498</v>
      </c>
      <c r="AJ4569" s="3" t="s">
        <v>8207</v>
      </c>
      <c r="AK4569" t="s">
        <v>8207</v>
      </c>
    </row>
    <row r="4570" spans="29:37" ht="13.5">
      <c r="AC4570" s="6">
        <v>665437</v>
      </c>
      <c r="AD4570" s="6" t="s">
        <v>7735</v>
      </c>
      <c r="AE4570" s="155" t="s">
        <v>1093</v>
      </c>
      <c r="AF4570" s="159" t="s">
        <v>8565</v>
      </c>
      <c r="AG4570" s="160" t="s">
        <v>4078</v>
      </c>
      <c r="AH4570" s="194" t="s">
        <v>679</v>
      </c>
      <c r="AI4570" s="6" t="s">
        <v>503</v>
      </c>
      <c r="AJ4570" s="3" t="s">
        <v>8200</v>
      </c>
      <c r="AK4570" t="s">
        <v>8200</v>
      </c>
    </row>
    <row r="4571" spans="29:37" ht="13.5">
      <c r="AC4571" s="6" t="s">
        <v>1767</v>
      </c>
      <c r="AD4571" s="6" t="s">
        <v>7727</v>
      </c>
      <c r="AE4571" s="155">
        <v>505359</v>
      </c>
      <c r="AF4571" s="159" t="s">
        <v>8377</v>
      </c>
      <c r="AG4571" s="160" t="s">
        <v>4079</v>
      </c>
      <c r="AH4571" s="194" t="s">
        <v>679</v>
      </c>
      <c r="AI4571" s="6" t="s">
        <v>504</v>
      </c>
      <c r="AJ4571" s="3" t="s">
        <v>8208</v>
      </c>
      <c r="AK4571" t="s">
        <v>8667</v>
      </c>
    </row>
    <row r="4572" spans="29:37" ht="13.5">
      <c r="AC4572" s="6" t="s">
        <v>2247</v>
      </c>
      <c r="AD4572" s="6" t="s">
        <v>7723</v>
      </c>
      <c r="AE4572" s="155" t="s">
        <v>5437</v>
      </c>
      <c r="AF4572" s="159" t="s">
        <v>8300</v>
      </c>
      <c r="AG4572" s="160" t="s">
        <v>4080</v>
      </c>
      <c r="AH4572" s="194" t="s">
        <v>678</v>
      </c>
      <c r="AI4572" s="6" t="s">
        <v>506</v>
      </c>
      <c r="AJ4572" s="3" t="s">
        <v>8195</v>
      </c>
      <c r="AK4572" t="s">
        <v>8195</v>
      </c>
    </row>
    <row r="4573" spans="29:37" ht="13.5">
      <c r="AC4573" s="6" t="s">
        <v>1751</v>
      </c>
      <c r="AD4573" s="6" t="s">
        <v>7736</v>
      </c>
      <c r="AE4573" s="155" t="s">
        <v>5412</v>
      </c>
      <c r="AF4573" s="159" t="s">
        <v>8300</v>
      </c>
      <c r="AG4573" s="160" t="s">
        <v>5046</v>
      </c>
      <c r="AH4573" s="194" t="s">
        <v>1314</v>
      </c>
      <c r="AI4573" s="6" t="s">
        <v>1044</v>
      </c>
      <c r="AJ4573" s="3" t="s">
        <v>8201</v>
      </c>
      <c r="AK4573" t="s">
        <v>8666</v>
      </c>
    </row>
    <row r="4574" spans="29:37" ht="13.5">
      <c r="AC4574" s="6" t="s">
        <v>2237</v>
      </c>
      <c r="AD4574" s="6" t="s">
        <v>7723</v>
      </c>
      <c r="AE4574" s="155" t="s">
        <v>5424</v>
      </c>
      <c r="AF4574" s="159" t="s">
        <v>8339</v>
      </c>
      <c r="AG4574" s="160" t="s">
        <v>5308</v>
      </c>
      <c r="AH4574" s="194" t="s">
        <v>678</v>
      </c>
      <c r="AI4574" s="6" t="s">
        <v>509</v>
      </c>
      <c r="AJ4574" s="3" t="s">
        <v>8209</v>
      </c>
      <c r="AK4574" t="s">
        <v>8209</v>
      </c>
    </row>
    <row r="4575" spans="29:37" ht="13.5">
      <c r="AC4575" s="6" t="s">
        <v>1989</v>
      </c>
      <c r="AD4575" s="6" t="s">
        <v>7732</v>
      </c>
      <c r="AE4575" s="155" t="s">
        <v>5425</v>
      </c>
      <c r="AF4575" s="159" t="s">
        <v>8339</v>
      </c>
      <c r="AG4575" s="160" t="s">
        <v>2504</v>
      </c>
      <c r="AH4575" s="194" t="s">
        <v>679</v>
      </c>
      <c r="AI4575" s="6" t="s">
        <v>511</v>
      </c>
      <c r="AJ4575" s="3" t="s">
        <v>8201</v>
      </c>
      <c r="AK4575" t="s">
        <v>8666</v>
      </c>
    </row>
    <row r="4576" spans="29:37" ht="13.5">
      <c r="AC4576" s="6" t="s">
        <v>1243</v>
      </c>
      <c r="AD4576" s="6" t="s">
        <v>7723</v>
      </c>
      <c r="AE4576" s="155" t="s">
        <v>5426</v>
      </c>
      <c r="AF4576" s="159" t="s">
        <v>8339</v>
      </c>
      <c r="AG4576" s="160" t="s">
        <v>2539</v>
      </c>
      <c r="AH4576" s="194" t="s">
        <v>679</v>
      </c>
      <c r="AI4576" s="6" t="s">
        <v>518</v>
      </c>
      <c r="AJ4576" s="3" t="s">
        <v>8212</v>
      </c>
      <c r="AK4576" t="s">
        <v>8212</v>
      </c>
    </row>
    <row r="4577" spans="29:37" ht="13.5">
      <c r="AC4577" s="6" t="s">
        <v>2273</v>
      </c>
      <c r="AD4577" s="6" t="s">
        <v>7737</v>
      </c>
      <c r="AE4577" s="155" t="s">
        <v>5429</v>
      </c>
      <c r="AF4577" s="159" t="s">
        <v>8339</v>
      </c>
      <c r="AG4577" s="160" t="s">
        <v>2690</v>
      </c>
      <c r="AH4577" s="194" t="s">
        <v>679</v>
      </c>
      <c r="AI4577" s="6" t="s">
        <v>3974</v>
      </c>
      <c r="AJ4577" s="3" t="s">
        <v>8200</v>
      </c>
      <c r="AK4577" t="s">
        <v>8200</v>
      </c>
    </row>
    <row r="4578" spans="29:37" ht="13.5">
      <c r="AC4578" s="6">
        <v>25235</v>
      </c>
      <c r="AD4578" s="6" t="s">
        <v>7707</v>
      </c>
      <c r="AE4578" s="155" t="s">
        <v>5506</v>
      </c>
      <c r="AF4578" s="159" t="s">
        <v>8300</v>
      </c>
      <c r="AG4578" s="160" t="s">
        <v>4767</v>
      </c>
      <c r="AH4578" s="194" t="s">
        <v>679</v>
      </c>
      <c r="AI4578" s="6" t="s">
        <v>3975</v>
      </c>
      <c r="AJ4578" s="3" t="s">
        <v>8228</v>
      </c>
      <c r="AK4578" t="s">
        <v>8228</v>
      </c>
    </row>
    <row r="4579" spans="29:37" ht="13.5">
      <c r="AC4579" s="6" t="s">
        <v>1842</v>
      </c>
      <c r="AD4579" s="6" t="s">
        <v>7738</v>
      </c>
      <c r="AE4579" s="155" t="s">
        <v>5287</v>
      </c>
      <c r="AF4579" s="159" t="s">
        <v>8339</v>
      </c>
      <c r="AG4579" s="160" t="s">
        <v>46</v>
      </c>
      <c r="AH4579" s="194" t="s">
        <v>679</v>
      </c>
      <c r="AI4579" s="6" t="s">
        <v>522</v>
      </c>
      <c r="AJ4579" s="3" t="s">
        <v>8228</v>
      </c>
      <c r="AK4579" t="s">
        <v>8228</v>
      </c>
    </row>
    <row r="4580" spans="29:37" ht="13.5">
      <c r="AC4580" s="6" t="s">
        <v>1970</v>
      </c>
      <c r="AD4580" s="6" t="s">
        <v>7715</v>
      </c>
      <c r="AE4580" s="155" t="s">
        <v>5414</v>
      </c>
      <c r="AF4580" s="159" t="s">
        <v>8339</v>
      </c>
      <c r="AG4580" s="160" t="s">
        <v>47</v>
      </c>
      <c r="AH4580" s="194" t="s">
        <v>679</v>
      </c>
      <c r="AI4580" s="6" t="s">
        <v>946</v>
      </c>
      <c r="AJ4580" s="3" t="s">
        <v>8200</v>
      </c>
      <c r="AK4580" t="s">
        <v>8200</v>
      </c>
    </row>
    <row r="4581" spans="29:37" ht="13.5">
      <c r="AC4581" s="6" t="s">
        <v>2107</v>
      </c>
      <c r="AD4581" s="6" t="s">
        <v>7739</v>
      </c>
      <c r="AE4581" s="155" t="s">
        <v>5416</v>
      </c>
      <c r="AF4581" s="159" t="s">
        <v>8339</v>
      </c>
      <c r="AG4581" s="160" t="s">
        <v>5255</v>
      </c>
      <c r="AH4581" s="194" t="s">
        <v>679</v>
      </c>
      <c r="AI4581" s="6" t="s">
        <v>532</v>
      </c>
      <c r="AJ4581" s="3" t="s">
        <v>8200</v>
      </c>
      <c r="AK4581" t="s">
        <v>8200</v>
      </c>
    </row>
    <row r="4582" spans="29:37" ht="13.5">
      <c r="AC4582" s="6" t="s">
        <v>5141</v>
      </c>
      <c r="AD4582" s="6" t="s">
        <v>7723</v>
      </c>
      <c r="AE4582" s="155" t="s">
        <v>5419</v>
      </c>
      <c r="AF4582" s="159" t="s">
        <v>8339</v>
      </c>
      <c r="AG4582" s="160" t="s">
        <v>5209</v>
      </c>
      <c r="AH4582" s="194" t="s">
        <v>679</v>
      </c>
      <c r="AI4582" s="6" t="s">
        <v>533</v>
      </c>
      <c r="AJ4582" s="3" t="s">
        <v>8208</v>
      </c>
      <c r="AK4582" t="s">
        <v>8667</v>
      </c>
    </row>
    <row r="4583" spans="29:37" ht="13.5">
      <c r="AC4583" s="6" t="s">
        <v>2272</v>
      </c>
      <c r="AD4583" s="6" t="s">
        <v>7723</v>
      </c>
      <c r="AE4583" s="155" t="s">
        <v>5291</v>
      </c>
      <c r="AF4583" s="159" t="s">
        <v>8339</v>
      </c>
      <c r="AG4583" s="160" t="s">
        <v>5455</v>
      </c>
      <c r="AH4583" s="194" t="s">
        <v>1314</v>
      </c>
      <c r="AI4583" s="6" t="s">
        <v>1054</v>
      </c>
      <c r="AJ4583" s="3" t="s">
        <v>8208</v>
      </c>
      <c r="AK4583" t="s">
        <v>8667</v>
      </c>
    </row>
    <row r="4584" spans="29:37" ht="13.5">
      <c r="AC4584" s="6" t="s">
        <v>4493</v>
      </c>
      <c r="AD4584" s="6" t="s">
        <v>7736</v>
      </c>
      <c r="AE4584" s="155" t="s">
        <v>5278</v>
      </c>
      <c r="AF4584" s="159" t="s">
        <v>8339</v>
      </c>
      <c r="AG4584" s="160" t="s">
        <v>618</v>
      </c>
      <c r="AH4584" s="194" t="s">
        <v>679</v>
      </c>
      <c r="AI4584" s="6" t="s">
        <v>942</v>
      </c>
      <c r="AJ4584" s="3" t="s">
        <v>8208</v>
      </c>
      <c r="AK4584" t="s">
        <v>8667</v>
      </c>
    </row>
    <row r="4585" spans="29:37" ht="13.5">
      <c r="AC4585" s="6" t="s">
        <v>1753</v>
      </c>
      <c r="AD4585" s="6" t="s">
        <v>7736</v>
      </c>
      <c r="AE4585" s="155" t="s">
        <v>5428</v>
      </c>
      <c r="AF4585" s="159" t="s">
        <v>8300</v>
      </c>
      <c r="AG4585" s="160" t="s">
        <v>619</v>
      </c>
      <c r="AH4585" s="194" t="s">
        <v>679</v>
      </c>
      <c r="AI4585" s="6" t="s">
        <v>535</v>
      </c>
      <c r="AJ4585" s="3" t="s">
        <v>8208</v>
      </c>
      <c r="AK4585" t="s">
        <v>8667</v>
      </c>
    </row>
    <row r="4586" spans="29:37" ht="13.5">
      <c r="AC4586" s="6" t="s">
        <v>5266</v>
      </c>
      <c r="AD4586" s="6" t="s">
        <v>7723</v>
      </c>
      <c r="AE4586" s="155" t="s">
        <v>5435</v>
      </c>
      <c r="AF4586" s="159" t="s">
        <v>8300</v>
      </c>
      <c r="AG4586" s="160" t="s">
        <v>620</v>
      </c>
      <c r="AH4586" s="194" t="s">
        <v>679</v>
      </c>
      <c r="AI4586" s="6" t="s">
        <v>1438</v>
      </c>
      <c r="AJ4586" s="3" t="s">
        <v>8196</v>
      </c>
      <c r="AK4586" t="s">
        <v>8196</v>
      </c>
    </row>
    <row r="4587" spans="29:37" ht="13.5">
      <c r="AC4587" s="6" t="s">
        <v>1898</v>
      </c>
      <c r="AD4587" s="6" t="s">
        <v>7736</v>
      </c>
      <c r="AE4587" s="155" t="s">
        <v>5436</v>
      </c>
      <c r="AF4587" s="159" t="s">
        <v>8339</v>
      </c>
      <c r="AG4587" s="160" t="s">
        <v>5259</v>
      </c>
      <c r="AH4587" s="194" t="s">
        <v>1314</v>
      </c>
      <c r="AI4587" s="6" t="s">
        <v>536</v>
      </c>
      <c r="AJ4587" s="3" t="s">
        <v>8208</v>
      </c>
      <c r="AK4587" t="s">
        <v>8667</v>
      </c>
    </row>
    <row r="4588" spans="29:37" ht="13.5">
      <c r="AC4588" s="6">
        <v>665436</v>
      </c>
      <c r="AD4588" s="6" t="s">
        <v>7735</v>
      </c>
      <c r="AE4588" s="155" t="s">
        <v>5275</v>
      </c>
      <c r="AF4588" s="159" t="s">
        <v>8339</v>
      </c>
      <c r="AG4588" s="160" t="s">
        <v>5048</v>
      </c>
      <c r="AH4588" s="194" t="s">
        <v>679</v>
      </c>
      <c r="AI4588" s="6" t="s">
        <v>1055</v>
      </c>
      <c r="AJ4588" s="3" t="s">
        <v>8208</v>
      </c>
      <c r="AK4588" t="s">
        <v>8667</v>
      </c>
    </row>
    <row r="4589" spans="29:37" ht="13.5">
      <c r="AC4589" s="6" t="s">
        <v>1990</v>
      </c>
      <c r="AD4589" s="6" t="s">
        <v>7736</v>
      </c>
      <c r="AE4589" s="155" t="s">
        <v>5439</v>
      </c>
      <c r="AF4589" s="159" t="s">
        <v>8300</v>
      </c>
      <c r="AG4589" s="160" t="s">
        <v>5247</v>
      </c>
      <c r="AH4589" s="194" t="s">
        <v>1314</v>
      </c>
      <c r="AI4589" s="6" t="s">
        <v>960</v>
      </c>
      <c r="AJ4589" s="3" t="s">
        <v>8208</v>
      </c>
      <c r="AK4589" t="s">
        <v>8667</v>
      </c>
    </row>
    <row r="4590" spans="29:37" ht="13.5">
      <c r="AC4590" s="6">
        <v>665435</v>
      </c>
      <c r="AD4590" s="6" t="s">
        <v>7735</v>
      </c>
      <c r="AE4590" s="155" t="s">
        <v>5420</v>
      </c>
      <c r="AF4590" s="159" t="s">
        <v>8339</v>
      </c>
      <c r="AG4590" s="160" t="s">
        <v>5456</v>
      </c>
      <c r="AH4590" s="194" t="s">
        <v>1314</v>
      </c>
      <c r="AI4590" s="6" t="s">
        <v>539</v>
      </c>
      <c r="AJ4590" s="3" t="s">
        <v>8208</v>
      </c>
      <c r="AK4590" t="s">
        <v>8667</v>
      </c>
    </row>
    <row r="4591" spans="29:37" ht="13.5">
      <c r="AC4591" s="6" t="s">
        <v>1991</v>
      </c>
      <c r="AD4591" s="6" t="s">
        <v>7736</v>
      </c>
      <c r="AE4591" s="155" t="s">
        <v>5300</v>
      </c>
      <c r="AF4591" s="159" t="s">
        <v>8339</v>
      </c>
      <c r="AG4591" s="160" t="s">
        <v>2506</v>
      </c>
      <c r="AH4591" s="194" t="s">
        <v>1314</v>
      </c>
      <c r="AI4591" s="6" t="s">
        <v>540</v>
      </c>
      <c r="AJ4591" s="3" t="s">
        <v>8208</v>
      </c>
      <c r="AK4591" t="s">
        <v>8667</v>
      </c>
    </row>
    <row r="4592" spans="29:37" ht="13.5">
      <c r="AC4592" s="6" t="s">
        <v>1727</v>
      </c>
      <c r="AD4592" s="6" t="s">
        <v>7740</v>
      </c>
      <c r="AE4592" s="155" t="s">
        <v>5279</v>
      </c>
      <c r="AF4592" s="159" t="s">
        <v>8339</v>
      </c>
      <c r="AG4592" s="160" t="s">
        <v>2692</v>
      </c>
      <c r="AH4592" s="194" t="s">
        <v>1314</v>
      </c>
      <c r="AI4592" s="6" t="s">
        <v>943</v>
      </c>
      <c r="AJ4592" s="3" t="s">
        <v>8208</v>
      </c>
      <c r="AK4592" t="s">
        <v>8667</v>
      </c>
    </row>
    <row r="4593" spans="29:37" ht="13.5">
      <c r="AC4593" s="6" t="s">
        <v>1899</v>
      </c>
      <c r="AD4593" s="6" t="s">
        <v>7736</v>
      </c>
      <c r="AE4593" s="155" t="s">
        <v>5440</v>
      </c>
      <c r="AF4593" s="159" t="s">
        <v>8339</v>
      </c>
      <c r="AG4593" s="160" t="s">
        <v>2193</v>
      </c>
      <c r="AH4593" s="194" t="s">
        <v>679</v>
      </c>
      <c r="AI4593" s="6" t="s">
        <v>545</v>
      </c>
      <c r="AJ4593" s="3" t="s">
        <v>8196</v>
      </c>
      <c r="AK4593" t="s">
        <v>8196</v>
      </c>
    </row>
    <row r="4594" spans="29:37" ht="13.5">
      <c r="AC4594" s="6" t="s">
        <v>2271</v>
      </c>
      <c r="AD4594" s="6" t="s">
        <v>7741</v>
      </c>
      <c r="AE4594" s="155" t="s">
        <v>5262</v>
      </c>
      <c r="AF4594" s="159" t="s">
        <v>8300</v>
      </c>
      <c r="AG4594" s="160" t="s">
        <v>4081</v>
      </c>
      <c r="AH4594" s="194" t="s">
        <v>679</v>
      </c>
      <c r="AI4594" s="6" t="s">
        <v>547</v>
      </c>
      <c r="AJ4594" s="3" t="s">
        <v>8200</v>
      </c>
      <c r="AK4594" t="s">
        <v>8200</v>
      </c>
    </row>
    <row r="4595" spans="29:37" ht="13.5">
      <c r="AC4595" s="6">
        <v>15255</v>
      </c>
      <c r="AD4595" s="6" t="s">
        <v>7725</v>
      </c>
      <c r="AE4595" s="155" t="s">
        <v>5250</v>
      </c>
      <c r="AF4595" s="159" t="s">
        <v>8300</v>
      </c>
      <c r="AG4595" s="160" t="s">
        <v>2505</v>
      </c>
      <c r="AH4595" s="194" t="s">
        <v>678</v>
      </c>
      <c r="AI4595" s="6" t="s">
        <v>551</v>
      </c>
      <c r="AJ4595" s="3" t="s">
        <v>8207</v>
      </c>
      <c r="AK4595" t="s">
        <v>8207</v>
      </c>
    </row>
    <row r="4596" spans="29:37" ht="13.5">
      <c r="AC4596" s="6" t="s">
        <v>1282</v>
      </c>
      <c r="AD4596" s="6" t="s">
        <v>7729</v>
      </c>
      <c r="AE4596" s="155" t="s">
        <v>5507</v>
      </c>
      <c r="AF4596" s="159" t="s">
        <v>8300</v>
      </c>
      <c r="AG4596" s="160" t="s">
        <v>2557</v>
      </c>
      <c r="AH4596" s="194" t="s">
        <v>678</v>
      </c>
      <c r="AI4596" s="6" t="s">
        <v>552</v>
      </c>
      <c r="AJ4596" s="3" t="s">
        <v>8196</v>
      </c>
      <c r="AK4596" t="s">
        <v>8196</v>
      </c>
    </row>
    <row r="4597" spans="29:37" ht="13.5">
      <c r="AC4597" s="6">
        <v>595398</v>
      </c>
      <c r="AD4597" s="6" t="s">
        <v>7715</v>
      </c>
      <c r="AE4597" s="155" t="s">
        <v>5123</v>
      </c>
      <c r="AF4597" s="159" t="s">
        <v>8300</v>
      </c>
      <c r="AG4597" s="160" t="s">
        <v>2566</v>
      </c>
      <c r="AH4597" s="194" t="s">
        <v>678</v>
      </c>
      <c r="AI4597" s="6" t="s">
        <v>554</v>
      </c>
      <c r="AJ4597" s="3" t="s">
        <v>8196</v>
      </c>
      <c r="AK4597" t="s">
        <v>8196</v>
      </c>
    </row>
    <row r="4598" spans="29:37" ht="13.5">
      <c r="AC4598" s="6" t="s">
        <v>2267</v>
      </c>
      <c r="AD4598" s="6" t="s">
        <v>7737</v>
      </c>
      <c r="AE4598" s="155">
        <v>113600</v>
      </c>
      <c r="AF4598" s="159" t="s">
        <v>8300</v>
      </c>
      <c r="AG4598" s="164" t="s">
        <v>2567</v>
      </c>
      <c r="AH4598" s="194" t="s">
        <v>679</v>
      </c>
      <c r="AI4598" s="6" t="s">
        <v>556</v>
      </c>
      <c r="AJ4598" s="3" t="s">
        <v>8228</v>
      </c>
      <c r="AK4598" t="s">
        <v>8228</v>
      </c>
    </row>
    <row r="4599" spans="29:37" ht="13.5">
      <c r="AC4599" s="6">
        <v>665434</v>
      </c>
      <c r="AD4599" s="6" t="s">
        <v>7735</v>
      </c>
      <c r="AE4599" s="155" t="s">
        <v>5508</v>
      </c>
      <c r="AF4599" s="159" t="s">
        <v>8339</v>
      </c>
      <c r="AG4599" s="160" t="s">
        <v>2568</v>
      </c>
      <c r="AH4599" s="194" t="s">
        <v>678</v>
      </c>
      <c r="AI4599" s="6" t="s">
        <v>1442</v>
      </c>
      <c r="AJ4599" s="3" t="s">
        <v>8207</v>
      </c>
      <c r="AK4599" t="s">
        <v>8207</v>
      </c>
    </row>
    <row r="4600" spans="29:37" ht="13.5">
      <c r="AC4600" s="6">
        <v>655431</v>
      </c>
      <c r="AD4600" s="6" t="s">
        <v>7742</v>
      </c>
      <c r="AE4600" s="155" t="s">
        <v>5509</v>
      </c>
      <c r="AF4600" s="159" t="s">
        <v>8339</v>
      </c>
      <c r="AG4600" s="160" t="s">
        <v>2667</v>
      </c>
      <c r="AH4600" s="194" t="s">
        <v>679</v>
      </c>
      <c r="AI4600" s="6" t="s">
        <v>561</v>
      </c>
      <c r="AJ4600" s="3" t="s">
        <v>8196</v>
      </c>
      <c r="AK4600" t="s">
        <v>8196</v>
      </c>
    </row>
    <row r="4601" spans="29:37" ht="13.5">
      <c r="AC4601" s="6" t="s">
        <v>2083</v>
      </c>
      <c r="AD4601" s="6" t="s">
        <v>7739</v>
      </c>
      <c r="AE4601" s="155" t="s">
        <v>5464</v>
      </c>
      <c r="AF4601" s="159" t="s">
        <v>8300</v>
      </c>
      <c r="AG4601" s="160" t="s">
        <v>5457</v>
      </c>
      <c r="AH4601" s="194" t="s">
        <v>679</v>
      </c>
      <c r="AI4601" s="6" t="s">
        <v>1443</v>
      </c>
      <c r="AJ4601" s="3" t="s">
        <v>8196</v>
      </c>
      <c r="AK4601" t="s">
        <v>8196</v>
      </c>
    </row>
    <row r="4602" spans="29:37" ht="13.5">
      <c r="AC4602" s="6" t="s">
        <v>2171</v>
      </c>
      <c r="AD4602" s="6" t="s">
        <v>7715</v>
      </c>
      <c r="AE4602" s="155" t="s">
        <v>5441</v>
      </c>
      <c r="AF4602" s="159" t="s">
        <v>8300</v>
      </c>
      <c r="AG4602" s="160" t="s">
        <v>4082</v>
      </c>
      <c r="AH4602" s="194" t="s">
        <v>679</v>
      </c>
      <c r="AI4602" s="6" t="s">
        <v>1062</v>
      </c>
      <c r="AJ4602" s="3" t="s">
        <v>8196</v>
      </c>
      <c r="AK4602" t="s">
        <v>8196</v>
      </c>
    </row>
    <row r="4603" spans="29:37" ht="13.5">
      <c r="AC4603" s="6">
        <v>25334</v>
      </c>
      <c r="AD4603" s="6" t="s">
        <v>7707</v>
      </c>
      <c r="AE4603" s="155" t="s">
        <v>5434</v>
      </c>
      <c r="AF4603" s="159" t="s">
        <v>8300</v>
      </c>
      <c r="AG4603" s="160" t="s">
        <v>4083</v>
      </c>
      <c r="AH4603" s="194" t="s">
        <v>679</v>
      </c>
      <c r="AI4603" s="6" t="s">
        <v>950</v>
      </c>
      <c r="AJ4603" s="3" t="s">
        <v>8196</v>
      </c>
      <c r="AK4603" t="s">
        <v>8196</v>
      </c>
    </row>
    <row r="4604" spans="29:37" ht="13.5">
      <c r="AC4604" s="6" t="s">
        <v>2270</v>
      </c>
      <c r="AD4604" s="6" t="s">
        <v>7737</v>
      </c>
      <c r="AE4604" s="155" t="s">
        <v>5415</v>
      </c>
      <c r="AF4604" s="159" t="s">
        <v>8300</v>
      </c>
      <c r="AG4604" s="160" t="s">
        <v>4084</v>
      </c>
      <c r="AH4604" s="194" t="s">
        <v>679</v>
      </c>
      <c r="AI4604" s="6" t="s">
        <v>1064</v>
      </c>
      <c r="AJ4604" s="3" t="s">
        <v>8196</v>
      </c>
      <c r="AK4604" t="s">
        <v>8196</v>
      </c>
    </row>
    <row r="4605" spans="29:37" ht="13.5">
      <c r="AC4605" s="6">
        <v>655432</v>
      </c>
      <c r="AD4605" s="6" t="s">
        <v>7742</v>
      </c>
      <c r="AE4605" s="155" t="s">
        <v>5510</v>
      </c>
      <c r="AF4605" s="159" t="s">
        <v>8339</v>
      </c>
      <c r="AG4605" s="160" t="s">
        <v>5146</v>
      </c>
      <c r="AH4605" s="194" t="s">
        <v>1314</v>
      </c>
      <c r="AI4605" s="6" t="s">
        <v>1065</v>
      </c>
      <c r="AJ4605" s="3" t="s">
        <v>8196</v>
      </c>
      <c r="AK4605" t="s">
        <v>8196</v>
      </c>
    </row>
    <row r="4606" spans="29:37" ht="13.5">
      <c r="AC4606" s="6" t="s">
        <v>2269</v>
      </c>
      <c r="AD4606" s="6" t="s">
        <v>7737</v>
      </c>
      <c r="AE4606" s="155" t="s">
        <v>5511</v>
      </c>
      <c r="AF4606" s="159" t="s">
        <v>8300</v>
      </c>
      <c r="AG4606" s="160" t="s">
        <v>4085</v>
      </c>
      <c r="AH4606" s="194" t="s">
        <v>679</v>
      </c>
      <c r="AI4606" s="6" t="s">
        <v>569</v>
      </c>
      <c r="AJ4606" s="3" t="s">
        <v>8201</v>
      </c>
      <c r="AK4606" t="s">
        <v>8666</v>
      </c>
    </row>
    <row r="4607" spans="29:37" ht="13.5">
      <c r="AC4607" s="6" t="s">
        <v>2110</v>
      </c>
      <c r="AD4607" s="6" t="s">
        <v>7740</v>
      </c>
      <c r="AE4607" s="155" t="s">
        <v>5512</v>
      </c>
      <c r="AF4607" s="159" t="s">
        <v>8300</v>
      </c>
      <c r="AG4607" s="160" t="s">
        <v>4086</v>
      </c>
      <c r="AH4607" s="194" t="s">
        <v>679</v>
      </c>
      <c r="AI4607" s="6" t="s">
        <v>1445</v>
      </c>
      <c r="AJ4607" s="3" t="s">
        <v>8196</v>
      </c>
      <c r="AK4607" t="s">
        <v>8196</v>
      </c>
    </row>
    <row r="4608" spans="29:37" ht="13.5">
      <c r="AC4608" s="6" t="s">
        <v>2266</v>
      </c>
      <c r="AD4608" s="6" t="s">
        <v>7737</v>
      </c>
      <c r="AE4608" s="155" t="s">
        <v>5513</v>
      </c>
      <c r="AF4608" s="159" t="s">
        <v>8300</v>
      </c>
      <c r="AG4608" s="160" t="s">
        <v>5458</v>
      </c>
      <c r="AH4608" s="194" t="s">
        <v>1314</v>
      </c>
      <c r="AI4608" s="6" t="s">
        <v>570</v>
      </c>
      <c r="AJ4608" s="3" t="s">
        <v>8201</v>
      </c>
      <c r="AK4608" t="s">
        <v>8666</v>
      </c>
    </row>
    <row r="4609" spans="29:37" ht="13.5">
      <c r="AC4609" s="6">
        <v>665433</v>
      </c>
      <c r="AD4609" s="6" t="s">
        <v>7735</v>
      </c>
      <c r="AE4609" s="155" t="s">
        <v>5514</v>
      </c>
      <c r="AF4609" s="159" t="s">
        <v>8300</v>
      </c>
      <c r="AG4609" s="160" t="s">
        <v>621</v>
      </c>
      <c r="AH4609" s="194" t="s">
        <v>678</v>
      </c>
      <c r="AI4609" s="6" t="s">
        <v>1447</v>
      </c>
      <c r="AJ4609" s="3" t="s">
        <v>8201</v>
      </c>
      <c r="AK4609" t="s">
        <v>8666</v>
      </c>
    </row>
    <row r="4610" spans="29:37" ht="13.5">
      <c r="AC4610" s="6" t="s">
        <v>1291</v>
      </c>
      <c r="AD4610" s="6" t="s">
        <v>7743</v>
      </c>
      <c r="AE4610" s="155" t="s">
        <v>5515</v>
      </c>
      <c r="AF4610" s="159" t="s">
        <v>8300</v>
      </c>
      <c r="AG4610" s="160" t="s">
        <v>622</v>
      </c>
      <c r="AH4610" s="194" t="s">
        <v>679</v>
      </c>
      <c r="AI4610" s="6" t="s">
        <v>973</v>
      </c>
      <c r="AJ4610" s="3" t="s">
        <v>8201</v>
      </c>
      <c r="AK4610" t="s">
        <v>8666</v>
      </c>
    </row>
    <row r="4611" spans="29:37" ht="13.5">
      <c r="AC4611" s="6" t="s">
        <v>5101</v>
      </c>
      <c r="AD4611" s="6" t="s">
        <v>7744</v>
      </c>
      <c r="AE4611" s="155" t="s">
        <v>5516</v>
      </c>
      <c r="AF4611" s="159" t="s">
        <v>8300</v>
      </c>
      <c r="AG4611" s="160" t="s">
        <v>1187</v>
      </c>
      <c r="AH4611" s="194" t="s">
        <v>679</v>
      </c>
      <c r="AI4611" s="6" t="s">
        <v>983</v>
      </c>
      <c r="AJ4611" s="3" t="s">
        <v>8201</v>
      </c>
      <c r="AK4611" t="s">
        <v>8666</v>
      </c>
    </row>
    <row r="4612" spans="29:37" ht="13.5">
      <c r="AC4612" s="6" t="s">
        <v>2262</v>
      </c>
      <c r="AD4612" s="6" t="s">
        <v>7745</v>
      </c>
      <c r="AE4612" s="155">
        <v>113598</v>
      </c>
      <c r="AF4612" s="159" t="s">
        <v>8300</v>
      </c>
      <c r="AG4612" s="160" t="s">
        <v>623</v>
      </c>
      <c r="AH4612" s="194" t="s">
        <v>679</v>
      </c>
      <c r="AI4612" s="6" t="s">
        <v>573</v>
      </c>
      <c r="AJ4612" s="3" t="s">
        <v>8195</v>
      </c>
      <c r="AK4612" t="s">
        <v>8195</v>
      </c>
    </row>
    <row r="4613" spans="29:37" ht="13.5">
      <c r="AC4613" s="6" t="s">
        <v>5220</v>
      </c>
      <c r="AD4613" s="6" t="s">
        <v>7744</v>
      </c>
      <c r="AE4613" s="155" t="s">
        <v>5769</v>
      </c>
      <c r="AF4613" s="159" t="s">
        <v>8339</v>
      </c>
      <c r="AG4613" s="160" t="s">
        <v>4454</v>
      </c>
      <c r="AH4613" s="194" t="s">
        <v>679</v>
      </c>
      <c r="AI4613" s="6" t="s">
        <v>1449</v>
      </c>
      <c r="AJ4613" s="3" t="s">
        <v>8195</v>
      </c>
      <c r="AK4613" t="s">
        <v>8195</v>
      </c>
    </row>
    <row r="4614" spans="29:37" ht="13.5">
      <c r="AC4614" s="6" t="s">
        <v>1998</v>
      </c>
      <c r="AD4614" s="6" t="s">
        <v>7746</v>
      </c>
      <c r="AE4614" s="155" t="s">
        <v>5770</v>
      </c>
      <c r="AF4614" s="159" t="s">
        <v>8339</v>
      </c>
      <c r="AG4614" s="160" t="s">
        <v>5135</v>
      </c>
      <c r="AH4614" s="194" t="s">
        <v>4700</v>
      </c>
      <c r="AI4614" s="6" t="s">
        <v>574</v>
      </c>
      <c r="AJ4614" s="3" t="s">
        <v>8195</v>
      </c>
      <c r="AK4614" t="s">
        <v>8195</v>
      </c>
    </row>
    <row r="4615" spans="29:37" ht="13.5">
      <c r="AC4615" s="6" t="s">
        <v>2268</v>
      </c>
      <c r="AD4615" s="6" t="s">
        <v>7737</v>
      </c>
      <c r="AE4615" s="155" t="s">
        <v>5771</v>
      </c>
      <c r="AF4615" s="159" t="s">
        <v>8339</v>
      </c>
      <c r="AG4615" s="160" t="s">
        <v>624</v>
      </c>
      <c r="AH4615" s="194" t="s">
        <v>678</v>
      </c>
      <c r="AI4615" s="6" t="s">
        <v>5287</v>
      </c>
      <c r="AJ4615" s="3" t="s">
        <v>8195</v>
      </c>
      <c r="AK4615" t="s">
        <v>8195</v>
      </c>
    </row>
    <row r="4616" spans="29:37" ht="13.5">
      <c r="AC4616" s="6" t="s">
        <v>2190</v>
      </c>
      <c r="AD4616" s="6" t="s">
        <v>7743</v>
      </c>
      <c r="AE4616" s="155" t="s">
        <v>5772</v>
      </c>
      <c r="AF4616" s="159" t="s">
        <v>8342</v>
      </c>
      <c r="AG4616" s="160" t="s">
        <v>5217</v>
      </c>
      <c r="AH4616" s="194" t="s">
        <v>679</v>
      </c>
      <c r="AI4616" s="6" t="s">
        <v>1450</v>
      </c>
      <c r="AJ4616" s="3" t="s">
        <v>8195</v>
      </c>
      <c r="AK4616" t="s">
        <v>8195</v>
      </c>
    </row>
    <row r="4617" spans="29:37" ht="13.5">
      <c r="AC4617" s="6" t="s">
        <v>2191</v>
      </c>
      <c r="AD4617" s="6" t="s">
        <v>7743</v>
      </c>
      <c r="AE4617" s="155" t="s">
        <v>5773</v>
      </c>
      <c r="AF4617" s="159" t="s">
        <v>8339</v>
      </c>
      <c r="AG4617" s="160" t="s">
        <v>5459</v>
      </c>
      <c r="AH4617" s="194" t="s">
        <v>679</v>
      </c>
      <c r="AI4617" s="6" t="s">
        <v>1451</v>
      </c>
      <c r="AJ4617" s="3" t="s">
        <v>8195</v>
      </c>
      <c r="AK4617" t="s">
        <v>8195</v>
      </c>
    </row>
    <row r="4618" spans="29:37" ht="13.5">
      <c r="AC4618" s="6" t="s">
        <v>1900</v>
      </c>
      <c r="AD4618" s="6" t="s">
        <v>7746</v>
      </c>
      <c r="AE4618" s="155" t="s">
        <v>5774</v>
      </c>
      <c r="AF4618" s="159" t="s">
        <v>8339</v>
      </c>
      <c r="AG4618" s="160" t="s">
        <v>5460</v>
      </c>
      <c r="AH4618" s="194" t="s">
        <v>679</v>
      </c>
      <c r="AI4618" s="6" t="s">
        <v>1452</v>
      </c>
      <c r="AJ4618" s="3" t="s">
        <v>8195</v>
      </c>
      <c r="AK4618" t="s">
        <v>8195</v>
      </c>
    </row>
    <row r="4619" spans="29:37" ht="13.5">
      <c r="AC4619" s="6" t="s">
        <v>2187</v>
      </c>
      <c r="AD4619" s="6" t="s">
        <v>7743</v>
      </c>
      <c r="AE4619" s="155" t="s">
        <v>5775</v>
      </c>
      <c r="AF4619" s="159" t="s">
        <v>8300</v>
      </c>
      <c r="AG4619" s="160" t="s">
        <v>5461</v>
      </c>
      <c r="AH4619" s="194" t="s">
        <v>679</v>
      </c>
      <c r="AI4619" s="6" t="s">
        <v>1453</v>
      </c>
      <c r="AJ4619" s="3" t="s">
        <v>8195</v>
      </c>
      <c r="AK4619" t="s">
        <v>8195</v>
      </c>
    </row>
    <row r="4620" spans="29:37" ht="13.5">
      <c r="AC4620" s="6" t="s">
        <v>2189</v>
      </c>
      <c r="AD4620" s="6" t="s">
        <v>7743</v>
      </c>
      <c r="AE4620" s="155" t="s">
        <v>5776</v>
      </c>
      <c r="AF4620" s="159" t="s">
        <v>8339</v>
      </c>
      <c r="AG4620" s="160" t="s">
        <v>854</v>
      </c>
      <c r="AH4620" s="194" t="s">
        <v>1314</v>
      </c>
      <c r="AI4620" s="6" t="s">
        <v>1456</v>
      </c>
      <c r="AJ4620" s="3" t="s">
        <v>8195</v>
      </c>
      <c r="AK4620" t="s">
        <v>8195</v>
      </c>
    </row>
    <row r="4621" spans="29:37" ht="13.5">
      <c r="AC4621" s="6" t="s">
        <v>2188</v>
      </c>
      <c r="AD4621" s="6" t="s">
        <v>7743</v>
      </c>
      <c r="AE4621" s="155" t="s">
        <v>5777</v>
      </c>
      <c r="AF4621" s="159" t="s">
        <v>8300</v>
      </c>
      <c r="AG4621" s="160" t="s">
        <v>855</v>
      </c>
      <c r="AH4621" s="194" t="s">
        <v>1314</v>
      </c>
      <c r="AI4621" s="6" t="s">
        <v>1457</v>
      </c>
      <c r="AJ4621" s="3" t="s">
        <v>8195</v>
      </c>
      <c r="AK4621" t="s">
        <v>8195</v>
      </c>
    </row>
    <row r="4622" spans="29:37" ht="13.5">
      <c r="AC4622" s="6" t="s">
        <v>1794</v>
      </c>
      <c r="AD4622" s="6" t="s">
        <v>7743</v>
      </c>
      <c r="AE4622" s="155" t="s">
        <v>5778</v>
      </c>
      <c r="AF4622" s="159" t="s">
        <v>8300</v>
      </c>
      <c r="AG4622" s="160" t="s">
        <v>856</v>
      </c>
      <c r="AH4622" s="194" t="s">
        <v>1314</v>
      </c>
      <c r="AI4622" s="6" t="s">
        <v>579</v>
      </c>
      <c r="AJ4622" s="3" t="s">
        <v>8209</v>
      </c>
      <c r="AK4622" t="s">
        <v>8209</v>
      </c>
    </row>
    <row r="4623" spans="29:37" ht="13.5">
      <c r="AC4623" s="6" t="s">
        <v>2081</v>
      </c>
      <c r="AD4623" s="6" t="s">
        <v>7739</v>
      </c>
      <c r="AE4623" s="155" t="s">
        <v>5779</v>
      </c>
      <c r="AF4623" s="159" t="s">
        <v>8339</v>
      </c>
      <c r="AG4623" s="160" t="s">
        <v>857</v>
      </c>
      <c r="AH4623" s="194" t="s">
        <v>1314</v>
      </c>
      <c r="AI4623" s="6" t="s">
        <v>4715</v>
      </c>
      <c r="AJ4623" s="3" t="s">
        <v>8195</v>
      </c>
      <c r="AK4623" t="s">
        <v>8195</v>
      </c>
    </row>
    <row r="4624" spans="29:37" ht="13.5">
      <c r="AC4624" s="6" t="s">
        <v>1999</v>
      </c>
      <c r="AD4624" s="6" t="s">
        <v>7746</v>
      </c>
      <c r="AE4624" s="155" t="s">
        <v>5780</v>
      </c>
      <c r="AF4624" s="159" t="s">
        <v>8300</v>
      </c>
      <c r="AG4624" s="160" t="s">
        <v>858</v>
      </c>
      <c r="AH4624" s="194" t="s">
        <v>1314</v>
      </c>
      <c r="AI4624" s="6" t="s">
        <v>5414</v>
      </c>
      <c r="AJ4624" s="3" t="s">
        <v>8195</v>
      </c>
      <c r="AK4624" t="s">
        <v>8195</v>
      </c>
    </row>
    <row r="4625" spans="29:37" ht="13.5">
      <c r="AC4625" s="6" t="s">
        <v>2186</v>
      </c>
      <c r="AD4625" s="6" t="s">
        <v>7747</v>
      </c>
      <c r="AE4625" s="155" t="s">
        <v>5781</v>
      </c>
      <c r="AF4625" s="159" t="s">
        <v>8339</v>
      </c>
      <c r="AG4625" s="160" t="s">
        <v>859</v>
      </c>
      <c r="AH4625" s="194" t="s">
        <v>1314</v>
      </c>
      <c r="AI4625" s="6" t="s">
        <v>1458</v>
      </c>
      <c r="AJ4625" s="3" t="s">
        <v>8195</v>
      </c>
      <c r="AK4625" t="s">
        <v>8195</v>
      </c>
    </row>
    <row r="4626" spans="29:37" ht="13.5">
      <c r="AC4626" s="6" t="s">
        <v>4359</v>
      </c>
      <c r="AD4626" s="6" t="s">
        <v>7748</v>
      </c>
      <c r="AE4626" s="155" t="s">
        <v>5782</v>
      </c>
      <c r="AF4626" s="159" t="s">
        <v>8300</v>
      </c>
      <c r="AG4626" s="160" t="s">
        <v>1185</v>
      </c>
      <c r="AH4626" s="194" t="s">
        <v>1314</v>
      </c>
      <c r="AI4626" s="6" t="s">
        <v>580</v>
      </c>
      <c r="AJ4626" s="3" t="s">
        <v>8195</v>
      </c>
      <c r="AK4626" t="s">
        <v>8195</v>
      </c>
    </row>
    <row r="4627" spans="29:37" ht="13.5">
      <c r="AC4627" s="6" t="s">
        <v>2192</v>
      </c>
      <c r="AD4627" s="6" t="s">
        <v>7743</v>
      </c>
      <c r="AE4627" s="155" t="s">
        <v>5783</v>
      </c>
      <c r="AF4627" s="159" t="s">
        <v>8300</v>
      </c>
      <c r="AG4627" s="160" t="s">
        <v>860</v>
      </c>
      <c r="AH4627" s="194" t="s">
        <v>1314</v>
      </c>
      <c r="AI4627" s="6" t="s">
        <v>582</v>
      </c>
      <c r="AJ4627" s="3" t="s">
        <v>8195</v>
      </c>
      <c r="AK4627" t="s">
        <v>8195</v>
      </c>
    </row>
    <row r="4628" spans="29:37" ht="13.5">
      <c r="AC4628" s="6">
        <v>15344</v>
      </c>
      <c r="AD4628" s="6" t="s">
        <v>7725</v>
      </c>
      <c r="AE4628" s="155" t="s">
        <v>5784</v>
      </c>
      <c r="AF4628" s="159" t="s">
        <v>8300</v>
      </c>
      <c r="AG4628" s="160" t="s">
        <v>1115</v>
      </c>
      <c r="AH4628" s="194" t="s">
        <v>679</v>
      </c>
      <c r="AI4628" s="6" t="s">
        <v>585</v>
      </c>
      <c r="AJ4628" s="3" t="s">
        <v>8195</v>
      </c>
      <c r="AK4628" t="s">
        <v>8195</v>
      </c>
    </row>
    <row r="4629" spans="29:37" ht="13.5">
      <c r="AC4629" s="6" t="s">
        <v>1820</v>
      </c>
      <c r="AD4629" s="6" t="s">
        <v>7749</v>
      </c>
      <c r="AE4629" s="155" t="s">
        <v>5785</v>
      </c>
      <c r="AF4629" s="159" t="s">
        <v>8339</v>
      </c>
      <c r="AG4629" s="160" t="s">
        <v>861</v>
      </c>
      <c r="AH4629" s="194" t="s">
        <v>679</v>
      </c>
      <c r="AI4629" s="6" t="s">
        <v>593</v>
      </c>
      <c r="AJ4629" s="3" t="s">
        <v>8212</v>
      </c>
      <c r="AK4629" t="s">
        <v>8212</v>
      </c>
    </row>
    <row r="4630" spans="29:37" ht="13.5">
      <c r="AC4630" s="6" t="s">
        <v>1755</v>
      </c>
      <c r="AD4630" s="6" t="s">
        <v>7744</v>
      </c>
      <c r="AE4630" s="155" t="s">
        <v>5786</v>
      </c>
      <c r="AF4630" s="159" t="s">
        <v>8339</v>
      </c>
      <c r="AG4630" s="160" t="s">
        <v>862</v>
      </c>
      <c r="AH4630" s="194" t="s">
        <v>679</v>
      </c>
      <c r="AI4630" s="6" t="s">
        <v>1195</v>
      </c>
      <c r="AJ4630" s="3" t="s">
        <v>8200</v>
      </c>
      <c r="AK4630" t="s">
        <v>8200</v>
      </c>
    </row>
    <row r="4631" spans="29:37" ht="13.5">
      <c r="AC4631" s="6" t="s">
        <v>1729</v>
      </c>
      <c r="AD4631" s="6" t="s">
        <v>7740</v>
      </c>
      <c r="AE4631" s="155" t="s">
        <v>5787</v>
      </c>
      <c r="AF4631" s="159" t="s">
        <v>8339</v>
      </c>
      <c r="AG4631" s="160" t="s">
        <v>683</v>
      </c>
      <c r="AH4631" s="194" t="s">
        <v>679</v>
      </c>
      <c r="AI4631" s="6" t="s">
        <v>597</v>
      </c>
      <c r="AJ4631" s="3" t="s">
        <v>8228</v>
      </c>
      <c r="AK4631" t="s">
        <v>8228</v>
      </c>
    </row>
    <row r="4632" spans="29:37" ht="13.5">
      <c r="AC4632" s="6">
        <v>25258</v>
      </c>
      <c r="AD4632" s="6" t="s">
        <v>7707</v>
      </c>
      <c r="AE4632" s="155" t="s">
        <v>5788</v>
      </c>
      <c r="AF4632" s="159" t="s">
        <v>8339</v>
      </c>
      <c r="AG4632" s="160" t="s">
        <v>863</v>
      </c>
      <c r="AH4632" s="194" t="s">
        <v>678</v>
      </c>
      <c r="AI4632" s="6" t="s">
        <v>1192</v>
      </c>
      <c r="AJ4632" s="3" t="s">
        <v>8195</v>
      </c>
      <c r="AK4632" t="s">
        <v>8195</v>
      </c>
    </row>
    <row r="4633" spans="29:37" ht="13.5">
      <c r="AC4633" s="6" t="s">
        <v>2113</v>
      </c>
      <c r="AD4633" s="6" t="s">
        <v>7740</v>
      </c>
      <c r="AE4633" s="155" t="s">
        <v>5789</v>
      </c>
      <c r="AF4633" s="159" t="s">
        <v>8339</v>
      </c>
      <c r="AG4633" s="160" t="s">
        <v>864</v>
      </c>
      <c r="AH4633" s="194" t="s">
        <v>679</v>
      </c>
      <c r="AI4633" s="6" t="s">
        <v>1085</v>
      </c>
      <c r="AJ4633" s="3" t="s">
        <v>8209</v>
      </c>
      <c r="AK4633" t="s">
        <v>8209</v>
      </c>
    </row>
    <row r="4634" spans="29:37" ht="13.5">
      <c r="AC4634" s="6" t="s">
        <v>2000</v>
      </c>
      <c r="AD4634" s="6" t="s">
        <v>7750</v>
      </c>
      <c r="AE4634" s="155" t="s">
        <v>5790</v>
      </c>
      <c r="AF4634" s="159" t="s">
        <v>8339</v>
      </c>
      <c r="AG4634" s="160" t="s">
        <v>865</v>
      </c>
      <c r="AH4634" s="194" t="s">
        <v>679</v>
      </c>
      <c r="AI4634" s="6" t="s">
        <v>1663</v>
      </c>
      <c r="AJ4634" s="3" t="s">
        <v>8201</v>
      </c>
      <c r="AK4634" t="s">
        <v>8666</v>
      </c>
    </row>
    <row r="4635" spans="29:37" ht="13.5">
      <c r="AC4635" s="6" t="s">
        <v>2108</v>
      </c>
      <c r="AD4635" s="6" t="s">
        <v>7739</v>
      </c>
      <c r="AE4635" s="155" t="s">
        <v>5791</v>
      </c>
      <c r="AF4635" s="159" t="s">
        <v>8339</v>
      </c>
      <c r="AG4635" s="160" t="s">
        <v>1744</v>
      </c>
      <c r="AH4635" s="194" t="s">
        <v>679</v>
      </c>
      <c r="AI4635" s="6" t="s">
        <v>984</v>
      </c>
      <c r="AJ4635" s="3" t="s">
        <v>8201</v>
      </c>
      <c r="AK4635" t="s">
        <v>8666</v>
      </c>
    </row>
    <row r="4636" spans="29:37" ht="13.5">
      <c r="AC4636" s="6" t="s">
        <v>1831</v>
      </c>
      <c r="AD4636" s="6" t="s">
        <v>7751</v>
      </c>
      <c r="AE4636" s="155" t="s">
        <v>5792</v>
      </c>
      <c r="AF4636" s="159" t="s">
        <v>8300</v>
      </c>
      <c r="AG4636" s="160" t="s">
        <v>866</v>
      </c>
      <c r="AH4636" s="194" t="s">
        <v>679</v>
      </c>
      <c r="AI4636" s="6" t="s">
        <v>1086</v>
      </c>
      <c r="AJ4636" s="3" t="s">
        <v>8209</v>
      </c>
      <c r="AK4636" t="s">
        <v>8209</v>
      </c>
    </row>
    <row r="4637" spans="29:37" ht="13.5">
      <c r="AC4637" s="6" t="s">
        <v>1756</v>
      </c>
      <c r="AD4637" s="6" t="s">
        <v>7744</v>
      </c>
      <c r="AE4637" s="155" t="s">
        <v>5793</v>
      </c>
      <c r="AF4637" s="159" t="s">
        <v>8300</v>
      </c>
      <c r="AG4637" s="160" t="s">
        <v>867</v>
      </c>
      <c r="AH4637" s="194" t="s">
        <v>679</v>
      </c>
      <c r="AI4637" s="6" t="s">
        <v>1522</v>
      </c>
      <c r="AJ4637" s="3" t="s">
        <v>8196</v>
      </c>
      <c r="AK4637" t="s">
        <v>8196</v>
      </c>
    </row>
    <row r="4638" spans="29:37" ht="13.5">
      <c r="AC4638" s="6" t="s">
        <v>1994</v>
      </c>
      <c r="AD4638" s="6" t="s">
        <v>7744</v>
      </c>
      <c r="AE4638" s="155" t="s">
        <v>5794</v>
      </c>
      <c r="AF4638" s="159" t="s">
        <v>8339</v>
      </c>
      <c r="AG4638" s="160" t="s">
        <v>868</v>
      </c>
      <c r="AH4638" s="194" t="s">
        <v>679</v>
      </c>
      <c r="AI4638" s="6" t="s">
        <v>1088</v>
      </c>
      <c r="AJ4638" s="3" t="s">
        <v>8196</v>
      </c>
      <c r="AK4638" t="s">
        <v>8196</v>
      </c>
    </row>
    <row r="4639" spans="29:37" ht="13.5">
      <c r="AC4639" s="6" t="s">
        <v>5357</v>
      </c>
      <c r="AD4639" s="6" t="s">
        <v>7744</v>
      </c>
      <c r="AE4639" s="155" t="s">
        <v>5795</v>
      </c>
      <c r="AF4639" s="159" t="s">
        <v>8339</v>
      </c>
      <c r="AG4639" s="160" t="s">
        <v>869</v>
      </c>
      <c r="AH4639" s="194" t="s">
        <v>678</v>
      </c>
      <c r="AI4639" s="6" t="s">
        <v>1093</v>
      </c>
      <c r="AJ4639" s="3" t="s">
        <v>8228</v>
      </c>
      <c r="AK4639" t="s">
        <v>8228</v>
      </c>
    </row>
    <row r="4640" spans="29:37" ht="13.5">
      <c r="AC4640" s="6" t="s">
        <v>1894</v>
      </c>
      <c r="AD4640" s="6" t="s">
        <v>7744</v>
      </c>
      <c r="AE4640" s="155" t="s">
        <v>5796</v>
      </c>
      <c r="AF4640" s="159" t="s">
        <v>8300</v>
      </c>
      <c r="AG4640" s="160" t="s">
        <v>1745</v>
      </c>
      <c r="AH4640" s="194" t="s">
        <v>679</v>
      </c>
      <c r="AI4640" s="6" t="s">
        <v>4738</v>
      </c>
      <c r="AJ4640" s="3" t="s">
        <v>8228</v>
      </c>
      <c r="AK4640" t="s">
        <v>8228</v>
      </c>
    </row>
    <row r="4641" spans="29:37" ht="13.5">
      <c r="AC4641" s="6" t="s">
        <v>1895</v>
      </c>
      <c r="AD4641" s="6" t="s">
        <v>7744</v>
      </c>
      <c r="AE4641" s="155" t="s">
        <v>5797</v>
      </c>
      <c r="AF4641" s="159" t="s">
        <v>8300</v>
      </c>
      <c r="AG4641" s="160" t="s">
        <v>870</v>
      </c>
      <c r="AH4641" s="194" t="s">
        <v>679</v>
      </c>
      <c r="AI4641" s="6" t="s">
        <v>1101</v>
      </c>
      <c r="AJ4641" s="3" t="s">
        <v>8196</v>
      </c>
      <c r="AK4641" t="s">
        <v>8196</v>
      </c>
    </row>
    <row r="4642" spans="29:37" ht="13.5">
      <c r="AC4642" s="6" t="s">
        <v>1993</v>
      </c>
      <c r="AD4642" s="6" t="s">
        <v>7744</v>
      </c>
      <c r="AE4642" s="155" t="s">
        <v>5798</v>
      </c>
      <c r="AF4642" s="159" t="s">
        <v>8339</v>
      </c>
      <c r="AG4642" s="160" t="s">
        <v>871</v>
      </c>
      <c r="AH4642" s="194" t="s">
        <v>679</v>
      </c>
      <c r="AI4642" s="6" t="s">
        <v>1665</v>
      </c>
      <c r="AJ4642" s="3" t="s">
        <v>8196</v>
      </c>
      <c r="AK4642" t="s">
        <v>8196</v>
      </c>
    </row>
    <row r="4643" spans="29:37" ht="13.5">
      <c r="AC4643" s="6" t="s">
        <v>1811</v>
      </c>
      <c r="AD4643" s="6" t="s">
        <v>7752</v>
      </c>
      <c r="AE4643" s="155" t="s">
        <v>5799</v>
      </c>
      <c r="AF4643" s="159" t="s">
        <v>8300</v>
      </c>
      <c r="AG4643" s="160" t="s">
        <v>872</v>
      </c>
      <c r="AH4643" s="194" t="s">
        <v>679</v>
      </c>
      <c r="AI4643" s="6" t="s">
        <v>5416</v>
      </c>
      <c r="AJ4643" s="3" t="s">
        <v>8228</v>
      </c>
      <c r="AK4643" t="s">
        <v>8228</v>
      </c>
    </row>
    <row r="4644" spans="29:37" ht="13.5">
      <c r="AC4644" s="6" t="s">
        <v>5167</v>
      </c>
      <c r="AD4644" s="6" t="s">
        <v>7753</v>
      </c>
      <c r="AE4644" s="155" t="s">
        <v>5800</v>
      </c>
      <c r="AF4644" s="159" t="s">
        <v>8300</v>
      </c>
      <c r="AG4644" s="160" t="s">
        <v>4502</v>
      </c>
      <c r="AH4644" s="194" t="s">
        <v>1314</v>
      </c>
      <c r="AI4644" s="6" t="s">
        <v>5417</v>
      </c>
      <c r="AJ4644" s="3" t="s">
        <v>8228</v>
      </c>
      <c r="AK4644" t="s">
        <v>8228</v>
      </c>
    </row>
    <row r="4645" spans="29:37" ht="13.5">
      <c r="AC4645" s="6" t="s">
        <v>4358</v>
      </c>
      <c r="AD4645" s="6" t="s">
        <v>7754</v>
      </c>
      <c r="AE4645" s="155" t="s">
        <v>5801</v>
      </c>
      <c r="AF4645" s="159" t="s">
        <v>8300</v>
      </c>
      <c r="AG4645" s="160" t="s">
        <v>1836</v>
      </c>
      <c r="AH4645" s="194" t="s">
        <v>679</v>
      </c>
      <c r="AI4645" s="6" t="s">
        <v>4743</v>
      </c>
      <c r="AJ4645" s="3" t="s">
        <v>8208</v>
      </c>
      <c r="AK4645" t="s">
        <v>8667</v>
      </c>
    </row>
    <row r="4646" spans="29:37" ht="13.5">
      <c r="AC4646" s="6" t="s">
        <v>1926</v>
      </c>
      <c r="AD4646" s="6" t="s">
        <v>7755</v>
      </c>
      <c r="AE4646" s="155" t="s">
        <v>5802</v>
      </c>
      <c r="AF4646" s="159" t="s">
        <v>8300</v>
      </c>
      <c r="AG4646" s="160" t="s">
        <v>1837</v>
      </c>
      <c r="AH4646" s="194" t="s">
        <v>679</v>
      </c>
      <c r="AI4646" s="6" t="s">
        <v>4732</v>
      </c>
      <c r="AJ4646" s="3" t="s">
        <v>8208</v>
      </c>
      <c r="AK4646" t="s">
        <v>8667</v>
      </c>
    </row>
    <row r="4647" spans="29:37" ht="13.5">
      <c r="AC4647" s="6" t="s">
        <v>2112</v>
      </c>
      <c r="AD4647" s="6" t="s">
        <v>7740</v>
      </c>
      <c r="AE4647" s="155" t="s">
        <v>5803</v>
      </c>
      <c r="AF4647" s="159" t="s">
        <v>8300</v>
      </c>
      <c r="AG4647" s="160" t="s">
        <v>1838</v>
      </c>
      <c r="AH4647" s="194" t="s">
        <v>679</v>
      </c>
      <c r="AI4647" s="6" t="s">
        <v>4751</v>
      </c>
      <c r="AJ4647" s="3" t="s">
        <v>8208</v>
      </c>
      <c r="AK4647" t="s">
        <v>8667</v>
      </c>
    </row>
    <row r="4648" spans="29:37" ht="13.5">
      <c r="AC4648" s="6">
        <v>25236</v>
      </c>
      <c r="AD4648" s="6" t="s">
        <v>7707</v>
      </c>
      <c r="AE4648" s="155" t="s">
        <v>5804</v>
      </c>
      <c r="AF4648" s="159" t="s">
        <v>8300</v>
      </c>
      <c r="AG4648" s="160" t="s">
        <v>1116</v>
      </c>
      <c r="AH4648" s="194" t="s">
        <v>679</v>
      </c>
      <c r="AI4648" s="6" t="s">
        <v>4749</v>
      </c>
      <c r="AJ4648" s="3" t="s">
        <v>8208</v>
      </c>
      <c r="AK4648" t="s">
        <v>8667</v>
      </c>
    </row>
    <row r="4649" spans="29:37" ht="13.5">
      <c r="AC4649" s="6" t="s">
        <v>2114</v>
      </c>
      <c r="AD4649" s="6" t="s">
        <v>7756</v>
      </c>
      <c r="AE4649" s="155" t="s">
        <v>5805</v>
      </c>
      <c r="AF4649" s="159" t="s">
        <v>8300</v>
      </c>
      <c r="AG4649" s="160" t="s">
        <v>873</v>
      </c>
      <c r="AH4649" s="194" t="s">
        <v>679</v>
      </c>
      <c r="AI4649" s="6" t="s">
        <v>5293</v>
      </c>
      <c r="AJ4649" s="3" t="s">
        <v>8208</v>
      </c>
      <c r="AK4649" t="s">
        <v>8667</v>
      </c>
    </row>
    <row r="4650" spans="29:37" ht="13.5">
      <c r="AC4650" s="6" t="s">
        <v>1896</v>
      </c>
      <c r="AD4650" s="6" t="s">
        <v>7744</v>
      </c>
      <c r="AE4650" s="155" t="s">
        <v>5806</v>
      </c>
      <c r="AF4650" s="159" t="s">
        <v>8300</v>
      </c>
      <c r="AG4650" s="160" t="s">
        <v>874</v>
      </c>
      <c r="AH4650" s="194" t="s">
        <v>679</v>
      </c>
      <c r="AI4650" s="6" t="s">
        <v>5418</v>
      </c>
      <c r="AJ4650" s="3" t="s">
        <v>8208</v>
      </c>
      <c r="AK4650" t="s">
        <v>8667</v>
      </c>
    </row>
    <row r="4651" spans="29:37" ht="13.5">
      <c r="AC4651" s="6" t="s">
        <v>1992</v>
      </c>
      <c r="AD4651" s="6" t="s">
        <v>7744</v>
      </c>
      <c r="AE4651" s="155" t="s">
        <v>5807</v>
      </c>
      <c r="AF4651" s="159" t="s">
        <v>8300</v>
      </c>
      <c r="AG4651" s="160" t="s">
        <v>875</v>
      </c>
      <c r="AH4651" s="194" t="s">
        <v>679</v>
      </c>
      <c r="AI4651" s="6" t="s">
        <v>4735</v>
      </c>
      <c r="AJ4651" s="3" t="s">
        <v>8208</v>
      </c>
      <c r="AK4651" t="s">
        <v>8667</v>
      </c>
    </row>
    <row r="4652" spans="29:37" ht="13.5">
      <c r="AC4652" s="6" t="s">
        <v>1808</v>
      </c>
      <c r="AD4652" s="6" t="s">
        <v>7757</v>
      </c>
      <c r="AE4652" s="155" t="s">
        <v>6645</v>
      </c>
      <c r="AF4652" s="159" t="s">
        <v>8300</v>
      </c>
      <c r="AG4652" s="160" t="s">
        <v>876</v>
      </c>
      <c r="AH4652" s="194" t="s">
        <v>679</v>
      </c>
      <c r="AI4652" s="6" t="s">
        <v>5421</v>
      </c>
      <c r="AJ4652" s="3" t="s">
        <v>8196</v>
      </c>
      <c r="AK4652" t="s">
        <v>8196</v>
      </c>
    </row>
    <row r="4653" spans="29:37" ht="13.5">
      <c r="AC4653" s="6" t="s">
        <v>2082</v>
      </c>
      <c r="AD4653" s="6" t="s">
        <v>7739</v>
      </c>
      <c r="AE4653" s="155" t="s">
        <v>6644</v>
      </c>
      <c r="AF4653" s="159" t="s">
        <v>8300</v>
      </c>
      <c r="AG4653" s="160" t="s">
        <v>877</v>
      </c>
      <c r="AH4653" s="194" t="s">
        <v>678</v>
      </c>
      <c r="AI4653" s="6" t="s">
        <v>5423</v>
      </c>
      <c r="AJ4653" s="3" t="s">
        <v>8196</v>
      </c>
      <c r="AK4653" t="s">
        <v>8196</v>
      </c>
    </row>
    <row r="4654" spans="29:37" ht="13.5">
      <c r="AC4654" s="6">
        <v>15345</v>
      </c>
      <c r="AD4654" s="6" t="s">
        <v>7725</v>
      </c>
      <c r="AE4654" s="155" t="s">
        <v>6619</v>
      </c>
      <c r="AF4654" s="159" t="s">
        <v>8300</v>
      </c>
      <c r="AG4654" s="160" t="s">
        <v>878</v>
      </c>
      <c r="AH4654" s="194" t="s">
        <v>679</v>
      </c>
      <c r="AI4654" s="6" t="s">
        <v>5424</v>
      </c>
      <c r="AJ4654" s="3" t="s">
        <v>8196</v>
      </c>
      <c r="AK4654" t="s">
        <v>8196</v>
      </c>
    </row>
    <row r="4655" spans="29:37" ht="13.5">
      <c r="AC4655" s="6" t="s">
        <v>2001</v>
      </c>
      <c r="AD4655" s="6" t="s">
        <v>7750</v>
      </c>
      <c r="AE4655" s="155" t="s">
        <v>6620</v>
      </c>
      <c r="AF4655" s="159" t="s">
        <v>8300</v>
      </c>
      <c r="AG4655" s="160" t="s">
        <v>879</v>
      </c>
      <c r="AH4655" s="194" t="s">
        <v>679</v>
      </c>
      <c r="AI4655" s="6" t="s">
        <v>5425</v>
      </c>
      <c r="AJ4655" s="3" t="s">
        <v>8201</v>
      </c>
      <c r="AK4655" t="s">
        <v>8666</v>
      </c>
    </row>
    <row r="4656" spans="29:37" ht="13.5">
      <c r="AC4656" s="6" t="s">
        <v>1728</v>
      </c>
      <c r="AD4656" s="6" t="s">
        <v>7740</v>
      </c>
      <c r="AE4656" s="155" t="s">
        <v>6623</v>
      </c>
      <c r="AF4656" s="159" t="s">
        <v>8300</v>
      </c>
      <c r="AG4656" s="160" t="s">
        <v>880</v>
      </c>
      <c r="AH4656" s="194" t="s">
        <v>679</v>
      </c>
      <c r="AI4656" s="6" t="s">
        <v>5291</v>
      </c>
      <c r="AJ4656" s="3" t="s">
        <v>8195</v>
      </c>
      <c r="AK4656" t="s">
        <v>8195</v>
      </c>
    </row>
    <row r="4657" spans="29:37" ht="13.5">
      <c r="AC4657" s="6">
        <v>25333</v>
      </c>
      <c r="AD4657" s="6" t="s">
        <v>7758</v>
      </c>
      <c r="AE4657" s="155" t="s">
        <v>6641</v>
      </c>
      <c r="AF4657" s="159" t="s">
        <v>8300</v>
      </c>
      <c r="AG4657" s="160" t="s">
        <v>881</v>
      </c>
      <c r="AH4657" s="194" t="s">
        <v>678</v>
      </c>
      <c r="AI4657" s="6" t="s">
        <v>5300</v>
      </c>
      <c r="AJ4657" s="3" t="s">
        <v>8208</v>
      </c>
      <c r="AK4657" t="s">
        <v>8667</v>
      </c>
    </row>
    <row r="4658" spans="29:37" ht="13.5">
      <c r="AC4658" s="6" t="s">
        <v>1814</v>
      </c>
      <c r="AD4658" s="6" t="s">
        <v>7759</v>
      </c>
      <c r="AE4658" s="155" t="s">
        <v>6622</v>
      </c>
      <c r="AF4658" s="159" t="s">
        <v>8300</v>
      </c>
      <c r="AG4658" s="160" t="s">
        <v>882</v>
      </c>
      <c r="AH4658" s="194" t="s">
        <v>679</v>
      </c>
      <c r="AI4658" s="6" t="s">
        <v>5278</v>
      </c>
      <c r="AJ4658" s="3" t="s">
        <v>8200</v>
      </c>
      <c r="AK4658" t="s">
        <v>8200</v>
      </c>
    </row>
    <row r="4659" spans="29:37" ht="13.5">
      <c r="AC4659" s="6" t="s">
        <v>2178</v>
      </c>
      <c r="AD4659" s="6" t="s">
        <v>7760</v>
      </c>
      <c r="AE4659" s="155" t="s">
        <v>6647</v>
      </c>
      <c r="AF4659" s="159" t="s">
        <v>8300</v>
      </c>
      <c r="AG4659" s="160" t="s">
        <v>883</v>
      </c>
      <c r="AH4659" s="194" t="s">
        <v>679</v>
      </c>
      <c r="AI4659" s="6" t="s">
        <v>5426</v>
      </c>
      <c r="AJ4659" s="3" t="s">
        <v>8195</v>
      </c>
      <c r="AK4659" t="s">
        <v>8195</v>
      </c>
    </row>
    <row r="4660" spans="29:37" ht="13.5">
      <c r="AC4660" s="6" t="s">
        <v>2176</v>
      </c>
      <c r="AD4660" s="6" t="s">
        <v>7760</v>
      </c>
      <c r="AE4660" s="155" t="s">
        <v>6643</v>
      </c>
      <c r="AF4660" s="159" t="s">
        <v>8300</v>
      </c>
      <c r="AG4660" s="160" t="s">
        <v>884</v>
      </c>
      <c r="AH4660" s="194" t="s">
        <v>679</v>
      </c>
      <c r="AI4660" s="6" t="s">
        <v>5427</v>
      </c>
      <c r="AJ4660" s="3" t="s">
        <v>8196</v>
      </c>
      <c r="AK4660" t="s">
        <v>8196</v>
      </c>
    </row>
    <row r="4661" spans="29:37" ht="13.5">
      <c r="AC4661" s="6" t="s">
        <v>1809</v>
      </c>
      <c r="AD4661" s="6" t="s">
        <v>7761</v>
      </c>
      <c r="AE4661" s="155" t="s">
        <v>6621</v>
      </c>
      <c r="AF4661" s="159" t="s">
        <v>8300</v>
      </c>
      <c r="AG4661" s="160" t="s">
        <v>885</v>
      </c>
      <c r="AH4661" s="194" t="s">
        <v>679</v>
      </c>
      <c r="AI4661" s="6" t="s">
        <v>5430</v>
      </c>
      <c r="AJ4661" s="3" t="s">
        <v>8201</v>
      </c>
      <c r="AK4661" t="s">
        <v>8666</v>
      </c>
    </row>
    <row r="4662" spans="29:37" ht="13.5">
      <c r="AC4662" s="6" t="s">
        <v>2177</v>
      </c>
      <c r="AD4662" s="6" t="s">
        <v>7760</v>
      </c>
      <c r="AE4662" s="155" t="s">
        <v>6642</v>
      </c>
      <c r="AF4662" s="159" t="s">
        <v>8300</v>
      </c>
      <c r="AG4662" s="160" t="s">
        <v>886</v>
      </c>
      <c r="AH4662" s="194" t="s">
        <v>679</v>
      </c>
      <c r="AI4662" s="6" t="s">
        <v>5432</v>
      </c>
      <c r="AJ4662" s="3" t="s">
        <v>8209</v>
      </c>
      <c r="AK4662" t="s">
        <v>8209</v>
      </c>
    </row>
    <row r="4663" spans="29:37" ht="13.5">
      <c r="AC4663" s="6" t="s">
        <v>1285</v>
      </c>
      <c r="AD4663" s="6" t="s">
        <v>7762</v>
      </c>
      <c r="AE4663" s="155" t="s">
        <v>6646</v>
      </c>
      <c r="AF4663" s="159" t="s">
        <v>8300</v>
      </c>
      <c r="AG4663" s="160" t="s">
        <v>887</v>
      </c>
      <c r="AH4663" s="194" t="s">
        <v>679</v>
      </c>
      <c r="AI4663" s="6" t="s">
        <v>5433</v>
      </c>
      <c r="AJ4663" s="3" t="s">
        <v>8209</v>
      </c>
      <c r="AK4663" t="s">
        <v>8209</v>
      </c>
    </row>
    <row r="4664" spans="29:37" ht="13.5">
      <c r="AC4664" s="6" t="s">
        <v>5109</v>
      </c>
      <c r="AD4664" s="6" t="s">
        <v>7763</v>
      </c>
      <c r="AE4664" s="155" t="s">
        <v>8177</v>
      </c>
      <c r="AF4664" s="159" t="s">
        <v>8300</v>
      </c>
      <c r="AG4664" s="160" t="s">
        <v>888</v>
      </c>
      <c r="AH4664" s="194" t="s">
        <v>679</v>
      </c>
      <c r="AI4664" s="6" t="s">
        <v>5436</v>
      </c>
      <c r="AJ4664" s="3" t="s">
        <v>8201</v>
      </c>
      <c r="AK4664" t="s">
        <v>8666</v>
      </c>
    </row>
    <row r="4665" spans="29:37" ht="13.5">
      <c r="AC4665" s="6" t="s">
        <v>1735</v>
      </c>
      <c r="AD4665" s="6" t="s">
        <v>7764</v>
      </c>
      <c r="AE4665" s="155">
        <v>35326</v>
      </c>
      <c r="AF4665" s="159" t="s">
        <v>8550</v>
      </c>
      <c r="AG4665" s="160" t="s">
        <v>682</v>
      </c>
      <c r="AH4665" s="194" t="s">
        <v>679</v>
      </c>
      <c r="AI4665" s="6" t="s">
        <v>5275</v>
      </c>
      <c r="AJ4665" s="3" t="s">
        <v>8195</v>
      </c>
      <c r="AK4665" t="s">
        <v>8195</v>
      </c>
    </row>
    <row r="4666" spans="29:37" ht="13.5">
      <c r="AC4666" s="6" t="s">
        <v>2111</v>
      </c>
      <c r="AD4666" s="6" t="s">
        <v>7740</v>
      </c>
      <c r="AE4666" s="155">
        <v>555382</v>
      </c>
      <c r="AF4666" s="159" t="s">
        <v>8300</v>
      </c>
      <c r="AG4666" s="160" t="s">
        <v>889</v>
      </c>
      <c r="AH4666" s="194" t="s">
        <v>679</v>
      </c>
      <c r="AI4666" s="6" t="s">
        <v>5438</v>
      </c>
      <c r="AJ4666" s="3" t="s">
        <v>8201</v>
      </c>
      <c r="AK4666" t="s">
        <v>8666</v>
      </c>
    </row>
    <row r="4667" spans="29:37" ht="13.5">
      <c r="AC4667" s="6">
        <v>15256</v>
      </c>
      <c r="AD4667" s="6" t="s">
        <v>7725</v>
      </c>
      <c r="AE4667" s="155">
        <v>555383</v>
      </c>
      <c r="AF4667" s="159" t="s">
        <v>8300</v>
      </c>
      <c r="AG4667" s="160" t="s">
        <v>890</v>
      </c>
      <c r="AH4667" s="194" t="s">
        <v>679</v>
      </c>
      <c r="AI4667" s="6" t="s">
        <v>603</v>
      </c>
      <c r="AJ4667" s="3" t="s">
        <v>8224</v>
      </c>
      <c r="AK4667" t="s">
        <v>8224</v>
      </c>
    </row>
    <row r="4668" spans="29:37" ht="13.5">
      <c r="AC4668" s="6" t="s">
        <v>2179</v>
      </c>
      <c r="AD4668" s="6" t="s">
        <v>7760</v>
      </c>
      <c r="AE4668" s="155" t="s">
        <v>1790</v>
      </c>
      <c r="AF4668" s="159" t="s">
        <v>8480</v>
      </c>
      <c r="AG4668" s="160" t="s">
        <v>891</v>
      </c>
      <c r="AH4668" s="194" t="s">
        <v>679</v>
      </c>
      <c r="AI4668" s="6" t="s">
        <v>1495</v>
      </c>
      <c r="AJ4668" s="3" t="s">
        <v>8224</v>
      </c>
      <c r="AK4668" t="s">
        <v>8224</v>
      </c>
    </row>
    <row r="4669" spans="29:37" ht="13.5">
      <c r="AC4669" s="6" t="s">
        <v>1832</v>
      </c>
      <c r="AD4669" s="6" t="s">
        <v>7757</v>
      </c>
      <c r="AE4669" s="155" t="s">
        <v>1723</v>
      </c>
      <c r="AF4669" s="159" t="s">
        <v>8300</v>
      </c>
      <c r="AG4669" s="160" t="s">
        <v>892</v>
      </c>
      <c r="AH4669" s="194" t="s">
        <v>4700</v>
      </c>
      <c r="AI4669" s="6" t="s">
        <v>1548</v>
      </c>
      <c r="AJ4669" s="3" t="s">
        <v>8224</v>
      </c>
      <c r="AK4669" t="s">
        <v>8224</v>
      </c>
    </row>
    <row r="4670" spans="29:37" ht="13.5">
      <c r="AC4670" s="6" t="s">
        <v>5163</v>
      </c>
      <c r="AD4670" s="6" t="s">
        <v>7765</v>
      </c>
      <c r="AE4670" s="155" t="s">
        <v>2047</v>
      </c>
      <c r="AF4670" s="159" t="s">
        <v>8299</v>
      </c>
      <c r="AG4670" s="160" t="s">
        <v>893</v>
      </c>
      <c r="AH4670" s="194" t="s">
        <v>679</v>
      </c>
      <c r="AI4670" s="6" t="s">
        <v>2244</v>
      </c>
      <c r="AJ4670" s="3" t="s">
        <v>8235</v>
      </c>
      <c r="AK4670" t="s">
        <v>8672</v>
      </c>
    </row>
    <row r="4671" spans="29:37" ht="13.5">
      <c r="AC4671" s="6">
        <v>25332</v>
      </c>
      <c r="AD4671" s="6" t="s">
        <v>7707</v>
      </c>
      <c r="AE4671" s="155" t="s">
        <v>2048</v>
      </c>
      <c r="AF4671" s="159" t="s">
        <v>8300</v>
      </c>
      <c r="AG4671" s="160" t="s">
        <v>894</v>
      </c>
      <c r="AH4671" s="194" t="s">
        <v>679</v>
      </c>
      <c r="AI4671" s="6" t="s">
        <v>4061</v>
      </c>
      <c r="AJ4671" s="3" t="s">
        <v>8250</v>
      </c>
      <c r="AK4671" t="s">
        <v>8250</v>
      </c>
    </row>
    <row r="4672" spans="29:37" ht="13.5">
      <c r="AC4672" s="6" t="s">
        <v>2149</v>
      </c>
      <c r="AD4672" s="6" t="s">
        <v>7764</v>
      </c>
      <c r="AE4672" s="155" t="s">
        <v>2049</v>
      </c>
      <c r="AF4672" s="159" t="s">
        <v>8566</v>
      </c>
      <c r="AG4672" s="160" t="s">
        <v>895</v>
      </c>
      <c r="AH4672" s="194" t="s">
        <v>679</v>
      </c>
      <c r="AI4672" s="6" t="s">
        <v>4066</v>
      </c>
      <c r="AJ4672" s="3" t="s">
        <v>8250</v>
      </c>
      <c r="AK4672" t="s">
        <v>8250</v>
      </c>
    </row>
    <row r="4673" spans="29:37" ht="13.5">
      <c r="AC4673" s="6" t="s">
        <v>5098</v>
      </c>
      <c r="AD4673" s="6" t="s">
        <v>7766</v>
      </c>
      <c r="AE4673" s="155" t="s">
        <v>2050</v>
      </c>
      <c r="AF4673" s="159" t="s">
        <v>8339</v>
      </c>
      <c r="AG4673" s="160" t="s">
        <v>896</v>
      </c>
      <c r="AH4673" s="194" t="s">
        <v>679</v>
      </c>
      <c r="AI4673" s="6" t="s">
        <v>2566</v>
      </c>
      <c r="AJ4673" s="3" t="s">
        <v>8226</v>
      </c>
      <c r="AK4673" t="s">
        <v>8671</v>
      </c>
    </row>
    <row r="4674" spans="29:37" ht="13.5">
      <c r="AC4674" s="6" t="s">
        <v>2148</v>
      </c>
      <c r="AD4674" s="6" t="s">
        <v>7764</v>
      </c>
      <c r="AE4674" s="155" t="s">
        <v>2051</v>
      </c>
      <c r="AF4674" s="159" t="s">
        <v>8300</v>
      </c>
      <c r="AG4674" s="160" t="s">
        <v>897</v>
      </c>
      <c r="AH4674" s="194" t="s">
        <v>679</v>
      </c>
      <c r="AI4674" s="6" t="s">
        <v>2568</v>
      </c>
      <c r="AJ4674" s="3" t="s">
        <v>8226</v>
      </c>
      <c r="AK4674" t="s">
        <v>8671</v>
      </c>
    </row>
    <row r="4675" spans="29:37" ht="13.5">
      <c r="AC4675" s="6" t="s">
        <v>1893</v>
      </c>
      <c r="AD4675" s="6" t="s">
        <v>7767</v>
      </c>
      <c r="AE4675" s="155" t="s">
        <v>2052</v>
      </c>
      <c r="AF4675" s="159" t="s">
        <v>8351</v>
      </c>
      <c r="AG4675" s="160" t="s">
        <v>898</v>
      </c>
      <c r="AH4675" s="194" t="s">
        <v>679</v>
      </c>
      <c r="AI4675" s="6" t="s">
        <v>863</v>
      </c>
      <c r="AJ4675" s="3" t="s">
        <v>8215</v>
      </c>
      <c r="AK4675" t="s">
        <v>8215</v>
      </c>
    </row>
    <row r="4676" spans="29:37" ht="13.5">
      <c r="AC4676" s="6" t="s">
        <v>4495</v>
      </c>
      <c r="AD4676" s="6" t="s">
        <v>7768</v>
      </c>
      <c r="AE4676" s="155" t="s">
        <v>2070</v>
      </c>
      <c r="AF4676" s="159" t="s">
        <v>8309</v>
      </c>
      <c r="AG4676" s="160" t="s">
        <v>899</v>
      </c>
      <c r="AH4676" s="194" t="s">
        <v>679</v>
      </c>
      <c r="AI4676" s="6" t="s">
        <v>877</v>
      </c>
      <c r="AJ4676" s="3" t="s">
        <v>8215</v>
      </c>
      <c r="AK4676" t="s">
        <v>8215</v>
      </c>
    </row>
    <row r="4677" spans="29:37" ht="13.5">
      <c r="AC4677" s="6" t="s">
        <v>5159</v>
      </c>
      <c r="AD4677" s="6" t="s">
        <v>7769</v>
      </c>
      <c r="AE4677" s="155" t="s">
        <v>2159</v>
      </c>
      <c r="AF4677" s="159" t="s">
        <v>8300</v>
      </c>
      <c r="AG4677" s="160" t="s">
        <v>900</v>
      </c>
      <c r="AH4677" s="194" t="s">
        <v>679</v>
      </c>
      <c r="AI4677" s="6" t="s">
        <v>911</v>
      </c>
      <c r="AJ4677" s="3" t="s">
        <v>8215</v>
      </c>
      <c r="AK4677" t="s">
        <v>8215</v>
      </c>
    </row>
    <row r="4678" spans="29:37" ht="13.5">
      <c r="AC4678" s="6" t="s">
        <v>1803</v>
      </c>
      <c r="AD4678" s="6" t="s">
        <v>7770</v>
      </c>
      <c r="AE4678" s="155" t="s">
        <v>2164</v>
      </c>
      <c r="AF4678" s="159" t="s">
        <v>8300</v>
      </c>
      <c r="AG4678" s="160" t="s">
        <v>901</v>
      </c>
      <c r="AH4678" s="194" t="s">
        <v>679</v>
      </c>
      <c r="AI4678" s="6" t="s">
        <v>631</v>
      </c>
      <c r="AJ4678" s="3" t="s">
        <v>8223</v>
      </c>
      <c r="AK4678" t="s">
        <v>8223</v>
      </c>
    </row>
    <row r="4679" spans="29:37" ht="13.5">
      <c r="AC4679" s="6" t="s">
        <v>1825</v>
      </c>
      <c r="AD4679" s="6" t="s">
        <v>7771</v>
      </c>
      <c r="AE4679" s="155" t="s">
        <v>2214</v>
      </c>
      <c r="AF4679" s="159" t="s">
        <v>8339</v>
      </c>
      <c r="AG4679" s="160" t="s">
        <v>902</v>
      </c>
      <c r="AH4679" s="194" t="s">
        <v>679</v>
      </c>
      <c r="AI4679" s="6" t="s">
        <v>635</v>
      </c>
      <c r="AJ4679" s="3" t="s">
        <v>8216</v>
      </c>
      <c r="AK4679" t="s">
        <v>8216</v>
      </c>
    </row>
    <row r="4680" spans="29:37" ht="13.5">
      <c r="AC4680" s="6">
        <v>645430</v>
      </c>
      <c r="AD4680" s="6" t="s">
        <v>7772</v>
      </c>
      <c r="AE4680" s="155" t="s">
        <v>2215</v>
      </c>
      <c r="AF4680" s="159" t="s">
        <v>8553</v>
      </c>
      <c r="AG4680" s="160" t="s">
        <v>903</v>
      </c>
      <c r="AH4680" s="194" t="s">
        <v>679</v>
      </c>
      <c r="AI4680" s="6" t="s">
        <v>639</v>
      </c>
      <c r="AJ4680" s="3" t="s">
        <v>8216</v>
      </c>
      <c r="AK4680" t="s">
        <v>8216</v>
      </c>
    </row>
    <row r="4681" spans="29:37" ht="13.5">
      <c r="AC4681" s="6" t="s">
        <v>2072</v>
      </c>
      <c r="AD4681" s="6" t="s">
        <v>7767</v>
      </c>
      <c r="AE4681" s="155" t="s">
        <v>2216</v>
      </c>
      <c r="AF4681" s="159" t="s">
        <v>8300</v>
      </c>
      <c r="AG4681" s="160" t="s">
        <v>904</v>
      </c>
      <c r="AH4681" s="194" t="s">
        <v>679</v>
      </c>
      <c r="AI4681" s="6" t="s">
        <v>640</v>
      </c>
      <c r="AJ4681" s="3" t="s">
        <v>8216</v>
      </c>
      <c r="AK4681" t="s">
        <v>8216</v>
      </c>
    </row>
    <row r="4682" spans="29:37" ht="13.5">
      <c r="AC4682" s="6" t="s">
        <v>2145</v>
      </c>
      <c r="AD4682" s="6" t="s">
        <v>7773</v>
      </c>
      <c r="AE4682" s="155" t="s">
        <v>2217</v>
      </c>
      <c r="AF4682" s="159" t="s">
        <v>8320</v>
      </c>
      <c r="AG4682" s="160" t="s">
        <v>905</v>
      </c>
      <c r="AH4682" s="194" t="s">
        <v>679</v>
      </c>
      <c r="AI4682" s="6" t="s">
        <v>26</v>
      </c>
      <c r="AJ4682" s="3" t="s">
        <v>8216</v>
      </c>
      <c r="AK4682" t="s">
        <v>8216</v>
      </c>
    </row>
    <row r="4683" spans="29:37" ht="13.5">
      <c r="AC4683" s="6" t="s">
        <v>2071</v>
      </c>
      <c r="AD4683" s="6" t="s">
        <v>7767</v>
      </c>
      <c r="AE4683" s="155" t="s">
        <v>2221</v>
      </c>
      <c r="AF4683" s="159" t="s">
        <v>8339</v>
      </c>
      <c r="AG4683" s="160" t="s">
        <v>906</v>
      </c>
      <c r="AH4683" s="194" t="s">
        <v>679</v>
      </c>
      <c r="AI4683" s="6" t="s">
        <v>643</v>
      </c>
      <c r="AJ4683" s="3" t="s">
        <v>8216</v>
      </c>
      <c r="AK4683" t="s">
        <v>8216</v>
      </c>
    </row>
    <row r="4684" spans="29:37" ht="13.5">
      <c r="AC4684" s="6" t="s">
        <v>1734</v>
      </c>
      <c r="AD4684" s="6" t="s">
        <v>7764</v>
      </c>
      <c r="AE4684" s="155" t="s">
        <v>2222</v>
      </c>
      <c r="AF4684" s="159" t="s">
        <v>8300</v>
      </c>
      <c r="AG4684" s="160" t="s">
        <v>907</v>
      </c>
      <c r="AH4684" s="194" t="s">
        <v>679</v>
      </c>
      <c r="AI4684" s="6" t="s">
        <v>34</v>
      </c>
      <c r="AJ4684" s="3" t="s">
        <v>8216</v>
      </c>
      <c r="AK4684" t="s">
        <v>8216</v>
      </c>
    </row>
    <row r="4685" spans="29:37" ht="13.5">
      <c r="AC4685" s="6" t="s">
        <v>1028</v>
      </c>
      <c r="AD4685" s="6" t="s">
        <v>7768</v>
      </c>
      <c r="AE4685" s="155" t="s">
        <v>2299</v>
      </c>
      <c r="AF4685" s="159" t="s">
        <v>8567</v>
      </c>
      <c r="AG4685" s="160" t="s">
        <v>908</v>
      </c>
      <c r="AH4685" s="194" t="s">
        <v>679</v>
      </c>
      <c r="AI4685" s="6" t="s">
        <v>6722</v>
      </c>
      <c r="AJ4685" s="3" t="s">
        <v>8198</v>
      </c>
      <c r="AK4685" t="s">
        <v>8198</v>
      </c>
    </row>
    <row r="4686" spans="29:37" ht="13.5">
      <c r="AC4686" s="6" t="s">
        <v>2146</v>
      </c>
      <c r="AD4686" s="6" t="s">
        <v>7773</v>
      </c>
      <c r="AE4686" s="155" t="s">
        <v>2063</v>
      </c>
      <c r="AF4686" s="159" t="s">
        <v>8299</v>
      </c>
      <c r="AG4686" s="160" t="s">
        <v>909</v>
      </c>
      <c r="AH4686" s="194" t="s">
        <v>679</v>
      </c>
      <c r="AI4686" s="6" t="s">
        <v>665</v>
      </c>
      <c r="AJ4686" s="3" t="s">
        <v>8198</v>
      </c>
      <c r="AK4686" t="s">
        <v>8198</v>
      </c>
    </row>
    <row r="4687" spans="29:37" ht="13.5">
      <c r="AC4687" s="6" t="s">
        <v>2144</v>
      </c>
      <c r="AD4687" s="6" t="s">
        <v>7773</v>
      </c>
      <c r="AE4687" s="155" t="s">
        <v>2064</v>
      </c>
      <c r="AF4687" s="159" t="s">
        <v>8300</v>
      </c>
      <c r="AG4687" s="160" t="s">
        <v>910</v>
      </c>
      <c r="AH4687" s="194" t="s">
        <v>679</v>
      </c>
      <c r="AI4687" s="6" t="s">
        <v>1617</v>
      </c>
      <c r="AJ4687" s="3" t="s">
        <v>8198</v>
      </c>
      <c r="AK4687" t="s">
        <v>8198</v>
      </c>
    </row>
    <row r="4688" spans="29:37" ht="13.5">
      <c r="AC4688" s="6" t="s">
        <v>2184</v>
      </c>
      <c r="AD4688" s="6" t="s">
        <v>7774</v>
      </c>
      <c r="AE4688" s="155" t="s">
        <v>2065</v>
      </c>
      <c r="AF4688" s="159" t="s">
        <v>8297</v>
      </c>
      <c r="AG4688" s="160" t="s">
        <v>911</v>
      </c>
      <c r="AH4688" s="194" t="s">
        <v>678</v>
      </c>
      <c r="AI4688" s="6" t="s">
        <v>1619</v>
      </c>
      <c r="AJ4688" s="3" t="s">
        <v>8198</v>
      </c>
      <c r="AK4688" t="s">
        <v>8198</v>
      </c>
    </row>
    <row r="4689" spans="29:37" ht="13.5">
      <c r="AC4689" s="6" t="s">
        <v>5309</v>
      </c>
      <c r="AD4689" s="6" t="s">
        <v>7768</v>
      </c>
      <c r="AE4689" s="155" t="s">
        <v>1766</v>
      </c>
      <c r="AF4689" s="159" t="s">
        <v>8299</v>
      </c>
      <c r="AG4689" s="160" t="s">
        <v>1117</v>
      </c>
      <c r="AH4689" s="194" t="s">
        <v>679</v>
      </c>
      <c r="AI4689" s="6" t="s">
        <v>666</v>
      </c>
      <c r="AJ4689" s="3" t="s">
        <v>8198</v>
      </c>
      <c r="AK4689" t="s">
        <v>8198</v>
      </c>
    </row>
    <row r="4690" spans="29:37" ht="13.5">
      <c r="AC4690" s="6" t="s">
        <v>2118</v>
      </c>
      <c r="AD4690" s="6" t="s">
        <v>7719</v>
      </c>
      <c r="AE4690" s="155">
        <v>355308</v>
      </c>
      <c r="AF4690" s="159" t="s">
        <v>8318</v>
      </c>
      <c r="AG4690" s="160" t="s">
        <v>912</v>
      </c>
      <c r="AH4690" s="194" t="s">
        <v>679</v>
      </c>
      <c r="AI4690" s="6" t="s">
        <v>1622</v>
      </c>
      <c r="AJ4690" s="3" t="s">
        <v>8198</v>
      </c>
      <c r="AK4690" t="s">
        <v>8198</v>
      </c>
    </row>
    <row r="4691" spans="29:37" ht="13.5">
      <c r="AC4691" s="6">
        <v>645429</v>
      </c>
      <c r="AD4691" s="6" t="s">
        <v>7772</v>
      </c>
      <c r="AE4691" s="155">
        <v>355309</v>
      </c>
      <c r="AF4691" s="159" t="s">
        <v>8299</v>
      </c>
      <c r="AG4691" s="160" t="s">
        <v>913</v>
      </c>
      <c r="AH4691" s="194" t="s">
        <v>679</v>
      </c>
      <c r="AI4691" s="6" t="s">
        <v>1624</v>
      </c>
      <c r="AJ4691" s="3" t="s">
        <v>8210</v>
      </c>
      <c r="AK4691" t="s">
        <v>8210</v>
      </c>
    </row>
    <row r="4692" spans="29:37" ht="13.5">
      <c r="AC4692" s="6" t="s">
        <v>1017</v>
      </c>
      <c r="AD4692" s="6" t="s">
        <v>7768</v>
      </c>
      <c r="AE4692" s="155">
        <v>355310</v>
      </c>
      <c r="AF4692" s="159" t="s">
        <v>8339</v>
      </c>
      <c r="AG4692" s="160" t="s">
        <v>914</v>
      </c>
      <c r="AH4692" s="194" t="s">
        <v>679</v>
      </c>
      <c r="AI4692" s="6" t="s">
        <v>5285</v>
      </c>
      <c r="AJ4692" s="3" t="s">
        <v>8198</v>
      </c>
      <c r="AK4692" t="s">
        <v>8198</v>
      </c>
    </row>
    <row r="4693" spans="29:37" ht="13.5">
      <c r="AC4693" s="6" t="s">
        <v>1754</v>
      </c>
      <c r="AD4693" s="6" t="s">
        <v>7775</v>
      </c>
      <c r="AE4693" s="155">
        <v>355311</v>
      </c>
      <c r="AF4693" s="159" t="s">
        <v>8309</v>
      </c>
      <c r="AG4693" s="160" t="s">
        <v>915</v>
      </c>
      <c r="AH4693" s="194" t="s">
        <v>679</v>
      </c>
      <c r="AI4693" s="6" t="s">
        <v>4146</v>
      </c>
      <c r="AJ4693" s="3" t="s">
        <v>8214</v>
      </c>
      <c r="AK4693" t="s">
        <v>8214</v>
      </c>
    </row>
    <row r="4694" spans="29:37" ht="13.5">
      <c r="AC4694" s="6" t="s">
        <v>2142</v>
      </c>
      <c r="AD4694" s="6" t="s">
        <v>7773</v>
      </c>
      <c r="AE4694" s="155" t="s">
        <v>2299</v>
      </c>
      <c r="AF4694" s="159" t="s">
        <v>8300</v>
      </c>
      <c r="AG4694" s="160" t="s">
        <v>916</v>
      </c>
      <c r="AH4694" s="194" t="s">
        <v>679</v>
      </c>
      <c r="AI4694" s="6" t="s">
        <v>4158</v>
      </c>
      <c r="AJ4694" s="3" t="s">
        <v>8214</v>
      </c>
      <c r="AK4694" t="s">
        <v>8214</v>
      </c>
    </row>
    <row r="4695" spans="29:37" ht="13.5">
      <c r="AC4695" s="6" t="s">
        <v>2073</v>
      </c>
      <c r="AD4695" s="6" t="s">
        <v>7767</v>
      </c>
      <c r="AE4695" s="155" t="s">
        <v>2279</v>
      </c>
      <c r="AF4695" s="159" t="s">
        <v>8323</v>
      </c>
      <c r="AG4695" s="160" t="s">
        <v>917</v>
      </c>
      <c r="AH4695" s="194" t="s">
        <v>679</v>
      </c>
      <c r="AI4695" s="6" t="s">
        <v>4161</v>
      </c>
      <c r="AJ4695" s="3" t="s">
        <v>8214</v>
      </c>
      <c r="AK4695" t="s">
        <v>8214</v>
      </c>
    </row>
    <row r="4696" spans="29:37" ht="13.5">
      <c r="AC4696" s="6" t="s">
        <v>2147</v>
      </c>
      <c r="AD4696" s="6" t="s">
        <v>7773</v>
      </c>
      <c r="AE4696" s="155" t="s">
        <v>2280</v>
      </c>
      <c r="AF4696" s="159" t="s">
        <v>8342</v>
      </c>
      <c r="AG4696" s="160" t="s">
        <v>918</v>
      </c>
      <c r="AH4696" s="194" t="s">
        <v>679</v>
      </c>
      <c r="AI4696" s="6" t="s">
        <v>2556</v>
      </c>
      <c r="AJ4696" s="3" t="s">
        <v>8226</v>
      </c>
      <c r="AK4696" t="s">
        <v>8671</v>
      </c>
    </row>
    <row r="4697" spans="29:37" ht="13.5">
      <c r="AC4697" s="6" t="s">
        <v>2141</v>
      </c>
      <c r="AD4697" s="6" t="s">
        <v>7773</v>
      </c>
      <c r="AE4697" s="155" t="s">
        <v>2076</v>
      </c>
      <c r="AF4697" s="159" t="s">
        <v>8300</v>
      </c>
      <c r="AG4697" s="160" t="s">
        <v>919</v>
      </c>
      <c r="AH4697" s="194" t="s">
        <v>679</v>
      </c>
      <c r="AI4697" s="6" t="s">
        <v>2576</v>
      </c>
      <c r="AJ4697" s="3" t="s">
        <v>8226</v>
      </c>
      <c r="AK4697" t="s">
        <v>8671</v>
      </c>
    </row>
    <row r="4698" spans="29:37" ht="13.5">
      <c r="AC4698" s="6" t="s">
        <v>1726</v>
      </c>
      <c r="AD4698" s="6" t="s">
        <v>7740</v>
      </c>
      <c r="AE4698" s="155" t="s">
        <v>2203</v>
      </c>
      <c r="AF4698" s="159" t="s">
        <v>8309</v>
      </c>
      <c r="AG4698" s="160" t="s">
        <v>920</v>
      </c>
      <c r="AH4698" s="194" t="s">
        <v>679</v>
      </c>
      <c r="AI4698" s="6" t="s">
        <v>2577</v>
      </c>
      <c r="AJ4698" s="3" t="s">
        <v>8226</v>
      </c>
      <c r="AK4698" t="s">
        <v>8671</v>
      </c>
    </row>
    <row r="4699" spans="29:37" ht="13.5">
      <c r="AC4699" s="6" t="s">
        <v>1023</v>
      </c>
      <c r="AD4699" s="6" t="e">
        <v>#N/A</v>
      </c>
      <c r="AE4699" s="155" t="s">
        <v>1727</v>
      </c>
      <c r="AF4699" s="159" t="s">
        <v>8300</v>
      </c>
      <c r="AG4699" s="160" t="s">
        <v>921</v>
      </c>
      <c r="AH4699" s="194" t="s">
        <v>679</v>
      </c>
      <c r="AI4699" s="6" t="s">
        <v>2425</v>
      </c>
      <c r="AJ4699" s="3" t="s">
        <v>8206</v>
      </c>
      <c r="AK4699" t="s">
        <v>8206</v>
      </c>
    </row>
    <row r="4700" spans="29:37" ht="13.5">
      <c r="AC4700" s="6" t="s">
        <v>1892</v>
      </c>
      <c r="AD4700" s="6" t="s">
        <v>7767</v>
      </c>
      <c r="AE4700" s="155" t="s">
        <v>2110</v>
      </c>
      <c r="AF4700" s="159" t="s">
        <v>8299</v>
      </c>
      <c r="AG4700" s="160" t="s">
        <v>1118</v>
      </c>
      <c r="AH4700" s="194" t="s">
        <v>679</v>
      </c>
      <c r="AI4700" s="6" t="s">
        <v>2472</v>
      </c>
      <c r="AJ4700" s="3" t="s">
        <v>8206</v>
      </c>
      <c r="AK4700" t="s">
        <v>8206</v>
      </c>
    </row>
    <row r="4701" spans="29:37" ht="13.5">
      <c r="AC4701" s="6">
        <v>25257</v>
      </c>
      <c r="AD4701" s="6" t="s">
        <v>7707</v>
      </c>
      <c r="AE4701" s="155" t="s">
        <v>1777</v>
      </c>
      <c r="AF4701" s="159" t="s">
        <v>8340</v>
      </c>
      <c r="AG4701" s="160" t="s">
        <v>922</v>
      </c>
      <c r="AH4701" s="194" t="s">
        <v>679</v>
      </c>
      <c r="AI4701" s="6" t="s">
        <v>2151</v>
      </c>
      <c r="AJ4701" s="3" t="s">
        <v>8252</v>
      </c>
      <c r="AK4701" t="s">
        <v>8252</v>
      </c>
    </row>
    <row r="4702" spans="29:37" ht="13.5">
      <c r="AC4702" s="6" t="s">
        <v>2181</v>
      </c>
      <c r="AD4702" s="6" t="s">
        <v>7774</v>
      </c>
      <c r="AE4702" s="155" t="s">
        <v>1778</v>
      </c>
      <c r="AF4702" s="159" t="s">
        <v>8300</v>
      </c>
      <c r="AG4702" s="160" t="s">
        <v>923</v>
      </c>
      <c r="AH4702" s="194" t="s">
        <v>679</v>
      </c>
      <c r="AI4702" s="6" t="s">
        <v>1563</v>
      </c>
      <c r="AJ4702" s="3" t="s">
        <v>8210</v>
      </c>
      <c r="AK4702" t="s">
        <v>8210</v>
      </c>
    </row>
    <row r="4703" spans="29:37" ht="13.5">
      <c r="AC4703" s="6" t="s">
        <v>4765</v>
      </c>
      <c r="AD4703" s="6" t="e">
        <v>#N/A</v>
      </c>
      <c r="AE4703" s="155" t="s">
        <v>1779</v>
      </c>
      <c r="AF4703" s="159" t="s">
        <v>8300</v>
      </c>
      <c r="AG4703" s="160" t="s">
        <v>924</v>
      </c>
      <c r="AH4703" s="194" t="s">
        <v>679</v>
      </c>
      <c r="AI4703" s="6" t="s">
        <v>1915</v>
      </c>
      <c r="AJ4703" s="3" t="s">
        <v>8252</v>
      </c>
      <c r="AK4703" t="s">
        <v>8252</v>
      </c>
    </row>
    <row r="4704" spans="29:37" ht="13.5">
      <c r="AC4704" s="6" t="s">
        <v>2182</v>
      </c>
      <c r="AD4704" s="6" t="s">
        <v>7774</v>
      </c>
      <c r="AE4704" s="155" t="s">
        <v>1780</v>
      </c>
      <c r="AF4704" s="159" t="s">
        <v>8300</v>
      </c>
      <c r="AG4704" s="160" t="s">
        <v>925</v>
      </c>
      <c r="AH4704" s="194" t="s">
        <v>679</v>
      </c>
      <c r="AI4704" s="6" t="s">
        <v>3646</v>
      </c>
      <c r="AJ4704" s="3" t="s">
        <v>8199</v>
      </c>
      <c r="AK4704" t="s">
        <v>8199</v>
      </c>
    </row>
    <row r="4705" spans="29:37" ht="13.5">
      <c r="AC4705" s="6" t="s">
        <v>2143</v>
      </c>
      <c r="AD4705" s="6" t="s">
        <v>7773</v>
      </c>
      <c r="AE4705" s="155" t="s">
        <v>1816</v>
      </c>
      <c r="AF4705" s="159" t="s">
        <v>8300</v>
      </c>
      <c r="AG4705" s="160" t="s">
        <v>926</v>
      </c>
      <c r="AH4705" s="194" t="s">
        <v>679</v>
      </c>
      <c r="AI4705" s="6" t="s">
        <v>1645</v>
      </c>
      <c r="AJ4705" s="3" t="s">
        <v>8210</v>
      </c>
      <c r="AK4705" t="s">
        <v>8210</v>
      </c>
    </row>
    <row r="4706" spans="29:37" ht="13.5">
      <c r="AC4706" s="6" t="s">
        <v>2183</v>
      </c>
      <c r="AD4706" s="6" t="s">
        <v>7774</v>
      </c>
      <c r="AE4706" s="155" t="s">
        <v>1817</v>
      </c>
      <c r="AF4706" s="159" t="s">
        <v>8300</v>
      </c>
      <c r="AG4706" s="160" t="s">
        <v>2210</v>
      </c>
      <c r="AH4706" s="194" t="s">
        <v>679</v>
      </c>
      <c r="AI4706" s="6" t="s">
        <v>3732</v>
      </c>
      <c r="AJ4706" s="3" t="s">
        <v>8245</v>
      </c>
      <c r="AK4706" t="s">
        <v>8676</v>
      </c>
    </row>
    <row r="4707" spans="29:37" ht="13.5">
      <c r="AC4707" s="6" t="s">
        <v>5305</v>
      </c>
      <c r="AD4707" s="6" t="s">
        <v>7768</v>
      </c>
      <c r="AE4707" s="155" t="s">
        <v>1818</v>
      </c>
      <c r="AF4707" s="159" t="s">
        <v>8300</v>
      </c>
      <c r="AG4707" s="160" t="s">
        <v>927</v>
      </c>
      <c r="AH4707" s="194" t="s">
        <v>679</v>
      </c>
      <c r="AI4707" s="6" t="s">
        <v>3734</v>
      </c>
      <c r="AJ4707" s="3" t="s">
        <v>8199</v>
      </c>
      <c r="AK4707" t="s">
        <v>8199</v>
      </c>
    </row>
    <row r="4708" spans="29:37" ht="13.5">
      <c r="AC4708" s="6" t="s">
        <v>853</v>
      </c>
      <c r="AD4708" s="6" t="s">
        <v>7768</v>
      </c>
      <c r="AE4708" s="155" t="s">
        <v>2004</v>
      </c>
      <c r="AF4708" s="159" t="s">
        <v>8300</v>
      </c>
      <c r="AG4708" s="160" t="s">
        <v>928</v>
      </c>
      <c r="AH4708" s="194" t="s">
        <v>679</v>
      </c>
      <c r="AI4708" s="6" t="s">
        <v>3735</v>
      </c>
      <c r="AJ4708" s="3" t="s">
        <v>8199</v>
      </c>
      <c r="AK4708" t="s">
        <v>8199</v>
      </c>
    </row>
    <row r="4709" spans="29:37" ht="13.5">
      <c r="AC4709" s="6" t="s">
        <v>4506</v>
      </c>
      <c r="AD4709" s="6" t="s">
        <v>7776</v>
      </c>
      <c r="AE4709" s="155" t="s">
        <v>2005</v>
      </c>
      <c r="AF4709" s="159" t="s">
        <v>8309</v>
      </c>
      <c r="AG4709" s="160" t="s">
        <v>929</v>
      </c>
      <c r="AH4709" s="194" t="s">
        <v>679</v>
      </c>
      <c r="AI4709" s="6" t="s">
        <v>3736</v>
      </c>
      <c r="AJ4709" s="3" t="s">
        <v>8245</v>
      </c>
      <c r="AK4709" t="s">
        <v>8676</v>
      </c>
    </row>
    <row r="4710" spans="29:37" ht="13.5">
      <c r="AC4710" s="6" t="s">
        <v>782</v>
      </c>
      <c r="AD4710" s="6" t="s">
        <v>7768</v>
      </c>
      <c r="AE4710" s="155" t="s">
        <v>1282</v>
      </c>
      <c r="AF4710" s="159" t="s">
        <v>8300</v>
      </c>
      <c r="AG4710" s="160" t="s">
        <v>930</v>
      </c>
      <c r="AH4710" s="194" t="s">
        <v>679</v>
      </c>
      <c r="AI4710" s="6" t="s">
        <v>3737</v>
      </c>
      <c r="AJ4710" s="3" t="s">
        <v>8199</v>
      </c>
      <c r="AK4710" t="s">
        <v>8199</v>
      </c>
    </row>
    <row r="4711" spans="29:37" ht="13.5">
      <c r="AC4711" s="6" t="s">
        <v>1024</v>
      </c>
      <c r="AD4711" s="6" t="s">
        <v>7768</v>
      </c>
      <c r="AE4711" s="155" t="s">
        <v>2238</v>
      </c>
      <c r="AF4711" s="159" t="s">
        <v>8300</v>
      </c>
      <c r="AG4711" s="160" t="s">
        <v>680</v>
      </c>
      <c r="AH4711" s="194" t="s">
        <v>679</v>
      </c>
      <c r="AI4711" s="6" t="s">
        <v>3739</v>
      </c>
      <c r="AJ4711" s="3" t="s">
        <v>8199</v>
      </c>
      <c r="AK4711" t="s">
        <v>8199</v>
      </c>
    </row>
    <row r="4712" spans="29:37" ht="13.5">
      <c r="AC4712" s="6" t="s">
        <v>1020</v>
      </c>
      <c r="AD4712" s="6" t="s">
        <v>7768</v>
      </c>
      <c r="AE4712" s="155" t="s">
        <v>2239</v>
      </c>
      <c r="AF4712" s="159" t="s">
        <v>8300</v>
      </c>
      <c r="AG4712" s="160" t="s">
        <v>931</v>
      </c>
      <c r="AH4712" s="194" t="s">
        <v>679</v>
      </c>
      <c r="AI4712" s="6" t="s">
        <v>3741</v>
      </c>
      <c r="AJ4712" s="3" t="s">
        <v>8245</v>
      </c>
      <c r="AK4712" t="s">
        <v>8676</v>
      </c>
    </row>
    <row r="4713" spans="29:37" ht="13.5">
      <c r="AC4713" s="6" t="s">
        <v>2139</v>
      </c>
      <c r="AD4713" s="6" t="s">
        <v>7773</v>
      </c>
      <c r="AE4713" s="155" t="s">
        <v>2240</v>
      </c>
      <c r="AF4713" s="159" t="s">
        <v>8331</v>
      </c>
      <c r="AG4713" s="160" t="s">
        <v>932</v>
      </c>
      <c r="AH4713" s="194" t="s">
        <v>679</v>
      </c>
      <c r="AI4713" s="6" t="s">
        <v>3742</v>
      </c>
      <c r="AJ4713" s="3" t="s">
        <v>8245</v>
      </c>
      <c r="AK4713" t="s">
        <v>8676</v>
      </c>
    </row>
    <row r="4714" spans="29:37" ht="13.5">
      <c r="AC4714" s="6" t="s">
        <v>1027</v>
      </c>
      <c r="AD4714" s="6" t="s">
        <v>7768</v>
      </c>
      <c r="AE4714" s="155" t="s">
        <v>2248</v>
      </c>
      <c r="AF4714" s="159" t="s">
        <v>8300</v>
      </c>
      <c r="AG4714" s="160" t="s">
        <v>933</v>
      </c>
      <c r="AH4714" s="194" t="s">
        <v>679</v>
      </c>
      <c r="AI4714" s="6" t="s">
        <v>3746</v>
      </c>
      <c r="AJ4714" s="3" t="s">
        <v>8218</v>
      </c>
      <c r="AK4714" t="s">
        <v>8218</v>
      </c>
    </row>
    <row r="4715" spans="29:37" ht="13.5">
      <c r="AC4715" s="6" t="s">
        <v>5561</v>
      </c>
      <c r="AD4715" s="6" t="s">
        <v>7768</v>
      </c>
      <c r="AE4715" s="155">
        <v>25234</v>
      </c>
      <c r="AF4715" s="159" t="s">
        <v>8300</v>
      </c>
      <c r="AG4715" s="160" t="s">
        <v>5462</v>
      </c>
      <c r="AH4715" s="194" t="s">
        <v>679</v>
      </c>
      <c r="AI4715" s="6" t="s">
        <v>3748</v>
      </c>
      <c r="AJ4715" s="3" t="s">
        <v>8199</v>
      </c>
      <c r="AK4715" t="s">
        <v>8199</v>
      </c>
    </row>
    <row r="4716" spans="29:37" ht="13.5">
      <c r="AC4716" s="6" t="s">
        <v>4504</v>
      </c>
      <c r="AD4716" s="6" t="s">
        <v>7768</v>
      </c>
      <c r="AE4716" s="155">
        <v>25235</v>
      </c>
      <c r="AF4716" s="159" t="s">
        <v>8366</v>
      </c>
      <c r="AG4716" s="160" t="s">
        <v>5230</v>
      </c>
      <c r="AH4716" s="194" t="s">
        <v>679</v>
      </c>
      <c r="AI4716" s="6" t="s">
        <v>3752</v>
      </c>
      <c r="AJ4716" s="3" t="s">
        <v>8218</v>
      </c>
      <c r="AK4716" t="s">
        <v>8218</v>
      </c>
    </row>
    <row r="4717" spans="29:37" ht="13.5">
      <c r="AC4717" s="6" t="s">
        <v>1026</v>
      </c>
      <c r="AD4717" s="6" t="s">
        <v>7768</v>
      </c>
      <c r="AE4717" s="155">
        <v>25259</v>
      </c>
      <c r="AF4717" s="159" t="s">
        <v>8568</v>
      </c>
      <c r="AG4717" s="160" t="s">
        <v>5463</v>
      </c>
      <c r="AH4717" s="194" t="s">
        <v>4700</v>
      </c>
      <c r="AI4717" s="6" t="s">
        <v>3753</v>
      </c>
      <c r="AJ4717" s="3" t="s">
        <v>8244</v>
      </c>
      <c r="AK4717" t="s">
        <v>8244</v>
      </c>
    </row>
    <row r="4718" spans="29:37" ht="13.5">
      <c r="AC4718" s="6" t="s">
        <v>5270</v>
      </c>
      <c r="AD4718" s="6" t="s">
        <v>7777</v>
      </c>
      <c r="AE4718" s="155">
        <v>25263</v>
      </c>
      <c r="AF4718" s="159" t="s">
        <v>8297</v>
      </c>
      <c r="AG4718" s="160" t="s">
        <v>625</v>
      </c>
      <c r="AH4718" s="194" t="s">
        <v>679</v>
      </c>
      <c r="AI4718" s="6" t="s">
        <v>3755</v>
      </c>
      <c r="AJ4718" s="3" t="s">
        <v>8218</v>
      </c>
      <c r="AK4718" t="s">
        <v>8218</v>
      </c>
    </row>
    <row r="4719" spans="29:37" ht="13.5">
      <c r="AC4719" s="6" t="s">
        <v>5256</v>
      </c>
      <c r="AD4719" s="6" t="s">
        <v>7777</v>
      </c>
      <c r="AE4719" s="155">
        <v>25264</v>
      </c>
      <c r="AF4719" s="159" t="s">
        <v>8409</v>
      </c>
      <c r="AG4719" s="160" t="s">
        <v>626</v>
      </c>
      <c r="AH4719" s="194" t="s">
        <v>679</v>
      </c>
      <c r="AI4719" s="6" t="s">
        <v>3756</v>
      </c>
      <c r="AJ4719" s="3" t="s">
        <v>8218</v>
      </c>
      <c r="AK4719" t="s">
        <v>8218</v>
      </c>
    </row>
    <row r="4720" spans="29:37" ht="13.5">
      <c r="AC4720" s="6" t="s">
        <v>5738</v>
      </c>
      <c r="AD4720" s="6" t="s">
        <v>7776</v>
      </c>
      <c r="AE4720" s="155" t="s">
        <v>2105</v>
      </c>
      <c r="AF4720" s="159" t="s">
        <v>8297</v>
      </c>
      <c r="AG4720" s="160" t="s">
        <v>1473</v>
      </c>
      <c r="AH4720" s="194" t="s">
        <v>679</v>
      </c>
      <c r="AI4720" s="6" t="s">
        <v>3759</v>
      </c>
      <c r="AJ4720" s="3" t="s">
        <v>8199</v>
      </c>
      <c r="AK4720" t="s">
        <v>8199</v>
      </c>
    </row>
    <row r="4721" spans="29:37" ht="13.5">
      <c r="AC4721" s="6" t="s">
        <v>769</v>
      </c>
      <c r="AD4721" s="6" t="s">
        <v>7768</v>
      </c>
      <c r="AE4721" s="155" t="s">
        <v>2106</v>
      </c>
      <c r="AF4721" s="159" t="s">
        <v>8299</v>
      </c>
      <c r="AG4721" s="160" t="s">
        <v>1474</v>
      </c>
      <c r="AH4721" s="194" t="s">
        <v>679</v>
      </c>
      <c r="AI4721" s="6" t="s">
        <v>3760</v>
      </c>
      <c r="AJ4721" s="3" t="s">
        <v>8245</v>
      </c>
      <c r="AK4721" t="s">
        <v>8676</v>
      </c>
    </row>
    <row r="4722" spans="29:37" ht="13.5">
      <c r="AC4722" s="6" t="s">
        <v>729</v>
      </c>
      <c r="AD4722" s="6" t="s">
        <v>7776</v>
      </c>
      <c r="AE4722" s="155" t="s">
        <v>2081</v>
      </c>
      <c r="AF4722" s="159" t="s">
        <v>8300</v>
      </c>
      <c r="AG4722" s="160" t="s">
        <v>627</v>
      </c>
      <c r="AH4722" s="194" t="s">
        <v>679</v>
      </c>
      <c r="AI4722" s="6" t="s">
        <v>1534</v>
      </c>
      <c r="AJ4722" s="3" t="s">
        <v>8197</v>
      </c>
      <c r="AK4722" t="s">
        <v>8197</v>
      </c>
    </row>
    <row r="4723" spans="29:37" ht="13.5">
      <c r="AC4723" s="6" t="s">
        <v>797</v>
      </c>
      <c r="AD4723" s="6" t="s">
        <v>7776</v>
      </c>
      <c r="AE4723" s="155" t="s">
        <v>2083</v>
      </c>
      <c r="AF4723" s="159" t="s">
        <v>8384</v>
      </c>
      <c r="AG4723" s="160" t="s">
        <v>5154</v>
      </c>
      <c r="AH4723" s="194" t="s">
        <v>1314</v>
      </c>
      <c r="AI4723" s="6" t="s">
        <v>1535</v>
      </c>
      <c r="AJ4723" s="3" t="s">
        <v>8197</v>
      </c>
      <c r="AK4723" t="s">
        <v>8197</v>
      </c>
    </row>
    <row r="4724" spans="29:37" ht="13.5">
      <c r="AC4724" s="6" t="s">
        <v>785</v>
      </c>
      <c r="AD4724" s="6" t="s">
        <v>7768</v>
      </c>
      <c r="AE4724" s="155" t="s">
        <v>2107</v>
      </c>
      <c r="AF4724" s="159" t="s">
        <v>8343</v>
      </c>
      <c r="AG4724" s="160" t="s">
        <v>4436</v>
      </c>
      <c r="AH4724" s="194" t="s">
        <v>679</v>
      </c>
      <c r="AI4724" s="6" t="s">
        <v>152</v>
      </c>
      <c r="AJ4724" s="3" t="s">
        <v>8197</v>
      </c>
      <c r="AK4724" t="s">
        <v>8197</v>
      </c>
    </row>
    <row r="4725" spans="29:37" ht="13.5">
      <c r="AC4725" s="6" t="s">
        <v>3858</v>
      </c>
      <c r="AD4725" s="6" t="s">
        <v>7768</v>
      </c>
      <c r="AE4725" s="155" t="s">
        <v>2084</v>
      </c>
      <c r="AF4725" s="159" t="s">
        <v>8300</v>
      </c>
      <c r="AG4725" s="160" t="s">
        <v>5464</v>
      </c>
      <c r="AH4725" s="194" t="s">
        <v>1314</v>
      </c>
      <c r="AI4725" s="6" t="s">
        <v>1537</v>
      </c>
      <c r="AJ4725" s="3" t="s">
        <v>8197</v>
      </c>
      <c r="AK4725" t="s">
        <v>8197</v>
      </c>
    </row>
    <row r="4726" spans="29:37" ht="13.5">
      <c r="AC4726" s="6" t="s">
        <v>709</v>
      </c>
      <c r="AD4726" s="6" t="s">
        <v>7768</v>
      </c>
      <c r="AE4726" s="155" t="s">
        <v>2085</v>
      </c>
      <c r="AF4726" s="159" t="s">
        <v>8299</v>
      </c>
      <c r="AG4726" s="160" t="s">
        <v>4449</v>
      </c>
      <c r="AH4726" s="194" t="s">
        <v>679</v>
      </c>
      <c r="AI4726" s="6" t="s">
        <v>1539</v>
      </c>
      <c r="AJ4726" s="3" t="s">
        <v>8197</v>
      </c>
      <c r="AK4726" t="s">
        <v>8197</v>
      </c>
    </row>
    <row r="4727" spans="29:37" ht="13.5">
      <c r="AC4727" s="6" t="s">
        <v>733</v>
      </c>
      <c r="AD4727" s="6" t="s">
        <v>7768</v>
      </c>
      <c r="AE4727" s="155" t="s">
        <v>2109</v>
      </c>
      <c r="AF4727" s="159" t="s">
        <v>8300</v>
      </c>
      <c r="AG4727" s="160" t="s">
        <v>5084</v>
      </c>
      <c r="AH4727" s="194" t="s">
        <v>1314</v>
      </c>
      <c r="AI4727" s="6" t="s">
        <v>153</v>
      </c>
      <c r="AJ4727" s="3" t="s">
        <v>8197</v>
      </c>
      <c r="AK4727" t="s">
        <v>8197</v>
      </c>
    </row>
    <row r="4728" spans="29:37" ht="13.5">
      <c r="AC4728" s="6" t="s">
        <v>2140</v>
      </c>
      <c r="AD4728" s="6" t="s">
        <v>7773</v>
      </c>
      <c r="AE4728" s="155">
        <v>595399</v>
      </c>
      <c r="AF4728" s="159" t="s">
        <v>8309</v>
      </c>
      <c r="AG4728" s="160" t="s">
        <v>5181</v>
      </c>
      <c r="AH4728" s="194" t="s">
        <v>679</v>
      </c>
      <c r="AI4728" s="6" t="s">
        <v>1540</v>
      </c>
      <c r="AJ4728" s="3" t="s">
        <v>8197</v>
      </c>
      <c r="AK4728" t="s">
        <v>8197</v>
      </c>
    </row>
    <row r="4729" spans="29:37" ht="13.5">
      <c r="AC4729" s="6" t="s">
        <v>811</v>
      </c>
      <c r="AD4729" s="6" t="s">
        <v>7768</v>
      </c>
      <c r="AE4729" s="155">
        <v>595400</v>
      </c>
      <c r="AF4729" s="159" t="s">
        <v>8309</v>
      </c>
      <c r="AG4729" s="160" t="s">
        <v>5257</v>
      </c>
      <c r="AH4729" s="194" t="s">
        <v>1314</v>
      </c>
      <c r="AI4729" s="6" t="s">
        <v>1541</v>
      </c>
      <c r="AJ4729" s="3" t="s">
        <v>8197</v>
      </c>
      <c r="AK4729" t="s">
        <v>8197</v>
      </c>
    </row>
    <row r="4730" spans="29:37" ht="13.5">
      <c r="AC4730" s="6" t="s">
        <v>1022</v>
      </c>
      <c r="AD4730" s="6" t="s">
        <v>7768</v>
      </c>
      <c r="AE4730" s="155">
        <v>595401</v>
      </c>
      <c r="AF4730" s="159" t="s">
        <v>8332</v>
      </c>
      <c r="AG4730" s="160" t="s">
        <v>1646</v>
      </c>
      <c r="AH4730" s="194" t="s">
        <v>679</v>
      </c>
      <c r="AI4730" s="6" t="s">
        <v>1565</v>
      </c>
      <c r="AJ4730" s="3" t="s">
        <v>8197</v>
      </c>
      <c r="AK4730" t="s">
        <v>8197</v>
      </c>
    </row>
    <row r="4731" spans="29:37" ht="13.5">
      <c r="AC4731" s="6">
        <v>635423</v>
      </c>
      <c r="AD4731" s="6" t="s">
        <v>7778</v>
      </c>
      <c r="AE4731" s="155">
        <v>595402</v>
      </c>
      <c r="AF4731" s="159" t="s">
        <v>8320</v>
      </c>
      <c r="AG4731" s="160" t="s">
        <v>1647</v>
      </c>
      <c r="AH4731" s="194" t="s">
        <v>679</v>
      </c>
      <c r="AI4731" s="6" t="s">
        <v>1567</v>
      </c>
      <c r="AJ4731" s="3" t="s">
        <v>8197</v>
      </c>
      <c r="AK4731" t="s">
        <v>8197</v>
      </c>
    </row>
    <row r="4732" spans="29:37" ht="13.5">
      <c r="AC4732" s="6" t="s">
        <v>841</v>
      </c>
      <c r="AD4732" s="6" t="s">
        <v>7768</v>
      </c>
      <c r="AE4732" s="155" t="s">
        <v>2287</v>
      </c>
      <c r="AF4732" s="159" t="s">
        <v>8299</v>
      </c>
      <c r="AG4732" s="160" t="s">
        <v>1650</v>
      </c>
      <c r="AH4732" s="194" t="s">
        <v>679</v>
      </c>
      <c r="AI4732" s="6" t="s">
        <v>2393</v>
      </c>
      <c r="AJ4732" s="3" t="s">
        <v>8237</v>
      </c>
      <c r="AK4732" t="s">
        <v>8237</v>
      </c>
    </row>
    <row r="4733" spans="29:37" ht="13.5">
      <c r="AC4733" s="6" t="s">
        <v>804</v>
      </c>
      <c r="AD4733" s="6" t="s">
        <v>7768</v>
      </c>
      <c r="AE4733" s="155" t="s">
        <v>1842</v>
      </c>
      <c r="AF4733" s="159" t="s">
        <v>8300</v>
      </c>
      <c r="AG4733" s="160" t="s">
        <v>1119</v>
      </c>
      <c r="AH4733" s="194" t="s">
        <v>679</v>
      </c>
      <c r="AI4733" s="6" t="s">
        <v>4003</v>
      </c>
      <c r="AJ4733" s="3" t="s">
        <v>8272</v>
      </c>
      <c r="AK4733" t="s">
        <v>8272</v>
      </c>
    </row>
    <row r="4734" spans="29:37" ht="13.5">
      <c r="AC4734" s="6" t="s">
        <v>5377</v>
      </c>
      <c r="AD4734" s="6" t="s">
        <v>7768</v>
      </c>
      <c r="AE4734" s="155" t="s">
        <v>1966</v>
      </c>
      <c r="AF4734" s="159" t="s">
        <v>8297</v>
      </c>
      <c r="AG4734" s="160" t="s">
        <v>1120</v>
      </c>
      <c r="AH4734" s="194" t="s">
        <v>679</v>
      </c>
      <c r="AI4734" s="6" t="s">
        <v>87</v>
      </c>
      <c r="AJ4734" s="3" t="s">
        <v>8269</v>
      </c>
      <c r="AK4734" t="s">
        <v>8269</v>
      </c>
    </row>
    <row r="4735" spans="29:37" ht="13.5">
      <c r="AC4735" s="6" t="s">
        <v>1783</v>
      </c>
      <c r="AD4735" s="6" t="s">
        <v>7754</v>
      </c>
      <c r="AE4735" s="155" t="s">
        <v>1967</v>
      </c>
      <c r="AF4735" s="159" t="s">
        <v>8340</v>
      </c>
      <c r="AG4735" s="160" t="s">
        <v>628</v>
      </c>
      <c r="AH4735" s="194" t="s">
        <v>679</v>
      </c>
      <c r="AI4735" s="6" t="s">
        <v>91</v>
      </c>
      <c r="AJ4735" s="3" t="s">
        <v>8269</v>
      </c>
      <c r="AK4735" t="s">
        <v>8269</v>
      </c>
    </row>
    <row r="4736" spans="29:37" ht="13.5">
      <c r="AC4736" s="6" t="s">
        <v>820</v>
      </c>
      <c r="AD4736" s="6" t="s">
        <v>7768</v>
      </c>
      <c r="AE4736" s="155" t="s">
        <v>1968</v>
      </c>
      <c r="AF4736" s="159" t="s">
        <v>8299</v>
      </c>
      <c r="AG4736" s="160" t="s">
        <v>1422</v>
      </c>
      <c r="AH4736" s="194" t="s">
        <v>679</v>
      </c>
      <c r="AI4736" s="6" t="s">
        <v>1552</v>
      </c>
      <c r="AJ4736" s="3" t="s">
        <v>8198</v>
      </c>
      <c r="AK4736" t="s">
        <v>8198</v>
      </c>
    </row>
    <row r="4737" spans="29:37" ht="13.5">
      <c r="AC4737" s="6">
        <v>645428</v>
      </c>
      <c r="AD4737" s="6" t="s">
        <v>7772</v>
      </c>
      <c r="AE4737" s="155" t="s">
        <v>2006</v>
      </c>
      <c r="AF4737" s="159" t="s">
        <v>8300</v>
      </c>
      <c r="AG4737" s="160" t="s">
        <v>1432</v>
      </c>
      <c r="AH4737" s="194" t="s">
        <v>679</v>
      </c>
      <c r="AI4737" s="6" t="s">
        <v>1554</v>
      </c>
      <c r="AJ4737" s="3" t="s">
        <v>8198</v>
      </c>
      <c r="AK4737" t="s">
        <v>8198</v>
      </c>
    </row>
    <row r="4738" spans="29:37" ht="13.5">
      <c r="AC4738" s="6" t="s">
        <v>708</v>
      </c>
      <c r="AD4738" s="6" t="s">
        <v>7768</v>
      </c>
      <c r="AE4738" s="155" t="s">
        <v>2007</v>
      </c>
      <c r="AF4738" s="159" t="s">
        <v>8300</v>
      </c>
      <c r="AG4738" s="160" t="s">
        <v>5248</v>
      </c>
      <c r="AH4738" s="194" t="s">
        <v>679</v>
      </c>
      <c r="AI4738" s="6" t="s">
        <v>1559</v>
      </c>
      <c r="AJ4738" s="3" t="s">
        <v>8198</v>
      </c>
      <c r="AK4738" t="s">
        <v>8198</v>
      </c>
    </row>
    <row r="4739" spans="29:37" ht="13.5">
      <c r="AC4739" s="6" t="s">
        <v>737</v>
      </c>
      <c r="AD4739" s="6" t="s">
        <v>7776</v>
      </c>
      <c r="AE4739" s="155" t="s">
        <v>2008</v>
      </c>
      <c r="AF4739" s="159" t="s">
        <v>8300</v>
      </c>
      <c r="AG4739" s="160" t="s">
        <v>5169</v>
      </c>
      <c r="AH4739" s="194" t="s">
        <v>1314</v>
      </c>
      <c r="AI4739" s="6" t="s">
        <v>1561</v>
      </c>
      <c r="AJ4739" s="3" t="s">
        <v>8198</v>
      </c>
      <c r="AK4739" t="s">
        <v>8198</v>
      </c>
    </row>
    <row r="4740" spans="29:37" ht="13.5">
      <c r="AC4740" s="6" t="s">
        <v>2249</v>
      </c>
      <c r="AD4740" s="6" t="s">
        <v>7754</v>
      </c>
      <c r="AE4740" s="155" t="s">
        <v>2170</v>
      </c>
      <c r="AF4740" s="159" t="s">
        <v>8309</v>
      </c>
      <c r="AG4740" s="160" t="s">
        <v>629</v>
      </c>
      <c r="AH4740" s="194" t="s">
        <v>679</v>
      </c>
      <c r="AI4740" s="6">
        <v>15254</v>
      </c>
      <c r="AJ4740" s="3" t="s">
        <v>8207</v>
      </c>
      <c r="AK4740" t="s">
        <v>8207</v>
      </c>
    </row>
    <row r="4741" spans="29:37" ht="13.5">
      <c r="AC4741" s="6" t="s">
        <v>810</v>
      </c>
      <c r="AD4741" s="6" t="s">
        <v>7768</v>
      </c>
      <c r="AE4741" s="155" t="s">
        <v>4344</v>
      </c>
      <c r="AF4741" s="159" t="s">
        <v>8299</v>
      </c>
      <c r="AG4741" s="160" t="s">
        <v>630</v>
      </c>
      <c r="AH4741" s="194" t="s">
        <v>679</v>
      </c>
      <c r="AI4741" s="6">
        <v>25336</v>
      </c>
      <c r="AJ4741" s="3" t="s">
        <v>8216</v>
      </c>
      <c r="AK4741" t="s">
        <v>8216</v>
      </c>
    </row>
    <row r="4742" spans="29:37" ht="13.5">
      <c r="AC4742" s="6" t="s">
        <v>21</v>
      </c>
      <c r="AD4742" s="6" t="s">
        <v>7768</v>
      </c>
      <c r="AE4742" s="155" t="s">
        <v>4342</v>
      </c>
      <c r="AF4742" s="159" t="s">
        <v>8299</v>
      </c>
      <c r="AG4742" s="160" t="s">
        <v>2508</v>
      </c>
      <c r="AH4742" s="194" t="s">
        <v>679</v>
      </c>
      <c r="AI4742" s="6">
        <v>25340</v>
      </c>
      <c r="AJ4742" s="3" t="s">
        <v>8195</v>
      </c>
      <c r="AK4742" t="s">
        <v>8195</v>
      </c>
    </row>
    <row r="4743" spans="29:37" ht="13.5">
      <c r="AC4743" s="6" t="s">
        <v>5562</v>
      </c>
      <c r="AD4743" s="6" t="s">
        <v>7768</v>
      </c>
      <c r="AE4743" s="155" t="s">
        <v>4347</v>
      </c>
      <c r="AF4743" s="159" t="s">
        <v>8339</v>
      </c>
      <c r="AG4743" s="160" t="s">
        <v>2569</v>
      </c>
      <c r="AH4743" s="194" t="s">
        <v>679</v>
      </c>
      <c r="AI4743" s="6">
        <v>35266</v>
      </c>
      <c r="AJ4743" s="3" t="s">
        <v>8234</v>
      </c>
      <c r="AK4743" t="s">
        <v>8234</v>
      </c>
    </row>
    <row r="4744" spans="29:37" ht="13.5">
      <c r="AC4744" s="6" t="s">
        <v>2003</v>
      </c>
      <c r="AD4744" s="6" t="s">
        <v>7777</v>
      </c>
      <c r="AE4744" s="155" t="s">
        <v>3622</v>
      </c>
      <c r="AF4744" s="159" t="s">
        <v>8342</v>
      </c>
      <c r="AG4744" s="160" t="s">
        <v>2570</v>
      </c>
      <c r="AH4744" s="194" t="s">
        <v>679</v>
      </c>
      <c r="AI4744" s="6">
        <v>255312</v>
      </c>
      <c r="AJ4744" s="3" t="s">
        <v>8234</v>
      </c>
      <c r="AK4744" t="s">
        <v>8234</v>
      </c>
    </row>
    <row r="4745" spans="29:37" ht="13.5">
      <c r="AC4745" s="6" t="s">
        <v>766</v>
      </c>
      <c r="AD4745" s="6" t="s">
        <v>7768</v>
      </c>
      <c r="AE4745" s="155" t="s">
        <v>4346</v>
      </c>
      <c r="AF4745" s="159" t="s">
        <v>8299</v>
      </c>
      <c r="AG4745" s="160" t="s">
        <v>2679</v>
      </c>
      <c r="AH4745" s="194" t="s">
        <v>4700</v>
      </c>
      <c r="AI4745" s="6" t="s">
        <v>2095</v>
      </c>
      <c r="AJ4745" s="3" t="s">
        <v>8213</v>
      </c>
      <c r="AK4745" t="s">
        <v>8213</v>
      </c>
    </row>
    <row r="4746" spans="29:37" ht="13.5">
      <c r="AC4746" s="6" t="s">
        <v>791</v>
      </c>
      <c r="AD4746" s="6" t="s">
        <v>7768</v>
      </c>
      <c r="AE4746" s="155" t="s">
        <v>3621</v>
      </c>
      <c r="AF4746" s="159" t="s">
        <v>8339</v>
      </c>
      <c r="AG4746" s="160" t="s">
        <v>2754</v>
      </c>
      <c r="AH4746" s="194" t="s">
        <v>679</v>
      </c>
      <c r="AI4746" s="6" t="s">
        <v>2096</v>
      </c>
      <c r="AJ4746" s="3" t="s">
        <v>8213</v>
      </c>
      <c r="AK4746" t="s">
        <v>8213</v>
      </c>
    </row>
    <row r="4747" spans="29:37" ht="13.5">
      <c r="AC4747" s="6" t="s">
        <v>710</v>
      </c>
      <c r="AD4747" s="6" t="s">
        <v>7768</v>
      </c>
      <c r="AE4747" s="155" t="s">
        <v>4343</v>
      </c>
      <c r="AF4747" s="159" t="s">
        <v>8299</v>
      </c>
      <c r="AG4747" s="160" t="s">
        <v>2755</v>
      </c>
      <c r="AH4747" s="194" t="s">
        <v>679</v>
      </c>
      <c r="AI4747" s="6" t="s">
        <v>4347</v>
      </c>
      <c r="AJ4747" s="3" t="s">
        <v>8213</v>
      </c>
      <c r="AK4747" t="s">
        <v>8213</v>
      </c>
    </row>
    <row r="4748" spans="29:37" ht="13.5">
      <c r="AC4748" s="6" t="s">
        <v>1979</v>
      </c>
      <c r="AD4748" s="6" t="s">
        <v>7775</v>
      </c>
      <c r="AE4748" s="155" t="s">
        <v>4345</v>
      </c>
      <c r="AF4748" s="159" t="s">
        <v>8299</v>
      </c>
      <c r="AG4748" s="160" t="s">
        <v>5465</v>
      </c>
      <c r="AH4748" s="194" t="s">
        <v>1314</v>
      </c>
      <c r="AI4748" s="6">
        <v>355310</v>
      </c>
      <c r="AJ4748" s="3" t="s">
        <v>8235</v>
      </c>
      <c r="AK4748" t="s">
        <v>8672</v>
      </c>
    </row>
    <row r="4749" spans="29:37" ht="13.5">
      <c r="AC4749" s="6" t="s">
        <v>1019</v>
      </c>
      <c r="AD4749" s="6" t="s">
        <v>7768</v>
      </c>
      <c r="AE4749" s="155" t="s">
        <v>4807</v>
      </c>
      <c r="AF4749" s="159" t="s">
        <v>8388</v>
      </c>
      <c r="AG4749" s="160" t="s">
        <v>3457</v>
      </c>
      <c r="AH4749" s="194" t="s">
        <v>1314</v>
      </c>
      <c r="AI4749" s="6">
        <v>505359</v>
      </c>
      <c r="AJ4749" s="3" t="s">
        <v>8196</v>
      </c>
      <c r="AK4749" t="s">
        <v>8196</v>
      </c>
    </row>
    <row r="4750" spans="29:37" ht="13.5">
      <c r="AC4750" s="6" t="s">
        <v>734</v>
      </c>
      <c r="AD4750" s="6" t="s">
        <v>7776</v>
      </c>
      <c r="AE4750" s="155" t="s">
        <v>4806</v>
      </c>
      <c r="AF4750" s="159" t="s">
        <v>8513</v>
      </c>
      <c r="AG4750" s="160" t="s">
        <v>3453</v>
      </c>
      <c r="AH4750" s="194" t="s">
        <v>1314</v>
      </c>
      <c r="AI4750" s="6" t="s">
        <v>1867</v>
      </c>
      <c r="AJ4750" s="3" t="s">
        <v>8234</v>
      </c>
      <c r="AK4750" t="s">
        <v>8234</v>
      </c>
    </row>
    <row r="4751" spans="29:37" ht="13.5">
      <c r="AC4751" s="6" t="s">
        <v>1978</v>
      </c>
      <c r="AD4751" s="6" t="s">
        <v>7775</v>
      </c>
      <c r="AE4751" s="155" t="s">
        <v>4805</v>
      </c>
      <c r="AF4751" s="159" t="s">
        <v>8569</v>
      </c>
      <c r="AG4751" s="160" t="s">
        <v>2426</v>
      </c>
      <c r="AH4751" s="194" t="s">
        <v>679</v>
      </c>
      <c r="AI4751" s="6" t="s">
        <v>791</v>
      </c>
      <c r="AJ4751" s="3" t="s">
        <v>8263</v>
      </c>
      <c r="AK4751" t="s">
        <v>8263</v>
      </c>
    </row>
    <row r="4752" spans="29:37" ht="13.5">
      <c r="AC4752" s="6" t="s">
        <v>764</v>
      </c>
      <c r="AD4752" s="6" t="s">
        <v>7768</v>
      </c>
      <c r="AE4752" s="155" t="s">
        <v>4804</v>
      </c>
      <c r="AF4752" s="159" t="s">
        <v>8363</v>
      </c>
      <c r="AG4752" s="160" t="s">
        <v>2428</v>
      </c>
      <c r="AH4752" s="194" t="s">
        <v>679</v>
      </c>
      <c r="AI4752" s="6" t="s">
        <v>836</v>
      </c>
      <c r="AJ4752" s="3" t="s">
        <v>8273</v>
      </c>
      <c r="AK4752" t="s">
        <v>8273</v>
      </c>
    </row>
    <row r="4753" spans="29:37" ht="13.5">
      <c r="AC4753" s="6" t="s">
        <v>850</v>
      </c>
      <c r="AD4753" s="6" t="s">
        <v>7768</v>
      </c>
      <c r="AE4753" s="155" t="s">
        <v>4803</v>
      </c>
      <c r="AF4753" s="159" t="s">
        <v>8357</v>
      </c>
      <c r="AG4753" s="160" t="s">
        <v>2429</v>
      </c>
      <c r="AH4753" s="194" t="s">
        <v>679</v>
      </c>
      <c r="AI4753" s="6" t="s">
        <v>2896</v>
      </c>
      <c r="AJ4753" s="3" t="s">
        <v>8193</v>
      </c>
      <c r="AK4753" t="s">
        <v>8205</v>
      </c>
    </row>
    <row r="4754" spans="29:37" ht="13.5">
      <c r="AC4754" s="6" t="s">
        <v>738</v>
      </c>
      <c r="AD4754" s="6" t="s">
        <v>7776</v>
      </c>
      <c r="AE4754" s="155" t="s">
        <v>4810</v>
      </c>
      <c r="AF4754" s="159" t="s">
        <v>8299</v>
      </c>
      <c r="AG4754" s="160" t="s">
        <v>2430</v>
      </c>
      <c r="AH4754" s="194" t="s">
        <v>679</v>
      </c>
      <c r="AI4754" s="6" t="s">
        <v>3306</v>
      </c>
      <c r="AJ4754" s="3" t="s">
        <v>8204</v>
      </c>
      <c r="AK4754" t="s">
        <v>8204</v>
      </c>
    </row>
    <row r="4755" spans="29:37" ht="13.5">
      <c r="AC4755" s="6" t="s">
        <v>1897</v>
      </c>
      <c r="AD4755" s="6" t="s">
        <v>7775</v>
      </c>
      <c r="AE4755" s="155" t="s">
        <v>2025</v>
      </c>
      <c r="AF4755" s="159" t="s">
        <v>8300</v>
      </c>
      <c r="AG4755" s="160" t="s">
        <v>2431</v>
      </c>
      <c r="AH4755" s="194" t="s">
        <v>679</v>
      </c>
      <c r="AI4755" s="6" t="s">
        <v>314</v>
      </c>
      <c r="AJ4755" s="3" t="s">
        <v>8207</v>
      </c>
      <c r="AK4755" t="s">
        <v>8207</v>
      </c>
    </row>
    <row r="4756" spans="29:37" ht="13.5">
      <c r="AC4756" s="6" t="s">
        <v>723</v>
      </c>
      <c r="AD4756" s="6" t="s">
        <v>7768</v>
      </c>
      <c r="AE4756" s="155" t="s">
        <v>2027</v>
      </c>
      <c r="AF4756" s="159" t="s">
        <v>8300</v>
      </c>
      <c r="AG4756" s="160" t="s">
        <v>2432</v>
      </c>
      <c r="AH4756" s="194" t="s">
        <v>679</v>
      </c>
      <c r="AI4756" s="6" t="s">
        <v>335</v>
      </c>
      <c r="AJ4756" s="3" t="s">
        <v>8228</v>
      </c>
      <c r="AK4756" t="s">
        <v>8228</v>
      </c>
    </row>
    <row r="4757" spans="29:37" ht="13.5">
      <c r="AC4757" s="6" t="s">
        <v>1021</v>
      </c>
      <c r="AD4757" s="6" t="s">
        <v>7768</v>
      </c>
      <c r="AE4757" s="155" t="s">
        <v>2028</v>
      </c>
      <c r="AF4757" s="159" t="s">
        <v>8299</v>
      </c>
      <c r="AG4757" s="160" t="s">
        <v>2433</v>
      </c>
      <c r="AH4757" s="194" t="s">
        <v>679</v>
      </c>
      <c r="AI4757" s="6" t="s">
        <v>1395</v>
      </c>
      <c r="AJ4757" s="3" t="s">
        <v>8195</v>
      </c>
      <c r="AK4757" t="s">
        <v>8195</v>
      </c>
    </row>
    <row r="4758" spans="29:37" ht="13.5">
      <c r="AC4758" s="6" t="s">
        <v>3857</v>
      </c>
      <c r="AD4758" s="6" t="s">
        <v>7768</v>
      </c>
      <c r="AE4758" s="155" t="s">
        <v>2029</v>
      </c>
      <c r="AF4758" s="159" t="s">
        <v>8300</v>
      </c>
      <c r="AG4758" s="160" t="s">
        <v>2434</v>
      </c>
      <c r="AH4758" s="194" t="s">
        <v>679</v>
      </c>
      <c r="AI4758" s="6" t="s">
        <v>442</v>
      </c>
      <c r="AJ4758" s="3" t="s">
        <v>8195</v>
      </c>
      <c r="AK4758" t="s">
        <v>8195</v>
      </c>
    </row>
    <row r="4759" spans="29:37" ht="13.5">
      <c r="AC4759" s="6" t="s">
        <v>808</v>
      </c>
      <c r="AD4759" s="6" t="s">
        <v>7768</v>
      </c>
      <c r="AE4759" s="155" t="s">
        <v>2033</v>
      </c>
      <c r="AF4759" s="159" t="s">
        <v>8299</v>
      </c>
      <c r="AG4759" s="160" t="s">
        <v>2435</v>
      </c>
      <c r="AH4759" s="194" t="s">
        <v>679</v>
      </c>
      <c r="AI4759" s="6" t="s">
        <v>1406</v>
      </c>
      <c r="AJ4759" s="3" t="s">
        <v>8208</v>
      </c>
      <c r="AK4759" t="s">
        <v>8667</v>
      </c>
    </row>
    <row r="4760" spans="29:37" ht="13.5">
      <c r="AC4760" s="6" t="s">
        <v>1025</v>
      </c>
      <c r="AD4760" s="6" t="s">
        <v>7768</v>
      </c>
      <c r="AE4760" s="155" t="s">
        <v>2034</v>
      </c>
      <c r="AF4760" s="159" t="s">
        <v>8300</v>
      </c>
      <c r="AG4760" s="160" t="s">
        <v>2436</v>
      </c>
      <c r="AH4760" s="194" t="s">
        <v>679</v>
      </c>
      <c r="AI4760" s="6" t="s">
        <v>482</v>
      </c>
      <c r="AJ4760" s="3" t="s">
        <v>8228</v>
      </c>
      <c r="AK4760" t="s">
        <v>8228</v>
      </c>
    </row>
    <row r="4761" spans="29:37" ht="13.5">
      <c r="AC4761" s="6" t="s">
        <v>715</v>
      </c>
      <c r="AD4761" s="6" t="s">
        <v>7768</v>
      </c>
      <c r="AE4761" s="155" t="s">
        <v>2035</v>
      </c>
      <c r="AF4761" s="159" t="s">
        <v>8320</v>
      </c>
      <c r="AG4761" s="160" t="s">
        <v>2437</v>
      </c>
      <c r="AH4761" s="194" t="s">
        <v>679</v>
      </c>
      <c r="AI4761" s="6" t="s">
        <v>4424</v>
      </c>
      <c r="AJ4761" s="3" t="s">
        <v>8237</v>
      </c>
      <c r="AK4761" t="s">
        <v>8237</v>
      </c>
    </row>
    <row r="4762" spans="29:37" ht="13.5">
      <c r="AC4762" s="6" t="s">
        <v>5378</v>
      </c>
      <c r="AD4762" s="6" t="s">
        <v>7776</v>
      </c>
      <c r="AE4762" s="155" t="s">
        <v>2036</v>
      </c>
      <c r="AF4762" s="159" t="s">
        <v>8300</v>
      </c>
      <c r="AG4762" s="160" t="s">
        <v>2438</v>
      </c>
      <c r="AH4762" s="194" t="s">
        <v>679</v>
      </c>
      <c r="AI4762" s="6" t="s">
        <v>5549</v>
      </c>
      <c r="AJ4762" s="3" t="s">
        <v>8234</v>
      </c>
      <c r="AK4762" t="s">
        <v>8234</v>
      </c>
    </row>
    <row r="4763" spans="29:37" ht="13.5">
      <c r="AC4763" s="6" t="s">
        <v>799</v>
      </c>
      <c r="AD4763" s="6" t="s">
        <v>7776</v>
      </c>
      <c r="AE4763" s="155" t="s">
        <v>2037</v>
      </c>
      <c r="AF4763" s="159" t="s">
        <v>8300</v>
      </c>
      <c r="AG4763" s="160" t="s">
        <v>2439</v>
      </c>
      <c r="AH4763" s="194" t="s">
        <v>679</v>
      </c>
      <c r="AI4763" s="6" t="s">
        <v>6633</v>
      </c>
      <c r="AJ4763" s="3" t="s">
        <v>8249</v>
      </c>
      <c r="AK4763" t="s">
        <v>8249</v>
      </c>
    </row>
    <row r="4764" spans="29:37" ht="13.5">
      <c r="AC4764" s="6" t="s">
        <v>756</v>
      </c>
      <c r="AD4764" s="6" t="s">
        <v>7768</v>
      </c>
      <c r="AE4764" s="155" t="s">
        <v>2038</v>
      </c>
      <c r="AF4764" s="159" t="s">
        <v>8300</v>
      </c>
      <c r="AG4764" s="160" t="s">
        <v>2440</v>
      </c>
      <c r="AH4764" s="194" t="s">
        <v>679</v>
      </c>
      <c r="AI4764" s="6" t="s">
        <v>105</v>
      </c>
      <c r="AJ4764" s="3" t="s">
        <v>8269</v>
      </c>
      <c r="AK4764" t="s">
        <v>8269</v>
      </c>
    </row>
    <row r="4765" spans="29:37" ht="13.5">
      <c r="AC4765" s="6" t="s">
        <v>712</v>
      </c>
      <c r="AD4765" s="6" t="s">
        <v>7768</v>
      </c>
      <c r="AE4765" s="155" t="s">
        <v>2039</v>
      </c>
      <c r="AF4765" s="159" t="s">
        <v>8311</v>
      </c>
      <c r="AG4765" s="160" t="s">
        <v>2441</v>
      </c>
      <c r="AH4765" s="194" t="s">
        <v>679</v>
      </c>
      <c r="AI4765" s="6" t="s">
        <v>5511</v>
      </c>
      <c r="AJ4765" s="3" t="s">
        <v>8208</v>
      </c>
      <c r="AK4765" t="s">
        <v>8667</v>
      </c>
    </row>
    <row r="4766" spans="29:37" ht="13.5">
      <c r="AC4766" s="6" t="s">
        <v>1261</v>
      </c>
      <c r="AD4766" s="6" t="s">
        <v>7768</v>
      </c>
      <c r="AE4766" s="155" t="s">
        <v>2023</v>
      </c>
      <c r="AF4766" s="159" t="s">
        <v>8300</v>
      </c>
      <c r="AG4766" s="160" t="s">
        <v>2442</v>
      </c>
      <c r="AH4766" s="194" t="s">
        <v>679</v>
      </c>
      <c r="AI4766" s="6" t="s">
        <v>1069</v>
      </c>
      <c r="AJ4766" s="3" t="s">
        <v>8208</v>
      </c>
      <c r="AK4766" t="s">
        <v>8667</v>
      </c>
    </row>
    <row r="4767" spans="29:37" ht="13.5">
      <c r="AC4767" s="6" t="s">
        <v>771</v>
      </c>
      <c r="AD4767" s="6" t="s">
        <v>7768</v>
      </c>
      <c r="AE4767" s="155" t="s">
        <v>2024</v>
      </c>
      <c r="AF4767" s="159" t="s">
        <v>8299</v>
      </c>
      <c r="AG4767" s="160" t="s">
        <v>2443</v>
      </c>
      <c r="AH4767" s="194" t="s">
        <v>679</v>
      </c>
      <c r="AI4767" s="6" t="s">
        <v>1848</v>
      </c>
      <c r="AJ4767" s="3" t="s">
        <v>8234</v>
      </c>
      <c r="AK4767" t="s">
        <v>8234</v>
      </c>
    </row>
    <row r="4768" spans="29:37" ht="13.5">
      <c r="AC4768" s="6" t="s">
        <v>2246</v>
      </c>
      <c r="AD4768" s="6" t="s">
        <v>7754</v>
      </c>
      <c r="AE4768" s="155" t="s">
        <v>1278</v>
      </c>
      <c r="AF4768" s="159" t="s">
        <v>8300</v>
      </c>
      <c r="AG4768" s="160" t="s">
        <v>2444</v>
      </c>
      <c r="AH4768" s="194" t="s">
        <v>679</v>
      </c>
      <c r="AI4768" s="6" t="s">
        <v>1017</v>
      </c>
      <c r="AJ4768" s="3" t="s">
        <v>8222</v>
      </c>
      <c r="AK4768" t="s">
        <v>8670</v>
      </c>
    </row>
    <row r="4769" spans="29:37" ht="13.5">
      <c r="AC4769" s="6" t="s">
        <v>802</v>
      </c>
      <c r="AD4769" s="6" t="s">
        <v>7768</v>
      </c>
      <c r="AE4769" s="155" t="s">
        <v>2022</v>
      </c>
      <c r="AF4769" s="159" t="s">
        <v>8296</v>
      </c>
      <c r="AG4769" s="160" t="s">
        <v>2445</v>
      </c>
      <c r="AH4769" s="194" t="s">
        <v>679</v>
      </c>
      <c r="AI4769" s="6" t="s">
        <v>5551</v>
      </c>
      <c r="AJ4769" s="3" t="s">
        <v>8234</v>
      </c>
      <c r="AK4769" t="s">
        <v>8234</v>
      </c>
    </row>
    <row r="4770" spans="29:37" ht="13.5">
      <c r="AC4770" s="6" t="s">
        <v>827</v>
      </c>
      <c r="AD4770" s="6" t="s">
        <v>7768</v>
      </c>
      <c r="AE4770" s="155" t="s">
        <v>2021</v>
      </c>
      <c r="AF4770" s="159" t="s">
        <v>8300</v>
      </c>
      <c r="AG4770" s="160" t="s">
        <v>2446</v>
      </c>
      <c r="AH4770" s="194" t="s">
        <v>679</v>
      </c>
      <c r="AI4770" s="6" t="s">
        <v>3442</v>
      </c>
      <c r="AJ4770" s="3" t="s">
        <v>8220</v>
      </c>
      <c r="AK4770" t="s">
        <v>8220</v>
      </c>
    </row>
    <row r="4771" spans="29:37" ht="13.5">
      <c r="AC4771" s="6" t="s">
        <v>823</v>
      </c>
      <c r="AD4771" s="6" t="s">
        <v>7768</v>
      </c>
      <c r="AE4771" s="155" t="s">
        <v>1792</v>
      </c>
      <c r="AF4771" s="159" t="s">
        <v>8333</v>
      </c>
      <c r="AG4771" s="160" t="s">
        <v>2447</v>
      </c>
      <c r="AH4771" s="194" t="s">
        <v>679</v>
      </c>
      <c r="AI4771" s="6" t="s">
        <v>5298</v>
      </c>
      <c r="AJ4771" s="3" t="s">
        <v>8199</v>
      </c>
      <c r="AK4771" t="s">
        <v>8199</v>
      </c>
    </row>
    <row r="4772" spans="29:37" ht="13.5">
      <c r="AC4772" s="6" t="s">
        <v>721</v>
      </c>
      <c r="AD4772" s="6" t="s">
        <v>7768</v>
      </c>
      <c r="AE4772" s="155" t="s">
        <v>1772</v>
      </c>
      <c r="AF4772" s="159" t="s">
        <v>8300</v>
      </c>
      <c r="AG4772" s="160" t="s">
        <v>2448</v>
      </c>
      <c r="AH4772" s="194" t="s">
        <v>679</v>
      </c>
      <c r="AI4772" s="6" t="s">
        <v>5781</v>
      </c>
      <c r="AJ4772" s="3" t="s">
        <v>8208</v>
      </c>
      <c r="AK4772" t="s">
        <v>8667</v>
      </c>
    </row>
    <row r="4773" spans="29:37" ht="13.5">
      <c r="AC4773" s="6" t="s">
        <v>754</v>
      </c>
      <c r="AD4773" s="6" t="s">
        <v>7768</v>
      </c>
      <c r="AE4773" s="155" t="s">
        <v>1798</v>
      </c>
      <c r="AF4773" s="159" t="s">
        <v>8300</v>
      </c>
      <c r="AG4773" s="160" t="s">
        <v>2449</v>
      </c>
      <c r="AH4773" s="194" t="s">
        <v>679</v>
      </c>
      <c r="AI4773" s="6" t="s">
        <v>1197</v>
      </c>
      <c r="AJ4773" s="3" t="s">
        <v>8233</v>
      </c>
      <c r="AK4773" t="s">
        <v>8233</v>
      </c>
    </row>
    <row r="4774" spans="29:37" ht="13.5">
      <c r="AC4774" s="6" t="s">
        <v>1018</v>
      </c>
      <c r="AD4774" s="6" t="s">
        <v>7768</v>
      </c>
      <c r="AE4774" s="155" t="s">
        <v>1804</v>
      </c>
      <c r="AF4774" s="159" t="s">
        <v>8300</v>
      </c>
      <c r="AG4774" s="160" t="s">
        <v>2450</v>
      </c>
      <c r="AH4774" s="194" t="s">
        <v>679</v>
      </c>
      <c r="AI4774" s="6" t="s">
        <v>1081</v>
      </c>
      <c r="AJ4774" s="3" t="s">
        <v>8208</v>
      </c>
      <c r="AK4774" t="s">
        <v>8667</v>
      </c>
    </row>
    <row r="4775" spans="29:37" ht="13.5">
      <c r="AC4775" s="6" t="s">
        <v>822</v>
      </c>
      <c r="AD4775" s="6" t="s">
        <v>7768</v>
      </c>
      <c r="AE4775" s="155" t="s">
        <v>2057</v>
      </c>
      <c r="AF4775" s="159" t="s">
        <v>8300</v>
      </c>
      <c r="AG4775" s="160" t="s">
        <v>2451</v>
      </c>
      <c r="AH4775" s="194" t="s">
        <v>679</v>
      </c>
      <c r="AI4775" s="6" t="s">
        <v>5770</v>
      </c>
      <c r="AJ4775" s="3" t="s">
        <v>8208</v>
      </c>
      <c r="AK4775" t="s">
        <v>8667</v>
      </c>
    </row>
    <row r="4776" spans="29:37" ht="13.5">
      <c r="AC4776" s="6" t="s">
        <v>711</v>
      </c>
      <c r="AD4776" s="6" t="s">
        <v>7768</v>
      </c>
      <c r="AE4776" s="155" t="s">
        <v>2058</v>
      </c>
      <c r="AF4776" s="159" t="s">
        <v>8300</v>
      </c>
      <c r="AG4776" s="160" t="s">
        <v>2452</v>
      </c>
      <c r="AH4776" s="194" t="s">
        <v>679</v>
      </c>
      <c r="AI4776" s="6" t="s">
        <v>5535</v>
      </c>
      <c r="AJ4776" s="3" t="s">
        <v>8272</v>
      </c>
      <c r="AK4776" t="s">
        <v>8272</v>
      </c>
    </row>
    <row r="4777" spans="29:37" ht="13.5">
      <c r="AC4777" s="6" t="s">
        <v>1160</v>
      </c>
      <c r="AD4777" s="6" t="s">
        <v>7768</v>
      </c>
      <c r="AE4777" s="155" t="s">
        <v>2059</v>
      </c>
      <c r="AF4777" s="159" t="s">
        <v>8324</v>
      </c>
      <c r="AG4777" s="160" t="s">
        <v>2453</v>
      </c>
      <c r="AH4777" s="194" t="s">
        <v>679</v>
      </c>
      <c r="AI4777" s="6" t="s">
        <v>6650</v>
      </c>
      <c r="AJ4777" s="3" t="s">
        <v>8216</v>
      </c>
      <c r="AK4777" t="s">
        <v>8216</v>
      </c>
    </row>
    <row r="4778" spans="29:37" ht="13.5">
      <c r="AC4778" s="6" t="s">
        <v>774</v>
      </c>
      <c r="AD4778" s="6" t="s">
        <v>7768</v>
      </c>
      <c r="AE4778" s="155" t="s">
        <v>2060</v>
      </c>
      <c r="AF4778" s="159" t="s">
        <v>8309</v>
      </c>
      <c r="AG4778" s="160" t="s">
        <v>2454</v>
      </c>
      <c r="AH4778" s="194" t="s">
        <v>679</v>
      </c>
      <c r="AI4778" s="6" t="s">
        <v>4764</v>
      </c>
      <c r="AJ4778" s="3" t="s">
        <v>8197</v>
      </c>
      <c r="AK4778" t="s">
        <v>8197</v>
      </c>
    </row>
    <row r="4779" spans="29:37" ht="13.5">
      <c r="AC4779" s="6" t="s">
        <v>761</v>
      </c>
      <c r="AD4779" s="6" t="s">
        <v>7768</v>
      </c>
      <c r="AE4779" s="155" t="s">
        <v>2074</v>
      </c>
      <c r="AF4779" s="159" t="s">
        <v>8300</v>
      </c>
      <c r="AG4779" s="160" t="s">
        <v>2455</v>
      </c>
      <c r="AH4779" s="194" t="s">
        <v>679</v>
      </c>
      <c r="AI4779" s="6" t="s">
        <v>4750</v>
      </c>
      <c r="AJ4779" s="3" t="s">
        <v>8197</v>
      </c>
      <c r="AK4779" t="s">
        <v>8197</v>
      </c>
    </row>
    <row r="4780" spans="29:37" ht="13.5">
      <c r="AC4780" s="6" t="s">
        <v>5297</v>
      </c>
      <c r="AD4780" s="6" t="s">
        <v>7768</v>
      </c>
      <c r="AE4780" s="155" t="s">
        <v>2218</v>
      </c>
      <c r="AF4780" s="159" t="s">
        <v>8300</v>
      </c>
      <c r="AG4780" s="160" t="s">
        <v>2456</v>
      </c>
      <c r="AH4780" s="194" t="s">
        <v>679</v>
      </c>
      <c r="AI4780" s="6" t="s">
        <v>1253</v>
      </c>
      <c r="AJ4780" s="3" t="s">
        <v>8234</v>
      </c>
      <c r="AK4780" t="s">
        <v>8234</v>
      </c>
    </row>
    <row r="4781" spans="29:37" ht="13.5">
      <c r="AC4781" s="6">
        <v>635424</v>
      </c>
      <c r="AD4781" s="6" t="s">
        <v>7778</v>
      </c>
      <c r="AE4781" s="155" t="s">
        <v>2219</v>
      </c>
      <c r="AF4781" s="159" t="s">
        <v>8299</v>
      </c>
      <c r="AG4781" s="160" t="s">
        <v>2457</v>
      </c>
      <c r="AH4781" s="194" t="s">
        <v>679</v>
      </c>
      <c r="AI4781" s="6" t="s">
        <v>1259</v>
      </c>
      <c r="AJ4781" s="3" t="s">
        <v>8234</v>
      </c>
      <c r="AK4781" t="s">
        <v>8234</v>
      </c>
    </row>
    <row r="4782" spans="29:37" ht="13.5">
      <c r="AC4782" s="6" t="s">
        <v>826</v>
      </c>
      <c r="AD4782" s="6" t="s">
        <v>7768</v>
      </c>
      <c r="AE4782" s="155" t="s">
        <v>2220</v>
      </c>
      <c r="AF4782" s="159" t="s">
        <v>8320</v>
      </c>
      <c r="AG4782" s="160" t="s">
        <v>2458</v>
      </c>
      <c r="AH4782" s="194" t="s">
        <v>679</v>
      </c>
      <c r="AI4782" s="6" t="s">
        <v>739</v>
      </c>
      <c r="AJ4782" s="3" t="s">
        <v>8234</v>
      </c>
      <c r="AK4782" t="s">
        <v>8234</v>
      </c>
    </row>
    <row r="4783" spans="29:37" ht="13.5">
      <c r="AC4783" s="6" t="s">
        <v>2241</v>
      </c>
      <c r="AD4783" s="6" t="s">
        <v>7754</v>
      </c>
      <c r="AE4783" s="155" t="s">
        <v>1758</v>
      </c>
      <c r="AF4783" s="159" t="s">
        <v>8300</v>
      </c>
      <c r="AG4783" s="160" t="s">
        <v>2459</v>
      </c>
      <c r="AH4783" s="194" t="s">
        <v>679</v>
      </c>
      <c r="AI4783" s="6" t="s">
        <v>5748</v>
      </c>
      <c r="AJ4783" s="3" t="s">
        <v>8234</v>
      </c>
      <c r="AK4783" t="s">
        <v>8234</v>
      </c>
    </row>
    <row r="4784" spans="29:37" ht="13.5">
      <c r="AC4784" s="6" t="s">
        <v>727</v>
      </c>
      <c r="AD4784" s="6" t="s">
        <v>7768</v>
      </c>
      <c r="AE4784" s="155" t="s">
        <v>1916</v>
      </c>
      <c r="AF4784" s="159" t="s">
        <v>8300</v>
      </c>
      <c r="AG4784" s="160" t="s">
        <v>2460</v>
      </c>
      <c r="AH4784" s="194" t="s">
        <v>679</v>
      </c>
      <c r="AI4784" s="6" t="s">
        <v>5372</v>
      </c>
      <c r="AJ4784" s="3" t="s">
        <v>8234</v>
      </c>
      <c r="AK4784" t="s">
        <v>8234</v>
      </c>
    </row>
    <row r="4785" spans="29:37" ht="13.5">
      <c r="AC4785" s="6" t="s">
        <v>760</v>
      </c>
      <c r="AD4785" s="6" t="s">
        <v>7768</v>
      </c>
      <c r="AE4785" s="155" t="s">
        <v>2061</v>
      </c>
      <c r="AF4785" s="159" t="s">
        <v>8297</v>
      </c>
      <c r="AG4785" s="160" t="s">
        <v>2461</v>
      </c>
      <c r="AH4785" s="194" t="s">
        <v>679</v>
      </c>
      <c r="AI4785" s="6" t="s">
        <v>5375</v>
      </c>
      <c r="AJ4785" s="3" t="s">
        <v>8263</v>
      </c>
      <c r="AK4785" t="s">
        <v>8263</v>
      </c>
    </row>
    <row r="4786" spans="29:37" ht="13.5">
      <c r="AC4786" s="6" t="s">
        <v>824</v>
      </c>
      <c r="AD4786" s="6" t="s">
        <v>7768</v>
      </c>
      <c r="AE4786" s="155" t="s">
        <v>2062</v>
      </c>
      <c r="AF4786" s="159" t="s">
        <v>8300</v>
      </c>
      <c r="AG4786" s="160" t="s">
        <v>2462</v>
      </c>
      <c r="AH4786" s="194" t="s">
        <v>679</v>
      </c>
      <c r="AI4786" s="6" t="s">
        <v>1222</v>
      </c>
      <c r="AJ4786" s="3" t="s">
        <v>8205</v>
      </c>
      <c r="AK4786" t="s">
        <v>8211</v>
      </c>
    </row>
    <row r="4787" spans="29:37" ht="13.5">
      <c r="AC4787" s="6" t="s">
        <v>724</v>
      </c>
      <c r="AD4787" s="6" t="s">
        <v>7768</v>
      </c>
      <c r="AE4787" s="155" t="s">
        <v>1799</v>
      </c>
      <c r="AF4787" s="159" t="s">
        <v>8299</v>
      </c>
      <c r="AG4787" s="160" t="s">
        <v>2463</v>
      </c>
      <c r="AH4787" s="194" t="s">
        <v>679</v>
      </c>
      <c r="AI4787" s="6" t="s">
        <v>4419</v>
      </c>
      <c r="AJ4787" s="3" t="s">
        <v>8240</v>
      </c>
      <c r="AK4787" t="s">
        <v>8240</v>
      </c>
    </row>
    <row r="4788" spans="29:37" ht="13.5">
      <c r="AC4788" s="6" t="s">
        <v>755</v>
      </c>
      <c r="AD4788" s="6" t="s">
        <v>7768</v>
      </c>
      <c r="AE4788" s="155" t="s">
        <v>1801</v>
      </c>
      <c r="AF4788" s="159" t="s">
        <v>8300</v>
      </c>
      <c r="AG4788" s="160" t="s">
        <v>2464</v>
      </c>
      <c r="AH4788" s="194" t="s">
        <v>679</v>
      </c>
      <c r="AI4788" s="6" t="s">
        <v>3423</v>
      </c>
      <c r="AJ4788" s="3" t="s">
        <v>8247</v>
      </c>
      <c r="AK4788" t="s">
        <v>8247</v>
      </c>
    </row>
    <row r="4789" spans="29:37" ht="13.5">
      <c r="AC4789" s="6" t="s">
        <v>692</v>
      </c>
      <c r="AD4789" s="6" t="s">
        <v>7768</v>
      </c>
      <c r="AE4789" s="155">
        <v>35265</v>
      </c>
      <c r="AF4789" s="159" t="s">
        <v>8309</v>
      </c>
      <c r="AG4789" s="160" t="s">
        <v>2465</v>
      </c>
      <c r="AH4789" s="194" t="s">
        <v>679</v>
      </c>
      <c r="AI4789" s="6" t="s">
        <v>5721</v>
      </c>
      <c r="AJ4789" s="3" t="s">
        <v>8246</v>
      </c>
      <c r="AK4789" t="s">
        <v>8246</v>
      </c>
    </row>
    <row r="4790" spans="29:37" ht="13.5">
      <c r="AC4790" s="6" t="s">
        <v>784</v>
      </c>
      <c r="AD4790" s="6" t="s">
        <v>7768</v>
      </c>
      <c r="AE4790" s="155" t="s">
        <v>1732</v>
      </c>
      <c r="AF4790" s="159" t="s">
        <v>8300</v>
      </c>
      <c r="AG4790" s="160" t="s">
        <v>2466</v>
      </c>
      <c r="AH4790" s="194" t="s">
        <v>679</v>
      </c>
      <c r="AI4790" s="6" t="s">
        <v>1219</v>
      </c>
      <c r="AJ4790" s="3" t="s">
        <v>8264</v>
      </c>
      <c r="AK4790" t="s">
        <v>8264</v>
      </c>
    </row>
    <row r="4791" spans="29:37" ht="13.5">
      <c r="AC4791" s="6" t="s">
        <v>1782</v>
      </c>
      <c r="AD4791" s="6" t="s">
        <v>7754</v>
      </c>
      <c r="AE4791" s="155">
        <v>355307</v>
      </c>
      <c r="AF4791" s="159" t="s">
        <v>8297</v>
      </c>
      <c r="AG4791" s="160" t="s">
        <v>2467</v>
      </c>
      <c r="AH4791" s="194" t="s">
        <v>679</v>
      </c>
      <c r="AI4791" s="6" t="s">
        <v>5724</v>
      </c>
      <c r="AJ4791" s="3" t="s">
        <v>8246</v>
      </c>
      <c r="AK4791" t="s">
        <v>8246</v>
      </c>
    </row>
    <row r="4792" spans="29:37" ht="13.5">
      <c r="AC4792" s="6" t="s">
        <v>6729</v>
      </c>
      <c r="AD4792" s="6" t="s">
        <v>7776</v>
      </c>
      <c r="AE4792" s="155">
        <v>541618</v>
      </c>
      <c r="AF4792" s="159" t="s">
        <v>8300</v>
      </c>
      <c r="AG4792" s="160" t="s">
        <v>2468</v>
      </c>
      <c r="AH4792" s="194" t="s">
        <v>679</v>
      </c>
      <c r="AI4792" s="6" t="s">
        <v>1051</v>
      </c>
      <c r="AJ4792" s="3" t="s">
        <v>8209</v>
      </c>
      <c r="AK4792" t="s">
        <v>8209</v>
      </c>
    </row>
    <row r="4793" spans="29:37" ht="13.5">
      <c r="AC4793" s="6" t="s">
        <v>5736</v>
      </c>
      <c r="AD4793" s="6" t="s">
        <v>7768</v>
      </c>
      <c r="AE4793" s="155">
        <v>541619</v>
      </c>
      <c r="AF4793" s="159" t="s">
        <v>8309</v>
      </c>
      <c r="AG4793" s="160" t="s">
        <v>2469</v>
      </c>
      <c r="AH4793" s="194" t="s">
        <v>679</v>
      </c>
      <c r="AI4793" s="6" t="s">
        <v>5774</v>
      </c>
      <c r="AJ4793" s="3" t="s">
        <v>8228</v>
      </c>
      <c r="AK4793" t="s">
        <v>8228</v>
      </c>
    </row>
    <row r="4794" spans="29:37" ht="13.5">
      <c r="AC4794" s="6" t="s">
        <v>776</v>
      </c>
      <c r="AD4794" s="6" t="s">
        <v>7768</v>
      </c>
      <c r="AE4794" s="155">
        <v>541620</v>
      </c>
      <c r="AF4794" s="159" t="s">
        <v>8311</v>
      </c>
      <c r="AG4794" s="160" t="s">
        <v>2470</v>
      </c>
      <c r="AH4794" s="194" t="s">
        <v>679</v>
      </c>
      <c r="AI4794" s="6" t="s">
        <v>5773</v>
      </c>
      <c r="AJ4794" s="3" t="s">
        <v>8228</v>
      </c>
      <c r="AK4794" t="s">
        <v>8228</v>
      </c>
    </row>
    <row r="4795" spans="29:37" ht="13.5">
      <c r="AC4795" s="6">
        <v>635425</v>
      </c>
      <c r="AD4795" s="6" t="s">
        <v>7778</v>
      </c>
      <c r="AE4795" s="155" t="s">
        <v>1773</v>
      </c>
      <c r="AF4795" s="159" t="s">
        <v>8300</v>
      </c>
      <c r="AG4795" s="160" t="s">
        <v>5311</v>
      </c>
      <c r="AH4795" s="194" t="s">
        <v>679</v>
      </c>
      <c r="AI4795" s="6" t="s">
        <v>8175</v>
      </c>
      <c r="AJ4795" s="3" t="e">
        <v>#N/A</v>
      </c>
      <c r="AK4795" t="e">
        <v>#N/A</v>
      </c>
    </row>
    <row r="4796" spans="29:37" ht="13.5">
      <c r="AC4796" s="6" t="s">
        <v>825</v>
      </c>
      <c r="AD4796" s="6" t="s">
        <v>7768</v>
      </c>
      <c r="AE4796" s="155" t="s">
        <v>1774</v>
      </c>
      <c r="AF4796" s="159" t="s">
        <v>8299</v>
      </c>
      <c r="AG4796" s="160" t="s">
        <v>5323</v>
      </c>
      <c r="AH4796" s="194" t="s">
        <v>679</v>
      </c>
      <c r="AI4796" s="6" t="s">
        <v>5769</v>
      </c>
      <c r="AJ4796" s="3" t="s">
        <v>8195</v>
      </c>
      <c r="AK4796" t="s">
        <v>8195</v>
      </c>
    </row>
    <row r="4797" spans="29:37" ht="13.5">
      <c r="AC4797" s="6" t="s">
        <v>5373</v>
      </c>
      <c r="AD4797" s="6" t="s">
        <v>7768</v>
      </c>
      <c r="AE4797" s="155" t="s">
        <v>1795</v>
      </c>
      <c r="AF4797" s="159" t="s">
        <v>8300</v>
      </c>
      <c r="AG4797" s="160" t="s">
        <v>2641</v>
      </c>
      <c r="AH4797" s="194" t="s">
        <v>1314</v>
      </c>
      <c r="AI4797" s="6" t="s">
        <v>5801</v>
      </c>
      <c r="AJ4797" s="3" t="s">
        <v>8208</v>
      </c>
      <c r="AK4797" t="s">
        <v>8667</v>
      </c>
    </row>
    <row r="4798" spans="29:37" ht="13.5">
      <c r="AC4798" s="6">
        <v>644322</v>
      </c>
      <c r="AD4798" s="6" t="s">
        <v>7779</v>
      </c>
      <c r="AE4798" s="155" t="s">
        <v>1810</v>
      </c>
      <c r="AF4798" s="159" t="s">
        <v>8299</v>
      </c>
      <c r="AG4798" s="160" t="s">
        <v>2651</v>
      </c>
      <c r="AH4798" s="194" t="s">
        <v>678</v>
      </c>
      <c r="AI4798" s="6" t="s">
        <v>6730</v>
      </c>
      <c r="AJ4798" s="3" t="s">
        <v>8234</v>
      </c>
      <c r="AK4798" t="s">
        <v>8234</v>
      </c>
    </row>
    <row r="4799" spans="29:37" ht="13.5">
      <c r="AC4799" s="6" t="s">
        <v>786</v>
      </c>
      <c r="AD4799" s="6" t="s">
        <v>7768</v>
      </c>
      <c r="AE4799" s="155" t="s">
        <v>1824</v>
      </c>
      <c r="AF4799" s="159" t="s">
        <v>8300</v>
      </c>
      <c r="AG4799" s="160" t="s">
        <v>2652</v>
      </c>
      <c r="AH4799" s="194" t="s">
        <v>679</v>
      </c>
      <c r="AI4799" s="6" t="s">
        <v>6731</v>
      </c>
      <c r="AJ4799" s="3" t="s">
        <v>8234</v>
      </c>
      <c r="AK4799" t="s">
        <v>8234</v>
      </c>
    </row>
    <row r="4800" spans="29:37" ht="13.5">
      <c r="AC4800" s="6" t="s">
        <v>839</v>
      </c>
      <c r="AD4800" s="6" t="s">
        <v>7768</v>
      </c>
      <c r="AE4800" s="155" t="s">
        <v>1844</v>
      </c>
      <c r="AF4800" s="159" t="s">
        <v>8300</v>
      </c>
      <c r="AG4800" s="160" t="s">
        <v>2653</v>
      </c>
      <c r="AH4800" s="194" t="s">
        <v>1314</v>
      </c>
      <c r="AI4800" s="6" t="s">
        <v>5743</v>
      </c>
      <c r="AJ4800" s="3" t="s">
        <v>8222</v>
      </c>
      <c r="AK4800" t="s">
        <v>8670</v>
      </c>
    </row>
    <row r="4801" spans="29:37" ht="13.5">
      <c r="AC4801" s="6" t="s">
        <v>852</v>
      </c>
      <c r="AD4801" s="6" t="s">
        <v>7768</v>
      </c>
      <c r="AE4801" s="155" t="s">
        <v>2227</v>
      </c>
      <c r="AF4801" s="159" t="s">
        <v>8320</v>
      </c>
      <c r="AG4801" s="160" t="s">
        <v>2654</v>
      </c>
      <c r="AH4801" s="194" t="s">
        <v>1314</v>
      </c>
      <c r="AI4801" s="6" t="s">
        <v>5812</v>
      </c>
      <c r="AJ4801" s="3" t="s">
        <v>8272</v>
      </c>
      <c r="AK4801" t="s">
        <v>8272</v>
      </c>
    </row>
    <row r="4802" spans="29:37" ht="13.5">
      <c r="AC4802" s="6" t="s">
        <v>949</v>
      </c>
      <c r="AD4802" s="6" t="s">
        <v>7768</v>
      </c>
      <c r="AE4802" s="155" t="s">
        <v>1797</v>
      </c>
      <c r="AF4802" s="159" t="s">
        <v>8300</v>
      </c>
      <c r="AG4802" s="160" t="s">
        <v>2655</v>
      </c>
      <c r="AH4802" s="194" t="s">
        <v>679</v>
      </c>
      <c r="AI4802" s="6" t="s">
        <v>4478</v>
      </c>
      <c r="AJ4802" s="3" t="s">
        <v>8272</v>
      </c>
      <c r="AK4802" t="s">
        <v>8272</v>
      </c>
    </row>
    <row r="4803" spans="29:37" ht="13.5">
      <c r="AC4803" s="6" t="s">
        <v>805</v>
      </c>
      <c r="AD4803" s="6" t="s">
        <v>7768</v>
      </c>
      <c r="AE4803" s="155">
        <v>35266</v>
      </c>
      <c r="AF4803" s="159" t="s">
        <v>8570</v>
      </c>
      <c r="AG4803" s="160" t="s">
        <v>2656</v>
      </c>
      <c r="AH4803" s="194" t="s">
        <v>679</v>
      </c>
      <c r="AI4803" s="6" t="s">
        <v>4006</v>
      </c>
      <c r="AJ4803" s="3" t="s">
        <v>8269</v>
      </c>
      <c r="AK4803" t="s">
        <v>8269</v>
      </c>
    </row>
    <row r="4804" spans="29:37" ht="13.5">
      <c r="AC4804" s="6" t="s">
        <v>1161</v>
      </c>
      <c r="AD4804" s="6" t="s">
        <v>7768</v>
      </c>
      <c r="AE4804" s="155">
        <v>545378</v>
      </c>
      <c r="AF4804" s="159" t="s">
        <v>8312</v>
      </c>
      <c r="AG4804" s="160" t="s">
        <v>2657</v>
      </c>
      <c r="AH4804" s="194" t="s">
        <v>679</v>
      </c>
      <c r="AI4804" s="6" t="s">
        <v>5747</v>
      </c>
      <c r="AJ4804" s="3" t="s">
        <v>8234</v>
      </c>
      <c r="AK4804" t="s">
        <v>8234</v>
      </c>
    </row>
    <row r="4805" spans="29:37" ht="13.5">
      <c r="AC4805" s="6" t="s">
        <v>2260</v>
      </c>
      <c r="AD4805" s="6" t="s">
        <v>7776</v>
      </c>
      <c r="AE4805" s="155" t="s">
        <v>2082</v>
      </c>
      <c r="AF4805" s="159" t="s">
        <v>8299</v>
      </c>
      <c r="AG4805" s="160" t="s">
        <v>2658</v>
      </c>
      <c r="AH4805" s="194" t="s">
        <v>1314</v>
      </c>
      <c r="AI4805" s="6" t="s">
        <v>5749</v>
      </c>
      <c r="AJ4805" s="3" t="s">
        <v>8234</v>
      </c>
      <c r="AK4805" t="s">
        <v>8234</v>
      </c>
    </row>
    <row r="4806" spans="29:37" ht="13.5">
      <c r="AC4806" s="6" t="s">
        <v>693</v>
      </c>
      <c r="AD4806" s="6" t="s">
        <v>7768</v>
      </c>
      <c r="AE4806" s="155" t="s">
        <v>2108</v>
      </c>
      <c r="AF4806" s="159" t="s">
        <v>8343</v>
      </c>
      <c r="AG4806" s="160" t="s">
        <v>2659</v>
      </c>
      <c r="AH4806" s="194" t="s">
        <v>679</v>
      </c>
      <c r="AI4806" s="6" t="s">
        <v>5746</v>
      </c>
      <c r="AJ4806" s="3" t="s">
        <v>8234</v>
      </c>
      <c r="AK4806" t="s">
        <v>8234</v>
      </c>
    </row>
    <row r="4807" spans="29:37" ht="13.5">
      <c r="AC4807" s="6" t="s">
        <v>753</v>
      </c>
      <c r="AD4807" s="6" t="s">
        <v>7768</v>
      </c>
      <c r="AE4807" s="155" t="s">
        <v>1977</v>
      </c>
      <c r="AF4807" s="159" t="s">
        <v>8299</v>
      </c>
      <c r="AG4807" s="160" t="s">
        <v>2668</v>
      </c>
      <c r="AH4807" s="194" t="s">
        <v>1314</v>
      </c>
      <c r="AI4807" s="6" t="s">
        <v>1258</v>
      </c>
      <c r="AJ4807" s="3" t="s">
        <v>8234</v>
      </c>
      <c r="AK4807" t="s">
        <v>8234</v>
      </c>
    </row>
    <row r="4808" spans="29:37" ht="13.5">
      <c r="AC4808" s="6" t="s">
        <v>694</v>
      </c>
      <c r="AD4808" s="6" t="s">
        <v>7768</v>
      </c>
      <c r="AE4808" s="155" t="s">
        <v>2309</v>
      </c>
      <c r="AF4808" s="159" t="s">
        <v>8571</v>
      </c>
      <c r="AG4808" s="160" t="s">
        <v>2669</v>
      </c>
      <c r="AH4808" s="194" t="s">
        <v>1314</v>
      </c>
      <c r="AI4808" s="6" t="s">
        <v>1117</v>
      </c>
      <c r="AJ4808" s="3" t="s">
        <v>8215</v>
      </c>
      <c r="AK4808" t="s">
        <v>8215</v>
      </c>
    </row>
    <row r="4809" spans="29:37" ht="13.5">
      <c r="AC4809" s="6" t="s">
        <v>2138</v>
      </c>
      <c r="AD4809" s="6" t="s">
        <v>7773</v>
      </c>
      <c r="AE4809" s="155" t="s">
        <v>2000</v>
      </c>
      <c r="AF4809" s="159" t="s">
        <v>8297</v>
      </c>
      <c r="AG4809" s="160" t="s">
        <v>2670</v>
      </c>
      <c r="AH4809" s="194" t="s">
        <v>1314</v>
      </c>
      <c r="AI4809" s="6" t="s">
        <v>1261</v>
      </c>
      <c r="AJ4809" s="3" t="s">
        <v>8263</v>
      </c>
      <c r="AK4809" t="s">
        <v>8263</v>
      </c>
    </row>
    <row r="4810" spans="29:37" ht="13.5">
      <c r="AC4810" s="6" t="s">
        <v>716</v>
      </c>
      <c r="AD4810" s="6" t="s">
        <v>7768</v>
      </c>
      <c r="AE4810" s="155" t="s">
        <v>2001</v>
      </c>
      <c r="AF4810" s="159" t="s">
        <v>8320</v>
      </c>
      <c r="AG4810" s="160" t="s">
        <v>2685</v>
      </c>
      <c r="AH4810" s="194" t="s">
        <v>679</v>
      </c>
      <c r="AI4810" s="6" t="s">
        <v>3856</v>
      </c>
      <c r="AJ4810" s="3" t="s">
        <v>8234</v>
      </c>
      <c r="AK4810" t="s">
        <v>8234</v>
      </c>
    </row>
    <row r="4811" spans="29:37" ht="13.5">
      <c r="AC4811" s="6" t="s">
        <v>1014</v>
      </c>
      <c r="AD4811" s="6" t="s">
        <v>7768</v>
      </c>
      <c r="AE4811" s="155" t="s">
        <v>1754</v>
      </c>
      <c r="AF4811" s="159" t="s">
        <v>8299</v>
      </c>
      <c r="AG4811" s="160" t="s">
        <v>2686</v>
      </c>
      <c r="AH4811" s="194" t="s">
        <v>679</v>
      </c>
      <c r="AI4811" s="6" t="s">
        <v>3857</v>
      </c>
      <c r="AJ4811" s="3" t="s">
        <v>8263</v>
      </c>
      <c r="AK4811" t="s">
        <v>8263</v>
      </c>
    </row>
    <row r="4812" spans="29:37" ht="13.5">
      <c r="AC4812" s="6" t="s">
        <v>731</v>
      </c>
      <c r="AD4812" s="6" t="s">
        <v>7768</v>
      </c>
      <c r="AE4812" s="155" t="s">
        <v>1897</v>
      </c>
      <c r="AF4812" s="159" t="s">
        <v>8325</v>
      </c>
      <c r="AG4812" s="160" t="s">
        <v>2687</v>
      </c>
      <c r="AH4812" s="194" t="s">
        <v>679</v>
      </c>
      <c r="AI4812" s="6" t="s">
        <v>5377</v>
      </c>
      <c r="AJ4812" s="3" t="s">
        <v>8222</v>
      </c>
      <c r="AK4812" t="s">
        <v>8670</v>
      </c>
    </row>
    <row r="4813" spans="29:37" ht="13.5">
      <c r="AC4813" s="6" t="s">
        <v>690</v>
      </c>
      <c r="AD4813" s="6" t="s">
        <v>7768</v>
      </c>
      <c r="AE4813" s="155" t="s">
        <v>1978</v>
      </c>
      <c r="AF4813" s="159" t="s">
        <v>8299</v>
      </c>
      <c r="AG4813" s="160" t="s">
        <v>2697</v>
      </c>
      <c r="AH4813" s="194" t="s">
        <v>4700</v>
      </c>
      <c r="AI4813" s="6" t="s">
        <v>949</v>
      </c>
      <c r="AJ4813" s="3" t="s">
        <v>8263</v>
      </c>
      <c r="AK4813" t="s">
        <v>8263</v>
      </c>
    </row>
    <row r="4814" spans="29:37" ht="13.5">
      <c r="AC4814" s="6" t="s">
        <v>1781</v>
      </c>
      <c r="AD4814" s="6" t="s">
        <v>7754</v>
      </c>
      <c r="AE4814" s="155" t="s">
        <v>1979</v>
      </c>
      <c r="AF4814" s="159" t="s">
        <v>8299</v>
      </c>
      <c r="AG4814" s="160" t="s">
        <v>2698</v>
      </c>
      <c r="AH4814" s="194" t="s">
        <v>679</v>
      </c>
      <c r="AI4814" s="6" t="s">
        <v>21</v>
      </c>
      <c r="AJ4814" s="3" t="s">
        <v>8263</v>
      </c>
      <c r="AK4814" t="s">
        <v>8263</v>
      </c>
    </row>
    <row r="4815" spans="29:37" ht="13.5">
      <c r="AC4815" s="6" t="s">
        <v>787</v>
      </c>
      <c r="AD4815" s="6" t="s">
        <v>7768</v>
      </c>
      <c r="AE4815" s="155" t="s">
        <v>1755</v>
      </c>
      <c r="AF4815" s="159" t="s">
        <v>8299</v>
      </c>
      <c r="AG4815" s="160" t="s">
        <v>2699</v>
      </c>
      <c r="AH4815" s="194" t="s">
        <v>679</v>
      </c>
      <c r="AI4815" s="6" t="s">
        <v>4766</v>
      </c>
      <c r="AJ4815" s="3" t="s">
        <v>8205</v>
      </c>
      <c r="AK4815" t="s">
        <v>8211</v>
      </c>
    </row>
    <row r="4816" spans="29:37" ht="13.5">
      <c r="AC4816" s="6" t="s">
        <v>751</v>
      </c>
      <c r="AD4816" s="6" t="s">
        <v>7768</v>
      </c>
      <c r="AE4816" s="155" t="s">
        <v>1756</v>
      </c>
      <c r="AF4816" s="159" t="s">
        <v>8321</v>
      </c>
      <c r="AG4816" s="160" t="s">
        <v>2700</v>
      </c>
      <c r="AH4816" s="194" t="s">
        <v>679</v>
      </c>
      <c r="AI4816" s="6" t="s">
        <v>3427</v>
      </c>
      <c r="AJ4816" s="3" t="s">
        <v>8240</v>
      </c>
      <c r="AK4816" t="s">
        <v>8240</v>
      </c>
    </row>
    <row r="4817" spans="29:37" ht="13.5">
      <c r="AC4817" s="6" t="s">
        <v>719</v>
      </c>
      <c r="AD4817" s="6" t="s">
        <v>7768</v>
      </c>
      <c r="AE4817" s="155" t="s">
        <v>1808</v>
      </c>
      <c r="AF4817" s="159" t="s">
        <v>8321</v>
      </c>
      <c r="AG4817" s="160" t="s">
        <v>2701</v>
      </c>
      <c r="AH4817" s="194" t="s">
        <v>679</v>
      </c>
      <c r="AI4817" s="6" t="s">
        <v>1212</v>
      </c>
      <c r="AJ4817" s="3" t="s">
        <v>8264</v>
      </c>
      <c r="AK4817" t="s">
        <v>8264</v>
      </c>
    </row>
    <row r="4818" spans="29:37" ht="13.5">
      <c r="AC4818" s="6" t="s">
        <v>695</v>
      </c>
      <c r="AD4818" s="6" t="s">
        <v>7768</v>
      </c>
      <c r="AE4818" s="155" t="s">
        <v>1809</v>
      </c>
      <c r="AF4818" s="159" t="s">
        <v>8299</v>
      </c>
      <c r="AG4818" s="160" t="s">
        <v>2702</v>
      </c>
      <c r="AH4818" s="194" t="s">
        <v>679</v>
      </c>
      <c r="AI4818" s="6" t="s">
        <v>5604</v>
      </c>
      <c r="AJ4818" s="3" t="s">
        <v>8193</v>
      </c>
      <c r="AK4818" t="s">
        <v>8205</v>
      </c>
    </row>
    <row r="4819" spans="29:37" ht="13.5">
      <c r="AC4819" s="6" t="s">
        <v>775</v>
      </c>
      <c r="AD4819" s="6" t="s">
        <v>7768</v>
      </c>
      <c r="AE4819" s="155" t="s">
        <v>1814</v>
      </c>
      <c r="AF4819" s="159" t="s">
        <v>8320</v>
      </c>
      <c r="AG4819" s="160" t="s">
        <v>2703</v>
      </c>
      <c r="AH4819" s="194" t="s">
        <v>679</v>
      </c>
      <c r="AI4819" s="6" t="s">
        <v>5759</v>
      </c>
      <c r="AJ4819" s="3" t="s">
        <v>8226</v>
      </c>
      <c r="AK4819" t="s">
        <v>8671</v>
      </c>
    </row>
    <row r="4820" spans="29:37" ht="13.5">
      <c r="AC4820" s="6" t="s">
        <v>759</v>
      </c>
      <c r="AD4820" s="6" t="s">
        <v>7768</v>
      </c>
      <c r="AE4820" s="155" t="s">
        <v>1820</v>
      </c>
      <c r="AF4820" s="159" t="s">
        <v>8320</v>
      </c>
      <c r="AG4820" s="160" t="s">
        <v>2704</v>
      </c>
      <c r="AH4820" s="194" t="s">
        <v>679</v>
      </c>
      <c r="AI4820" s="6" t="s">
        <v>1944</v>
      </c>
      <c r="AJ4820" s="3" t="s">
        <v>8234</v>
      </c>
      <c r="AK4820" t="s">
        <v>8234</v>
      </c>
    </row>
    <row r="4821" spans="29:37" ht="13.5">
      <c r="AC4821" s="6" t="s">
        <v>763</v>
      </c>
      <c r="AD4821" s="6" t="s">
        <v>7768</v>
      </c>
      <c r="AE4821" s="155" t="s">
        <v>1832</v>
      </c>
      <c r="AF4821" s="159" t="s">
        <v>8299</v>
      </c>
      <c r="AG4821" s="160" t="s">
        <v>2721</v>
      </c>
      <c r="AH4821" s="194" t="s">
        <v>1314</v>
      </c>
      <c r="AI4821" s="6" t="s">
        <v>1022</v>
      </c>
      <c r="AJ4821" s="3" t="s">
        <v>8263</v>
      </c>
      <c r="AK4821" t="s">
        <v>8263</v>
      </c>
    </row>
    <row r="4822" spans="29:37" ht="13.5">
      <c r="AC4822" s="6" t="s">
        <v>5375</v>
      </c>
      <c r="AD4822" s="6" t="s">
        <v>7768</v>
      </c>
      <c r="AE4822" s="155" t="s">
        <v>1894</v>
      </c>
      <c r="AF4822" s="159" t="s">
        <v>8299</v>
      </c>
      <c r="AG4822" s="160" t="s">
        <v>2722</v>
      </c>
      <c r="AH4822" s="194" t="s">
        <v>679</v>
      </c>
      <c r="AI4822" s="6" t="s">
        <v>711</v>
      </c>
      <c r="AJ4822" s="3" t="s">
        <v>8263</v>
      </c>
      <c r="AK4822" t="s">
        <v>8263</v>
      </c>
    </row>
    <row r="4823" spans="29:37" ht="13.5">
      <c r="AC4823" s="6" t="s">
        <v>765</v>
      </c>
      <c r="AD4823" s="6" t="s">
        <v>7768</v>
      </c>
      <c r="AE4823" s="155" t="s">
        <v>1895</v>
      </c>
      <c r="AF4823" s="159" t="s">
        <v>8572</v>
      </c>
      <c r="AG4823" s="160" t="s">
        <v>2723</v>
      </c>
      <c r="AH4823" s="194" t="s">
        <v>1314</v>
      </c>
      <c r="AI4823" s="6" t="s">
        <v>724</v>
      </c>
      <c r="AJ4823" s="3" t="s">
        <v>8263</v>
      </c>
      <c r="AK4823" t="s">
        <v>8263</v>
      </c>
    </row>
    <row r="4824" spans="29:37" ht="13.5">
      <c r="AC4824" s="6" t="s">
        <v>748</v>
      </c>
      <c r="AD4824" s="6" t="s">
        <v>7768</v>
      </c>
      <c r="AE4824" s="155" t="s">
        <v>1896</v>
      </c>
      <c r="AF4824" s="159" t="s">
        <v>8299</v>
      </c>
      <c r="AG4824" s="160" t="s">
        <v>2724</v>
      </c>
      <c r="AH4824" s="194" t="s">
        <v>679</v>
      </c>
      <c r="AI4824" s="6" t="s">
        <v>731</v>
      </c>
      <c r="AJ4824" s="3" t="s">
        <v>8263</v>
      </c>
      <c r="AK4824" t="s">
        <v>8263</v>
      </c>
    </row>
    <row r="4825" spans="29:37" ht="13.5">
      <c r="AC4825" s="6" t="s">
        <v>762</v>
      </c>
      <c r="AD4825" s="6" t="s">
        <v>7768</v>
      </c>
      <c r="AE4825" s="155" t="s">
        <v>1926</v>
      </c>
      <c r="AF4825" s="159" t="s">
        <v>8299</v>
      </c>
      <c r="AG4825" s="160" t="s">
        <v>2737</v>
      </c>
      <c r="AH4825" s="194" t="s">
        <v>1314</v>
      </c>
      <c r="AI4825" s="6" t="s">
        <v>1861</v>
      </c>
      <c r="AJ4825" s="3" t="s">
        <v>8234</v>
      </c>
      <c r="AK4825" t="s">
        <v>8234</v>
      </c>
    </row>
    <row r="4826" spans="29:37" ht="13.5">
      <c r="AC4826" s="6" t="s">
        <v>2242</v>
      </c>
      <c r="AD4826" s="6" t="s">
        <v>7754</v>
      </c>
      <c r="AE4826" s="155" t="s">
        <v>1992</v>
      </c>
      <c r="AF4826" s="159" t="s">
        <v>8311</v>
      </c>
      <c r="AG4826" s="160" t="s">
        <v>2738</v>
      </c>
      <c r="AH4826" s="194" t="s">
        <v>1314</v>
      </c>
      <c r="AI4826" s="6" t="s">
        <v>1870</v>
      </c>
      <c r="AJ4826" s="3" t="s">
        <v>8234</v>
      </c>
      <c r="AK4826" t="s">
        <v>8234</v>
      </c>
    </row>
    <row r="4827" spans="29:37" ht="13.5">
      <c r="AC4827" s="6">
        <v>645426</v>
      </c>
      <c r="AD4827" s="6" t="s">
        <v>7772</v>
      </c>
      <c r="AE4827" s="155" t="s">
        <v>1993</v>
      </c>
      <c r="AF4827" s="159" t="s">
        <v>8340</v>
      </c>
      <c r="AG4827" s="160" t="s">
        <v>1300</v>
      </c>
      <c r="AH4827" s="194" t="s">
        <v>1314</v>
      </c>
      <c r="AI4827" s="6" t="s">
        <v>740</v>
      </c>
      <c r="AJ4827" s="3" t="s">
        <v>8234</v>
      </c>
      <c r="AK4827" t="s">
        <v>8234</v>
      </c>
    </row>
    <row r="4828" spans="29:37" ht="13.5">
      <c r="AC4828" s="6" t="s">
        <v>847</v>
      </c>
      <c r="AD4828" s="6" t="s">
        <v>7768</v>
      </c>
      <c r="AE4828" s="155" t="s">
        <v>1994</v>
      </c>
      <c r="AF4828" s="159" t="s">
        <v>8342</v>
      </c>
      <c r="AG4828" s="160" t="s">
        <v>2777</v>
      </c>
      <c r="AH4828" s="194" t="s">
        <v>679</v>
      </c>
      <c r="AI4828" s="6" t="s">
        <v>801</v>
      </c>
      <c r="AJ4828" s="3" t="s">
        <v>8273</v>
      </c>
      <c r="AK4828" t="s">
        <v>8273</v>
      </c>
    </row>
    <row r="4829" spans="29:37" ht="13.5">
      <c r="AC4829" s="6" t="s">
        <v>849</v>
      </c>
      <c r="AD4829" s="6" t="s">
        <v>7768</v>
      </c>
      <c r="AE4829" s="155" t="s">
        <v>692</v>
      </c>
      <c r="AF4829" s="159" t="s">
        <v>8339</v>
      </c>
      <c r="AG4829" s="160" t="s">
        <v>4789</v>
      </c>
      <c r="AH4829" s="194" t="s">
        <v>1314</v>
      </c>
      <c r="AI4829" s="6" t="s">
        <v>1936</v>
      </c>
      <c r="AJ4829" s="3" t="s">
        <v>8234</v>
      </c>
      <c r="AK4829" t="s">
        <v>8234</v>
      </c>
    </row>
    <row r="4830" spans="29:37" ht="13.5">
      <c r="AC4830" s="6" t="s">
        <v>5374</v>
      </c>
      <c r="AD4830" s="6" t="s">
        <v>7768</v>
      </c>
      <c r="AE4830" s="155" t="s">
        <v>2261</v>
      </c>
      <c r="AF4830" s="159" t="s">
        <v>8339</v>
      </c>
      <c r="AG4830" s="160" t="s">
        <v>4730</v>
      </c>
      <c r="AH4830" s="194" t="s">
        <v>678</v>
      </c>
      <c r="AI4830" s="6" t="s">
        <v>1949</v>
      </c>
      <c r="AJ4830" s="3" t="s">
        <v>8234</v>
      </c>
      <c r="AK4830" t="s">
        <v>8234</v>
      </c>
    </row>
    <row r="4831" spans="29:37" ht="13.5">
      <c r="AC4831" s="6" t="s">
        <v>1784</v>
      </c>
      <c r="AD4831" s="6" t="s">
        <v>7754</v>
      </c>
      <c r="AE4831" s="155" t="s">
        <v>1713</v>
      </c>
      <c r="AF4831" s="159" t="s">
        <v>8339</v>
      </c>
      <c r="AG4831" s="160" t="s">
        <v>2509</v>
      </c>
      <c r="AH4831" s="194" t="s">
        <v>1314</v>
      </c>
      <c r="AI4831" s="6" t="s">
        <v>831</v>
      </c>
      <c r="AJ4831" s="3" t="s">
        <v>8273</v>
      </c>
      <c r="AK4831" t="s">
        <v>8273</v>
      </c>
    </row>
    <row r="4832" spans="29:37" ht="13.5">
      <c r="AC4832" s="6" t="s">
        <v>793</v>
      </c>
      <c r="AD4832" s="6" t="s">
        <v>7776</v>
      </c>
      <c r="AE4832" s="155" t="s">
        <v>1716</v>
      </c>
      <c r="AF4832" s="159" t="s">
        <v>8342</v>
      </c>
      <c r="AG4832" s="160" t="s">
        <v>2673</v>
      </c>
      <c r="AH4832" s="194" t="s">
        <v>679</v>
      </c>
      <c r="AI4832" s="6" t="s">
        <v>2969</v>
      </c>
      <c r="AJ4832" s="3" t="s">
        <v>8205</v>
      </c>
      <c r="AK4832" t="s">
        <v>8211</v>
      </c>
    </row>
    <row r="4833" spans="29:37" ht="13.5">
      <c r="AC4833" s="6" t="s">
        <v>848</v>
      </c>
      <c r="AD4833" s="6" t="s">
        <v>7768</v>
      </c>
      <c r="AE4833" s="155" t="s">
        <v>23</v>
      </c>
      <c r="AF4833" s="159" t="s">
        <v>8339</v>
      </c>
      <c r="AG4833" s="160" t="s">
        <v>2706</v>
      </c>
      <c r="AH4833" s="194" t="s">
        <v>1314</v>
      </c>
      <c r="AI4833" s="6" t="s">
        <v>2982</v>
      </c>
      <c r="AJ4833" s="3" t="s">
        <v>8264</v>
      </c>
      <c r="AK4833" t="s">
        <v>8264</v>
      </c>
    </row>
    <row r="4834" spans="29:37" ht="13.5">
      <c r="AC4834" s="6" t="s">
        <v>851</v>
      </c>
      <c r="AD4834" s="6" t="s">
        <v>7768</v>
      </c>
      <c r="AE4834" s="155" t="s">
        <v>689</v>
      </c>
      <c r="AF4834" s="159" t="s">
        <v>8299</v>
      </c>
      <c r="AG4834" s="160" t="s">
        <v>631</v>
      </c>
      <c r="AH4834" s="194" t="s">
        <v>678</v>
      </c>
      <c r="AI4834" s="6" t="s">
        <v>3010</v>
      </c>
      <c r="AJ4834" s="3" t="s">
        <v>8246</v>
      </c>
      <c r="AK4834" t="s">
        <v>8246</v>
      </c>
    </row>
    <row r="4835" spans="29:37" ht="13.5">
      <c r="AC4835" s="6" t="s">
        <v>23</v>
      </c>
      <c r="AD4835" s="6" t="s">
        <v>7776</v>
      </c>
      <c r="AE4835" s="155" t="s">
        <v>684</v>
      </c>
      <c r="AF4835" s="159" t="s">
        <v>8300</v>
      </c>
      <c r="AG4835" s="160" t="s">
        <v>632</v>
      </c>
      <c r="AH4835" s="194" t="s">
        <v>679</v>
      </c>
      <c r="AI4835" s="6" t="s">
        <v>3074</v>
      </c>
      <c r="AJ4835" s="3" t="s">
        <v>8240</v>
      </c>
      <c r="AK4835" t="s">
        <v>8240</v>
      </c>
    </row>
    <row r="4836" spans="29:37" ht="13.5">
      <c r="AC4836" s="6" t="s">
        <v>783</v>
      </c>
      <c r="AD4836" s="6" t="s">
        <v>7768</v>
      </c>
      <c r="AE4836" s="155" t="s">
        <v>1160</v>
      </c>
      <c r="AF4836" s="159" t="s">
        <v>8300</v>
      </c>
      <c r="AG4836" s="160" t="s">
        <v>4087</v>
      </c>
      <c r="AH4836" s="194" t="s">
        <v>1314</v>
      </c>
      <c r="AI4836" s="6" t="s">
        <v>3333</v>
      </c>
      <c r="AJ4836" s="3" t="s">
        <v>8240</v>
      </c>
      <c r="AK4836" t="s">
        <v>8240</v>
      </c>
    </row>
    <row r="4837" spans="29:37" ht="13.5">
      <c r="AC4837" s="6" t="s">
        <v>750</v>
      </c>
      <c r="AD4837" s="6" t="s">
        <v>7768</v>
      </c>
      <c r="AE4837" s="155" t="s">
        <v>693</v>
      </c>
      <c r="AF4837" s="159" t="s">
        <v>8300</v>
      </c>
      <c r="AG4837" s="160" t="s">
        <v>4088</v>
      </c>
      <c r="AH4837" s="194" t="s">
        <v>1314</v>
      </c>
      <c r="AI4837" s="6" t="s">
        <v>360</v>
      </c>
      <c r="AJ4837" s="3" t="s">
        <v>8208</v>
      </c>
      <c r="AK4837" t="s">
        <v>8667</v>
      </c>
    </row>
    <row r="4838" spans="29:37" ht="13.5">
      <c r="AC4838" s="6" t="s">
        <v>3856</v>
      </c>
      <c r="AD4838" s="6" t="s">
        <v>7768</v>
      </c>
      <c r="AE4838" s="155" t="s">
        <v>1161</v>
      </c>
      <c r="AF4838" s="159" t="s">
        <v>8300</v>
      </c>
      <c r="AG4838" s="160" t="s">
        <v>4089</v>
      </c>
      <c r="AH4838" s="194" t="s">
        <v>679</v>
      </c>
      <c r="AI4838" s="6" t="s">
        <v>1868</v>
      </c>
      <c r="AJ4838" s="3" t="s">
        <v>8234</v>
      </c>
      <c r="AK4838" t="s">
        <v>8234</v>
      </c>
    </row>
    <row r="4839" spans="29:37" ht="13.5">
      <c r="AC4839" s="6" t="s">
        <v>845</v>
      </c>
      <c r="AD4839" s="6" t="s">
        <v>7768</v>
      </c>
      <c r="AE4839" s="155" t="s">
        <v>690</v>
      </c>
      <c r="AF4839" s="159" t="s">
        <v>8299</v>
      </c>
      <c r="AG4839" s="160" t="s">
        <v>4090</v>
      </c>
      <c r="AH4839" s="194" t="s">
        <v>679</v>
      </c>
      <c r="AI4839" s="6" t="s">
        <v>757</v>
      </c>
      <c r="AJ4839" s="3" t="s">
        <v>8273</v>
      </c>
      <c r="AK4839" t="s">
        <v>8273</v>
      </c>
    </row>
    <row r="4840" spans="29:37" ht="13.5">
      <c r="AC4840" s="6" t="s">
        <v>752</v>
      </c>
      <c r="AD4840" s="6" t="s">
        <v>7768</v>
      </c>
      <c r="AE4840" s="155" t="s">
        <v>694</v>
      </c>
      <c r="AF4840" s="159" t="s">
        <v>8299</v>
      </c>
      <c r="AG4840" s="160" t="s">
        <v>4091</v>
      </c>
      <c r="AH4840" s="194" t="s">
        <v>679</v>
      </c>
      <c r="AI4840" s="6" t="s">
        <v>778</v>
      </c>
      <c r="AJ4840" s="3" t="s">
        <v>8234</v>
      </c>
      <c r="AK4840" t="s">
        <v>8234</v>
      </c>
    </row>
    <row r="4841" spans="29:37" ht="13.5">
      <c r="AC4841" s="6" t="s">
        <v>819</v>
      </c>
      <c r="AD4841" s="6" t="s">
        <v>7768</v>
      </c>
      <c r="AE4841" s="155" t="s">
        <v>695</v>
      </c>
      <c r="AF4841" s="159" t="s">
        <v>8299</v>
      </c>
      <c r="AG4841" s="160" t="s">
        <v>2707</v>
      </c>
      <c r="AH4841" s="194" t="s">
        <v>679</v>
      </c>
      <c r="AI4841" s="6" t="s">
        <v>785</v>
      </c>
      <c r="AJ4841" s="3" t="s">
        <v>8222</v>
      </c>
      <c r="AK4841" t="s">
        <v>8670</v>
      </c>
    </row>
    <row r="4842" spans="29:37" ht="13.5">
      <c r="AC4842" s="6" t="s">
        <v>689</v>
      </c>
      <c r="AD4842" s="6" t="s">
        <v>7768</v>
      </c>
      <c r="AE4842" s="155" t="s">
        <v>697</v>
      </c>
      <c r="AF4842" s="159" t="s">
        <v>8300</v>
      </c>
      <c r="AG4842" s="160" t="s">
        <v>2708</v>
      </c>
      <c r="AH4842" s="194" t="s">
        <v>679</v>
      </c>
      <c r="AI4842" s="6" t="s">
        <v>853</v>
      </c>
      <c r="AJ4842" s="3" t="s">
        <v>8222</v>
      </c>
      <c r="AK4842" t="s">
        <v>8670</v>
      </c>
    </row>
    <row r="4843" spans="29:37" ht="13.5">
      <c r="AC4843" s="6" t="s">
        <v>736</v>
      </c>
      <c r="AD4843" s="6" t="s">
        <v>7776</v>
      </c>
      <c r="AE4843" s="155" t="s">
        <v>1718</v>
      </c>
      <c r="AF4843" s="159" t="s">
        <v>8299</v>
      </c>
      <c r="AG4843" s="160" t="s">
        <v>5157</v>
      </c>
      <c r="AH4843" s="194" t="s">
        <v>679</v>
      </c>
      <c r="AI4843" s="6" t="s">
        <v>3094</v>
      </c>
      <c r="AJ4843" s="3" t="s">
        <v>8240</v>
      </c>
      <c r="AK4843" t="s">
        <v>8240</v>
      </c>
    </row>
    <row r="4844" spans="29:37" ht="13.5">
      <c r="AC4844" s="6" t="s">
        <v>688</v>
      </c>
      <c r="AD4844" s="6" t="s">
        <v>7768</v>
      </c>
      <c r="AE4844" s="155" t="s">
        <v>698</v>
      </c>
      <c r="AF4844" s="159" t="s">
        <v>8300</v>
      </c>
      <c r="AG4844" s="160" t="s">
        <v>5111</v>
      </c>
      <c r="AH4844" s="194" t="s">
        <v>679</v>
      </c>
      <c r="AI4844" s="6" t="s">
        <v>326</v>
      </c>
      <c r="AJ4844" s="3" t="s">
        <v>8200</v>
      </c>
      <c r="AK4844" t="s">
        <v>8200</v>
      </c>
    </row>
    <row r="4845" spans="29:37" ht="13.5">
      <c r="AC4845" s="6">
        <v>545378</v>
      </c>
      <c r="AD4845" s="6" t="s">
        <v>7780</v>
      </c>
      <c r="AE4845" s="155" t="s">
        <v>699</v>
      </c>
      <c r="AF4845" s="159" t="s">
        <v>8300</v>
      </c>
      <c r="AG4845" s="160" t="s">
        <v>5466</v>
      </c>
      <c r="AH4845" s="194" t="s">
        <v>679</v>
      </c>
      <c r="AI4845" s="6" t="s">
        <v>93</v>
      </c>
      <c r="AJ4845" s="3" t="s">
        <v>8272</v>
      </c>
      <c r="AK4845" t="s">
        <v>8272</v>
      </c>
    </row>
    <row r="4846" spans="29:37" ht="13.5">
      <c r="AC4846" s="6" t="s">
        <v>779</v>
      </c>
      <c r="AD4846" s="6" t="s">
        <v>7768</v>
      </c>
      <c r="AE4846" s="155" t="s">
        <v>700</v>
      </c>
      <c r="AF4846" s="159" t="s">
        <v>8300</v>
      </c>
      <c r="AG4846" s="160" t="s">
        <v>5107</v>
      </c>
      <c r="AH4846" s="194" t="s">
        <v>679</v>
      </c>
      <c r="AI4846" s="6" t="s">
        <v>2431</v>
      </c>
      <c r="AJ4846" s="3" t="s">
        <v>8276</v>
      </c>
      <c r="AK4846" t="s">
        <v>8276</v>
      </c>
    </row>
    <row r="4847" spans="29:37" ht="13.5">
      <c r="AC4847" s="6" t="s">
        <v>803</v>
      </c>
      <c r="AD4847" s="6" t="s">
        <v>7768</v>
      </c>
      <c r="AE4847" s="155" t="s">
        <v>701</v>
      </c>
      <c r="AF4847" s="159" t="s">
        <v>8300</v>
      </c>
      <c r="AG4847" s="160" t="s">
        <v>4092</v>
      </c>
      <c r="AH4847" s="194" t="s">
        <v>679</v>
      </c>
      <c r="AI4847" s="6" t="s">
        <v>4009</v>
      </c>
      <c r="AJ4847" s="3" t="s">
        <v>8272</v>
      </c>
      <c r="AK4847" t="s">
        <v>8272</v>
      </c>
    </row>
    <row r="4848" spans="29:37" ht="13.5">
      <c r="AC4848" s="6" t="s">
        <v>772</v>
      </c>
      <c r="AD4848" s="6" t="s">
        <v>7768</v>
      </c>
      <c r="AE4848" s="155" t="s">
        <v>688</v>
      </c>
      <c r="AF4848" s="159" t="s">
        <v>8300</v>
      </c>
      <c r="AG4848" s="160" t="s">
        <v>4093</v>
      </c>
      <c r="AH4848" s="194" t="s">
        <v>679</v>
      </c>
      <c r="AI4848" s="6">
        <v>23802</v>
      </c>
      <c r="AJ4848" s="3" t="s">
        <v>8207</v>
      </c>
      <c r="AK4848" t="s">
        <v>8207</v>
      </c>
    </row>
    <row r="4849" spans="29:37" ht="13.5">
      <c r="AC4849" s="6" t="s">
        <v>699</v>
      </c>
      <c r="AD4849" s="6" t="s">
        <v>7768</v>
      </c>
      <c r="AE4849" s="155" t="s">
        <v>1720</v>
      </c>
      <c r="AF4849" s="159" t="s">
        <v>8309</v>
      </c>
      <c r="AG4849" s="160" t="s">
        <v>4094</v>
      </c>
      <c r="AH4849" s="194" t="s">
        <v>679</v>
      </c>
      <c r="AI4849" s="6" t="s">
        <v>3210</v>
      </c>
      <c r="AJ4849" s="3" t="s">
        <v>8193</v>
      </c>
      <c r="AK4849" t="s">
        <v>8205</v>
      </c>
    </row>
    <row r="4850" spans="29:37" ht="13.5">
      <c r="AC4850" s="6" t="s">
        <v>705</v>
      </c>
      <c r="AD4850" s="6" t="s">
        <v>7768</v>
      </c>
      <c r="AE4850" s="155" t="s">
        <v>1162</v>
      </c>
      <c r="AF4850" s="159" t="s">
        <v>8300</v>
      </c>
      <c r="AG4850" s="160" t="s">
        <v>4095</v>
      </c>
      <c r="AH4850" s="194" t="s">
        <v>678</v>
      </c>
      <c r="AI4850" s="6" t="s">
        <v>3351</v>
      </c>
      <c r="AJ4850" s="3" t="s">
        <v>8264</v>
      </c>
      <c r="AK4850" t="s">
        <v>8264</v>
      </c>
    </row>
    <row r="4851" spans="29:37" ht="13.5">
      <c r="AC4851" s="6" t="s">
        <v>714</v>
      </c>
      <c r="AD4851" s="6" t="s">
        <v>7768</v>
      </c>
      <c r="AE4851" s="155" t="s">
        <v>702</v>
      </c>
      <c r="AF4851" s="159" t="s">
        <v>8300</v>
      </c>
      <c r="AG4851" s="160" t="s">
        <v>5467</v>
      </c>
      <c r="AH4851" s="194" t="s">
        <v>679</v>
      </c>
      <c r="AI4851" s="6" t="s">
        <v>3373</v>
      </c>
      <c r="AJ4851" s="3" t="s">
        <v>8203</v>
      </c>
      <c r="AK4851" t="s">
        <v>8203</v>
      </c>
    </row>
    <row r="4852" spans="29:37" ht="13.5">
      <c r="AC4852" s="6" t="s">
        <v>746</v>
      </c>
      <c r="AD4852" s="6" t="s">
        <v>7768</v>
      </c>
      <c r="AE4852" s="155" t="s">
        <v>703</v>
      </c>
      <c r="AF4852" s="159" t="s">
        <v>8300</v>
      </c>
      <c r="AG4852" s="160" t="s">
        <v>5468</v>
      </c>
      <c r="AH4852" s="194" t="s">
        <v>1314</v>
      </c>
      <c r="AI4852" s="6" t="s">
        <v>3450</v>
      </c>
      <c r="AJ4852" s="3" t="s">
        <v>8264</v>
      </c>
      <c r="AK4852" t="s">
        <v>8264</v>
      </c>
    </row>
    <row r="4853" spans="29:37" ht="13.5">
      <c r="AC4853" s="6" t="s">
        <v>821</v>
      </c>
      <c r="AD4853" s="6" t="s">
        <v>7768</v>
      </c>
      <c r="AE4853" s="155" t="s">
        <v>704</v>
      </c>
      <c r="AF4853" s="159" t="s">
        <v>8300</v>
      </c>
      <c r="AG4853" s="160" t="s">
        <v>2553</v>
      </c>
      <c r="AH4853" s="194" t="s">
        <v>679</v>
      </c>
      <c r="AI4853" s="6">
        <v>75283</v>
      </c>
      <c r="AJ4853" s="3" t="s">
        <v>8261</v>
      </c>
      <c r="AK4853" t="s">
        <v>8261</v>
      </c>
    </row>
    <row r="4854" spans="29:37" ht="13.5">
      <c r="AC4854" s="6" t="s">
        <v>684</v>
      </c>
      <c r="AD4854" s="6" t="s">
        <v>7768</v>
      </c>
      <c r="AE4854" s="155" t="s">
        <v>686</v>
      </c>
      <c r="AF4854" s="159" t="s">
        <v>8299</v>
      </c>
      <c r="AG4854" s="161" t="s">
        <v>2744</v>
      </c>
      <c r="AH4854" s="194" t="s">
        <v>679</v>
      </c>
      <c r="AI4854" s="6" t="s">
        <v>2221</v>
      </c>
      <c r="AJ4854" s="3" t="s">
        <v>8235</v>
      </c>
      <c r="AK4854" t="s">
        <v>8672</v>
      </c>
    </row>
    <row r="4855" spans="29:37" ht="13.5">
      <c r="AC4855" s="6" t="s">
        <v>809</v>
      </c>
      <c r="AD4855" s="6" t="s">
        <v>7768</v>
      </c>
      <c r="AE4855" s="155" t="s">
        <v>1163</v>
      </c>
      <c r="AF4855" s="159" t="s">
        <v>8300</v>
      </c>
      <c r="AG4855" s="160" t="s">
        <v>4840</v>
      </c>
      <c r="AH4855" s="194" t="s">
        <v>679</v>
      </c>
      <c r="AI4855" s="6" t="s">
        <v>3618</v>
      </c>
      <c r="AJ4855" s="3" t="s">
        <v>8270</v>
      </c>
      <c r="AK4855" t="s">
        <v>8270</v>
      </c>
    </row>
    <row r="4856" spans="29:37" ht="13.5">
      <c r="AC4856" s="6" t="s">
        <v>730</v>
      </c>
      <c r="AD4856" s="6" t="s">
        <v>7768</v>
      </c>
      <c r="AE4856" s="155" t="s">
        <v>705</v>
      </c>
      <c r="AF4856" s="159" t="s">
        <v>8300</v>
      </c>
      <c r="AG4856" s="160" t="s">
        <v>4834</v>
      </c>
      <c r="AH4856" s="194" t="s">
        <v>679</v>
      </c>
      <c r="AI4856" s="6" t="s">
        <v>1586</v>
      </c>
      <c r="AJ4856" s="3" t="s">
        <v>8197</v>
      </c>
      <c r="AK4856" t="s">
        <v>8197</v>
      </c>
    </row>
    <row r="4857" spans="29:37" ht="13.5">
      <c r="AC4857" s="6" t="s">
        <v>706</v>
      </c>
      <c r="AD4857" s="6" t="s">
        <v>7768</v>
      </c>
      <c r="AE4857" s="155" t="s">
        <v>706</v>
      </c>
      <c r="AF4857" s="159" t="s">
        <v>8300</v>
      </c>
      <c r="AG4857" s="160" t="s">
        <v>2527</v>
      </c>
      <c r="AH4857" s="194" t="s">
        <v>679</v>
      </c>
      <c r="AI4857" s="6" t="s">
        <v>809</v>
      </c>
      <c r="AJ4857" s="3" t="s">
        <v>8234</v>
      </c>
      <c r="AK4857" t="s">
        <v>8234</v>
      </c>
    </row>
    <row r="4858" spans="29:37" ht="13.5">
      <c r="AC4858" s="6" t="s">
        <v>722</v>
      </c>
      <c r="AD4858" s="6" t="s">
        <v>7768</v>
      </c>
      <c r="AE4858" s="155" t="s">
        <v>707</v>
      </c>
      <c r="AF4858" s="159" t="s">
        <v>8300</v>
      </c>
      <c r="AG4858" s="160" t="s">
        <v>2625</v>
      </c>
      <c r="AH4858" s="194" t="s">
        <v>679</v>
      </c>
      <c r="AI4858" s="6" t="s">
        <v>2939</v>
      </c>
      <c r="AJ4858" s="3" t="s">
        <v>8247</v>
      </c>
      <c r="AK4858" t="s">
        <v>8247</v>
      </c>
    </row>
    <row r="4859" spans="29:37" ht="13.5">
      <c r="AC4859" s="6" t="s">
        <v>728</v>
      </c>
      <c r="AD4859" s="6" t="s">
        <v>7768</v>
      </c>
      <c r="AE4859" s="155" t="s">
        <v>708</v>
      </c>
      <c r="AF4859" s="159" t="s">
        <v>8296</v>
      </c>
      <c r="AG4859" s="160" t="s">
        <v>2729</v>
      </c>
      <c r="AH4859" s="194" t="s">
        <v>679</v>
      </c>
      <c r="AI4859" s="6" t="s">
        <v>3096</v>
      </c>
      <c r="AJ4859" s="3" t="s">
        <v>8247</v>
      </c>
      <c r="AK4859" t="s">
        <v>8247</v>
      </c>
    </row>
    <row r="4860" spans="29:37" ht="13.5">
      <c r="AC4860" s="6" t="s">
        <v>757</v>
      </c>
      <c r="AD4860" s="6" t="s">
        <v>7768</v>
      </c>
      <c r="AE4860" s="155" t="s">
        <v>709</v>
      </c>
      <c r="AF4860" s="159" t="s">
        <v>8300</v>
      </c>
      <c r="AG4860" s="160" t="s">
        <v>5164</v>
      </c>
      <c r="AH4860" s="194" t="s">
        <v>679</v>
      </c>
      <c r="AI4860" s="6" t="s">
        <v>5386</v>
      </c>
      <c r="AJ4860" s="3" t="s">
        <v>8247</v>
      </c>
      <c r="AK4860" t="s">
        <v>8247</v>
      </c>
    </row>
    <row r="4861" spans="29:37" ht="13.5">
      <c r="AC4861" s="6" t="s">
        <v>749</v>
      </c>
      <c r="AD4861" s="6" t="s">
        <v>7768</v>
      </c>
      <c r="AE4861" s="155" t="s">
        <v>710</v>
      </c>
      <c r="AF4861" s="159" t="s">
        <v>8300</v>
      </c>
      <c r="AG4861" s="160" t="s">
        <v>2531</v>
      </c>
      <c r="AH4861" s="194" t="s">
        <v>679</v>
      </c>
      <c r="AI4861" s="6" t="s">
        <v>912</v>
      </c>
      <c r="AJ4861" s="3" t="s">
        <v>8215</v>
      </c>
      <c r="AK4861" t="s">
        <v>8215</v>
      </c>
    </row>
    <row r="4862" spans="29:37" ht="13.5">
      <c r="AC4862" s="6" t="s">
        <v>700</v>
      </c>
      <c r="AD4862" s="6" t="s">
        <v>7768</v>
      </c>
      <c r="AE4862" s="155" t="s">
        <v>711</v>
      </c>
      <c r="AF4862" s="159" t="s">
        <v>8339</v>
      </c>
      <c r="AG4862" s="160" t="s">
        <v>2547</v>
      </c>
      <c r="AH4862" s="194" t="s">
        <v>679</v>
      </c>
      <c r="AI4862" s="6" t="s">
        <v>915</v>
      </c>
      <c r="AJ4862" s="3" t="s">
        <v>8257</v>
      </c>
      <c r="AK4862" t="s">
        <v>8257</v>
      </c>
    </row>
    <row r="4863" spans="29:37" ht="13.5">
      <c r="AC4863" s="6" t="s">
        <v>837</v>
      </c>
      <c r="AD4863" s="6" t="s">
        <v>7768</v>
      </c>
      <c r="AE4863" s="155" t="s">
        <v>712</v>
      </c>
      <c r="AF4863" s="159" t="s">
        <v>8300</v>
      </c>
      <c r="AG4863" s="160" t="s">
        <v>2718</v>
      </c>
      <c r="AH4863" s="194" t="s">
        <v>679</v>
      </c>
      <c r="AI4863" s="6" t="s">
        <v>1964</v>
      </c>
      <c r="AJ4863" s="3" t="s">
        <v>8235</v>
      </c>
      <c r="AK4863" t="s">
        <v>8672</v>
      </c>
    </row>
    <row r="4864" spans="29:37" ht="13.5">
      <c r="AC4864" s="6" t="s">
        <v>781</v>
      </c>
      <c r="AD4864" s="6" t="s">
        <v>7768</v>
      </c>
      <c r="AE4864" s="155" t="s">
        <v>713</v>
      </c>
      <c r="AF4864" s="159" t="s">
        <v>8300</v>
      </c>
      <c r="AG4864" s="160" t="s">
        <v>5321</v>
      </c>
      <c r="AH4864" s="194" t="s">
        <v>1314</v>
      </c>
      <c r="AI4864" s="6" t="s">
        <v>6646</v>
      </c>
      <c r="AJ4864" s="3" t="s">
        <v>8209</v>
      </c>
      <c r="AK4864" t="s">
        <v>8209</v>
      </c>
    </row>
    <row r="4865" spans="29:37" ht="13.5">
      <c r="AC4865" s="6" t="s">
        <v>701</v>
      </c>
      <c r="AD4865" s="6" t="s">
        <v>7768</v>
      </c>
      <c r="AE4865" s="155" t="s">
        <v>714</v>
      </c>
      <c r="AF4865" s="159" t="s">
        <v>8300</v>
      </c>
      <c r="AG4865" s="160" t="s">
        <v>5186</v>
      </c>
      <c r="AH4865" s="194" t="s">
        <v>1314</v>
      </c>
      <c r="AI4865" s="6" t="s">
        <v>3108</v>
      </c>
      <c r="AJ4865" s="3" t="s">
        <v>8220</v>
      </c>
      <c r="AK4865" t="s">
        <v>8220</v>
      </c>
    </row>
    <row r="4866" spans="29:37" ht="13.5">
      <c r="AC4866" s="6" t="s">
        <v>838</v>
      </c>
      <c r="AD4866" s="6" t="s">
        <v>7768</v>
      </c>
      <c r="AE4866" s="155" t="s">
        <v>715</v>
      </c>
      <c r="AF4866" s="159" t="s">
        <v>8300</v>
      </c>
      <c r="AG4866" s="160" t="s">
        <v>1803</v>
      </c>
      <c r="AH4866" s="194" t="s">
        <v>679</v>
      </c>
      <c r="AI4866" s="6">
        <v>545378</v>
      </c>
      <c r="AJ4866" s="3" t="s">
        <v>8252</v>
      </c>
      <c r="AK4866" t="s">
        <v>8252</v>
      </c>
    </row>
    <row r="4867" spans="29:37" ht="13.5">
      <c r="AC4867" s="6" t="s">
        <v>686</v>
      </c>
      <c r="AD4867" s="6" t="s">
        <v>7768</v>
      </c>
      <c r="AE4867" s="155" t="s">
        <v>716</v>
      </c>
      <c r="AF4867" s="159" t="s">
        <v>8573</v>
      </c>
      <c r="AG4867" s="160" t="s">
        <v>1892</v>
      </c>
      <c r="AH4867" s="194" t="s">
        <v>679</v>
      </c>
      <c r="AI4867" s="6" t="s">
        <v>1865</v>
      </c>
      <c r="AJ4867" s="3" t="s">
        <v>8234</v>
      </c>
      <c r="AK4867" t="s">
        <v>8234</v>
      </c>
    </row>
    <row r="4868" spans="29:37" ht="13.5">
      <c r="AC4868" s="6" t="s">
        <v>807</v>
      </c>
      <c r="AD4868" s="6" t="s">
        <v>7768</v>
      </c>
      <c r="AE4868" s="155" t="s">
        <v>717</v>
      </c>
      <c r="AF4868" s="159" t="s">
        <v>8299</v>
      </c>
      <c r="AG4868" s="160" t="s">
        <v>1893</v>
      </c>
      <c r="AH4868" s="194" t="s">
        <v>679</v>
      </c>
      <c r="AI4868" s="6" t="s">
        <v>1921</v>
      </c>
      <c r="AJ4868" s="3" t="s">
        <v>8234</v>
      </c>
      <c r="AK4868" t="s">
        <v>8234</v>
      </c>
    </row>
    <row r="4869" spans="29:37" ht="13.5">
      <c r="AC4869" s="6" t="s">
        <v>744</v>
      </c>
      <c r="AD4869" s="6" t="s">
        <v>7768</v>
      </c>
      <c r="AE4869" s="155" t="s">
        <v>718</v>
      </c>
      <c r="AF4869" s="159" t="s">
        <v>8300</v>
      </c>
      <c r="AG4869" s="160" t="s">
        <v>2071</v>
      </c>
      <c r="AH4869" s="194" t="s">
        <v>679</v>
      </c>
      <c r="AI4869" s="6" t="s">
        <v>1945</v>
      </c>
      <c r="AJ4869" s="3" t="s">
        <v>8234</v>
      </c>
      <c r="AK4869" t="s">
        <v>8234</v>
      </c>
    </row>
    <row r="4870" spans="29:37" ht="13.5">
      <c r="AC4870" s="6" t="s">
        <v>842</v>
      </c>
      <c r="AD4870" s="6" t="s">
        <v>7768</v>
      </c>
      <c r="AE4870" s="155" t="s">
        <v>719</v>
      </c>
      <c r="AF4870" s="159" t="s">
        <v>8300</v>
      </c>
      <c r="AG4870" s="160" t="s">
        <v>2072</v>
      </c>
      <c r="AH4870" s="194" t="s">
        <v>679</v>
      </c>
      <c r="AI4870" s="6" t="s">
        <v>501</v>
      </c>
      <c r="AJ4870" s="3" t="s">
        <v>8228</v>
      </c>
      <c r="AK4870" t="s">
        <v>8228</v>
      </c>
    </row>
    <row r="4871" spans="29:37" ht="13.5">
      <c r="AC4871" s="6" t="s">
        <v>1163</v>
      </c>
      <c r="AD4871" s="6" t="s">
        <v>7768</v>
      </c>
      <c r="AE4871" s="155" t="s">
        <v>720</v>
      </c>
      <c r="AF4871" s="159" t="s">
        <v>8299</v>
      </c>
      <c r="AG4871" s="160" t="s">
        <v>2073</v>
      </c>
      <c r="AH4871" s="194" t="s">
        <v>679</v>
      </c>
      <c r="AI4871" s="6" t="s">
        <v>104</v>
      </c>
      <c r="AJ4871" s="3" t="s">
        <v>8269</v>
      </c>
      <c r="AK4871" t="s">
        <v>8269</v>
      </c>
    </row>
    <row r="4872" spans="29:37" ht="13.5">
      <c r="AC4872" s="6" t="s">
        <v>698</v>
      </c>
      <c r="AD4872" s="6" t="s">
        <v>7768</v>
      </c>
      <c r="AE4872" s="155" t="s">
        <v>1015</v>
      </c>
      <c r="AF4872" s="159" t="s">
        <v>8300</v>
      </c>
      <c r="AG4872" s="160" t="s">
        <v>5098</v>
      </c>
      <c r="AH4872" s="194" t="s">
        <v>1314</v>
      </c>
      <c r="AI4872" s="6" t="s">
        <v>4025</v>
      </c>
      <c r="AJ4872" s="3" t="s">
        <v>8272</v>
      </c>
      <c r="AK4872" t="s">
        <v>8272</v>
      </c>
    </row>
    <row r="4873" spans="29:37" ht="13.5">
      <c r="AC4873" s="6" t="s">
        <v>704</v>
      </c>
      <c r="AD4873" s="6" t="s">
        <v>7768</v>
      </c>
      <c r="AE4873" s="155" t="s">
        <v>1016</v>
      </c>
      <c r="AF4873" s="159" t="s">
        <v>8320</v>
      </c>
      <c r="AG4873" s="160" t="s">
        <v>5159</v>
      </c>
      <c r="AH4873" s="194" t="s">
        <v>679</v>
      </c>
      <c r="AI4873" s="6" t="s">
        <v>2049</v>
      </c>
      <c r="AJ4873" s="3" t="s">
        <v>8235</v>
      </c>
      <c r="AK4873" t="s">
        <v>8672</v>
      </c>
    </row>
    <row r="4874" spans="29:37" ht="13.5">
      <c r="AC4874" s="6" t="s">
        <v>812</v>
      </c>
      <c r="AD4874" s="6" t="s">
        <v>7768</v>
      </c>
      <c r="AE4874" s="155" t="s">
        <v>721</v>
      </c>
      <c r="AF4874" s="159" t="s">
        <v>8300</v>
      </c>
      <c r="AG4874" s="160" t="s">
        <v>5163</v>
      </c>
      <c r="AH4874" s="194" t="s">
        <v>679</v>
      </c>
      <c r="AI4874" s="6" t="s">
        <v>3119</v>
      </c>
      <c r="AJ4874" s="3" t="s">
        <v>8211</v>
      </c>
      <c r="AK4874" t="s">
        <v>8242</v>
      </c>
    </row>
    <row r="4875" spans="29:37" ht="13.5">
      <c r="AC4875" s="6" t="s">
        <v>2002</v>
      </c>
      <c r="AD4875" s="6" t="s">
        <v>7777</v>
      </c>
      <c r="AE4875" s="155" t="s">
        <v>1848</v>
      </c>
      <c r="AF4875" s="159" t="s">
        <v>8339</v>
      </c>
      <c r="AG4875" s="160" t="s">
        <v>5109</v>
      </c>
      <c r="AH4875" s="194" t="s">
        <v>679</v>
      </c>
      <c r="AI4875" s="6" t="s">
        <v>94</v>
      </c>
      <c r="AJ4875" s="3" t="s">
        <v>8269</v>
      </c>
      <c r="AK4875" t="s">
        <v>8269</v>
      </c>
    </row>
    <row r="4876" spans="29:37" ht="13.5">
      <c r="AC4876" s="6" t="s">
        <v>777</v>
      </c>
      <c r="AD4876" s="6" t="s">
        <v>7768</v>
      </c>
      <c r="AE4876" s="155" t="s">
        <v>1849</v>
      </c>
      <c r="AF4876" s="159" t="s">
        <v>8342</v>
      </c>
      <c r="AG4876" s="160" t="s">
        <v>2155</v>
      </c>
      <c r="AH4876" s="194" t="s">
        <v>679</v>
      </c>
      <c r="AI4876" s="6" t="s">
        <v>913</v>
      </c>
      <c r="AJ4876" s="3" t="s">
        <v>8257</v>
      </c>
      <c r="AK4876" t="s">
        <v>8257</v>
      </c>
    </row>
    <row r="4877" spans="29:37" ht="13.5">
      <c r="AC4877" s="6" t="s">
        <v>768</v>
      </c>
      <c r="AD4877" s="6" t="s">
        <v>7768</v>
      </c>
      <c r="AE4877" s="155" t="s">
        <v>1850</v>
      </c>
      <c r="AF4877" s="159" t="s">
        <v>8342</v>
      </c>
      <c r="AG4877" s="160" t="s">
        <v>2194</v>
      </c>
      <c r="AH4877" s="194" t="s">
        <v>679</v>
      </c>
      <c r="AI4877" s="6" t="s">
        <v>4011</v>
      </c>
      <c r="AJ4877" s="3" t="s">
        <v>8272</v>
      </c>
      <c r="AK4877" t="s">
        <v>8272</v>
      </c>
    </row>
    <row r="4878" spans="29:37" ht="13.5">
      <c r="AC4878" s="6" t="s">
        <v>773</v>
      </c>
      <c r="AD4878" s="6" t="s">
        <v>7768</v>
      </c>
      <c r="AE4878" s="155" t="s">
        <v>1253</v>
      </c>
      <c r="AF4878" s="159" t="s">
        <v>8342</v>
      </c>
      <c r="AG4878" s="160" t="s">
        <v>2258</v>
      </c>
      <c r="AH4878" s="194" t="s">
        <v>678</v>
      </c>
      <c r="AI4878" s="6" t="s">
        <v>1887</v>
      </c>
      <c r="AJ4878" s="3" t="s">
        <v>8238</v>
      </c>
      <c r="AK4878" t="s">
        <v>8673</v>
      </c>
    </row>
    <row r="4879" spans="29:37" ht="13.5">
      <c r="AC4879" s="6" t="s">
        <v>828</v>
      </c>
      <c r="AD4879" s="6" t="s">
        <v>7768</v>
      </c>
      <c r="AE4879" s="155" t="s">
        <v>722</v>
      </c>
      <c r="AF4879" s="159" t="s">
        <v>8299</v>
      </c>
      <c r="AG4879" s="160" t="s">
        <v>2259</v>
      </c>
      <c r="AH4879" s="194" t="s">
        <v>678</v>
      </c>
      <c r="AI4879" s="6" t="s">
        <v>3635</v>
      </c>
      <c r="AJ4879" s="3" t="s">
        <v>8199</v>
      </c>
      <c r="AK4879" t="s">
        <v>8199</v>
      </c>
    </row>
    <row r="4880" spans="29:37" ht="13.5">
      <c r="AC4880" s="6" t="s">
        <v>697</v>
      </c>
      <c r="AD4880" s="6" t="s">
        <v>7768</v>
      </c>
      <c r="AE4880" s="155" t="s">
        <v>723</v>
      </c>
      <c r="AF4880" s="159" t="s">
        <v>8300</v>
      </c>
      <c r="AG4880" s="160" t="s">
        <v>3452</v>
      </c>
      <c r="AH4880" s="194" t="s">
        <v>1314</v>
      </c>
      <c r="AI4880" s="6" t="s">
        <v>3778</v>
      </c>
      <c r="AJ4880" s="3" t="s">
        <v>8245</v>
      </c>
      <c r="AK4880" t="s">
        <v>8676</v>
      </c>
    </row>
    <row r="4881" spans="29:37" ht="13.5">
      <c r="AC4881" s="6" t="s">
        <v>747</v>
      </c>
      <c r="AD4881" s="6" t="s">
        <v>7768</v>
      </c>
      <c r="AE4881" s="155" t="s">
        <v>724</v>
      </c>
      <c r="AF4881" s="159" t="s">
        <v>8339</v>
      </c>
      <c r="AG4881" s="160" t="s">
        <v>2370</v>
      </c>
      <c r="AH4881" s="194" t="s">
        <v>679</v>
      </c>
      <c r="AI4881" s="6" t="s">
        <v>1572</v>
      </c>
      <c r="AJ4881" s="3" t="s">
        <v>8197</v>
      </c>
      <c r="AK4881" t="s">
        <v>8197</v>
      </c>
    </row>
    <row r="4882" spans="29:37" ht="13.5">
      <c r="AC4882" s="6" t="s">
        <v>732</v>
      </c>
      <c r="AD4882" s="6" t="s">
        <v>7776</v>
      </c>
      <c r="AE4882" s="155" t="s">
        <v>1851</v>
      </c>
      <c r="AF4882" s="159" t="s">
        <v>8299</v>
      </c>
      <c r="AG4882" s="160" t="s">
        <v>2371</v>
      </c>
      <c r="AH4882" s="194" t="s">
        <v>679</v>
      </c>
      <c r="AI4882" s="6" t="s">
        <v>2402</v>
      </c>
      <c r="AJ4882" s="3" t="s">
        <v>8237</v>
      </c>
      <c r="AK4882" t="s">
        <v>8237</v>
      </c>
    </row>
    <row r="4883" spans="29:37" ht="13.5">
      <c r="AC4883" s="6" t="s">
        <v>703</v>
      </c>
      <c r="AD4883" s="6" t="s">
        <v>7768</v>
      </c>
      <c r="AE4883" s="155" t="s">
        <v>725</v>
      </c>
      <c r="AF4883" s="159" t="s">
        <v>8339</v>
      </c>
      <c r="AG4883" s="160" t="s">
        <v>2372</v>
      </c>
      <c r="AH4883" s="194" t="s">
        <v>679</v>
      </c>
      <c r="AI4883" s="6" t="s">
        <v>2421</v>
      </c>
      <c r="AJ4883" s="3" t="s">
        <v>8237</v>
      </c>
      <c r="AK4883" t="s">
        <v>8237</v>
      </c>
    </row>
    <row r="4884" spans="29:37" ht="13.5">
      <c r="AC4884" s="6" t="s">
        <v>836</v>
      </c>
      <c r="AD4884" s="6" t="s">
        <v>7768</v>
      </c>
      <c r="AE4884" s="155" t="s">
        <v>726</v>
      </c>
      <c r="AF4884" s="159" t="s">
        <v>8574</v>
      </c>
      <c r="AG4884" s="160" t="s">
        <v>2571</v>
      </c>
      <c r="AH4884" s="194" t="s">
        <v>679</v>
      </c>
      <c r="AI4884" s="6" t="s">
        <v>813</v>
      </c>
      <c r="AJ4884" s="3" t="s">
        <v>8234</v>
      </c>
      <c r="AK4884" t="s">
        <v>8234</v>
      </c>
    </row>
    <row r="4885" spans="29:37" ht="13.5">
      <c r="AC4885" s="6" t="s">
        <v>806</v>
      </c>
      <c r="AD4885" s="6" t="s">
        <v>7768</v>
      </c>
      <c r="AE4885" s="155" t="s">
        <v>1852</v>
      </c>
      <c r="AF4885" s="159" t="s">
        <v>8299</v>
      </c>
      <c r="AG4885" s="160" t="s">
        <v>2572</v>
      </c>
      <c r="AH4885" s="194" t="s">
        <v>679</v>
      </c>
      <c r="AI4885" s="6" t="s">
        <v>816</v>
      </c>
      <c r="AJ4885" s="3" t="s">
        <v>8234</v>
      </c>
      <c r="AK4885" t="s">
        <v>8234</v>
      </c>
    </row>
    <row r="4886" spans="29:37" ht="13.5">
      <c r="AC4886" s="6" t="s">
        <v>840</v>
      </c>
      <c r="AD4886" s="6" t="s">
        <v>7768</v>
      </c>
      <c r="AE4886" s="155" t="s">
        <v>1853</v>
      </c>
      <c r="AF4886" s="159" t="s">
        <v>8300</v>
      </c>
      <c r="AG4886" s="160" t="s">
        <v>2573</v>
      </c>
      <c r="AH4886" s="194" t="s">
        <v>679</v>
      </c>
      <c r="AI4886" s="6" t="s">
        <v>3858</v>
      </c>
      <c r="AJ4886" s="3" t="s">
        <v>8263</v>
      </c>
      <c r="AK4886" t="s">
        <v>8263</v>
      </c>
    </row>
    <row r="4887" spans="29:37" ht="13.5">
      <c r="AC4887" s="6" t="s">
        <v>829</v>
      </c>
      <c r="AD4887" s="6" t="s">
        <v>7768</v>
      </c>
      <c r="AE4887" s="155" t="s">
        <v>727</v>
      </c>
      <c r="AF4887" s="159" t="s">
        <v>8300</v>
      </c>
      <c r="AG4887" s="160" t="s">
        <v>2574</v>
      </c>
      <c r="AH4887" s="194" t="s">
        <v>679</v>
      </c>
      <c r="AI4887" s="6" t="s">
        <v>2871</v>
      </c>
      <c r="AJ4887" s="3" t="s">
        <v>8246</v>
      </c>
      <c r="AK4887" t="s">
        <v>8246</v>
      </c>
    </row>
    <row r="4888" spans="29:37" ht="13.5">
      <c r="AC4888" s="6" t="s">
        <v>5376</v>
      </c>
      <c r="AD4888" s="6" t="s">
        <v>7776</v>
      </c>
      <c r="AE4888" s="155" t="s">
        <v>1854</v>
      </c>
      <c r="AF4888" s="159" t="s">
        <v>8418</v>
      </c>
      <c r="AG4888" s="160" t="s">
        <v>2609</v>
      </c>
      <c r="AH4888" s="194" t="s">
        <v>679</v>
      </c>
      <c r="AI4888" s="6" t="s">
        <v>2898</v>
      </c>
      <c r="AJ4888" s="3" t="s">
        <v>8203</v>
      </c>
      <c r="AK4888" t="s">
        <v>8203</v>
      </c>
    </row>
    <row r="4889" spans="29:37" ht="13.5">
      <c r="AC4889" s="6" t="s">
        <v>726</v>
      </c>
      <c r="AD4889" s="6" t="s">
        <v>7776</v>
      </c>
      <c r="AE4889" s="155" t="s">
        <v>728</v>
      </c>
      <c r="AF4889" s="159" t="s">
        <v>8299</v>
      </c>
      <c r="AG4889" s="160" t="s">
        <v>2780</v>
      </c>
      <c r="AH4889" s="194" t="s">
        <v>679</v>
      </c>
      <c r="AI4889" s="6" t="s">
        <v>3305</v>
      </c>
      <c r="AJ4889" s="3" t="s">
        <v>8204</v>
      </c>
      <c r="AK4889" t="s">
        <v>8204</v>
      </c>
    </row>
    <row r="4890" spans="29:37" ht="13.5">
      <c r="AC4890" s="6" t="s">
        <v>713</v>
      </c>
      <c r="AD4890" s="6" t="s">
        <v>7768</v>
      </c>
      <c r="AE4890" s="155" t="s">
        <v>729</v>
      </c>
      <c r="AF4890" s="159" t="s">
        <v>8339</v>
      </c>
      <c r="AG4890" s="160" t="s">
        <v>1767</v>
      </c>
      <c r="AH4890" s="194" t="s">
        <v>679</v>
      </c>
      <c r="AI4890" s="6" t="s">
        <v>3313</v>
      </c>
      <c r="AJ4890" s="3" t="s">
        <v>8240</v>
      </c>
      <c r="AK4890" t="s">
        <v>8240</v>
      </c>
    </row>
    <row r="4891" spans="29:37" ht="13.5">
      <c r="AC4891" s="6" t="s">
        <v>681</v>
      </c>
      <c r="AD4891" s="6" t="s">
        <v>7768</v>
      </c>
      <c r="AE4891" s="155" t="s">
        <v>730</v>
      </c>
      <c r="AF4891" s="159" t="s">
        <v>8339</v>
      </c>
      <c r="AG4891" s="160" t="s">
        <v>1768</v>
      </c>
      <c r="AH4891" s="194" t="s">
        <v>679</v>
      </c>
      <c r="AI4891" s="6" t="s">
        <v>3889</v>
      </c>
      <c r="AJ4891" s="3" t="s">
        <v>8246</v>
      </c>
      <c r="AK4891" t="s">
        <v>8246</v>
      </c>
    </row>
    <row r="4892" spans="29:37" ht="13.5">
      <c r="AC4892" s="6" t="s">
        <v>707</v>
      </c>
      <c r="AD4892" s="6" t="s">
        <v>7768</v>
      </c>
      <c r="AE4892" s="155" t="s">
        <v>1855</v>
      </c>
      <c r="AF4892" s="159" t="s">
        <v>8312</v>
      </c>
      <c r="AG4892" s="160" t="s">
        <v>1769</v>
      </c>
      <c r="AH4892" s="194" t="s">
        <v>679</v>
      </c>
      <c r="AI4892" s="6" t="s">
        <v>2245</v>
      </c>
      <c r="AJ4892" s="3" t="s">
        <v>8235</v>
      </c>
      <c r="AK4892" t="s">
        <v>8672</v>
      </c>
    </row>
    <row r="4893" spans="29:37" ht="13.5">
      <c r="AC4893" s="6" t="s">
        <v>717</v>
      </c>
      <c r="AD4893" s="6" t="s">
        <v>7768</v>
      </c>
      <c r="AE4893" s="155" t="s">
        <v>731</v>
      </c>
      <c r="AF4893" s="159" t="s">
        <v>8575</v>
      </c>
      <c r="AG4893" s="160" t="s">
        <v>1807</v>
      </c>
      <c r="AH4893" s="194" t="s">
        <v>1314</v>
      </c>
      <c r="AI4893" s="6" t="s">
        <v>101</v>
      </c>
      <c r="AJ4893" s="3" t="s">
        <v>8267</v>
      </c>
      <c r="AK4893" t="s">
        <v>8280</v>
      </c>
    </row>
    <row r="4894" spans="29:37" ht="13.5">
      <c r="AC4894" s="6" t="s">
        <v>5741</v>
      </c>
      <c r="AD4894" s="6" t="s">
        <v>7776</v>
      </c>
      <c r="AE4894" s="155" t="s">
        <v>732</v>
      </c>
      <c r="AF4894" s="159" t="s">
        <v>8339</v>
      </c>
      <c r="AG4894" s="160" t="s">
        <v>1901</v>
      </c>
      <c r="AH4894" s="194" t="s">
        <v>679</v>
      </c>
      <c r="AI4894" s="6" t="s">
        <v>909</v>
      </c>
      <c r="AJ4894" s="3" t="s">
        <v>8257</v>
      </c>
      <c r="AK4894" t="s">
        <v>8257</v>
      </c>
    </row>
    <row r="4895" spans="29:37" ht="13.5">
      <c r="AC4895" s="6" t="s">
        <v>832</v>
      </c>
      <c r="AD4895" s="6" t="s">
        <v>7768</v>
      </c>
      <c r="AE4895" s="155" t="s">
        <v>1856</v>
      </c>
      <c r="AF4895" s="159" t="s">
        <v>8299</v>
      </c>
      <c r="AG4895" s="160" t="s">
        <v>1902</v>
      </c>
      <c r="AH4895" s="194" t="s">
        <v>679</v>
      </c>
      <c r="AI4895" s="6" t="s">
        <v>664</v>
      </c>
      <c r="AJ4895" s="3" t="s">
        <v>8198</v>
      </c>
      <c r="AK4895" t="s">
        <v>8198</v>
      </c>
    </row>
    <row r="4896" spans="29:37" ht="13.5">
      <c r="AC4896" s="6" t="s">
        <v>770</v>
      </c>
      <c r="AD4896" s="6" t="s">
        <v>7768</v>
      </c>
      <c r="AE4896" s="155" t="s">
        <v>1254</v>
      </c>
      <c r="AF4896" s="159" t="s">
        <v>8300</v>
      </c>
      <c r="AG4896" s="160" t="s">
        <v>1980</v>
      </c>
      <c r="AH4896" s="194" t="s">
        <v>679</v>
      </c>
      <c r="AI4896" s="6" t="s">
        <v>4029</v>
      </c>
      <c r="AJ4896" s="3" t="s">
        <v>8272</v>
      </c>
      <c r="AK4896" t="s">
        <v>8272</v>
      </c>
    </row>
    <row r="4897" spans="29:37" ht="13.5">
      <c r="AC4897" s="6" t="s">
        <v>830</v>
      </c>
      <c r="AD4897" s="6" t="s">
        <v>7768</v>
      </c>
      <c r="AE4897" s="155" t="s">
        <v>733</v>
      </c>
      <c r="AF4897" s="159" t="s">
        <v>8358</v>
      </c>
      <c r="AG4897" s="160" t="s">
        <v>1791</v>
      </c>
      <c r="AH4897" s="194" t="s">
        <v>679</v>
      </c>
      <c r="AI4897" s="6" t="s">
        <v>92</v>
      </c>
      <c r="AJ4897" s="3" t="s">
        <v>8272</v>
      </c>
      <c r="AK4897" t="s">
        <v>8272</v>
      </c>
    </row>
    <row r="4898" spans="29:37" ht="13.5">
      <c r="AC4898" s="6" t="s">
        <v>801</v>
      </c>
      <c r="AD4898" s="6" t="s">
        <v>7768</v>
      </c>
      <c r="AE4898" s="155" t="s">
        <v>734</v>
      </c>
      <c r="AF4898" s="159" t="s">
        <v>8339</v>
      </c>
      <c r="AG4898" s="160" t="s">
        <v>1792</v>
      </c>
      <c r="AH4898" s="194" t="s">
        <v>679</v>
      </c>
      <c r="AI4898" s="6" t="s">
        <v>5320</v>
      </c>
      <c r="AJ4898" s="3" t="s">
        <v>8208</v>
      </c>
      <c r="AK4898" t="s">
        <v>8667</v>
      </c>
    </row>
    <row r="4899" spans="29:37" ht="13.5">
      <c r="AC4899" s="6" t="s">
        <v>798</v>
      </c>
      <c r="AD4899" s="6" t="s">
        <v>7776</v>
      </c>
      <c r="AE4899" s="155" t="s">
        <v>1017</v>
      </c>
      <c r="AF4899" s="159" t="s">
        <v>8346</v>
      </c>
      <c r="AG4899" s="160" t="s">
        <v>1793</v>
      </c>
      <c r="AH4899" s="194" t="s">
        <v>679</v>
      </c>
      <c r="AI4899" s="6" t="s">
        <v>5726</v>
      </c>
      <c r="AJ4899" s="3" t="s">
        <v>8246</v>
      </c>
      <c r="AK4899" t="s">
        <v>8246</v>
      </c>
    </row>
    <row r="4900" spans="29:37" ht="13.5">
      <c r="AC4900" s="6" t="s">
        <v>790</v>
      </c>
      <c r="AD4900" s="6" t="s">
        <v>7768</v>
      </c>
      <c r="AE4900" s="155" t="s">
        <v>735</v>
      </c>
      <c r="AF4900" s="159" t="s">
        <v>8297</v>
      </c>
      <c r="AG4900" s="160" t="s">
        <v>1806</v>
      </c>
      <c r="AH4900" s="194" t="s">
        <v>679</v>
      </c>
      <c r="AI4900" s="6" t="s">
        <v>2052</v>
      </c>
      <c r="AJ4900" s="3" t="s">
        <v>8235</v>
      </c>
      <c r="AK4900" t="s">
        <v>8672</v>
      </c>
    </row>
    <row r="4901" spans="29:37" ht="13.5">
      <c r="AC4901" s="6" t="s">
        <v>5742</v>
      </c>
      <c r="AD4901" s="6" t="s">
        <v>7776</v>
      </c>
      <c r="AE4901" s="155" t="s">
        <v>1857</v>
      </c>
      <c r="AF4901" s="159" t="s">
        <v>8299</v>
      </c>
      <c r="AG4901" s="160" t="s">
        <v>2031</v>
      </c>
      <c r="AH4901" s="194" t="s">
        <v>679</v>
      </c>
      <c r="AI4901" s="6" t="s">
        <v>57</v>
      </c>
      <c r="AJ4901" s="3" t="s">
        <v>8199</v>
      </c>
      <c r="AK4901" t="s">
        <v>8199</v>
      </c>
    </row>
    <row r="4902" spans="29:37" ht="13.5">
      <c r="AC4902" s="6" t="s">
        <v>846</v>
      </c>
      <c r="AD4902" s="6" t="s">
        <v>7768</v>
      </c>
      <c r="AE4902" s="155" t="s">
        <v>736</v>
      </c>
      <c r="AF4902" s="159" t="s">
        <v>8339</v>
      </c>
      <c r="AG4902" s="160" t="s">
        <v>2032</v>
      </c>
      <c r="AH4902" s="194" t="s">
        <v>679</v>
      </c>
      <c r="AI4902" s="6" t="s">
        <v>782</v>
      </c>
      <c r="AJ4902" s="3" t="s">
        <v>8263</v>
      </c>
      <c r="AK4902" t="s">
        <v>8263</v>
      </c>
    </row>
    <row r="4903" spans="29:37" ht="13.5">
      <c r="AC4903" s="6" t="s">
        <v>835</v>
      </c>
      <c r="AD4903" s="6" t="s">
        <v>7768</v>
      </c>
      <c r="AE4903" s="155" t="s">
        <v>1255</v>
      </c>
      <c r="AF4903" s="159" t="s">
        <v>8339</v>
      </c>
      <c r="AG4903" s="160" t="s">
        <v>1283</v>
      </c>
      <c r="AH4903" s="194" t="s">
        <v>679</v>
      </c>
      <c r="AI4903" s="6" t="s">
        <v>2985</v>
      </c>
      <c r="AJ4903" s="3" t="s">
        <v>8247</v>
      </c>
      <c r="AK4903" t="s">
        <v>8247</v>
      </c>
    </row>
    <row r="4904" spans="29:37" ht="13.5">
      <c r="AC4904" s="6" t="s">
        <v>745</v>
      </c>
      <c r="AD4904" s="6" t="s">
        <v>7768</v>
      </c>
      <c r="AE4904" s="155" t="s">
        <v>1018</v>
      </c>
      <c r="AF4904" s="159" t="s">
        <v>8300</v>
      </c>
      <c r="AG4904" s="160" t="s">
        <v>5151</v>
      </c>
      <c r="AH4904" s="194" t="s">
        <v>1314</v>
      </c>
      <c r="AI4904" s="6" t="s">
        <v>907</v>
      </c>
      <c r="AJ4904" s="3" t="s">
        <v>8215</v>
      </c>
      <c r="AK4904" t="s">
        <v>8215</v>
      </c>
    </row>
    <row r="4905" spans="29:37" ht="13.5">
      <c r="AC4905" s="6" t="s">
        <v>1929</v>
      </c>
      <c r="AD4905" s="6" t="s">
        <v>7776</v>
      </c>
      <c r="AE4905" s="155" t="s">
        <v>737</v>
      </c>
      <c r="AF4905" s="159" t="s">
        <v>8342</v>
      </c>
      <c r="AG4905" s="160" t="s">
        <v>2236</v>
      </c>
      <c r="AH4905" s="194" t="s">
        <v>679</v>
      </c>
      <c r="AI4905" s="6" t="s">
        <v>4004</v>
      </c>
      <c r="AJ4905" s="3" t="s">
        <v>8272</v>
      </c>
      <c r="AK4905" t="s">
        <v>8272</v>
      </c>
    </row>
    <row r="4906" spans="29:37" ht="13.5">
      <c r="AC4906" s="6" t="s">
        <v>1162</v>
      </c>
      <c r="AD4906" s="6" t="s">
        <v>7768</v>
      </c>
      <c r="AE4906" s="155" t="s">
        <v>738</v>
      </c>
      <c r="AF4906" s="159" t="s">
        <v>8339</v>
      </c>
      <c r="AG4906" s="160" t="s">
        <v>2514</v>
      </c>
      <c r="AH4906" s="194" t="s">
        <v>679</v>
      </c>
      <c r="AI4906" s="6" t="s">
        <v>2077</v>
      </c>
      <c r="AJ4906" s="3" t="s">
        <v>8252</v>
      </c>
      <c r="AK4906" t="s">
        <v>8252</v>
      </c>
    </row>
    <row r="4907" spans="29:37" ht="13.5">
      <c r="AC4907" s="6" t="s">
        <v>796</v>
      </c>
      <c r="AD4907" s="6" t="s">
        <v>7768</v>
      </c>
      <c r="AE4907" s="155" t="s">
        <v>948</v>
      </c>
      <c r="AF4907" s="159" t="s">
        <v>8299</v>
      </c>
      <c r="AG4907" s="160" t="s">
        <v>5469</v>
      </c>
      <c r="AH4907" s="194" t="s">
        <v>679</v>
      </c>
      <c r="AI4907" s="6">
        <v>25335</v>
      </c>
      <c r="AJ4907" s="3" t="s">
        <v>8225</v>
      </c>
      <c r="AK4907" t="s">
        <v>8225</v>
      </c>
    </row>
    <row r="4908" spans="29:37" ht="13.5">
      <c r="AC4908" s="6" t="s">
        <v>743</v>
      </c>
      <c r="AD4908" s="6" t="s">
        <v>7768</v>
      </c>
      <c r="AE4908" s="155" t="s">
        <v>1858</v>
      </c>
      <c r="AF4908" s="159" t="s">
        <v>8299</v>
      </c>
      <c r="AG4908" s="161" t="s">
        <v>2546</v>
      </c>
      <c r="AH4908" s="194" t="s">
        <v>678</v>
      </c>
      <c r="AI4908" s="6" t="s">
        <v>3718</v>
      </c>
      <c r="AJ4908" s="3" t="s">
        <v>8218</v>
      </c>
      <c r="AK4908" t="s">
        <v>8218</v>
      </c>
    </row>
    <row r="4909" spans="29:37" ht="13.5">
      <c r="AC4909" s="6" t="s">
        <v>702</v>
      </c>
      <c r="AD4909" s="6" t="s">
        <v>7768</v>
      </c>
      <c r="AE4909" s="155" t="s">
        <v>1019</v>
      </c>
      <c r="AF4909" s="159" t="s">
        <v>8300</v>
      </c>
      <c r="AG4909" s="160" t="s">
        <v>2717</v>
      </c>
      <c r="AH4909" s="194" t="s">
        <v>678</v>
      </c>
      <c r="AI4909" s="6" t="s">
        <v>2311</v>
      </c>
      <c r="AJ4909" s="3" t="s">
        <v>8237</v>
      </c>
      <c r="AK4909" t="s">
        <v>8237</v>
      </c>
    </row>
    <row r="4910" spans="29:37" ht="13.5">
      <c r="AC4910" s="6" t="s">
        <v>834</v>
      </c>
      <c r="AD4910" s="6" t="s">
        <v>7768</v>
      </c>
      <c r="AE4910" s="155" t="s">
        <v>1256</v>
      </c>
      <c r="AF4910" s="159" t="s">
        <v>8339</v>
      </c>
      <c r="AG4910" s="160" t="s">
        <v>4096</v>
      </c>
      <c r="AH4910" s="194" t="s">
        <v>1314</v>
      </c>
      <c r="AI4910" s="6" t="s">
        <v>1881</v>
      </c>
      <c r="AJ4910" s="3" t="s">
        <v>8234</v>
      </c>
      <c r="AK4910" t="s">
        <v>8234</v>
      </c>
    </row>
    <row r="4911" spans="29:37" ht="13.5">
      <c r="AC4911" s="6" t="s">
        <v>800</v>
      </c>
      <c r="AD4911" s="6" t="s">
        <v>7776</v>
      </c>
      <c r="AE4911" s="155" t="s">
        <v>1859</v>
      </c>
      <c r="AF4911" s="159" t="s">
        <v>8312</v>
      </c>
      <c r="AG4911" s="160" t="s">
        <v>4097</v>
      </c>
      <c r="AH4911" s="194" t="s">
        <v>1314</v>
      </c>
      <c r="AI4911" s="6" t="s">
        <v>2948</v>
      </c>
      <c r="AJ4911" s="3" t="s">
        <v>8220</v>
      </c>
      <c r="AK4911" t="s">
        <v>8220</v>
      </c>
    </row>
    <row r="4912" spans="29:37" ht="13.5">
      <c r="AC4912" s="6" t="s">
        <v>788</v>
      </c>
      <c r="AD4912" s="6" t="s">
        <v>7768</v>
      </c>
      <c r="AE4912" s="155" t="s">
        <v>1860</v>
      </c>
      <c r="AF4912" s="159" t="s">
        <v>8529</v>
      </c>
      <c r="AG4912" s="160" t="s">
        <v>4098</v>
      </c>
      <c r="AH4912" s="194" t="s">
        <v>679</v>
      </c>
      <c r="AI4912" s="6" t="s">
        <v>3063</v>
      </c>
      <c r="AJ4912" s="3" t="s">
        <v>8247</v>
      </c>
      <c r="AK4912" t="s">
        <v>8247</v>
      </c>
    </row>
    <row r="4913" spans="29:37" ht="13.5">
      <c r="AC4913" s="6" t="s">
        <v>1016</v>
      </c>
      <c r="AD4913" s="6" t="s">
        <v>7768</v>
      </c>
      <c r="AE4913" s="155" t="s">
        <v>1861</v>
      </c>
      <c r="AF4913" s="159" t="s">
        <v>8339</v>
      </c>
      <c r="AG4913" s="160" t="s">
        <v>4099</v>
      </c>
      <c r="AH4913" s="194" t="s">
        <v>679</v>
      </c>
      <c r="AI4913" s="6" t="s">
        <v>3106</v>
      </c>
      <c r="AJ4913" s="3" t="s">
        <v>8220</v>
      </c>
      <c r="AK4913" t="s">
        <v>8220</v>
      </c>
    </row>
    <row r="4914" spans="29:37" ht="13.5">
      <c r="AC4914" s="6" t="s">
        <v>718</v>
      </c>
      <c r="AD4914" s="6" t="s">
        <v>7768</v>
      </c>
      <c r="AE4914" s="155" t="s">
        <v>1862</v>
      </c>
      <c r="AF4914" s="159" t="s">
        <v>8548</v>
      </c>
      <c r="AG4914" s="160" t="s">
        <v>4100</v>
      </c>
      <c r="AH4914" s="194" t="s">
        <v>679</v>
      </c>
      <c r="AI4914" s="6" t="s">
        <v>3189</v>
      </c>
      <c r="AJ4914" s="3" t="s">
        <v>8211</v>
      </c>
      <c r="AK4914" t="s">
        <v>8242</v>
      </c>
    </row>
    <row r="4915" spans="29:37" ht="13.5">
      <c r="AC4915" s="6" t="s">
        <v>844</v>
      </c>
      <c r="AD4915" s="6" t="s">
        <v>7768</v>
      </c>
      <c r="AE4915" s="155" t="s">
        <v>1863</v>
      </c>
      <c r="AF4915" s="159" t="s">
        <v>8576</v>
      </c>
      <c r="AG4915" s="160" t="s">
        <v>67</v>
      </c>
      <c r="AH4915" s="194" t="s">
        <v>679</v>
      </c>
      <c r="AI4915" s="6" t="s">
        <v>3246</v>
      </c>
      <c r="AJ4915" s="3" t="s">
        <v>8211</v>
      </c>
      <c r="AK4915" t="s">
        <v>8242</v>
      </c>
    </row>
    <row r="4916" spans="29:37" ht="13.5">
      <c r="AC4916" s="6" t="s">
        <v>1885</v>
      </c>
      <c r="AD4916" s="6" t="s">
        <v>7768</v>
      </c>
      <c r="AE4916" s="155" t="s">
        <v>1864</v>
      </c>
      <c r="AF4916" s="159" t="s">
        <v>8577</v>
      </c>
      <c r="AG4916" s="160" t="s">
        <v>4101</v>
      </c>
      <c r="AH4916" s="194" t="s">
        <v>679</v>
      </c>
      <c r="AI4916" s="6" t="s">
        <v>3262</v>
      </c>
      <c r="AJ4916" s="3" t="s">
        <v>8264</v>
      </c>
      <c r="AK4916" t="s">
        <v>8264</v>
      </c>
    </row>
    <row r="4917" spans="29:37" ht="13.5">
      <c r="AC4917" s="6" t="s">
        <v>1882</v>
      </c>
      <c r="AD4917" s="6" t="s">
        <v>7768</v>
      </c>
      <c r="AE4917" s="155" t="s">
        <v>1865</v>
      </c>
      <c r="AF4917" s="159" t="s">
        <v>8548</v>
      </c>
      <c r="AG4917" s="160" t="s">
        <v>4102</v>
      </c>
      <c r="AH4917" s="194" t="s">
        <v>678</v>
      </c>
      <c r="AI4917" s="6" t="s">
        <v>3276</v>
      </c>
      <c r="AJ4917" s="3" t="s">
        <v>8240</v>
      </c>
      <c r="AK4917" t="s">
        <v>8240</v>
      </c>
    </row>
    <row r="4918" spans="29:37" ht="13.5">
      <c r="AC4918" s="6" t="s">
        <v>758</v>
      </c>
      <c r="AD4918" s="6" t="s">
        <v>7768</v>
      </c>
      <c r="AE4918" s="155" t="s">
        <v>1866</v>
      </c>
      <c r="AF4918" s="159" t="s">
        <v>8346</v>
      </c>
      <c r="AG4918" s="160" t="s">
        <v>68</v>
      </c>
      <c r="AH4918" s="194" t="s">
        <v>679</v>
      </c>
      <c r="AI4918" s="6" t="s">
        <v>589</v>
      </c>
      <c r="AJ4918" s="3" t="s">
        <v>8208</v>
      </c>
      <c r="AK4918" t="s">
        <v>8667</v>
      </c>
    </row>
    <row r="4919" spans="29:37" ht="13.5">
      <c r="AC4919" s="6" t="s">
        <v>691</v>
      </c>
      <c r="AD4919" s="6" t="s">
        <v>7768</v>
      </c>
      <c r="AE4919" s="155" t="s">
        <v>1867</v>
      </c>
      <c r="AF4919" s="159" t="s">
        <v>8339</v>
      </c>
      <c r="AG4919" s="160" t="s">
        <v>4103</v>
      </c>
      <c r="AH4919" s="194" t="s">
        <v>679</v>
      </c>
      <c r="AI4919" s="6" t="s">
        <v>4012</v>
      </c>
      <c r="AJ4919" s="3" t="s">
        <v>8272</v>
      </c>
      <c r="AK4919" t="s">
        <v>8272</v>
      </c>
    </row>
    <row r="4920" spans="29:37" ht="13.5">
      <c r="AC4920" s="6" t="s">
        <v>5746</v>
      </c>
      <c r="AD4920" s="6" t="s">
        <v>7776</v>
      </c>
      <c r="AE4920" s="155" t="s">
        <v>1868</v>
      </c>
      <c r="AF4920" s="159" t="s">
        <v>8347</v>
      </c>
      <c r="AG4920" s="160" t="s">
        <v>1121</v>
      </c>
      <c r="AH4920" s="194" t="s">
        <v>679</v>
      </c>
      <c r="AI4920" s="6" t="s">
        <v>4015</v>
      </c>
      <c r="AJ4920" s="3" t="s">
        <v>8272</v>
      </c>
      <c r="AK4920" t="s">
        <v>8272</v>
      </c>
    </row>
    <row r="4921" spans="29:37" ht="13.5">
      <c r="AC4921" s="6" t="s">
        <v>1853</v>
      </c>
      <c r="AD4921" s="6" t="s">
        <v>7776</v>
      </c>
      <c r="AE4921" s="155" t="s">
        <v>739</v>
      </c>
      <c r="AF4921" s="159" t="s">
        <v>8339</v>
      </c>
      <c r="AG4921" s="160" t="s">
        <v>4104</v>
      </c>
      <c r="AH4921" s="194" t="s">
        <v>679</v>
      </c>
      <c r="AI4921" s="6" t="s">
        <v>99</v>
      </c>
      <c r="AJ4921" s="3" t="s">
        <v>8267</v>
      </c>
      <c r="AK4921" t="s">
        <v>8280</v>
      </c>
    </row>
    <row r="4922" spans="29:37" ht="13.5">
      <c r="AC4922" s="6" t="s">
        <v>1280</v>
      </c>
      <c r="AD4922" s="6" t="s">
        <v>7776</v>
      </c>
      <c r="AE4922" s="155" t="s">
        <v>1882</v>
      </c>
      <c r="AF4922" s="159" t="s">
        <v>8351</v>
      </c>
      <c r="AG4922" s="160" t="s">
        <v>69</v>
      </c>
      <c r="AH4922" s="194" t="s">
        <v>679</v>
      </c>
      <c r="AI4922" s="6" t="s">
        <v>100</v>
      </c>
      <c r="AJ4922" s="3" t="s">
        <v>8269</v>
      </c>
      <c r="AK4922" t="s">
        <v>8269</v>
      </c>
    </row>
    <row r="4923" spans="29:37" ht="13.5">
      <c r="AC4923" s="6" t="s">
        <v>833</v>
      </c>
      <c r="AD4923" s="6" t="s">
        <v>7768</v>
      </c>
      <c r="AE4923" s="155" t="s">
        <v>1869</v>
      </c>
      <c r="AF4923" s="159" t="s">
        <v>8339</v>
      </c>
      <c r="AG4923" s="160" t="s">
        <v>4105</v>
      </c>
      <c r="AH4923" s="194" t="s">
        <v>679</v>
      </c>
      <c r="AI4923" s="6" t="s">
        <v>4017</v>
      </c>
      <c r="AJ4923" s="3" t="s">
        <v>8269</v>
      </c>
      <c r="AK4923" t="s">
        <v>8269</v>
      </c>
    </row>
    <row r="4924" spans="29:37" ht="13.5">
      <c r="AC4924" s="6" t="s">
        <v>780</v>
      </c>
      <c r="AD4924" s="6" t="s">
        <v>7776</v>
      </c>
      <c r="AE4924" s="155" t="s">
        <v>1870</v>
      </c>
      <c r="AF4924" s="159" t="s">
        <v>8578</v>
      </c>
      <c r="AG4924" s="160" t="s">
        <v>4106</v>
      </c>
      <c r="AH4924" s="194" t="s">
        <v>679</v>
      </c>
      <c r="AI4924" s="6" t="s">
        <v>683</v>
      </c>
      <c r="AJ4924" s="3" t="s">
        <v>8215</v>
      </c>
      <c r="AK4924" t="s">
        <v>8215</v>
      </c>
    </row>
    <row r="4925" spans="29:37" ht="13.5">
      <c r="AC4925" s="6" t="s">
        <v>720</v>
      </c>
      <c r="AD4925" s="6" t="s">
        <v>7768</v>
      </c>
      <c r="AE4925" s="155" t="s">
        <v>1871</v>
      </c>
      <c r="AF4925" s="159" t="s">
        <v>8393</v>
      </c>
      <c r="AG4925" s="160" t="s">
        <v>4107</v>
      </c>
      <c r="AH4925" s="194" t="s">
        <v>679</v>
      </c>
      <c r="AI4925" s="6" t="s">
        <v>876</v>
      </c>
      <c r="AJ4925" s="3" t="s">
        <v>8257</v>
      </c>
      <c r="AK4925" t="s">
        <v>8257</v>
      </c>
    </row>
    <row r="4926" spans="29:37" ht="13.5">
      <c r="AC4926" s="6" t="s">
        <v>831</v>
      </c>
      <c r="AD4926" s="6" t="s">
        <v>7768</v>
      </c>
      <c r="AE4926" s="155" t="s">
        <v>1872</v>
      </c>
      <c r="AF4926" s="159" t="s">
        <v>8339</v>
      </c>
      <c r="AG4926" s="160" t="s">
        <v>4108</v>
      </c>
      <c r="AH4926" s="194" t="s">
        <v>679</v>
      </c>
      <c r="AI4926" s="6" t="s">
        <v>888</v>
      </c>
      <c r="AJ4926" s="3" t="s">
        <v>8257</v>
      </c>
      <c r="AK4926" t="s">
        <v>8257</v>
      </c>
    </row>
    <row r="4927" spans="29:37" ht="13.5">
      <c r="AC4927" s="6" t="s">
        <v>5750</v>
      </c>
      <c r="AD4927" s="6" t="s">
        <v>7776</v>
      </c>
      <c r="AE4927" s="155" t="s">
        <v>1873</v>
      </c>
      <c r="AF4927" s="159" t="s">
        <v>8339</v>
      </c>
      <c r="AG4927" s="160" t="s">
        <v>4109</v>
      </c>
      <c r="AH4927" s="194" t="s">
        <v>679</v>
      </c>
      <c r="AI4927" s="6" t="s">
        <v>901</v>
      </c>
      <c r="AJ4927" s="3" t="s">
        <v>8257</v>
      </c>
      <c r="AK4927" t="s">
        <v>8257</v>
      </c>
    </row>
    <row r="4928" spans="29:37" ht="13.5">
      <c r="AC4928" s="6" t="s">
        <v>1871</v>
      </c>
      <c r="AD4928" s="6" t="s">
        <v>7776</v>
      </c>
      <c r="AE4928" s="155" t="s">
        <v>1874</v>
      </c>
      <c r="AF4928" s="159" t="s">
        <v>8579</v>
      </c>
      <c r="AG4928" s="160" t="s">
        <v>4110</v>
      </c>
      <c r="AH4928" s="194" t="s">
        <v>679</v>
      </c>
      <c r="AI4928" s="6" t="s">
        <v>2448</v>
      </c>
      <c r="AJ4928" s="3" t="s">
        <v>8276</v>
      </c>
      <c r="AK4928" t="s">
        <v>8276</v>
      </c>
    </row>
    <row r="4929" spans="29:37" ht="13.5">
      <c r="AC4929" s="6" t="s">
        <v>687</v>
      </c>
      <c r="AD4929" s="6" t="s">
        <v>7768</v>
      </c>
      <c r="AE4929" s="155" t="s">
        <v>1875</v>
      </c>
      <c r="AF4929" s="159" t="s">
        <v>8339</v>
      </c>
      <c r="AG4929" s="160" t="s">
        <v>4721</v>
      </c>
      <c r="AH4929" s="194" t="s">
        <v>678</v>
      </c>
      <c r="AI4929" s="6" t="s">
        <v>2452</v>
      </c>
      <c r="AJ4929" s="3" t="s">
        <v>8276</v>
      </c>
      <c r="AK4929" t="s">
        <v>8276</v>
      </c>
    </row>
    <row r="4930" spans="29:37" ht="13.5">
      <c r="AC4930" s="6" t="s">
        <v>725</v>
      </c>
      <c r="AD4930" s="6" t="s">
        <v>7768</v>
      </c>
      <c r="AE4930" s="155" t="s">
        <v>1876</v>
      </c>
      <c r="AF4930" s="159" t="s">
        <v>8356</v>
      </c>
      <c r="AG4930" s="160" t="s">
        <v>4111</v>
      </c>
      <c r="AH4930" s="194" t="s">
        <v>679</v>
      </c>
      <c r="AI4930" s="6">
        <v>25235</v>
      </c>
      <c r="AJ4930" s="3" t="s">
        <v>8227</v>
      </c>
      <c r="AK4930" t="s">
        <v>8227</v>
      </c>
    </row>
    <row r="4931" spans="29:37" ht="13.5">
      <c r="AC4931" s="6" t="s">
        <v>789</v>
      </c>
      <c r="AD4931" s="6" t="s">
        <v>7768</v>
      </c>
      <c r="AE4931" s="155" t="s">
        <v>1877</v>
      </c>
      <c r="AF4931" s="159" t="s">
        <v>8312</v>
      </c>
      <c r="AG4931" s="160" t="s">
        <v>4112</v>
      </c>
      <c r="AH4931" s="194" t="s">
        <v>679</v>
      </c>
      <c r="AI4931" s="6">
        <v>25264</v>
      </c>
      <c r="AJ4931" s="3" t="s">
        <v>8227</v>
      </c>
      <c r="AK4931" t="s">
        <v>8227</v>
      </c>
    </row>
    <row r="4932" spans="29:37" ht="13.5">
      <c r="AC4932" s="6">
        <v>35266</v>
      </c>
      <c r="AD4932" s="6" t="s">
        <v>7781</v>
      </c>
      <c r="AE4932" s="155" t="s">
        <v>1878</v>
      </c>
      <c r="AF4932" s="159" t="s">
        <v>8339</v>
      </c>
      <c r="AG4932" s="160" t="s">
        <v>4113</v>
      </c>
      <c r="AH4932" s="194" t="s">
        <v>679</v>
      </c>
      <c r="AI4932" s="6">
        <v>265286</v>
      </c>
      <c r="AJ4932" s="3" t="s">
        <v>8208</v>
      </c>
      <c r="AK4932" t="s">
        <v>8667</v>
      </c>
    </row>
    <row r="4933" spans="29:37" ht="13.5">
      <c r="AC4933" s="6" t="s">
        <v>1943</v>
      </c>
      <c r="AD4933" s="6" t="s">
        <v>7776</v>
      </c>
      <c r="AE4933" s="155" t="s">
        <v>1879</v>
      </c>
      <c r="AF4933" s="159" t="s">
        <v>8580</v>
      </c>
      <c r="AG4933" s="160" t="s">
        <v>4114</v>
      </c>
      <c r="AH4933" s="194" t="s">
        <v>679</v>
      </c>
      <c r="AI4933" s="6" t="s">
        <v>3300</v>
      </c>
      <c r="AJ4933" s="3" t="s">
        <v>8205</v>
      </c>
      <c r="AK4933" t="s">
        <v>8211</v>
      </c>
    </row>
    <row r="4934" spans="29:37" ht="13.5">
      <c r="AC4934" s="6" t="s">
        <v>795</v>
      </c>
      <c r="AD4934" s="6" t="s">
        <v>7776</v>
      </c>
      <c r="AE4934" s="155" t="s">
        <v>740</v>
      </c>
      <c r="AF4934" s="159" t="s">
        <v>8348</v>
      </c>
      <c r="AG4934" s="160" t="s">
        <v>4115</v>
      </c>
      <c r="AH4934" s="194" t="s">
        <v>679</v>
      </c>
      <c r="AI4934" s="6" t="s">
        <v>386</v>
      </c>
      <c r="AJ4934" s="3" t="s">
        <v>8209</v>
      </c>
      <c r="AK4934" t="s">
        <v>8209</v>
      </c>
    </row>
    <row r="4935" spans="29:37" ht="13.5">
      <c r="AC4935" s="6" t="s">
        <v>792</v>
      </c>
      <c r="AD4935" s="6" t="s">
        <v>7768</v>
      </c>
      <c r="AE4935" s="155" t="s">
        <v>741</v>
      </c>
      <c r="AF4935" s="159" t="s">
        <v>8351</v>
      </c>
      <c r="AG4935" s="160" t="s">
        <v>4116</v>
      </c>
      <c r="AH4935" s="194" t="s">
        <v>679</v>
      </c>
      <c r="AI4935" s="6" t="s">
        <v>4126</v>
      </c>
      <c r="AJ4935" s="3" t="s">
        <v>8225</v>
      </c>
      <c r="AK4935" t="s">
        <v>8225</v>
      </c>
    </row>
    <row r="4936" spans="29:37" ht="13.5">
      <c r="AC4936" s="6" t="s">
        <v>1942</v>
      </c>
      <c r="AD4936" s="6" t="s">
        <v>7776</v>
      </c>
      <c r="AE4936" s="155" t="s">
        <v>1880</v>
      </c>
      <c r="AF4936" s="159" t="s">
        <v>8351</v>
      </c>
      <c r="AG4936" s="160" t="s">
        <v>4117</v>
      </c>
      <c r="AH4936" s="194" t="s">
        <v>679</v>
      </c>
      <c r="AI4936" s="6" t="s">
        <v>1597</v>
      </c>
      <c r="AJ4936" s="3" t="s">
        <v>8224</v>
      </c>
      <c r="AK4936" t="s">
        <v>8224</v>
      </c>
    </row>
    <row r="4937" spans="29:37" ht="13.5">
      <c r="AC4937" s="6" t="s">
        <v>735</v>
      </c>
      <c r="AD4937" s="6" t="s">
        <v>7768</v>
      </c>
      <c r="AE4937" s="155" t="s">
        <v>1881</v>
      </c>
      <c r="AF4937" s="159" t="s">
        <v>8339</v>
      </c>
      <c r="AG4937" s="160" t="s">
        <v>4118</v>
      </c>
      <c r="AH4937" s="194" t="s">
        <v>1314</v>
      </c>
      <c r="AI4937" s="6" t="s">
        <v>4104</v>
      </c>
      <c r="AJ4937" s="3" t="s">
        <v>8225</v>
      </c>
      <c r="AK4937" t="s">
        <v>8225</v>
      </c>
    </row>
    <row r="4938" spans="29:37" ht="13.5">
      <c r="AC4938" s="6" t="s">
        <v>1974</v>
      </c>
      <c r="AD4938" s="6" t="s">
        <v>7776</v>
      </c>
      <c r="AE4938" s="155" t="s">
        <v>742</v>
      </c>
      <c r="AF4938" s="159" t="s">
        <v>8581</v>
      </c>
      <c r="AG4938" s="160" t="s">
        <v>70</v>
      </c>
      <c r="AH4938" s="194" t="s">
        <v>679</v>
      </c>
      <c r="AI4938" s="6" t="s">
        <v>4108</v>
      </c>
      <c r="AJ4938" s="3" t="s">
        <v>8229</v>
      </c>
      <c r="AK4938" t="s">
        <v>8229</v>
      </c>
    </row>
    <row r="4939" spans="29:37" ht="13.5">
      <c r="AC4939" s="6" t="s">
        <v>1932</v>
      </c>
      <c r="AD4939" s="6" t="s">
        <v>7776</v>
      </c>
      <c r="AE4939" s="155" t="s">
        <v>687</v>
      </c>
      <c r="AF4939" s="159" t="s">
        <v>8339</v>
      </c>
      <c r="AG4939" s="160" t="s">
        <v>4119</v>
      </c>
      <c r="AH4939" s="194" t="s">
        <v>679</v>
      </c>
      <c r="AI4939" s="6" t="s">
        <v>4128</v>
      </c>
      <c r="AJ4939" s="3" t="s">
        <v>8225</v>
      </c>
      <c r="AK4939" t="s">
        <v>8225</v>
      </c>
    </row>
    <row r="4940" spans="29:37" ht="13.5">
      <c r="AC4940" s="6" t="s">
        <v>843</v>
      </c>
      <c r="AD4940" s="6" t="s">
        <v>7768</v>
      </c>
      <c r="AE4940" s="155" t="s">
        <v>743</v>
      </c>
      <c r="AF4940" s="159" t="s">
        <v>8582</v>
      </c>
      <c r="AG4940" s="160" t="s">
        <v>4120</v>
      </c>
      <c r="AH4940" s="194" t="s">
        <v>678</v>
      </c>
      <c r="AI4940" s="6" t="s">
        <v>662</v>
      </c>
      <c r="AJ4940" s="3" t="s">
        <v>8198</v>
      </c>
      <c r="AK4940" t="s">
        <v>8198</v>
      </c>
    </row>
    <row r="4941" spans="29:37" ht="13.5">
      <c r="AC4941" s="6" t="s">
        <v>1922</v>
      </c>
      <c r="AD4941" s="6" t="s">
        <v>7776</v>
      </c>
      <c r="AE4941" s="155" t="s">
        <v>744</v>
      </c>
      <c r="AF4941" s="159" t="s">
        <v>8426</v>
      </c>
      <c r="AG4941" s="160" t="s">
        <v>964</v>
      </c>
      <c r="AH4941" s="194" t="s">
        <v>679</v>
      </c>
      <c r="AI4941" s="6" t="s">
        <v>1601</v>
      </c>
      <c r="AJ4941" s="3" t="s">
        <v>8224</v>
      </c>
      <c r="AK4941" t="s">
        <v>8224</v>
      </c>
    </row>
    <row r="4942" spans="29:37" ht="13.5">
      <c r="AC4942" s="6" t="s">
        <v>5549</v>
      </c>
      <c r="AD4942" s="6" t="s">
        <v>7776</v>
      </c>
      <c r="AE4942" s="155" t="s">
        <v>745</v>
      </c>
      <c r="AF4942" s="159" t="s">
        <v>8583</v>
      </c>
      <c r="AG4942" s="160" t="s">
        <v>1122</v>
      </c>
      <c r="AH4942" s="194" t="s">
        <v>679</v>
      </c>
      <c r="AI4942" s="6" t="s">
        <v>3170</v>
      </c>
      <c r="AJ4942" s="3" t="s">
        <v>8264</v>
      </c>
      <c r="AK4942" t="s">
        <v>8264</v>
      </c>
    </row>
    <row r="4943" spans="29:37" ht="13.5">
      <c r="AC4943" s="6" t="s">
        <v>1015</v>
      </c>
      <c r="AD4943" s="6" t="s">
        <v>7768</v>
      </c>
      <c r="AE4943" s="155" t="s">
        <v>746</v>
      </c>
      <c r="AF4943" s="159" t="s">
        <v>8378</v>
      </c>
      <c r="AG4943" s="160" t="s">
        <v>4121</v>
      </c>
      <c r="AH4943" s="194" t="s">
        <v>679</v>
      </c>
      <c r="AI4943" s="6" t="s">
        <v>1849</v>
      </c>
      <c r="AJ4943" s="3" t="s">
        <v>8234</v>
      </c>
      <c r="AK4943" t="s">
        <v>8234</v>
      </c>
    </row>
    <row r="4944" spans="29:37" ht="13.5">
      <c r="AC4944" s="6" t="s">
        <v>1870</v>
      </c>
      <c r="AD4944" s="6" t="s">
        <v>7776</v>
      </c>
      <c r="AE4944" s="155" t="s">
        <v>747</v>
      </c>
      <c r="AF4944" s="159" t="s">
        <v>8363</v>
      </c>
      <c r="AG4944" s="161" t="s">
        <v>4122</v>
      </c>
      <c r="AH4944" s="194" t="s">
        <v>679</v>
      </c>
      <c r="AI4944" s="6" t="s">
        <v>1714</v>
      </c>
      <c r="AJ4944" s="3" t="s">
        <v>8234</v>
      </c>
      <c r="AK4944" t="s">
        <v>8234</v>
      </c>
    </row>
    <row r="4945" spans="29:37" ht="13.5">
      <c r="AC4945" s="6" t="s">
        <v>767</v>
      </c>
      <c r="AD4945" s="6" t="s">
        <v>7768</v>
      </c>
      <c r="AE4945" s="155" t="s">
        <v>748</v>
      </c>
      <c r="AF4945" s="159" t="s">
        <v>8342</v>
      </c>
      <c r="AG4945" s="160" t="s">
        <v>4123</v>
      </c>
      <c r="AH4945" s="194" t="s">
        <v>678</v>
      </c>
      <c r="AI4945" s="6" t="s">
        <v>4494</v>
      </c>
      <c r="AJ4945" s="3" t="s">
        <v>8234</v>
      </c>
      <c r="AK4945" t="s">
        <v>8234</v>
      </c>
    </row>
    <row r="4946" spans="29:37" ht="13.5">
      <c r="AC4946" s="6" t="s">
        <v>5751</v>
      </c>
      <c r="AD4946" s="6" t="s">
        <v>7776</v>
      </c>
      <c r="AE4946" s="155" t="s">
        <v>749</v>
      </c>
      <c r="AF4946" s="159" t="s">
        <v>8342</v>
      </c>
      <c r="AG4946" s="160" t="s">
        <v>4124</v>
      </c>
      <c r="AH4946" s="194" t="s">
        <v>678</v>
      </c>
      <c r="AI4946" s="6" t="s">
        <v>23</v>
      </c>
      <c r="AJ4946" s="3" t="s">
        <v>8263</v>
      </c>
      <c r="AK4946" t="s">
        <v>8263</v>
      </c>
    </row>
    <row r="4947" spans="29:37" ht="13.5">
      <c r="AC4947" s="6" t="s">
        <v>794</v>
      </c>
      <c r="AD4947" s="6" t="s">
        <v>7776</v>
      </c>
      <c r="AE4947" s="155" t="s">
        <v>750</v>
      </c>
      <c r="AF4947" s="159" t="s">
        <v>8375</v>
      </c>
      <c r="AG4947" s="160" t="s">
        <v>4125</v>
      </c>
      <c r="AH4947" s="194" t="s">
        <v>679</v>
      </c>
      <c r="AI4947" s="6" t="s">
        <v>5738</v>
      </c>
      <c r="AJ4947" s="3" t="s">
        <v>8222</v>
      </c>
      <c r="AK4947" t="s">
        <v>8670</v>
      </c>
    </row>
    <row r="4948" spans="29:37" ht="13.5">
      <c r="AC4948" s="6" t="s">
        <v>1930</v>
      </c>
      <c r="AD4948" s="6" t="s">
        <v>7776</v>
      </c>
      <c r="AE4948" s="155" t="s">
        <v>751</v>
      </c>
      <c r="AF4948" s="159" t="s">
        <v>8379</v>
      </c>
      <c r="AG4948" s="160" t="s">
        <v>4126</v>
      </c>
      <c r="AH4948" s="194" t="s">
        <v>679</v>
      </c>
      <c r="AI4948" s="6" t="s">
        <v>5754</v>
      </c>
      <c r="AJ4948" s="3" t="s">
        <v>8220</v>
      </c>
      <c r="AK4948" t="s">
        <v>8220</v>
      </c>
    </row>
    <row r="4949" spans="29:37" ht="13.5">
      <c r="AC4949" s="6" t="s">
        <v>1949</v>
      </c>
      <c r="AD4949" s="6" t="s">
        <v>7776</v>
      </c>
      <c r="AE4949" s="155" t="s">
        <v>752</v>
      </c>
      <c r="AF4949" s="159" t="s">
        <v>8339</v>
      </c>
      <c r="AG4949" s="160" t="s">
        <v>4127</v>
      </c>
      <c r="AH4949" s="194" t="s">
        <v>679</v>
      </c>
      <c r="AI4949" s="6" t="s">
        <v>5757</v>
      </c>
      <c r="AJ4949" s="3" t="s">
        <v>8246</v>
      </c>
      <c r="AK4949" t="s">
        <v>8246</v>
      </c>
    </row>
    <row r="4950" spans="29:37" ht="13.5">
      <c r="AC4950" s="6" t="s">
        <v>1948</v>
      </c>
      <c r="AD4950" s="6" t="s">
        <v>7776</v>
      </c>
      <c r="AE4950" s="155" t="s">
        <v>753</v>
      </c>
      <c r="AF4950" s="159" t="s">
        <v>8584</v>
      </c>
      <c r="AG4950" s="160" t="s">
        <v>4128</v>
      </c>
      <c r="AH4950" s="194" t="s">
        <v>679</v>
      </c>
      <c r="AI4950" s="6" t="s">
        <v>209</v>
      </c>
      <c r="AJ4950" s="3" t="s">
        <v>8209</v>
      </c>
      <c r="AK4950" t="s">
        <v>8209</v>
      </c>
    </row>
    <row r="4951" spans="29:37" ht="13.5">
      <c r="AC4951" s="6" t="s">
        <v>5743</v>
      </c>
      <c r="AD4951" s="6" t="s">
        <v>7776</v>
      </c>
      <c r="AE4951" s="155" t="s">
        <v>754</v>
      </c>
      <c r="AF4951" s="159" t="s">
        <v>8585</v>
      </c>
      <c r="AG4951" s="160" t="s">
        <v>4129</v>
      </c>
      <c r="AH4951" s="194" t="s">
        <v>679</v>
      </c>
      <c r="AI4951" s="6" t="s">
        <v>210</v>
      </c>
      <c r="AJ4951" s="3" t="s">
        <v>8209</v>
      </c>
      <c r="AK4951" t="s">
        <v>8209</v>
      </c>
    </row>
    <row r="4952" spans="29:37" ht="13.5">
      <c r="AC4952" s="6" t="s">
        <v>1946</v>
      </c>
      <c r="AD4952" s="6" t="s">
        <v>7776</v>
      </c>
      <c r="AE4952" s="155" t="s">
        <v>755</v>
      </c>
      <c r="AF4952" s="159" t="s">
        <v>8586</v>
      </c>
      <c r="AG4952" s="160" t="s">
        <v>4130</v>
      </c>
      <c r="AH4952" s="194" t="s">
        <v>679</v>
      </c>
      <c r="AI4952" s="6" t="s">
        <v>211</v>
      </c>
      <c r="AJ4952" s="3" t="s">
        <v>8209</v>
      </c>
      <c r="AK4952" t="s">
        <v>8209</v>
      </c>
    </row>
    <row r="4953" spans="29:37" ht="13.5">
      <c r="AC4953" s="6" t="s">
        <v>6730</v>
      </c>
      <c r="AD4953" s="6" t="s">
        <v>7776</v>
      </c>
      <c r="AE4953" s="155" t="s">
        <v>756</v>
      </c>
      <c r="AF4953" s="159" t="s">
        <v>8587</v>
      </c>
      <c r="AG4953" s="160" t="s">
        <v>4131</v>
      </c>
      <c r="AH4953" s="194" t="s">
        <v>678</v>
      </c>
      <c r="AI4953" s="6" t="s">
        <v>215</v>
      </c>
      <c r="AJ4953" s="3" t="s">
        <v>8209</v>
      </c>
      <c r="AK4953" t="s">
        <v>8209</v>
      </c>
    </row>
    <row r="4954" spans="29:37" ht="13.5">
      <c r="AC4954" s="6" t="s">
        <v>1852</v>
      </c>
      <c r="AD4954" s="6" t="s">
        <v>7776</v>
      </c>
      <c r="AE4954" s="155" t="s">
        <v>757</v>
      </c>
      <c r="AF4954" s="159" t="s">
        <v>8339</v>
      </c>
      <c r="AG4954" s="160" t="s">
        <v>4132</v>
      </c>
      <c r="AH4954" s="194" t="s">
        <v>679</v>
      </c>
      <c r="AI4954" s="6" t="s">
        <v>216</v>
      </c>
      <c r="AJ4954" s="3" t="s">
        <v>8201</v>
      </c>
      <c r="AK4954" t="s">
        <v>8666</v>
      </c>
    </row>
    <row r="4955" spans="29:37" ht="13.5">
      <c r="AC4955" s="6" t="s">
        <v>1881</v>
      </c>
      <c r="AD4955" s="6" t="s">
        <v>7776</v>
      </c>
      <c r="AE4955" s="155" t="s">
        <v>758</v>
      </c>
      <c r="AF4955" s="159" t="s">
        <v>8300</v>
      </c>
      <c r="AG4955" s="160" t="s">
        <v>5237</v>
      </c>
      <c r="AH4955" s="194" t="s">
        <v>1314</v>
      </c>
      <c r="AI4955" s="6" t="s">
        <v>1317</v>
      </c>
      <c r="AJ4955" s="3" t="s">
        <v>8201</v>
      </c>
      <c r="AK4955" t="s">
        <v>8666</v>
      </c>
    </row>
    <row r="4956" spans="29:37" ht="13.5">
      <c r="AC4956" s="6" t="s">
        <v>1869</v>
      </c>
      <c r="AD4956" s="6" t="s">
        <v>7776</v>
      </c>
      <c r="AE4956" s="155" t="s">
        <v>759</v>
      </c>
      <c r="AF4956" s="159" t="s">
        <v>8588</v>
      </c>
      <c r="AG4956" s="160" t="s">
        <v>5213</v>
      </c>
      <c r="AH4956" s="194" t="s">
        <v>1314</v>
      </c>
      <c r="AI4956" s="6" t="s">
        <v>2050</v>
      </c>
      <c r="AJ4956" s="3" t="s">
        <v>8235</v>
      </c>
      <c r="AK4956" t="s">
        <v>8672</v>
      </c>
    </row>
    <row r="4957" spans="29:37" ht="13.5">
      <c r="AC4957" s="6" t="s">
        <v>1918</v>
      </c>
      <c r="AD4957" s="6" t="s">
        <v>7776</v>
      </c>
      <c r="AE4957" s="155" t="s">
        <v>760</v>
      </c>
      <c r="AF4957" s="159" t="s">
        <v>8339</v>
      </c>
      <c r="AG4957" s="160" t="s">
        <v>5470</v>
      </c>
      <c r="AH4957" s="194" t="s">
        <v>1314</v>
      </c>
      <c r="AI4957" s="6" t="s">
        <v>1952</v>
      </c>
      <c r="AJ4957" s="3" t="s">
        <v>8238</v>
      </c>
      <c r="AK4957" t="s">
        <v>8673</v>
      </c>
    </row>
    <row r="4958" spans="29:37" ht="13.5">
      <c r="AC4958" s="6" t="s">
        <v>1867</v>
      </c>
      <c r="AD4958" s="6" t="s">
        <v>7776</v>
      </c>
      <c r="AE4958" s="155" t="s">
        <v>761</v>
      </c>
      <c r="AF4958" s="159" t="s">
        <v>8406</v>
      </c>
      <c r="AG4958" s="160" t="s">
        <v>5471</v>
      </c>
      <c r="AH4958" s="194" t="s">
        <v>1314</v>
      </c>
      <c r="AI4958" s="6" t="s">
        <v>3606</v>
      </c>
      <c r="AJ4958" s="3" t="s">
        <v>8270</v>
      </c>
      <c r="AK4958" t="s">
        <v>8270</v>
      </c>
    </row>
    <row r="4959" spans="29:37" ht="13.5">
      <c r="AC4959" s="6" t="s">
        <v>1260</v>
      </c>
      <c r="AD4959" s="6" t="s">
        <v>7776</v>
      </c>
      <c r="AE4959" s="155" t="s">
        <v>762</v>
      </c>
      <c r="AF4959" s="159" t="s">
        <v>8342</v>
      </c>
      <c r="AG4959" s="160" t="s">
        <v>5472</v>
      </c>
      <c r="AH4959" s="194" t="s">
        <v>1314</v>
      </c>
      <c r="AI4959" s="6" t="s">
        <v>3608</v>
      </c>
      <c r="AJ4959" s="3" t="s">
        <v>8270</v>
      </c>
      <c r="AK4959" t="s">
        <v>8270</v>
      </c>
    </row>
    <row r="4960" spans="29:37" ht="13.5">
      <c r="AC4960" s="6" t="s">
        <v>1934</v>
      </c>
      <c r="AD4960" s="6" t="s">
        <v>7776</v>
      </c>
      <c r="AE4960" s="155" t="s">
        <v>763</v>
      </c>
      <c r="AF4960" s="159" t="s">
        <v>8589</v>
      </c>
      <c r="AG4960" s="160" t="s">
        <v>5473</v>
      </c>
      <c r="AH4960" s="194" t="s">
        <v>1314</v>
      </c>
      <c r="AI4960" s="6" t="s">
        <v>3614</v>
      </c>
      <c r="AJ4960" s="3" t="s">
        <v>8270</v>
      </c>
      <c r="AK4960" t="s">
        <v>8270</v>
      </c>
    </row>
    <row r="4961" spans="29:37" ht="13.5">
      <c r="AC4961" s="6" t="s">
        <v>1884</v>
      </c>
      <c r="AD4961" s="6" t="s">
        <v>7776</v>
      </c>
      <c r="AE4961" s="155" t="s">
        <v>764</v>
      </c>
      <c r="AF4961" s="159" t="s">
        <v>8339</v>
      </c>
      <c r="AG4961" s="160" t="s">
        <v>5474</v>
      </c>
      <c r="AH4961" s="194" t="s">
        <v>1314</v>
      </c>
      <c r="AI4961" s="6" t="s">
        <v>3615</v>
      </c>
      <c r="AJ4961" s="3" t="s">
        <v>8270</v>
      </c>
      <c r="AK4961" t="s">
        <v>8270</v>
      </c>
    </row>
    <row r="4962" spans="29:37" ht="13.5">
      <c r="AC4962" s="6" t="s">
        <v>4494</v>
      </c>
      <c r="AD4962" s="6" t="s">
        <v>7776</v>
      </c>
      <c r="AE4962" s="155" t="s">
        <v>765</v>
      </c>
      <c r="AF4962" s="159" t="s">
        <v>8342</v>
      </c>
      <c r="AG4962" s="160" t="s">
        <v>633</v>
      </c>
      <c r="AH4962" s="194" t="s">
        <v>678</v>
      </c>
      <c r="AI4962" s="6" t="s">
        <v>1823</v>
      </c>
      <c r="AJ4962" s="3" t="s">
        <v>8213</v>
      </c>
      <c r="AK4962" t="s">
        <v>8213</v>
      </c>
    </row>
    <row r="4963" spans="29:37" ht="13.5">
      <c r="AC4963" s="6" t="s">
        <v>1255</v>
      </c>
      <c r="AD4963" s="6" t="s">
        <v>7776</v>
      </c>
      <c r="AE4963" s="155" t="s">
        <v>766</v>
      </c>
      <c r="AF4963" s="159" t="s">
        <v>8339</v>
      </c>
      <c r="AG4963" s="160" t="s">
        <v>634</v>
      </c>
      <c r="AH4963" s="194" t="s">
        <v>678</v>
      </c>
      <c r="AI4963" s="6" t="s">
        <v>3708</v>
      </c>
      <c r="AJ4963" s="3" t="s">
        <v>8218</v>
      </c>
      <c r="AK4963" t="s">
        <v>8218</v>
      </c>
    </row>
    <row r="4964" spans="29:37" ht="13.5">
      <c r="AC4964" s="6" t="s">
        <v>1866</v>
      </c>
      <c r="AD4964" s="6" t="s">
        <v>7776</v>
      </c>
      <c r="AE4964" s="155" t="s">
        <v>2260</v>
      </c>
      <c r="AF4964" s="159" t="s">
        <v>8339</v>
      </c>
      <c r="AG4964" s="160" t="s">
        <v>635</v>
      </c>
      <c r="AH4964" s="194" t="s">
        <v>678</v>
      </c>
      <c r="AI4964" s="6" t="s">
        <v>3770</v>
      </c>
      <c r="AJ4964" s="3" t="s">
        <v>8199</v>
      </c>
      <c r="AK4964" t="s">
        <v>8199</v>
      </c>
    </row>
    <row r="4965" spans="29:37" ht="13.5">
      <c r="AC4965" s="6" t="s">
        <v>1936</v>
      </c>
      <c r="AD4965" s="6" t="s">
        <v>7776</v>
      </c>
      <c r="AE4965" s="155" t="s">
        <v>767</v>
      </c>
      <c r="AF4965" s="159" t="s">
        <v>8396</v>
      </c>
      <c r="AG4965" s="160" t="s">
        <v>636</v>
      </c>
      <c r="AH4965" s="194" t="s">
        <v>679</v>
      </c>
      <c r="AI4965" s="6" t="s">
        <v>3780</v>
      </c>
      <c r="AJ4965" s="3" t="s">
        <v>8245</v>
      </c>
      <c r="AK4965" t="s">
        <v>8676</v>
      </c>
    </row>
    <row r="4966" spans="29:37" ht="13.5">
      <c r="AC4966" s="6" t="s">
        <v>1877</v>
      </c>
      <c r="AD4966" s="6" t="s">
        <v>7776</v>
      </c>
      <c r="AE4966" s="155" t="s">
        <v>768</v>
      </c>
      <c r="AF4966" s="159" t="s">
        <v>8339</v>
      </c>
      <c r="AG4966" s="160" t="s">
        <v>637</v>
      </c>
      <c r="AH4966" s="194" t="s">
        <v>678</v>
      </c>
      <c r="AI4966" s="6" t="s">
        <v>3825</v>
      </c>
      <c r="AJ4966" s="3" t="s">
        <v>8218</v>
      </c>
      <c r="AK4966" t="s">
        <v>8218</v>
      </c>
    </row>
    <row r="4967" spans="29:37" ht="13.5">
      <c r="AC4967" s="6" t="s">
        <v>1919</v>
      </c>
      <c r="AD4967" s="6" t="s">
        <v>7776</v>
      </c>
      <c r="AE4967" s="155" t="s">
        <v>769</v>
      </c>
      <c r="AF4967" s="159" t="s">
        <v>8590</v>
      </c>
      <c r="AG4967" s="160" t="s">
        <v>1415</v>
      </c>
      <c r="AH4967" s="194" t="s">
        <v>678</v>
      </c>
      <c r="AI4967" s="6" t="s">
        <v>5537</v>
      </c>
      <c r="AJ4967" s="3" t="s">
        <v>8244</v>
      </c>
      <c r="AK4967" t="s">
        <v>8244</v>
      </c>
    </row>
    <row r="4968" spans="29:37" ht="13.5">
      <c r="AC4968" s="6">
        <v>545379</v>
      </c>
      <c r="AD4968" s="6" t="s">
        <v>7780</v>
      </c>
      <c r="AE4968" s="155" t="s">
        <v>770</v>
      </c>
      <c r="AF4968" s="159" t="s">
        <v>8591</v>
      </c>
      <c r="AG4968" s="160" t="s">
        <v>638</v>
      </c>
      <c r="AH4968" s="194" t="s">
        <v>678</v>
      </c>
      <c r="AI4968" s="6" t="s">
        <v>2562</v>
      </c>
      <c r="AJ4968" s="3" t="s">
        <v>8226</v>
      </c>
      <c r="AK4968" t="s">
        <v>8671</v>
      </c>
    </row>
    <row r="4969" spans="29:37" ht="13.5">
      <c r="AC4969" s="6" t="s">
        <v>1935</v>
      </c>
      <c r="AD4969" s="6" t="s">
        <v>7776</v>
      </c>
      <c r="AE4969" s="155" t="s">
        <v>771</v>
      </c>
      <c r="AF4969" s="159" t="s">
        <v>8592</v>
      </c>
      <c r="AG4969" s="160" t="s">
        <v>639</v>
      </c>
      <c r="AH4969" s="194" t="s">
        <v>678</v>
      </c>
      <c r="AI4969" s="6" t="s">
        <v>5494</v>
      </c>
      <c r="AJ4969" s="3" t="s">
        <v>8197</v>
      </c>
      <c r="AK4969" t="s">
        <v>8197</v>
      </c>
    </row>
    <row r="4970" spans="29:37" ht="13.5">
      <c r="AC4970" s="6" t="s">
        <v>1865</v>
      </c>
      <c r="AD4970" s="6" t="s">
        <v>7776</v>
      </c>
      <c r="AE4970" s="155" t="s">
        <v>772</v>
      </c>
      <c r="AF4970" s="159" t="s">
        <v>8513</v>
      </c>
      <c r="AG4970" s="160" t="s">
        <v>640</v>
      </c>
      <c r="AH4970" s="194" t="s">
        <v>678</v>
      </c>
      <c r="AI4970" s="6" t="s">
        <v>5497</v>
      </c>
      <c r="AJ4970" s="3" t="s">
        <v>8197</v>
      </c>
      <c r="AK4970" t="s">
        <v>8197</v>
      </c>
    </row>
    <row r="4971" spans="29:37" ht="13.5">
      <c r="AC4971" s="6" t="s">
        <v>1850</v>
      </c>
      <c r="AD4971" s="6" t="s">
        <v>7776</v>
      </c>
      <c r="AE4971" s="155" t="s">
        <v>773</v>
      </c>
      <c r="AF4971" s="159" t="s">
        <v>8593</v>
      </c>
      <c r="AG4971" s="160" t="s">
        <v>26</v>
      </c>
      <c r="AH4971" s="194" t="s">
        <v>678</v>
      </c>
      <c r="AI4971" s="6" t="s">
        <v>5498</v>
      </c>
      <c r="AJ4971" s="3" t="s">
        <v>8197</v>
      </c>
      <c r="AK4971" t="s">
        <v>8197</v>
      </c>
    </row>
    <row r="4972" spans="29:37" ht="13.5">
      <c r="AC4972" s="6" t="s">
        <v>1947</v>
      </c>
      <c r="AD4972" s="6" t="s">
        <v>7776</v>
      </c>
      <c r="AE4972" s="155" t="s">
        <v>774</v>
      </c>
      <c r="AF4972" s="159" t="s">
        <v>8339</v>
      </c>
      <c r="AG4972" s="160" t="s">
        <v>641</v>
      </c>
      <c r="AH4972" s="194" t="s">
        <v>678</v>
      </c>
      <c r="AI4972" s="6" t="s">
        <v>1545</v>
      </c>
      <c r="AJ4972" s="3" t="s">
        <v>8224</v>
      </c>
      <c r="AK4972" t="s">
        <v>8224</v>
      </c>
    </row>
    <row r="4973" spans="29:37" ht="13.5">
      <c r="AC4973" s="6" t="s">
        <v>1254</v>
      </c>
      <c r="AD4973" s="6" t="s">
        <v>7776</v>
      </c>
      <c r="AE4973" s="155" t="s">
        <v>1883</v>
      </c>
      <c r="AF4973" s="159" t="s">
        <v>8363</v>
      </c>
      <c r="AG4973" s="160" t="s">
        <v>642</v>
      </c>
      <c r="AH4973" s="194" t="s">
        <v>678</v>
      </c>
      <c r="AI4973" s="6" t="s">
        <v>6701</v>
      </c>
      <c r="AJ4973" s="3" t="s">
        <v>8197</v>
      </c>
      <c r="AK4973" t="s">
        <v>8197</v>
      </c>
    </row>
    <row r="4974" spans="29:37" ht="13.5">
      <c r="AC4974" s="6" t="s">
        <v>5747</v>
      </c>
      <c r="AD4974" s="6" t="s">
        <v>7776</v>
      </c>
      <c r="AE4974" s="155" t="s">
        <v>1884</v>
      </c>
      <c r="AF4974" s="159" t="s">
        <v>8351</v>
      </c>
      <c r="AG4974" s="160" t="s">
        <v>643</v>
      </c>
      <c r="AH4974" s="194" t="s">
        <v>678</v>
      </c>
      <c r="AI4974" s="6" t="s">
        <v>168</v>
      </c>
      <c r="AJ4974" s="3" t="s">
        <v>8224</v>
      </c>
      <c r="AK4974" t="s">
        <v>8224</v>
      </c>
    </row>
    <row r="4975" spans="29:37" ht="13.5">
      <c r="AC4975" s="6" t="s">
        <v>2211</v>
      </c>
      <c r="AD4975" s="6" t="s">
        <v>7782</v>
      </c>
      <c r="AE4975" s="155" t="s">
        <v>1885</v>
      </c>
      <c r="AF4975" s="159" t="s">
        <v>8339</v>
      </c>
      <c r="AG4975" s="160" t="s">
        <v>644</v>
      </c>
      <c r="AH4975" s="194" t="s">
        <v>678</v>
      </c>
      <c r="AI4975" s="6" t="s">
        <v>1598</v>
      </c>
      <c r="AJ4975" s="3" t="s">
        <v>8224</v>
      </c>
      <c r="AK4975" t="s">
        <v>8224</v>
      </c>
    </row>
    <row r="4976" spans="29:37" ht="13.5">
      <c r="AC4976" s="6" t="s">
        <v>1858</v>
      </c>
      <c r="AD4976" s="6" t="s">
        <v>7776</v>
      </c>
      <c r="AE4976" s="155" t="s">
        <v>775</v>
      </c>
      <c r="AF4976" s="159" t="s">
        <v>8380</v>
      </c>
      <c r="AG4976" s="160" t="s">
        <v>34</v>
      </c>
      <c r="AH4976" s="194" t="s">
        <v>678</v>
      </c>
      <c r="AI4976" s="6" t="s">
        <v>4417</v>
      </c>
      <c r="AJ4976" s="3" t="s">
        <v>8237</v>
      </c>
      <c r="AK4976" t="s">
        <v>8237</v>
      </c>
    </row>
    <row r="4977" spans="29:37" ht="13.5">
      <c r="AC4977" s="6" t="s">
        <v>1883</v>
      </c>
      <c r="AD4977" s="6" t="s">
        <v>7776</v>
      </c>
      <c r="AE4977" s="155" t="s">
        <v>776</v>
      </c>
      <c r="AF4977" s="159" t="s">
        <v>8339</v>
      </c>
      <c r="AG4977" s="160" t="s">
        <v>645</v>
      </c>
      <c r="AH4977" s="194" t="s">
        <v>679</v>
      </c>
      <c r="AI4977" s="6" t="s">
        <v>2399</v>
      </c>
      <c r="AJ4977" s="3" t="s">
        <v>8237</v>
      </c>
      <c r="AK4977" t="s">
        <v>8237</v>
      </c>
    </row>
    <row r="4978" spans="29:37" ht="13.5">
      <c r="AC4978" s="6" t="s">
        <v>1864</v>
      </c>
      <c r="AD4978" s="6" t="s">
        <v>7776</v>
      </c>
      <c r="AE4978" s="155" t="s">
        <v>777</v>
      </c>
      <c r="AF4978" s="159" t="s">
        <v>8312</v>
      </c>
      <c r="AG4978" s="160" t="s">
        <v>646</v>
      </c>
      <c r="AH4978" s="194" t="s">
        <v>679</v>
      </c>
      <c r="AI4978" s="6" t="s">
        <v>2404</v>
      </c>
      <c r="AJ4978" s="3" t="s">
        <v>8237</v>
      </c>
      <c r="AK4978" t="s">
        <v>8237</v>
      </c>
    </row>
    <row r="4979" spans="29:37" ht="13.5">
      <c r="AC4979" s="6">
        <v>34540</v>
      </c>
      <c r="AD4979" s="6" t="s">
        <v>7776</v>
      </c>
      <c r="AE4979" s="155" t="s">
        <v>778</v>
      </c>
      <c r="AF4979" s="159" t="s">
        <v>8339</v>
      </c>
      <c r="AG4979" s="160" t="s">
        <v>647</v>
      </c>
      <c r="AH4979" s="194" t="s">
        <v>679</v>
      </c>
      <c r="AI4979" s="6" t="s">
        <v>2406</v>
      </c>
      <c r="AJ4979" s="3" t="s">
        <v>8237</v>
      </c>
      <c r="AK4979" t="s">
        <v>8237</v>
      </c>
    </row>
    <row r="4980" spans="29:37" ht="13.5">
      <c r="AC4980" s="6" t="s">
        <v>1863</v>
      </c>
      <c r="AD4980" s="6" t="s">
        <v>7776</v>
      </c>
      <c r="AE4980" s="155" t="s">
        <v>1908</v>
      </c>
      <c r="AF4980" s="159" t="s">
        <v>8339</v>
      </c>
      <c r="AG4980" s="160" t="s">
        <v>648</v>
      </c>
      <c r="AH4980" s="194" t="s">
        <v>678</v>
      </c>
      <c r="AI4980" s="6" t="s">
        <v>2410</v>
      </c>
      <c r="AJ4980" s="3" t="s">
        <v>8237</v>
      </c>
      <c r="AK4980" t="s">
        <v>8237</v>
      </c>
    </row>
    <row r="4981" spans="29:37" ht="13.5">
      <c r="AC4981" s="6" t="s">
        <v>1849</v>
      </c>
      <c r="AD4981" s="6" t="s">
        <v>7776</v>
      </c>
      <c r="AE4981" s="155" t="s">
        <v>1909</v>
      </c>
      <c r="AF4981" s="159" t="s">
        <v>8342</v>
      </c>
      <c r="AG4981" s="160" t="s">
        <v>649</v>
      </c>
      <c r="AH4981" s="194" t="s">
        <v>679</v>
      </c>
      <c r="AI4981" s="6" t="s">
        <v>2412</v>
      </c>
      <c r="AJ4981" s="3" t="s">
        <v>8237</v>
      </c>
      <c r="AK4981" t="s">
        <v>8237</v>
      </c>
    </row>
    <row r="4982" spans="29:37" ht="13.5">
      <c r="AC4982" s="6" t="s">
        <v>1937</v>
      </c>
      <c r="AD4982" s="6" t="s">
        <v>7776</v>
      </c>
      <c r="AE4982" s="155" t="s">
        <v>779</v>
      </c>
      <c r="AF4982" s="159" t="s">
        <v>8300</v>
      </c>
      <c r="AG4982" s="160" t="s">
        <v>650</v>
      </c>
      <c r="AH4982" s="194" t="s">
        <v>679</v>
      </c>
      <c r="AI4982" s="6" t="s">
        <v>2413</v>
      </c>
      <c r="AJ4982" s="3" t="s">
        <v>8237</v>
      </c>
      <c r="AK4982" t="s">
        <v>8237</v>
      </c>
    </row>
    <row r="4983" spans="29:37" ht="13.5">
      <c r="AC4983" s="6" t="s">
        <v>2233</v>
      </c>
      <c r="AD4983" s="6" t="s">
        <v>7776</v>
      </c>
      <c r="AE4983" s="155" t="s">
        <v>780</v>
      </c>
      <c r="AF4983" s="159" t="s">
        <v>8342</v>
      </c>
      <c r="AG4983" s="160" t="s">
        <v>651</v>
      </c>
      <c r="AH4983" s="194" t="s">
        <v>679</v>
      </c>
      <c r="AI4983" s="6" t="s">
        <v>2415</v>
      </c>
      <c r="AJ4983" s="3" t="s">
        <v>8237</v>
      </c>
      <c r="AK4983" t="s">
        <v>8237</v>
      </c>
    </row>
    <row r="4984" spans="29:37" ht="13.5">
      <c r="AC4984" s="6" t="s">
        <v>1941</v>
      </c>
      <c r="AD4984" s="6" t="s">
        <v>7776</v>
      </c>
      <c r="AE4984" s="155" t="s">
        <v>1918</v>
      </c>
      <c r="AF4984" s="159" t="s">
        <v>8339</v>
      </c>
      <c r="AG4984" s="160" t="s">
        <v>1123</v>
      </c>
      <c r="AH4984" s="194" t="s">
        <v>679</v>
      </c>
      <c r="AI4984" s="6" t="s">
        <v>2424</v>
      </c>
      <c r="AJ4984" s="3" t="s">
        <v>8237</v>
      </c>
      <c r="AK4984" t="s">
        <v>8237</v>
      </c>
    </row>
    <row r="4985" spans="29:37" ht="13.5">
      <c r="AC4985" s="6" t="s">
        <v>1875</v>
      </c>
      <c r="AD4985" s="6" t="s">
        <v>7776</v>
      </c>
      <c r="AE4985" s="155" t="s">
        <v>1919</v>
      </c>
      <c r="AF4985" s="159" t="s">
        <v>8339</v>
      </c>
      <c r="AG4985" s="160" t="s">
        <v>39</v>
      </c>
      <c r="AH4985" s="194" t="s">
        <v>679</v>
      </c>
      <c r="AI4985" s="6" t="s">
        <v>1850</v>
      </c>
      <c r="AJ4985" s="3" t="s">
        <v>8234</v>
      </c>
      <c r="AK4985" t="s">
        <v>8234</v>
      </c>
    </row>
    <row r="4986" spans="29:37" ht="13.5">
      <c r="AC4986" s="6" t="s">
        <v>1938</v>
      </c>
      <c r="AD4986" s="6" t="s">
        <v>7776</v>
      </c>
      <c r="AE4986" s="155" t="s">
        <v>1920</v>
      </c>
      <c r="AF4986" s="159" t="s">
        <v>8339</v>
      </c>
      <c r="AG4986" s="160" t="s">
        <v>980</v>
      </c>
      <c r="AH4986" s="194" t="s">
        <v>679</v>
      </c>
      <c r="AI4986" s="6" t="s">
        <v>725</v>
      </c>
      <c r="AJ4986" s="3" t="s">
        <v>8273</v>
      </c>
      <c r="AK4986" t="s">
        <v>8273</v>
      </c>
    </row>
    <row r="4987" spans="29:37" ht="13.5">
      <c r="AC4987" s="6" t="s">
        <v>1874</v>
      </c>
      <c r="AD4987" s="6" t="s">
        <v>7776</v>
      </c>
      <c r="AE4987" s="155" t="s">
        <v>1921</v>
      </c>
      <c r="AF4987" s="159" t="s">
        <v>8339</v>
      </c>
      <c r="AG4987" s="160" t="s">
        <v>979</v>
      </c>
      <c r="AH4987" s="194" t="s">
        <v>678</v>
      </c>
      <c r="AI4987" s="6" t="s">
        <v>729</v>
      </c>
      <c r="AJ4987" s="3" t="s">
        <v>8263</v>
      </c>
      <c r="AK4987" t="s">
        <v>8263</v>
      </c>
    </row>
    <row r="4988" spans="29:37" ht="13.5">
      <c r="AC4988" s="6" t="s">
        <v>5550</v>
      </c>
      <c r="AD4988" s="6" t="s">
        <v>7776</v>
      </c>
      <c r="AE4988" s="155" t="s">
        <v>781</v>
      </c>
      <c r="AF4988" s="159" t="s">
        <v>8342</v>
      </c>
      <c r="AG4988" s="160" t="s">
        <v>977</v>
      </c>
      <c r="AH4988" s="194" t="s">
        <v>679</v>
      </c>
      <c r="AI4988" s="6" t="s">
        <v>1855</v>
      </c>
      <c r="AJ4988" s="3" t="s">
        <v>8234</v>
      </c>
      <c r="AK4988" t="s">
        <v>8234</v>
      </c>
    </row>
    <row r="4989" spans="29:37" ht="13.5">
      <c r="AC4989" s="6" t="s">
        <v>1878</v>
      </c>
      <c r="AD4989" s="6" t="s">
        <v>7776</v>
      </c>
      <c r="AE4989" s="155" t="s">
        <v>782</v>
      </c>
      <c r="AF4989" s="159" t="s">
        <v>8569</v>
      </c>
      <c r="AG4989" s="160" t="s">
        <v>4516</v>
      </c>
      <c r="AH4989" s="194" t="s">
        <v>679</v>
      </c>
      <c r="AI4989" s="6" t="s">
        <v>733</v>
      </c>
      <c r="AJ4989" s="3" t="s">
        <v>8222</v>
      </c>
      <c r="AK4989" t="s">
        <v>8670</v>
      </c>
    </row>
    <row r="4990" spans="29:37" ht="13.5">
      <c r="AC4990" s="6" t="s">
        <v>1920</v>
      </c>
      <c r="AD4990" s="6" t="s">
        <v>7776</v>
      </c>
      <c r="AE4990" s="155" t="s">
        <v>783</v>
      </c>
      <c r="AF4990" s="159" t="s">
        <v>8339</v>
      </c>
      <c r="AG4990" s="160" t="s">
        <v>4434</v>
      </c>
      <c r="AH4990" s="194" t="s">
        <v>679</v>
      </c>
      <c r="AI4990" s="6" t="s">
        <v>738</v>
      </c>
      <c r="AJ4990" s="3" t="s">
        <v>8222</v>
      </c>
      <c r="AK4990" t="s">
        <v>8670</v>
      </c>
    </row>
    <row r="4991" spans="29:37" ht="13.5">
      <c r="AC4991" s="6" t="s">
        <v>6731</v>
      </c>
      <c r="AD4991" s="6" t="s">
        <v>7776</v>
      </c>
      <c r="AE4991" s="155" t="s">
        <v>784</v>
      </c>
      <c r="AF4991" s="159" t="s">
        <v>8339</v>
      </c>
      <c r="AG4991" s="160" t="s">
        <v>4435</v>
      </c>
      <c r="AH4991" s="194" t="s">
        <v>679</v>
      </c>
      <c r="AI4991" s="6" t="s">
        <v>1860</v>
      </c>
      <c r="AJ4991" s="3" t="s">
        <v>8234</v>
      </c>
      <c r="AK4991" t="s">
        <v>8234</v>
      </c>
    </row>
    <row r="4992" spans="29:37" ht="13.5">
      <c r="AC4992" s="6" t="s">
        <v>1253</v>
      </c>
      <c r="AD4992" s="6" t="s">
        <v>7776</v>
      </c>
      <c r="AE4992" s="155" t="s">
        <v>785</v>
      </c>
      <c r="AF4992" s="159" t="s">
        <v>8377</v>
      </c>
      <c r="AG4992" s="160" t="s">
        <v>5475</v>
      </c>
      <c r="AH4992" s="194" t="s">
        <v>679</v>
      </c>
      <c r="AI4992" s="6" t="s">
        <v>1862</v>
      </c>
      <c r="AJ4992" s="3" t="s">
        <v>8234</v>
      </c>
      <c r="AK4992" t="s">
        <v>8234</v>
      </c>
    </row>
    <row r="4993" spans="29:37" ht="13.5">
      <c r="AC4993" s="6" t="s">
        <v>1862</v>
      </c>
      <c r="AD4993" s="6" t="s">
        <v>7776</v>
      </c>
      <c r="AE4993" s="155" t="s">
        <v>1922</v>
      </c>
      <c r="AF4993" s="159" t="s">
        <v>8300</v>
      </c>
      <c r="AG4993" s="160" t="s">
        <v>5072</v>
      </c>
      <c r="AH4993" s="194" t="s">
        <v>679</v>
      </c>
      <c r="AI4993" s="6" t="s">
        <v>1864</v>
      </c>
      <c r="AJ4993" s="3" t="s">
        <v>8234</v>
      </c>
      <c r="AK4993" t="s">
        <v>8234</v>
      </c>
    </row>
    <row r="4994" spans="29:37" ht="13.5">
      <c r="AC4994" s="6" t="s">
        <v>5551</v>
      </c>
      <c r="AD4994" s="6" t="s">
        <v>7776</v>
      </c>
      <c r="AE4994" s="155" t="s">
        <v>21</v>
      </c>
      <c r="AF4994" s="159" t="s">
        <v>8339</v>
      </c>
      <c r="AG4994" s="160" t="s">
        <v>5121</v>
      </c>
      <c r="AH4994" s="194" t="s">
        <v>679</v>
      </c>
      <c r="AI4994" s="6" t="s">
        <v>1873</v>
      </c>
      <c r="AJ4994" s="3" t="s">
        <v>8234</v>
      </c>
      <c r="AK4994" t="s">
        <v>8234</v>
      </c>
    </row>
    <row r="4995" spans="29:37" ht="13.5">
      <c r="AC4995" s="6" t="s">
        <v>1868</v>
      </c>
      <c r="AD4995" s="6" t="s">
        <v>7776</v>
      </c>
      <c r="AE4995" s="155" t="s">
        <v>786</v>
      </c>
      <c r="AF4995" s="159" t="s">
        <v>8339</v>
      </c>
      <c r="AG4995" s="160" t="s">
        <v>5078</v>
      </c>
      <c r="AH4995" s="194" t="s">
        <v>679</v>
      </c>
      <c r="AI4995" s="6" t="s">
        <v>1875</v>
      </c>
      <c r="AJ4995" s="3" t="s">
        <v>8234</v>
      </c>
      <c r="AK4995" t="s">
        <v>8234</v>
      </c>
    </row>
    <row r="4996" spans="29:37" ht="13.5">
      <c r="AC4996" s="6" t="s">
        <v>1945</v>
      </c>
      <c r="AD4996" s="6" t="s">
        <v>7776</v>
      </c>
      <c r="AE4996" s="155" t="s">
        <v>787</v>
      </c>
      <c r="AF4996" s="159" t="s">
        <v>8342</v>
      </c>
      <c r="AG4996" s="160" t="s">
        <v>5182</v>
      </c>
      <c r="AH4996" s="194" t="s">
        <v>679</v>
      </c>
      <c r="AI4996" s="6" t="s">
        <v>1877</v>
      </c>
      <c r="AJ4996" s="3" t="s">
        <v>8234</v>
      </c>
      <c r="AK4996" t="s">
        <v>8234</v>
      </c>
    </row>
    <row r="4997" spans="29:37" ht="13.5">
      <c r="AC4997" s="6" t="s">
        <v>5748</v>
      </c>
      <c r="AD4997" s="6" t="s">
        <v>7776</v>
      </c>
      <c r="AE4997" s="155" t="s">
        <v>788</v>
      </c>
      <c r="AF4997" s="159" t="s">
        <v>8300</v>
      </c>
      <c r="AG4997" s="160" t="s">
        <v>5155</v>
      </c>
      <c r="AH4997" s="194" t="s">
        <v>679</v>
      </c>
      <c r="AI4997" s="6" t="s">
        <v>1878</v>
      </c>
      <c r="AJ4997" s="3" t="s">
        <v>8234</v>
      </c>
      <c r="AK4997" t="s">
        <v>8234</v>
      </c>
    </row>
    <row r="4998" spans="29:37" ht="13.5">
      <c r="AC4998" s="6" t="s">
        <v>1921</v>
      </c>
      <c r="AD4998" s="6" t="s">
        <v>7776</v>
      </c>
      <c r="AE4998" s="155" t="s">
        <v>789</v>
      </c>
      <c r="AF4998" s="159" t="s">
        <v>8300</v>
      </c>
      <c r="AG4998" s="160" t="s">
        <v>5225</v>
      </c>
      <c r="AH4998" s="194" t="s">
        <v>679</v>
      </c>
      <c r="AI4998" s="6" t="s">
        <v>741</v>
      </c>
      <c r="AJ4998" s="3" t="s">
        <v>8234</v>
      </c>
      <c r="AK4998" t="s">
        <v>8234</v>
      </c>
    </row>
    <row r="4999" spans="29:37" ht="13.5">
      <c r="AC4999" s="6" t="s">
        <v>1281</v>
      </c>
      <c r="AD4999" s="6" t="s">
        <v>7776</v>
      </c>
      <c r="AE4999" s="155" t="s">
        <v>790</v>
      </c>
      <c r="AF4999" s="159" t="s">
        <v>8300</v>
      </c>
      <c r="AG4999" s="160" t="s">
        <v>5188</v>
      </c>
      <c r="AH4999" s="194" t="s">
        <v>679</v>
      </c>
      <c r="AI4999" s="6" t="s">
        <v>1880</v>
      </c>
      <c r="AJ4999" s="3" t="s">
        <v>8234</v>
      </c>
      <c r="AK4999" t="s">
        <v>8234</v>
      </c>
    </row>
    <row r="5000" spans="29:37" ht="13.5">
      <c r="AC5000" s="6" t="s">
        <v>1860</v>
      </c>
      <c r="AD5000" s="6" t="s">
        <v>7776</v>
      </c>
      <c r="AE5000" s="155" t="s">
        <v>681</v>
      </c>
      <c r="AF5000" s="159" t="s">
        <v>8300</v>
      </c>
      <c r="AG5000" s="160" t="s">
        <v>5094</v>
      </c>
      <c r="AH5000" s="194" t="s">
        <v>679</v>
      </c>
      <c r="AI5000" s="6" t="s">
        <v>755</v>
      </c>
      <c r="AJ5000" s="3" t="s">
        <v>8263</v>
      </c>
      <c r="AK5000" t="s">
        <v>8263</v>
      </c>
    </row>
    <row r="5001" spans="29:37" ht="13.5">
      <c r="AC5001" s="6" t="s">
        <v>741</v>
      </c>
      <c r="AD5001" s="6" t="s">
        <v>7776</v>
      </c>
      <c r="AE5001" s="155" t="s">
        <v>1020</v>
      </c>
      <c r="AF5001" s="159" t="s">
        <v>8339</v>
      </c>
      <c r="AG5001" s="160" t="s">
        <v>5476</v>
      </c>
      <c r="AH5001" s="194" t="s">
        <v>1314</v>
      </c>
      <c r="AI5001" s="6" t="s">
        <v>764</v>
      </c>
      <c r="AJ5001" s="3" t="s">
        <v>8263</v>
      </c>
      <c r="AK5001" t="s">
        <v>8263</v>
      </c>
    </row>
    <row r="5002" spans="29:37" ht="13.5">
      <c r="AC5002" s="6" t="s">
        <v>1848</v>
      </c>
      <c r="AD5002" s="6" t="s">
        <v>7776</v>
      </c>
      <c r="AE5002" s="155" t="s">
        <v>791</v>
      </c>
      <c r="AF5002" s="159" t="s">
        <v>8339</v>
      </c>
      <c r="AG5002" s="160" t="s">
        <v>3408</v>
      </c>
      <c r="AH5002" s="194" t="s">
        <v>679</v>
      </c>
      <c r="AI5002" s="6" t="s">
        <v>765</v>
      </c>
      <c r="AJ5002" s="3" t="s">
        <v>8263</v>
      </c>
      <c r="AK5002" t="s">
        <v>8263</v>
      </c>
    </row>
    <row r="5003" spans="29:37" ht="13.5">
      <c r="AC5003" s="6" t="s">
        <v>5372</v>
      </c>
      <c r="AD5003" s="6" t="s">
        <v>7776</v>
      </c>
      <c r="AE5003" s="155" t="s">
        <v>792</v>
      </c>
      <c r="AF5003" s="159" t="s">
        <v>8339</v>
      </c>
      <c r="AG5003" s="170" t="s">
        <v>4133</v>
      </c>
      <c r="AH5003" s="184" t="s">
        <v>679</v>
      </c>
      <c r="AI5003" s="6" t="s">
        <v>766</v>
      </c>
      <c r="AJ5003" s="3" t="s">
        <v>8263</v>
      </c>
      <c r="AK5003" t="s">
        <v>8263</v>
      </c>
    </row>
    <row r="5004" spans="29:37" ht="13.5">
      <c r="AC5004" s="6" t="s">
        <v>814</v>
      </c>
      <c r="AD5004" s="6" t="s">
        <v>7776</v>
      </c>
      <c r="AE5004" s="155" t="s">
        <v>793</v>
      </c>
      <c r="AF5004" s="159" t="s">
        <v>8342</v>
      </c>
      <c r="AG5004" s="170" t="s">
        <v>4134</v>
      </c>
      <c r="AH5004" s="184" t="s">
        <v>679</v>
      </c>
      <c r="AI5004" s="6" t="s">
        <v>768</v>
      </c>
      <c r="AJ5004" s="3" t="s">
        <v>8234</v>
      </c>
      <c r="AK5004" t="s">
        <v>8234</v>
      </c>
    </row>
    <row r="5005" spans="29:37" ht="13.5">
      <c r="AC5005" s="6" t="s">
        <v>1933</v>
      </c>
      <c r="AD5005" s="6" t="s">
        <v>7776</v>
      </c>
      <c r="AE5005" s="155" t="s">
        <v>794</v>
      </c>
      <c r="AF5005" s="159" t="s">
        <v>8300</v>
      </c>
      <c r="AG5005" s="170" t="s">
        <v>4135</v>
      </c>
      <c r="AH5005" s="184" t="s">
        <v>679</v>
      </c>
      <c r="AI5005" s="6" t="s">
        <v>774</v>
      </c>
      <c r="AJ5005" s="3" t="s">
        <v>8263</v>
      </c>
      <c r="AK5005" t="s">
        <v>8263</v>
      </c>
    </row>
    <row r="5006" spans="29:37" ht="13.5">
      <c r="AC5006" s="6" t="s">
        <v>817</v>
      </c>
      <c r="AD5006" s="6" t="s">
        <v>7776</v>
      </c>
      <c r="AE5006" s="155" t="s">
        <v>795</v>
      </c>
      <c r="AF5006" s="159" t="s">
        <v>8300</v>
      </c>
      <c r="AG5006" s="171" t="s">
        <v>1316</v>
      </c>
      <c r="AH5006" s="184" t="s">
        <v>1314</v>
      </c>
      <c r="AI5006" s="6" t="s">
        <v>1884</v>
      </c>
      <c r="AJ5006" s="3" t="s">
        <v>8222</v>
      </c>
      <c r="AK5006" t="s">
        <v>8670</v>
      </c>
    </row>
    <row r="5007" spans="29:37" ht="13.5">
      <c r="AC5007" s="6" t="s">
        <v>1879</v>
      </c>
      <c r="AD5007" s="6" t="s">
        <v>7776</v>
      </c>
      <c r="AE5007" s="155" t="s">
        <v>796</v>
      </c>
      <c r="AF5007" s="159" t="s">
        <v>8300</v>
      </c>
      <c r="AG5007" s="171" t="s">
        <v>652</v>
      </c>
      <c r="AH5007" s="184" t="s">
        <v>679</v>
      </c>
      <c r="AI5007" s="6" t="s">
        <v>775</v>
      </c>
      <c r="AJ5007" s="3" t="s">
        <v>8273</v>
      </c>
      <c r="AK5007" t="s">
        <v>8273</v>
      </c>
    </row>
    <row r="5008" spans="29:37" ht="13.5">
      <c r="AC5008" s="6" t="s">
        <v>818</v>
      </c>
      <c r="AD5008" s="6" t="s">
        <v>7776</v>
      </c>
      <c r="AE5008" s="155" t="s">
        <v>1927</v>
      </c>
      <c r="AF5008" s="159" t="s">
        <v>8339</v>
      </c>
      <c r="AG5008" s="171" t="s">
        <v>653</v>
      </c>
      <c r="AH5008" s="184" t="s">
        <v>679</v>
      </c>
      <c r="AI5008" s="6" t="s">
        <v>776</v>
      </c>
      <c r="AJ5008" s="3" t="s">
        <v>8263</v>
      </c>
      <c r="AK5008" t="s">
        <v>8263</v>
      </c>
    </row>
    <row r="5009" spans="29:37" ht="13.5">
      <c r="AC5009" s="6" t="s">
        <v>1861</v>
      </c>
      <c r="AD5009" s="6" t="s">
        <v>7776</v>
      </c>
      <c r="AE5009" s="155" t="s">
        <v>1928</v>
      </c>
      <c r="AF5009" s="159" t="s">
        <v>8299</v>
      </c>
      <c r="AG5009" s="170" t="s">
        <v>654</v>
      </c>
      <c r="AH5009" s="184" t="s">
        <v>679</v>
      </c>
      <c r="AI5009" s="6" t="s">
        <v>1908</v>
      </c>
      <c r="AJ5009" s="3" t="s">
        <v>8234</v>
      </c>
      <c r="AK5009" t="s">
        <v>8234</v>
      </c>
    </row>
    <row r="5010" spans="29:37" ht="13.5">
      <c r="AC5010" s="6" t="s">
        <v>6732</v>
      </c>
      <c r="AD5010" s="6" t="s">
        <v>7776</v>
      </c>
      <c r="AE5010" s="155" t="s">
        <v>797</v>
      </c>
      <c r="AF5010" s="159" t="s">
        <v>8339</v>
      </c>
      <c r="AG5010" s="171" t="s">
        <v>655</v>
      </c>
      <c r="AH5010" s="184" t="s">
        <v>679</v>
      </c>
      <c r="AI5010" s="6" t="s">
        <v>1909</v>
      </c>
      <c r="AJ5010" s="3" t="s">
        <v>8234</v>
      </c>
      <c r="AK5010" t="s">
        <v>8234</v>
      </c>
    </row>
    <row r="5011" spans="29:37" ht="13.5">
      <c r="AC5011" s="6" t="s">
        <v>1856</v>
      </c>
      <c r="AD5011" s="6" t="s">
        <v>7776</v>
      </c>
      <c r="AE5011" s="155" t="s">
        <v>1257</v>
      </c>
      <c r="AF5011" s="159" t="s">
        <v>8342</v>
      </c>
      <c r="AG5011" s="171" t="s">
        <v>1434</v>
      </c>
      <c r="AH5011" s="184" t="s">
        <v>679</v>
      </c>
      <c r="AI5011" s="6" t="s">
        <v>1918</v>
      </c>
      <c r="AJ5011" s="3" t="s">
        <v>8234</v>
      </c>
      <c r="AK5011" t="s">
        <v>8234</v>
      </c>
    </row>
    <row r="5012" spans="29:37" ht="13.5">
      <c r="AC5012" s="6" t="s">
        <v>778</v>
      </c>
      <c r="AD5012" s="6" t="s">
        <v>7776</v>
      </c>
      <c r="AE5012" s="155" t="s">
        <v>798</v>
      </c>
      <c r="AF5012" s="159" t="s">
        <v>8339</v>
      </c>
      <c r="AG5012" s="170" t="s">
        <v>1124</v>
      </c>
      <c r="AH5012" s="184" t="s">
        <v>679</v>
      </c>
      <c r="AI5012" s="6" t="s">
        <v>1919</v>
      </c>
      <c r="AJ5012" s="3" t="s">
        <v>8234</v>
      </c>
      <c r="AK5012" t="s">
        <v>8234</v>
      </c>
    </row>
    <row r="5013" spans="29:37" ht="13.5">
      <c r="AC5013" s="6" t="s">
        <v>1718</v>
      </c>
      <c r="AD5013" s="6" t="s">
        <v>7776</v>
      </c>
      <c r="AE5013" s="155" t="s">
        <v>1929</v>
      </c>
      <c r="AF5013" s="159" t="s">
        <v>8339</v>
      </c>
      <c r="AG5013" s="170" t="s">
        <v>656</v>
      </c>
      <c r="AH5013" s="184" t="s">
        <v>679</v>
      </c>
      <c r="AI5013" s="6" t="s">
        <v>781</v>
      </c>
      <c r="AJ5013" s="3" t="s">
        <v>8234</v>
      </c>
      <c r="AK5013" t="s">
        <v>8234</v>
      </c>
    </row>
    <row r="5014" spans="29:37" ht="13.5">
      <c r="AC5014" s="6" t="s">
        <v>1931</v>
      </c>
      <c r="AD5014" s="6" t="s">
        <v>7776</v>
      </c>
      <c r="AE5014" s="155" t="s">
        <v>799</v>
      </c>
      <c r="AF5014" s="159" t="s">
        <v>8339</v>
      </c>
      <c r="AG5014" s="170" t="s">
        <v>657</v>
      </c>
      <c r="AH5014" s="184" t="s">
        <v>678</v>
      </c>
      <c r="AI5014" s="6" t="s">
        <v>783</v>
      </c>
      <c r="AJ5014" s="3" t="s">
        <v>8263</v>
      </c>
      <c r="AK5014" t="s">
        <v>8263</v>
      </c>
    </row>
    <row r="5015" spans="29:37" ht="13.5">
      <c r="AC5015" s="6" t="s">
        <v>2193</v>
      </c>
      <c r="AD5015" s="6" t="s">
        <v>7783</v>
      </c>
      <c r="AE5015" s="155" t="s">
        <v>1930</v>
      </c>
      <c r="AF5015" s="159" t="s">
        <v>8339</v>
      </c>
      <c r="AG5015" s="170" t="s">
        <v>658</v>
      </c>
      <c r="AH5015" s="184" t="s">
        <v>678</v>
      </c>
      <c r="AI5015" s="6" t="s">
        <v>1922</v>
      </c>
      <c r="AJ5015" s="3" t="s">
        <v>8234</v>
      </c>
      <c r="AK5015" t="s">
        <v>8234</v>
      </c>
    </row>
    <row r="5016" spans="29:37" ht="13.5">
      <c r="AC5016" s="6" t="s">
        <v>1940</v>
      </c>
      <c r="AD5016" s="6" t="s">
        <v>7776</v>
      </c>
      <c r="AE5016" s="155" t="s">
        <v>1931</v>
      </c>
      <c r="AF5016" s="159" t="s">
        <v>8339</v>
      </c>
      <c r="AG5016" s="170" t="s">
        <v>4517</v>
      </c>
      <c r="AH5016" s="184" t="s">
        <v>679</v>
      </c>
      <c r="AI5016" s="6" t="s">
        <v>786</v>
      </c>
      <c r="AJ5016" s="3" t="s">
        <v>8263</v>
      </c>
      <c r="AK5016" t="s">
        <v>8263</v>
      </c>
    </row>
    <row r="5017" spans="29:37" ht="13.5">
      <c r="AC5017" s="6" t="s">
        <v>1909</v>
      </c>
      <c r="AD5017" s="6" t="s">
        <v>7776</v>
      </c>
      <c r="AE5017" s="155" t="s">
        <v>1932</v>
      </c>
      <c r="AF5017" s="159" t="s">
        <v>8339</v>
      </c>
      <c r="AG5017" s="170" t="s">
        <v>1125</v>
      </c>
      <c r="AH5017" s="184" t="s">
        <v>4700</v>
      </c>
      <c r="AI5017" s="6" t="s">
        <v>787</v>
      </c>
      <c r="AJ5017" s="3" t="s">
        <v>8263</v>
      </c>
      <c r="AK5017" t="s">
        <v>8263</v>
      </c>
    </row>
    <row r="5018" spans="29:37" ht="13.5">
      <c r="AC5018" s="6" t="s">
        <v>5749</v>
      </c>
      <c r="AD5018" s="6" t="s">
        <v>7776</v>
      </c>
      <c r="AE5018" s="155" t="s">
        <v>1933</v>
      </c>
      <c r="AF5018" s="159" t="s">
        <v>8339</v>
      </c>
      <c r="AG5018" s="170" t="s">
        <v>659</v>
      </c>
      <c r="AH5018" s="184" t="s">
        <v>4700</v>
      </c>
      <c r="AI5018" s="6" t="s">
        <v>1927</v>
      </c>
      <c r="AJ5018" s="3" t="s">
        <v>8234</v>
      </c>
      <c r="AK5018" t="s">
        <v>8234</v>
      </c>
    </row>
    <row r="5019" spans="29:37" ht="13.5">
      <c r="AC5019" s="6" t="s">
        <v>6733</v>
      </c>
      <c r="AD5019" s="6" t="s">
        <v>7776</v>
      </c>
      <c r="AE5019" s="155" t="s">
        <v>800</v>
      </c>
      <c r="AF5019" s="159" t="s">
        <v>8339</v>
      </c>
      <c r="AG5019" s="170" t="s">
        <v>660</v>
      </c>
      <c r="AH5019" s="184" t="s">
        <v>678</v>
      </c>
      <c r="AI5019" s="6" t="s">
        <v>797</v>
      </c>
      <c r="AJ5019" s="3" t="s">
        <v>8222</v>
      </c>
      <c r="AK5019" t="s">
        <v>8670</v>
      </c>
    </row>
    <row r="5020" spans="29:37" ht="13.5">
      <c r="AC5020" s="6" t="s">
        <v>4505</v>
      </c>
      <c r="AD5020" s="6" t="s">
        <v>7776</v>
      </c>
      <c r="AE5020" s="155" t="s">
        <v>801</v>
      </c>
      <c r="AF5020" s="159" t="s">
        <v>8339</v>
      </c>
      <c r="AG5020" s="171" t="s">
        <v>4443</v>
      </c>
      <c r="AH5020" s="184" t="s">
        <v>4700</v>
      </c>
      <c r="AI5020" s="6" t="s">
        <v>1929</v>
      </c>
      <c r="AJ5020" s="3" t="s">
        <v>8234</v>
      </c>
      <c r="AK5020" t="s">
        <v>8234</v>
      </c>
    </row>
    <row r="5021" spans="29:37" ht="13.5">
      <c r="AC5021" s="6" t="s">
        <v>1258</v>
      </c>
      <c r="AD5021" s="6" t="s">
        <v>7776</v>
      </c>
      <c r="AE5021" s="155" t="s">
        <v>949</v>
      </c>
      <c r="AF5021" s="159" t="s">
        <v>8342</v>
      </c>
      <c r="AG5021" s="170" t="s">
        <v>4411</v>
      </c>
      <c r="AH5021" s="184" t="s">
        <v>679</v>
      </c>
      <c r="AI5021" s="6" t="s">
        <v>1930</v>
      </c>
      <c r="AJ5021" s="3" t="s">
        <v>8234</v>
      </c>
      <c r="AK5021" t="s">
        <v>8234</v>
      </c>
    </row>
    <row r="5022" spans="29:37" ht="13.5">
      <c r="AC5022" s="6" t="s">
        <v>1855</v>
      </c>
      <c r="AD5022" s="6" t="s">
        <v>7776</v>
      </c>
      <c r="AE5022" s="155" t="s">
        <v>802</v>
      </c>
      <c r="AF5022" s="159" t="s">
        <v>8339</v>
      </c>
      <c r="AG5022" s="171" t="s">
        <v>4455</v>
      </c>
      <c r="AH5022" s="184" t="s">
        <v>679</v>
      </c>
      <c r="AI5022" s="6" t="s">
        <v>1931</v>
      </c>
      <c r="AJ5022" s="3" t="s">
        <v>8234</v>
      </c>
      <c r="AK5022" t="s">
        <v>8234</v>
      </c>
    </row>
    <row r="5023" spans="29:37" ht="13.5">
      <c r="AC5023" s="6" t="s">
        <v>739</v>
      </c>
      <c r="AD5023" s="6" t="s">
        <v>7776</v>
      </c>
      <c r="AE5023" s="155" t="s">
        <v>803</v>
      </c>
      <c r="AF5023" s="159" t="s">
        <v>8300</v>
      </c>
      <c r="AG5023" s="170" t="s">
        <v>4456</v>
      </c>
      <c r="AH5023" s="184" t="s">
        <v>4700</v>
      </c>
      <c r="AI5023" s="6" t="s">
        <v>1932</v>
      </c>
      <c r="AJ5023" s="3" t="s">
        <v>8234</v>
      </c>
      <c r="AK5023" t="s">
        <v>8234</v>
      </c>
    </row>
    <row r="5024" spans="29:37" ht="13.5">
      <c r="AC5024" s="6" t="s">
        <v>740</v>
      </c>
      <c r="AD5024" s="6" t="s">
        <v>7776</v>
      </c>
      <c r="AE5024" s="155" t="s">
        <v>804</v>
      </c>
      <c r="AF5024" s="159" t="s">
        <v>8339</v>
      </c>
      <c r="AG5024" s="170" t="s">
        <v>1527</v>
      </c>
      <c r="AH5024" s="184" t="s">
        <v>679</v>
      </c>
      <c r="AI5024" s="6" t="s">
        <v>1933</v>
      </c>
      <c r="AJ5024" s="3" t="s">
        <v>8234</v>
      </c>
      <c r="AK5024" t="s">
        <v>8234</v>
      </c>
    </row>
    <row r="5025" spans="29:37" ht="13.5">
      <c r="AC5025" s="6" t="s">
        <v>934</v>
      </c>
      <c r="AD5025" s="6" t="s">
        <v>7776</v>
      </c>
      <c r="AE5025" s="155" t="s">
        <v>805</v>
      </c>
      <c r="AF5025" s="159" t="s">
        <v>8299</v>
      </c>
      <c r="AG5025" s="170" t="s">
        <v>1549</v>
      </c>
      <c r="AH5025" s="184" t="s">
        <v>678</v>
      </c>
      <c r="AI5025" s="6" t="s">
        <v>804</v>
      </c>
      <c r="AJ5025" s="3" t="s">
        <v>8263</v>
      </c>
      <c r="AK5025" t="s">
        <v>8263</v>
      </c>
    </row>
    <row r="5026" spans="29:37" ht="13.5">
      <c r="AC5026" s="6">
        <v>575387</v>
      </c>
      <c r="AD5026" s="6" t="s">
        <v>7784</v>
      </c>
      <c r="AE5026" s="155" t="s">
        <v>806</v>
      </c>
      <c r="AF5026" s="159" t="s">
        <v>8339</v>
      </c>
      <c r="AG5026" s="170" t="s">
        <v>1550</v>
      </c>
      <c r="AH5026" s="184" t="s">
        <v>678</v>
      </c>
      <c r="AI5026" s="6" t="s">
        <v>810</v>
      </c>
      <c r="AJ5026" s="3" t="s">
        <v>8263</v>
      </c>
      <c r="AK5026" t="s">
        <v>8263</v>
      </c>
    </row>
    <row r="5027" spans="29:37" ht="13.5">
      <c r="AC5027" s="6" t="s">
        <v>816</v>
      </c>
      <c r="AD5027" s="6" t="s">
        <v>7776</v>
      </c>
      <c r="AE5027" s="155" t="s">
        <v>807</v>
      </c>
      <c r="AF5027" s="159" t="s">
        <v>8300</v>
      </c>
      <c r="AG5027" s="170" t="s">
        <v>1551</v>
      </c>
      <c r="AH5027" s="184" t="s">
        <v>678</v>
      </c>
      <c r="AI5027" s="6" t="s">
        <v>1934</v>
      </c>
      <c r="AJ5027" s="3" t="s">
        <v>8234</v>
      </c>
      <c r="AK5027" t="s">
        <v>8234</v>
      </c>
    </row>
    <row r="5028" spans="29:37" ht="13.5">
      <c r="AC5028" s="6" t="s">
        <v>1927</v>
      </c>
      <c r="AD5028" s="6" t="s">
        <v>7776</v>
      </c>
      <c r="AE5028" s="155" t="s">
        <v>808</v>
      </c>
      <c r="AF5028" s="159" t="s">
        <v>8300</v>
      </c>
      <c r="AG5028" s="170" t="s">
        <v>1552</v>
      </c>
      <c r="AH5028" s="184" t="s">
        <v>678</v>
      </c>
      <c r="AI5028" s="6" t="s">
        <v>1939</v>
      </c>
      <c r="AJ5028" s="3" t="s">
        <v>8234</v>
      </c>
      <c r="AK5028" t="s">
        <v>8234</v>
      </c>
    </row>
    <row r="5029" spans="29:37" ht="13.5">
      <c r="AC5029" s="6" t="s">
        <v>1872</v>
      </c>
      <c r="AD5029" s="6" t="s">
        <v>7776</v>
      </c>
      <c r="AE5029" s="155" t="s">
        <v>809</v>
      </c>
      <c r="AF5029" s="159" t="s">
        <v>8339</v>
      </c>
      <c r="AG5029" s="170" t="s">
        <v>1553</v>
      </c>
      <c r="AH5029" s="184" t="s">
        <v>678</v>
      </c>
      <c r="AI5029" s="6" t="s">
        <v>1940</v>
      </c>
      <c r="AJ5029" s="3" t="s">
        <v>8234</v>
      </c>
      <c r="AK5029" t="s">
        <v>8234</v>
      </c>
    </row>
    <row r="5030" spans="29:37" ht="13.5">
      <c r="AC5030" s="6" t="s">
        <v>813</v>
      </c>
      <c r="AD5030" s="6" t="s">
        <v>7776</v>
      </c>
      <c r="AE5030" s="155" t="s">
        <v>810</v>
      </c>
      <c r="AF5030" s="159" t="s">
        <v>8339</v>
      </c>
      <c r="AG5030" s="170" t="s">
        <v>1554</v>
      </c>
      <c r="AH5030" s="184" t="s">
        <v>678</v>
      </c>
      <c r="AI5030" s="6" t="s">
        <v>1942</v>
      </c>
      <c r="AJ5030" s="3" t="s">
        <v>8234</v>
      </c>
      <c r="AK5030" t="s">
        <v>8234</v>
      </c>
    </row>
    <row r="5031" spans="29:37" ht="13.5">
      <c r="AC5031" s="6" t="s">
        <v>1859</v>
      </c>
      <c r="AD5031" s="6" t="s">
        <v>7776</v>
      </c>
      <c r="AE5031" s="155" t="s">
        <v>811</v>
      </c>
      <c r="AF5031" s="159" t="s">
        <v>8346</v>
      </c>
      <c r="AG5031" s="170" t="s">
        <v>1555</v>
      </c>
      <c r="AH5031" s="184" t="s">
        <v>678</v>
      </c>
      <c r="AI5031" s="6" t="s">
        <v>685</v>
      </c>
      <c r="AJ5031" s="3" t="s">
        <v>8234</v>
      </c>
      <c r="AK5031" t="s">
        <v>8234</v>
      </c>
    </row>
    <row r="5032" spans="29:37" ht="13.5">
      <c r="AC5032" s="6" t="s">
        <v>1939</v>
      </c>
      <c r="AD5032" s="6" t="s">
        <v>7776</v>
      </c>
      <c r="AE5032" s="155" t="s">
        <v>812</v>
      </c>
      <c r="AF5032" s="159" t="s">
        <v>8339</v>
      </c>
      <c r="AG5032" s="170" t="s">
        <v>1556</v>
      </c>
      <c r="AH5032" s="184" t="s">
        <v>678</v>
      </c>
      <c r="AI5032" s="6" t="s">
        <v>1946</v>
      </c>
      <c r="AJ5032" s="3" t="s">
        <v>8234</v>
      </c>
      <c r="AK5032" t="s">
        <v>8234</v>
      </c>
    </row>
    <row r="5033" spans="29:37" ht="13.5">
      <c r="AC5033" s="6" t="s">
        <v>815</v>
      </c>
      <c r="AD5033" s="6" t="s">
        <v>7776</v>
      </c>
      <c r="AE5033" s="155" t="s">
        <v>1934</v>
      </c>
      <c r="AF5033" s="159" t="s">
        <v>8342</v>
      </c>
      <c r="AG5033" s="170" t="s">
        <v>1557</v>
      </c>
      <c r="AH5033" s="184" t="s">
        <v>678</v>
      </c>
      <c r="AI5033" s="6" t="s">
        <v>1948</v>
      </c>
      <c r="AJ5033" s="3" t="s">
        <v>8234</v>
      </c>
      <c r="AK5033" t="s">
        <v>8234</v>
      </c>
    </row>
    <row r="5034" spans="29:37" ht="13.5">
      <c r="AC5034" s="6" t="s">
        <v>742</v>
      </c>
      <c r="AD5034" s="6" t="s">
        <v>7776</v>
      </c>
      <c r="AE5034" s="155" t="s">
        <v>1935</v>
      </c>
      <c r="AF5034" s="159" t="s">
        <v>8299</v>
      </c>
      <c r="AG5034" s="170" t="s">
        <v>1558</v>
      </c>
      <c r="AH5034" s="184" t="s">
        <v>678</v>
      </c>
      <c r="AI5034" s="6" t="s">
        <v>1021</v>
      </c>
      <c r="AJ5034" s="3" t="s">
        <v>8263</v>
      </c>
      <c r="AK5034" t="s">
        <v>8263</v>
      </c>
    </row>
    <row r="5035" spans="29:37" ht="13.5">
      <c r="AC5035" s="6" t="s">
        <v>1880</v>
      </c>
      <c r="AD5035" s="6" t="s">
        <v>7776</v>
      </c>
      <c r="AE5035" s="155" t="s">
        <v>1936</v>
      </c>
      <c r="AF5035" s="159" t="s">
        <v>8342</v>
      </c>
      <c r="AG5035" s="170" t="s">
        <v>1559</v>
      </c>
      <c r="AH5035" s="184" t="s">
        <v>678</v>
      </c>
      <c r="AI5035" s="6" t="s">
        <v>841</v>
      </c>
      <c r="AJ5035" s="3" t="s">
        <v>8263</v>
      </c>
      <c r="AK5035" t="s">
        <v>8263</v>
      </c>
    </row>
    <row r="5036" spans="29:37" ht="13.5">
      <c r="AC5036" s="6" t="s">
        <v>948</v>
      </c>
      <c r="AD5036" s="6" t="s">
        <v>7776</v>
      </c>
      <c r="AE5036" s="155" t="s">
        <v>1937</v>
      </c>
      <c r="AF5036" s="159" t="s">
        <v>8299</v>
      </c>
      <c r="AG5036" s="170" t="s">
        <v>1560</v>
      </c>
      <c r="AH5036" s="184" t="s">
        <v>679</v>
      </c>
      <c r="AI5036" s="6" t="s">
        <v>843</v>
      </c>
      <c r="AJ5036" s="3" t="s">
        <v>8273</v>
      </c>
      <c r="AK5036" t="s">
        <v>8273</v>
      </c>
    </row>
    <row r="5037" spans="29:37" ht="13.5">
      <c r="AC5037" s="6" t="s">
        <v>1944</v>
      </c>
      <c r="AD5037" s="6" t="s">
        <v>7776</v>
      </c>
      <c r="AE5037" s="155" t="s">
        <v>1938</v>
      </c>
      <c r="AF5037" s="159" t="s">
        <v>8299</v>
      </c>
      <c r="AG5037" s="170" t="s">
        <v>1561</v>
      </c>
      <c r="AH5037" s="184" t="s">
        <v>678</v>
      </c>
      <c r="AI5037" s="6" t="s">
        <v>851</v>
      </c>
      <c r="AJ5037" s="3" t="s">
        <v>8263</v>
      </c>
      <c r="AK5037" t="s">
        <v>8263</v>
      </c>
    </row>
    <row r="5038" spans="29:37" ht="13.5">
      <c r="AC5038" s="6" t="s">
        <v>685</v>
      </c>
      <c r="AD5038" s="6" t="s">
        <v>7776</v>
      </c>
      <c r="AE5038" s="155" t="s">
        <v>1258</v>
      </c>
      <c r="AF5038" s="159" t="s">
        <v>8312</v>
      </c>
      <c r="AG5038" s="170" t="s">
        <v>661</v>
      </c>
      <c r="AH5038" s="184" t="s">
        <v>678</v>
      </c>
      <c r="AI5038" s="6" t="s">
        <v>1023</v>
      </c>
      <c r="AJ5038" s="3" t="s">
        <v>8222</v>
      </c>
      <c r="AK5038" t="s">
        <v>8670</v>
      </c>
    </row>
    <row r="5039" spans="29:37" ht="13.5">
      <c r="AC5039" s="6" t="s">
        <v>1256</v>
      </c>
      <c r="AD5039" s="6" t="s">
        <v>7776</v>
      </c>
      <c r="AE5039" s="155" t="s">
        <v>813</v>
      </c>
      <c r="AF5039" s="159" t="s">
        <v>8351</v>
      </c>
      <c r="AG5039" s="170" t="s">
        <v>662</v>
      </c>
      <c r="AH5039" s="184" t="s">
        <v>679</v>
      </c>
      <c r="AI5039" s="6" t="s">
        <v>4506</v>
      </c>
      <c r="AJ5039" s="3" t="s">
        <v>8222</v>
      </c>
      <c r="AK5039" t="s">
        <v>8670</v>
      </c>
    </row>
    <row r="5040" spans="29:37" ht="13.5">
      <c r="AC5040" s="6" t="s">
        <v>1259</v>
      </c>
      <c r="AD5040" s="6" t="s">
        <v>7776</v>
      </c>
      <c r="AE5040" s="155" t="s">
        <v>814</v>
      </c>
      <c r="AF5040" s="159" t="s">
        <v>8299</v>
      </c>
      <c r="AG5040" s="170" t="s">
        <v>1569</v>
      </c>
      <c r="AH5040" s="184" t="s">
        <v>679</v>
      </c>
      <c r="AI5040" s="6" t="s">
        <v>4504</v>
      </c>
      <c r="AJ5040" s="3" t="s">
        <v>8222</v>
      </c>
      <c r="AK5040" t="s">
        <v>8670</v>
      </c>
    </row>
    <row r="5041" spans="29:37" ht="13.5">
      <c r="AC5041" s="6" t="s">
        <v>1857</v>
      </c>
      <c r="AD5041" s="6" t="s">
        <v>7776</v>
      </c>
      <c r="AE5041" s="155" t="s">
        <v>1939</v>
      </c>
      <c r="AF5041" s="159" t="s">
        <v>8339</v>
      </c>
      <c r="AG5041" s="170" t="s">
        <v>1570</v>
      </c>
      <c r="AH5041" s="184" t="s">
        <v>679</v>
      </c>
      <c r="AI5041" s="6" t="s">
        <v>4765</v>
      </c>
      <c r="AJ5041" s="3" t="s">
        <v>8222</v>
      </c>
      <c r="AK5041" t="s">
        <v>8670</v>
      </c>
    </row>
    <row r="5042" spans="29:37" ht="13.5">
      <c r="AC5042" s="6" t="s">
        <v>1876</v>
      </c>
      <c r="AD5042" s="6" t="s">
        <v>7776</v>
      </c>
      <c r="AE5042" s="155" t="s">
        <v>1259</v>
      </c>
      <c r="AF5042" s="159" t="s">
        <v>8339</v>
      </c>
      <c r="AG5042" s="170" t="s">
        <v>663</v>
      </c>
      <c r="AH5042" s="184" t="s">
        <v>678</v>
      </c>
      <c r="AI5042" s="6" t="s">
        <v>5742</v>
      </c>
      <c r="AJ5042" s="3" t="s">
        <v>8234</v>
      </c>
      <c r="AK5042" t="s">
        <v>8234</v>
      </c>
    </row>
    <row r="5043" spans="29:37" ht="13.5">
      <c r="AC5043" s="6" t="s">
        <v>2261</v>
      </c>
      <c r="AD5043" s="6" t="s">
        <v>7776</v>
      </c>
      <c r="AE5043" s="155" t="s">
        <v>815</v>
      </c>
      <c r="AF5043" s="159" t="s">
        <v>8299</v>
      </c>
      <c r="AG5043" s="170" t="s">
        <v>664</v>
      </c>
      <c r="AH5043" s="184" t="s">
        <v>679</v>
      </c>
      <c r="AI5043" s="6" t="s">
        <v>5309</v>
      </c>
      <c r="AJ5043" s="3" t="s">
        <v>8222</v>
      </c>
      <c r="AK5043" t="s">
        <v>8670</v>
      </c>
    </row>
    <row r="5044" spans="29:37" ht="13.5">
      <c r="AC5044" s="6" t="s">
        <v>1950</v>
      </c>
      <c r="AD5044" s="6" t="s">
        <v>7768</v>
      </c>
      <c r="AE5044" s="155" t="s">
        <v>816</v>
      </c>
      <c r="AF5044" s="159" t="s">
        <v>8339</v>
      </c>
      <c r="AG5044" s="170" t="s">
        <v>1614</v>
      </c>
      <c r="AH5044" s="184" t="s">
        <v>679</v>
      </c>
      <c r="AI5044" s="6" t="s">
        <v>5305</v>
      </c>
      <c r="AJ5044" s="3" t="s">
        <v>8222</v>
      </c>
      <c r="AK5044" t="s">
        <v>8670</v>
      </c>
    </row>
    <row r="5045" spans="29:37" ht="13.5">
      <c r="AC5045" s="6" t="s">
        <v>1854</v>
      </c>
      <c r="AD5045" s="6" t="s">
        <v>7776</v>
      </c>
      <c r="AE5045" s="155" t="s">
        <v>1940</v>
      </c>
      <c r="AF5045" s="159" t="s">
        <v>8339</v>
      </c>
      <c r="AG5045" s="170" t="s">
        <v>665</v>
      </c>
      <c r="AH5045" s="184" t="s">
        <v>678</v>
      </c>
      <c r="AI5045" s="6" t="s">
        <v>5297</v>
      </c>
      <c r="AJ5045" s="3" t="s">
        <v>8263</v>
      </c>
      <c r="AK5045" t="s">
        <v>8263</v>
      </c>
    </row>
    <row r="5046" spans="29:37" ht="13.5">
      <c r="AC5046" s="6" t="s">
        <v>1904</v>
      </c>
      <c r="AD5046" s="6" t="s">
        <v>7785</v>
      </c>
      <c r="AE5046" s="155" t="s">
        <v>817</v>
      </c>
      <c r="AF5046" s="159" t="s">
        <v>8309</v>
      </c>
      <c r="AG5046" s="170" t="s">
        <v>1615</v>
      </c>
      <c r="AH5046" s="184" t="s">
        <v>679</v>
      </c>
      <c r="AI5046" s="6" t="s">
        <v>5378</v>
      </c>
      <c r="AJ5046" s="3" t="s">
        <v>8222</v>
      </c>
      <c r="AK5046" t="s">
        <v>8670</v>
      </c>
    </row>
    <row r="5047" spans="29:37" ht="13.5">
      <c r="AC5047" s="6" t="s">
        <v>1956</v>
      </c>
      <c r="AD5047" s="6" t="s">
        <v>7785</v>
      </c>
      <c r="AE5047" s="155" t="s">
        <v>1941</v>
      </c>
      <c r="AF5047" s="159" t="s">
        <v>8300</v>
      </c>
      <c r="AG5047" s="170" t="s">
        <v>1616</v>
      </c>
      <c r="AH5047" s="184" t="s">
        <v>678</v>
      </c>
      <c r="AI5047" s="6" t="s">
        <v>5561</v>
      </c>
      <c r="AJ5047" s="3" t="s">
        <v>8263</v>
      </c>
      <c r="AK5047" t="s">
        <v>8263</v>
      </c>
    </row>
    <row r="5048" spans="29:37" ht="13.5">
      <c r="AC5048" s="6" t="s">
        <v>1908</v>
      </c>
      <c r="AD5048" s="6" t="s">
        <v>7776</v>
      </c>
      <c r="AE5048" s="155" t="s">
        <v>1942</v>
      </c>
      <c r="AF5048" s="159" t="s">
        <v>8351</v>
      </c>
      <c r="AG5048" s="170" t="s">
        <v>1617</v>
      </c>
      <c r="AH5048" s="184" t="s">
        <v>678</v>
      </c>
      <c r="AI5048" s="6" t="s">
        <v>1890</v>
      </c>
      <c r="AJ5048" s="3" t="s">
        <v>8217</v>
      </c>
      <c r="AK5048" t="s">
        <v>8668</v>
      </c>
    </row>
    <row r="5049" spans="29:37" ht="13.5">
      <c r="AC5049" s="6" t="s">
        <v>2230</v>
      </c>
      <c r="AD5049" s="6" t="s">
        <v>7776</v>
      </c>
      <c r="AE5049" s="155" t="s">
        <v>1943</v>
      </c>
      <c r="AF5049" s="159" t="s">
        <v>8300</v>
      </c>
      <c r="AG5049" s="170" t="s">
        <v>1618</v>
      </c>
      <c r="AH5049" s="184" t="s">
        <v>679</v>
      </c>
      <c r="AI5049" s="6" t="s">
        <v>2865</v>
      </c>
      <c r="AJ5049" s="3" t="s">
        <v>8204</v>
      </c>
      <c r="AK5049" t="s">
        <v>8204</v>
      </c>
    </row>
    <row r="5050" spans="29:37" ht="13.5">
      <c r="AC5050" s="6">
        <v>255312</v>
      </c>
      <c r="AD5050" s="6" t="s">
        <v>7786</v>
      </c>
      <c r="AE5050" s="155" t="s">
        <v>685</v>
      </c>
      <c r="AF5050" s="159" t="s">
        <v>8342</v>
      </c>
      <c r="AG5050" s="170" t="s">
        <v>1619</v>
      </c>
      <c r="AH5050" s="184" t="s">
        <v>678</v>
      </c>
      <c r="AI5050" s="6" t="s">
        <v>2882</v>
      </c>
      <c r="AJ5050" s="3" t="s">
        <v>8204</v>
      </c>
      <c r="AK5050" t="s">
        <v>8204</v>
      </c>
    </row>
    <row r="5051" spans="29:37" ht="13.5">
      <c r="AC5051" s="6" t="s">
        <v>1770</v>
      </c>
      <c r="AD5051" s="6" t="s">
        <v>7785</v>
      </c>
      <c r="AE5051" s="155" t="s">
        <v>818</v>
      </c>
      <c r="AF5051" s="159" t="s">
        <v>8345</v>
      </c>
      <c r="AG5051" s="170" t="s">
        <v>1620</v>
      </c>
      <c r="AH5051" s="184" t="s">
        <v>678</v>
      </c>
      <c r="AI5051" s="6" t="s">
        <v>2901</v>
      </c>
      <c r="AJ5051" s="3" t="s">
        <v>8246</v>
      </c>
      <c r="AK5051" t="s">
        <v>8246</v>
      </c>
    </row>
    <row r="5052" spans="29:37" ht="13.5">
      <c r="AC5052" s="6" t="s">
        <v>1957</v>
      </c>
      <c r="AD5052" s="6" t="s">
        <v>7785</v>
      </c>
      <c r="AE5052" s="155" t="s">
        <v>1261</v>
      </c>
      <c r="AF5052" s="159" t="s">
        <v>8339</v>
      </c>
      <c r="AG5052" s="170" t="s">
        <v>1621</v>
      </c>
      <c r="AH5052" s="184" t="s">
        <v>679</v>
      </c>
      <c r="AI5052" s="6" t="s">
        <v>2909</v>
      </c>
      <c r="AJ5052" s="3" t="s">
        <v>8193</v>
      </c>
      <c r="AK5052" t="s">
        <v>8205</v>
      </c>
    </row>
    <row r="5053" spans="29:37" ht="13.5">
      <c r="AC5053" s="6" t="s">
        <v>5318</v>
      </c>
      <c r="AD5053" s="6" t="s">
        <v>7776</v>
      </c>
      <c r="AE5053" s="155" t="s">
        <v>1944</v>
      </c>
      <c r="AF5053" s="159" t="s">
        <v>8339</v>
      </c>
      <c r="AG5053" s="170" t="s">
        <v>666</v>
      </c>
      <c r="AH5053" s="184" t="s">
        <v>678</v>
      </c>
      <c r="AI5053" s="6" t="s">
        <v>2931</v>
      </c>
      <c r="AJ5053" s="3" t="s">
        <v>8193</v>
      </c>
      <c r="AK5053" t="s">
        <v>8205</v>
      </c>
    </row>
    <row r="5054" spans="29:37" ht="13.5">
      <c r="AC5054" s="6" t="s">
        <v>1972</v>
      </c>
      <c r="AD5054" s="6" t="s">
        <v>7776</v>
      </c>
      <c r="AE5054" s="155" t="s">
        <v>1945</v>
      </c>
      <c r="AF5054" s="159" t="s">
        <v>8339</v>
      </c>
      <c r="AG5054" s="171" t="s">
        <v>667</v>
      </c>
      <c r="AH5054" s="184" t="s">
        <v>678</v>
      </c>
      <c r="AI5054" s="6" t="s">
        <v>2943</v>
      </c>
      <c r="AJ5054" s="3" t="s">
        <v>8240</v>
      </c>
      <c r="AK5054" t="s">
        <v>8240</v>
      </c>
    </row>
    <row r="5055" spans="29:37" ht="13.5">
      <c r="AC5055" s="6" t="s">
        <v>1257</v>
      </c>
      <c r="AD5055" s="6" t="s">
        <v>7776</v>
      </c>
      <c r="AE5055" s="155" t="s">
        <v>1946</v>
      </c>
      <c r="AF5055" s="159" t="s">
        <v>8353</v>
      </c>
      <c r="AG5055" s="170" t="s">
        <v>668</v>
      </c>
      <c r="AH5055" s="184" t="s">
        <v>679</v>
      </c>
      <c r="AI5055" s="6" t="s">
        <v>2945</v>
      </c>
      <c r="AJ5055" s="3" t="s">
        <v>8240</v>
      </c>
      <c r="AK5055" t="s">
        <v>8240</v>
      </c>
    </row>
    <row r="5056" spans="29:37" ht="13.5">
      <c r="AC5056" s="6" t="s">
        <v>1873</v>
      </c>
      <c r="AD5056" s="6" t="s">
        <v>7776</v>
      </c>
      <c r="AE5056" s="155" t="s">
        <v>1947</v>
      </c>
      <c r="AF5056" s="159" t="s">
        <v>8299</v>
      </c>
      <c r="AG5056" s="170" t="s">
        <v>1622</v>
      </c>
      <c r="AH5056" s="184" t="s">
        <v>678</v>
      </c>
      <c r="AI5056" s="6" t="s">
        <v>2946</v>
      </c>
      <c r="AJ5056" s="3" t="s">
        <v>8240</v>
      </c>
      <c r="AK5056" t="s">
        <v>8240</v>
      </c>
    </row>
    <row r="5057" spans="29:37" ht="13.5">
      <c r="AC5057" s="6" t="s">
        <v>2151</v>
      </c>
      <c r="AD5057" s="6" t="s">
        <v>7785</v>
      </c>
      <c r="AE5057" s="155" t="s">
        <v>1948</v>
      </c>
      <c r="AF5057" s="159" t="s">
        <v>8339</v>
      </c>
      <c r="AG5057" s="170" t="s">
        <v>1623</v>
      </c>
      <c r="AH5057" s="184" t="s">
        <v>678</v>
      </c>
      <c r="AI5057" s="6" t="s">
        <v>2955</v>
      </c>
      <c r="AJ5057" s="3" t="s">
        <v>8204</v>
      </c>
      <c r="AK5057" t="s">
        <v>8204</v>
      </c>
    </row>
    <row r="5058" spans="29:37" ht="13.5">
      <c r="AC5058" s="6" t="s">
        <v>1960</v>
      </c>
      <c r="AD5058" s="6" t="s">
        <v>7785</v>
      </c>
      <c r="AE5058" s="155" t="s">
        <v>1949</v>
      </c>
      <c r="AF5058" s="159" t="s">
        <v>8342</v>
      </c>
      <c r="AG5058" s="170" t="s">
        <v>669</v>
      </c>
      <c r="AH5058" s="184" t="s">
        <v>679</v>
      </c>
      <c r="AI5058" s="6" t="s">
        <v>2961</v>
      </c>
      <c r="AJ5058" s="3" t="s">
        <v>8220</v>
      </c>
      <c r="AK5058" t="s">
        <v>8220</v>
      </c>
    </row>
    <row r="5059" spans="29:37" ht="13.5">
      <c r="AC5059" s="6" t="s">
        <v>1905</v>
      </c>
      <c r="AD5059" s="6" t="s">
        <v>7785</v>
      </c>
      <c r="AE5059" s="155" t="s">
        <v>1260</v>
      </c>
      <c r="AF5059" s="159" t="s">
        <v>8300</v>
      </c>
      <c r="AG5059" s="170" t="s">
        <v>1624</v>
      </c>
      <c r="AH5059" s="184" t="s">
        <v>678</v>
      </c>
      <c r="AI5059" s="6" t="s">
        <v>2965</v>
      </c>
      <c r="AJ5059" s="3" t="s">
        <v>8220</v>
      </c>
      <c r="AK5059" t="s">
        <v>8220</v>
      </c>
    </row>
    <row r="5060" spans="29:37" ht="13.5">
      <c r="AC5060" s="6">
        <v>545380</v>
      </c>
      <c r="AD5060" s="6" t="s">
        <v>7780</v>
      </c>
      <c r="AE5060" s="155" t="s">
        <v>1950</v>
      </c>
      <c r="AF5060" s="159" t="s">
        <v>8309</v>
      </c>
      <c r="AG5060" s="170" t="s">
        <v>1625</v>
      </c>
      <c r="AH5060" s="184" t="s">
        <v>678</v>
      </c>
      <c r="AI5060" s="6" t="s">
        <v>2970</v>
      </c>
      <c r="AJ5060" s="3" t="s">
        <v>8205</v>
      </c>
      <c r="AK5060" t="s">
        <v>8211</v>
      </c>
    </row>
    <row r="5061" spans="29:37" ht="13.5">
      <c r="AC5061" s="6" t="s">
        <v>1928</v>
      </c>
      <c r="AD5061" s="6" t="s">
        <v>7776</v>
      </c>
      <c r="AE5061" s="155" t="s">
        <v>819</v>
      </c>
      <c r="AF5061" s="159" t="s">
        <v>8300</v>
      </c>
      <c r="AG5061" s="170" t="s">
        <v>670</v>
      </c>
      <c r="AH5061" s="184" t="s">
        <v>678</v>
      </c>
      <c r="AI5061" s="6" t="s">
        <v>2971</v>
      </c>
      <c r="AJ5061" s="3" t="s">
        <v>8205</v>
      </c>
      <c r="AK5061" t="s">
        <v>8211</v>
      </c>
    </row>
    <row r="5062" spans="29:37" ht="13.5">
      <c r="AC5062" s="6" t="s">
        <v>1958</v>
      </c>
      <c r="AD5062" s="6" t="s">
        <v>7785</v>
      </c>
      <c r="AE5062" s="155" t="s">
        <v>820</v>
      </c>
      <c r="AF5062" s="159" t="s">
        <v>8300</v>
      </c>
      <c r="AG5062" s="170" t="s">
        <v>1626</v>
      </c>
      <c r="AH5062" s="184" t="s">
        <v>679</v>
      </c>
      <c r="AI5062" s="6" t="s">
        <v>2972</v>
      </c>
      <c r="AJ5062" s="3" t="s">
        <v>8205</v>
      </c>
      <c r="AK5062" t="s">
        <v>8211</v>
      </c>
    </row>
    <row r="5063" spans="29:37" ht="13.5">
      <c r="AC5063" s="6" t="s">
        <v>1914</v>
      </c>
      <c r="AD5063" s="6" t="s">
        <v>7787</v>
      </c>
      <c r="AE5063" s="155" t="s">
        <v>821</v>
      </c>
      <c r="AF5063" s="159" t="s">
        <v>8342</v>
      </c>
      <c r="AG5063" s="170" t="s">
        <v>1627</v>
      </c>
      <c r="AH5063" s="184" t="s">
        <v>678</v>
      </c>
      <c r="AI5063" s="6" t="s">
        <v>2973</v>
      </c>
      <c r="AJ5063" s="3" t="s">
        <v>8205</v>
      </c>
      <c r="AK5063" t="s">
        <v>8211</v>
      </c>
    </row>
    <row r="5064" spans="29:37" ht="13.5">
      <c r="AC5064" s="6" t="s">
        <v>2157</v>
      </c>
      <c r="AD5064" s="6" t="s">
        <v>7788</v>
      </c>
      <c r="AE5064" s="155" t="s">
        <v>822</v>
      </c>
      <c r="AF5064" s="159" t="s">
        <v>8296</v>
      </c>
      <c r="AG5064" s="170" t="s">
        <v>1628</v>
      </c>
      <c r="AH5064" s="184" t="s">
        <v>678</v>
      </c>
      <c r="AI5064" s="6" t="s">
        <v>2977</v>
      </c>
      <c r="AJ5064" s="3" t="s">
        <v>8211</v>
      </c>
      <c r="AK5064" t="s">
        <v>8242</v>
      </c>
    </row>
    <row r="5065" spans="29:37" ht="13.5">
      <c r="AC5065" s="6" t="s">
        <v>5485</v>
      </c>
      <c r="AD5065" s="6" t="s">
        <v>7787</v>
      </c>
      <c r="AE5065" s="155" t="s">
        <v>823</v>
      </c>
      <c r="AF5065" s="159" t="s">
        <v>8300</v>
      </c>
      <c r="AG5065" s="170" t="s">
        <v>1629</v>
      </c>
      <c r="AH5065" s="184" t="s">
        <v>678</v>
      </c>
      <c r="AI5065" s="6" t="s">
        <v>2986</v>
      </c>
      <c r="AJ5065" s="3" t="s">
        <v>8204</v>
      </c>
      <c r="AK5065" t="s">
        <v>8204</v>
      </c>
    </row>
    <row r="5066" spans="29:37" ht="13.5">
      <c r="AC5066" s="6" t="s">
        <v>1736</v>
      </c>
      <c r="AD5066" s="6" t="s">
        <v>7789</v>
      </c>
      <c r="AE5066" s="155" t="s">
        <v>824</v>
      </c>
      <c r="AF5066" s="159" t="s">
        <v>8300</v>
      </c>
      <c r="AG5066" s="170" t="s">
        <v>671</v>
      </c>
      <c r="AH5066" s="184" t="s">
        <v>679</v>
      </c>
      <c r="AI5066" s="6" t="s">
        <v>2994</v>
      </c>
      <c r="AJ5066" s="3" t="s">
        <v>8247</v>
      </c>
      <c r="AK5066" t="s">
        <v>8247</v>
      </c>
    </row>
    <row r="5067" spans="29:37" ht="13.5">
      <c r="AC5067" s="6">
        <v>782449</v>
      </c>
      <c r="AD5067" s="6" t="s">
        <v>7790</v>
      </c>
      <c r="AE5067" s="155" t="s">
        <v>825</v>
      </c>
      <c r="AF5067" s="159" t="s">
        <v>8309</v>
      </c>
      <c r="AG5067" s="170" t="s">
        <v>1630</v>
      </c>
      <c r="AH5067" s="184" t="s">
        <v>679</v>
      </c>
      <c r="AI5067" s="6" t="s">
        <v>2995</v>
      </c>
      <c r="AJ5067" s="3" t="s">
        <v>8211</v>
      </c>
      <c r="AK5067" t="s">
        <v>8242</v>
      </c>
    </row>
    <row r="5068" spans="29:37" ht="13.5">
      <c r="AC5068" s="6" t="s">
        <v>1720</v>
      </c>
      <c r="AD5068" s="6" t="s">
        <v>7776</v>
      </c>
      <c r="AE5068" s="155" t="s">
        <v>826</v>
      </c>
      <c r="AF5068" s="159" t="s">
        <v>8300</v>
      </c>
      <c r="AG5068" s="170" t="s">
        <v>672</v>
      </c>
      <c r="AH5068" s="184" t="s">
        <v>678</v>
      </c>
      <c r="AI5068" s="6" t="s">
        <v>3009</v>
      </c>
      <c r="AJ5068" s="3" t="s">
        <v>8246</v>
      </c>
      <c r="AK5068" t="s">
        <v>8246</v>
      </c>
    </row>
    <row r="5069" spans="29:37" ht="13.5">
      <c r="AC5069" s="6" t="s">
        <v>1951</v>
      </c>
      <c r="AD5069" s="6" t="s">
        <v>7789</v>
      </c>
      <c r="AE5069" s="155" t="s">
        <v>827</v>
      </c>
      <c r="AF5069" s="159" t="s">
        <v>8300</v>
      </c>
      <c r="AG5069" s="170" t="s">
        <v>673</v>
      </c>
      <c r="AH5069" s="184" t="s">
        <v>678</v>
      </c>
      <c r="AI5069" s="6" t="s">
        <v>3012</v>
      </c>
      <c r="AJ5069" s="3" t="s">
        <v>8246</v>
      </c>
      <c r="AK5069" t="s">
        <v>8246</v>
      </c>
    </row>
    <row r="5070" spans="29:37" ht="13.5">
      <c r="AC5070" s="6" t="s">
        <v>2078</v>
      </c>
      <c r="AD5070" s="6" t="s">
        <v>7787</v>
      </c>
      <c r="AE5070" s="155" t="s">
        <v>1021</v>
      </c>
      <c r="AF5070" s="159" t="s">
        <v>8339</v>
      </c>
      <c r="AG5070" s="170" t="s">
        <v>674</v>
      </c>
      <c r="AH5070" s="184" t="s">
        <v>678</v>
      </c>
      <c r="AI5070" s="6" t="s">
        <v>3013</v>
      </c>
      <c r="AJ5070" s="3" t="s">
        <v>8193</v>
      </c>
      <c r="AK5070" t="s">
        <v>8205</v>
      </c>
    </row>
    <row r="5071" spans="29:37" ht="13.5">
      <c r="AC5071" s="6" t="s">
        <v>1954</v>
      </c>
      <c r="AD5071" s="6" t="s">
        <v>7789</v>
      </c>
      <c r="AE5071" s="155" t="s">
        <v>828</v>
      </c>
      <c r="AF5071" s="159" t="s">
        <v>8300</v>
      </c>
      <c r="AG5071" s="170" t="s">
        <v>1631</v>
      </c>
      <c r="AH5071" s="184" t="s">
        <v>678</v>
      </c>
      <c r="AI5071" s="6" t="s">
        <v>3016</v>
      </c>
      <c r="AJ5071" s="3" t="s">
        <v>8193</v>
      </c>
      <c r="AK5071" t="s">
        <v>8205</v>
      </c>
    </row>
    <row r="5072" spans="29:37" ht="13.5">
      <c r="AC5072" s="6" t="s">
        <v>1886</v>
      </c>
      <c r="AD5072" s="6" t="s">
        <v>7789</v>
      </c>
      <c r="AE5072" s="155" t="s">
        <v>829</v>
      </c>
      <c r="AF5072" s="159" t="s">
        <v>8300</v>
      </c>
      <c r="AG5072" s="170" t="s">
        <v>4703</v>
      </c>
      <c r="AH5072" s="184" t="s">
        <v>678</v>
      </c>
      <c r="AI5072" s="6" t="s">
        <v>3017</v>
      </c>
      <c r="AJ5072" s="3" t="s">
        <v>8193</v>
      </c>
      <c r="AK5072" t="s">
        <v>8205</v>
      </c>
    </row>
    <row r="5073" spans="29:37" ht="13.5">
      <c r="AC5073" s="6" t="s">
        <v>1953</v>
      </c>
      <c r="AD5073" s="6" t="s">
        <v>7789</v>
      </c>
      <c r="AE5073" s="155" t="s">
        <v>830</v>
      </c>
      <c r="AF5073" s="159" t="s">
        <v>8300</v>
      </c>
      <c r="AG5073" s="170" t="s">
        <v>4714</v>
      </c>
      <c r="AH5073" s="184" t="s">
        <v>678</v>
      </c>
      <c r="AI5073" s="6" t="s">
        <v>3018</v>
      </c>
      <c r="AJ5073" s="3" t="s">
        <v>8264</v>
      </c>
      <c r="AK5073" t="s">
        <v>8264</v>
      </c>
    </row>
    <row r="5074" spans="29:37" ht="13.5">
      <c r="AC5074" s="6" t="s">
        <v>1917</v>
      </c>
      <c r="AD5074" s="6" t="s">
        <v>7787</v>
      </c>
      <c r="AE5074" s="155" t="s">
        <v>831</v>
      </c>
      <c r="AF5074" s="159" t="s">
        <v>8339</v>
      </c>
      <c r="AG5074" s="170" t="s">
        <v>4712</v>
      </c>
      <c r="AH5074" s="184" t="s">
        <v>678</v>
      </c>
      <c r="AI5074" s="6" t="s">
        <v>3019</v>
      </c>
      <c r="AJ5074" s="3" t="s">
        <v>8247</v>
      </c>
      <c r="AK5074" t="s">
        <v>8247</v>
      </c>
    </row>
    <row r="5075" spans="29:37" ht="13.5">
      <c r="AC5075" s="6" t="s">
        <v>1738</v>
      </c>
      <c r="AD5075" s="6" t="s">
        <v>7789</v>
      </c>
      <c r="AE5075" s="155" t="s">
        <v>832</v>
      </c>
      <c r="AF5075" s="159" t="s">
        <v>8342</v>
      </c>
      <c r="AG5075" s="170" t="s">
        <v>5285</v>
      </c>
      <c r="AH5075" s="184" t="s">
        <v>678</v>
      </c>
      <c r="AI5075" s="6" t="s">
        <v>3031</v>
      </c>
      <c r="AJ5075" s="3" t="s">
        <v>8247</v>
      </c>
      <c r="AK5075" t="s">
        <v>8247</v>
      </c>
    </row>
    <row r="5076" spans="29:37" ht="13.5">
      <c r="AC5076" s="6" t="s">
        <v>1971</v>
      </c>
      <c r="AD5076" s="6" t="s">
        <v>7776</v>
      </c>
      <c r="AE5076" s="155" t="s">
        <v>833</v>
      </c>
      <c r="AF5076" s="159" t="s">
        <v>8300</v>
      </c>
      <c r="AG5076" s="170" t="s">
        <v>5477</v>
      </c>
      <c r="AH5076" s="184" t="s">
        <v>678</v>
      </c>
      <c r="AI5076" s="6" t="s">
        <v>3032</v>
      </c>
      <c r="AJ5076" s="3" t="s">
        <v>8240</v>
      </c>
      <c r="AK5076" t="s">
        <v>8240</v>
      </c>
    </row>
    <row r="5077" spans="29:37" ht="13.5">
      <c r="AC5077" s="6" t="s">
        <v>1925</v>
      </c>
      <c r="AD5077" s="6" t="s">
        <v>7789</v>
      </c>
      <c r="AE5077" s="155" t="s">
        <v>834</v>
      </c>
      <c r="AF5077" s="159" t="s">
        <v>8320</v>
      </c>
      <c r="AG5077" s="170" t="s">
        <v>5097</v>
      </c>
      <c r="AH5077" s="184" t="s">
        <v>679</v>
      </c>
      <c r="AI5077" s="6" t="s">
        <v>3034</v>
      </c>
      <c r="AJ5077" s="3" t="s">
        <v>8240</v>
      </c>
      <c r="AK5077" t="s">
        <v>8240</v>
      </c>
    </row>
    <row r="5078" spans="29:37" ht="13.5">
      <c r="AC5078" s="6" t="s">
        <v>1903</v>
      </c>
      <c r="AD5078" s="6" t="s">
        <v>7785</v>
      </c>
      <c r="AE5078" s="155" t="s">
        <v>835</v>
      </c>
      <c r="AF5078" s="159" t="s">
        <v>8300</v>
      </c>
      <c r="AG5078" s="170" t="s">
        <v>5104</v>
      </c>
      <c r="AH5078" s="184" t="s">
        <v>679</v>
      </c>
      <c r="AI5078" s="6" t="s">
        <v>3038</v>
      </c>
      <c r="AJ5078" s="3" t="s">
        <v>8193</v>
      </c>
      <c r="AK5078" t="s">
        <v>8205</v>
      </c>
    </row>
    <row r="5079" spans="29:37" ht="13.5">
      <c r="AC5079" s="6" t="s">
        <v>1737</v>
      </c>
      <c r="AD5079" s="6" t="s">
        <v>7789</v>
      </c>
      <c r="AE5079" s="155" t="s">
        <v>836</v>
      </c>
      <c r="AF5079" s="159" t="s">
        <v>8339</v>
      </c>
      <c r="AG5079" s="170" t="s">
        <v>5105</v>
      </c>
      <c r="AH5079" s="184" t="s">
        <v>679</v>
      </c>
      <c r="AI5079" s="6" t="s">
        <v>3042</v>
      </c>
      <c r="AJ5079" s="3" t="s">
        <v>8203</v>
      </c>
      <c r="AK5079" t="s">
        <v>8203</v>
      </c>
    </row>
    <row r="5080" spans="29:37" ht="13.5">
      <c r="AC5080" s="6" t="s">
        <v>1952</v>
      </c>
      <c r="AD5080" s="6" t="s">
        <v>7789</v>
      </c>
      <c r="AE5080" s="155" t="s">
        <v>837</v>
      </c>
      <c r="AF5080" s="159" t="s">
        <v>8300</v>
      </c>
      <c r="AG5080" s="170" t="s">
        <v>5185</v>
      </c>
      <c r="AH5080" s="184" t="s">
        <v>679</v>
      </c>
      <c r="AI5080" s="6" t="s">
        <v>3044</v>
      </c>
      <c r="AJ5080" s="3" t="s">
        <v>8204</v>
      </c>
      <c r="AK5080" t="s">
        <v>8204</v>
      </c>
    </row>
    <row r="5081" spans="29:37" ht="13.5">
      <c r="AC5081" s="6">
        <v>575386</v>
      </c>
      <c r="AD5081" s="6" t="s">
        <v>7782</v>
      </c>
      <c r="AE5081" s="155" t="s">
        <v>838</v>
      </c>
      <c r="AF5081" s="159" t="s">
        <v>8300</v>
      </c>
      <c r="AG5081" s="170" t="s">
        <v>5194</v>
      </c>
      <c r="AH5081" s="184" t="s">
        <v>679</v>
      </c>
      <c r="AI5081" s="6" t="s">
        <v>3047</v>
      </c>
      <c r="AJ5081" s="3" t="s">
        <v>8211</v>
      </c>
      <c r="AK5081" t="s">
        <v>8242</v>
      </c>
    </row>
    <row r="5082" spans="29:37" ht="13.5">
      <c r="AC5082" s="6" t="s">
        <v>2180</v>
      </c>
      <c r="AD5082" s="6" t="s">
        <v>7788</v>
      </c>
      <c r="AE5082" s="155" t="s">
        <v>839</v>
      </c>
      <c r="AF5082" s="159" t="s">
        <v>8342</v>
      </c>
      <c r="AG5082" s="170" t="s">
        <v>5086</v>
      </c>
      <c r="AH5082" s="184" t="s">
        <v>679</v>
      </c>
      <c r="AI5082" s="6" t="s">
        <v>3058</v>
      </c>
      <c r="AJ5082" s="3" t="s">
        <v>8264</v>
      </c>
      <c r="AK5082" t="s">
        <v>8264</v>
      </c>
    </row>
    <row r="5083" spans="29:37" ht="13.5">
      <c r="AC5083" s="6" t="s">
        <v>1955</v>
      </c>
      <c r="AD5083" s="6" t="s">
        <v>7789</v>
      </c>
      <c r="AE5083" s="155" t="s">
        <v>840</v>
      </c>
      <c r="AF5083" s="159" t="s">
        <v>8300</v>
      </c>
      <c r="AG5083" s="170" t="s">
        <v>5241</v>
      </c>
      <c r="AH5083" s="184" t="s">
        <v>679</v>
      </c>
      <c r="AI5083" s="6" t="s">
        <v>3060</v>
      </c>
      <c r="AJ5083" s="3" t="s">
        <v>8246</v>
      </c>
      <c r="AK5083" t="s">
        <v>8246</v>
      </c>
    </row>
    <row r="5084" spans="29:37" ht="13.5">
      <c r="AC5084" s="6" t="s">
        <v>1887</v>
      </c>
      <c r="AD5084" s="6" t="s">
        <v>7789</v>
      </c>
      <c r="AE5084" s="155" t="s">
        <v>841</v>
      </c>
      <c r="AF5084" s="159" t="s">
        <v>8339</v>
      </c>
      <c r="AG5084" s="170" t="s">
        <v>5478</v>
      </c>
      <c r="AH5084" s="184" t="s">
        <v>4700</v>
      </c>
      <c r="AI5084" s="6" t="s">
        <v>3061</v>
      </c>
      <c r="AJ5084" s="3" t="s">
        <v>8193</v>
      </c>
      <c r="AK5084" t="s">
        <v>8205</v>
      </c>
    </row>
    <row r="5085" spans="29:37" ht="13.5">
      <c r="AC5085" s="6" t="s">
        <v>5484</v>
      </c>
      <c r="AD5085" s="6" t="s">
        <v>7787</v>
      </c>
      <c r="AE5085" s="155" t="s">
        <v>842</v>
      </c>
      <c r="AF5085" s="159" t="s">
        <v>8299</v>
      </c>
      <c r="AG5085" s="170" t="s">
        <v>5479</v>
      </c>
      <c r="AH5085" s="184" t="s">
        <v>4700</v>
      </c>
      <c r="AI5085" s="6" t="s">
        <v>3062</v>
      </c>
      <c r="AJ5085" s="3" t="s">
        <v>8246</v>
      </c>
      <c r="AK5085" t="s">
        <v>8246</v>
      </c>
    </row>
    <row r="5086" spans="29:37" ht="13.5">
      <c r="AC5086" s="6">
        <v>255313</v>
      </c>
      <c r="AD5086" s="6" t="s">
        <v>7786</v>
      </c>
      <c r="AE5086" s="155" t="s">
        <v>843</v>
      </c>
      <c r="AF5086" s="159" t="s">
        <v>8339</v>
      </c>
      <c r="AG5086" s="170" t="s">
        <v>5480</v>
      </c>
      <c r="AH5086" s="184" t="s">
        <v>679</v>
      </c>
      <c r="AI5086" s="6" t="s">
        <v>3067</v>
      </c>
      <c r="AJ5086" s="3" t="s">
        <v>8220</v>
      </c>
      <c r="AK5086" t="s">
        <v>8220</v>
      </c>
    </row>
    <row r="5087" spans="29:37" ht="13.5">
      <c r="AC5087" s="6" t="s">
        <v>1915</v>
      </c>
      <c r="AD5087" s="6" t="s">
        <v>7787</v>
      </c>
      <c r="AE5087" s="155" t="s">
        <v>844</v>
      </c>
      <c r="AF5087" s="159" t="s">
        <v>8300</v>
      </c>
      <c r="AG5087" s="170" t="s">
        <v>1964</v>
      </c>
      <c r="AH5087" s="184" t="s">
        <v>679</v>
      </c>
      <c r="AI5087" s="6" t="s">
        <v>3069</v>
      </c>
      <c r="AJ5087" s="3" t="s">
        <v>8193</v>
      </c>
      <c r="AK5087" t="s">
        <v>8205</v>
      </c>
    </row>
    <row r="5088" spans="29:37" ht="13.5">
      <c r="AC5088" s="6" t="s">
        <v>2156</v>
      </c>
      <c r="AD5088" s="6" t="s">
        <v>7791</v>
      </c>
      <c r="AE5088" s="155" t="s">
        <v>691</v>
      </c>
      <c r="AF5088" s="159" t="s">
        <v>8339</v>
      </c>
      <c r="AG5088" s="170" t="s">
        <v>62</v>
      </c>
      <c r="AH5088" s="184" t="s">
        <v>679</v>
      </c>
      <c r="AI5088" s="6" t="s">
        <v>3072</v>
      </c>
      <c r="AJ5088" s="3" t="s">
        <v>8204</v>
      </c>
      <c r="AK5088" t="s">
        <v>8204</v>
      </c>
    </row>
    <row r="5089" spans="29:37" ht="13.5">
      <c r="AC5089" s="6">
        <v>782453</v>
      </c>
      <c r="AD5089" s="6" t="s">
        <v>7790</v>
      </c>
      <c r="AE5089" s="155" t="s">
        <v>845</v>
      </c>
      <c r="AF5089" s="159" t="s">
        <v>8299</v>
      </c>
      <c r="AG5089" s="170" t="s">
        <v>60</v>
      </c>
      <c r="AH5089" s="184" t="s">
        <v>679</v>
      </c>
      <c r="AI5089" s="6" t="s">
        <v>3073</v>
      </c>
      <c r="AJ5089" s="3" t="s">
        <v>8240</v>
      </c>
      <c r="AK5089" t="s">
        <v>8240</v>
      </c>
    </row>
    <row r="5090" spans="29:37" ht="13.5">
      <c r="AC5090" s="6" t="s">
        <v>1739</v>
      </c>
      <c r="AD5090" s="6" t="s">
        <v>7789</v>
      </c>
      <c r="AE5090" s="155" t="s">
        <v>846</v>
      </c>
      <c r="AF5090" s="159" t="s">
        <v>8300</v>
      </c>
      <c r="AG5090" s="170" t="s">
        <v>61</v>
      </c>
      <c r="AH5090" s="184" t="s">
        <v>679</v>
      </c>
      <c r="AI5090" s="6" t="s">
        <v>3075</v>
      </c>
      <c r="AJ5090" s="3" t="s">
        <v>8240</v>
      </c>
      <c r="AK5090" t="s">
        <v>8240</v>
      </c>
    </row>
    <row r="5091" spans="29:37" ht="13.5">
      <c r="AC5091" s="6" t="s">
        <v>2077</v>
      </c>
      <c r="AD5091" s="6" t="s">
        <v>7787</v>
      </c>
      <c r="AE5091" s="155" t="s">
        <v>847</v>
      </c>
      <c r="AF5091" s="159" t="s">
        <v>8300</v>
      </c>
      <c r="AG5091" s="170" t="s">
        <v>48</v>
      </c>
      <c r="AH5091" s="184" t="s">
        <v>679</v>
      </c>
      <c r="AI5091" s="6" t="s">
        <v>3076</v>
      </c>
      <c r="AJ5091" s="3" t="s">
        <v>8193</v>
      </c>
      <c r="AK5091" t="s">
        <v>8205</v>
      </c>
    </row>
    <row r="5092" spans="29:37" ht="13.5">
      <c r="AC5092" s="6" t="s">
        <v>5312</v>
      </c>
      <c r="AD5092" s="6" t="s">
        <v>7789</v>
      </c>
      <c r="AE5092" s="155" t="s">
        <v>848</v>
      </c>
      <c r="AF5092" s="159" t="s">
        <v>8311</v>
      </c>
      <c r="AG5092" s="170" t="s">
        <v>1126</v>
      </c>
      <c r="AH5092" s="184" t="s">
        <v>679</v>
      </c>
      <c r="AI5092" s="6" t="s">
        <v>3077</v>
      </c>
      <c r="AJ5092" s="3" t="s">
        <v>8246</v>
      </c>
      <c r="AK5092" t="s">
        <v>8246</v>
      </c>
    </row>
    <row r="5093" spans="29:37" ht="13.5">
      <c r="AC5093" s="6" t="s">
        <v>1805</v>
      </c>
      <c r="AD5093" s="6" t="s">
        <v>7792</v>
      </c>
      <c r="AE5093" s="155" t="s">
        <v>849</v>
      </c>
      <c r="AF5093" s="159" t="s">
        <v>8300</v>
      </c>
      <c r="AG5093" s="170" t="s">
        <v>58</v>
      </c>
      <c r="AH5093" s="184" t="s">
        <v>679</v>
      </c>
      <c r="AI5093" s="6" t="s">
        <v>3082</v>
      </c>
      <c r="AJ5093" s="3" t="s">
        <v>8246</v>
      </c>
      <c r="AK5093" t="s">
        <v>8246</v>
      </c>
    </row>
    <row r="5094" spans="29:37" ht="13.5">
      <c r="AC5094" s="6" t="s">
        <v>2185</v>
      </c>
      <c r="AD5094" s="6" t="s">
        <v>7793</v>
      </c>
      <c r="AE5094" s="155" t="s">
        <v>850</v>
      </c>
      <c r="AF5094" s="159" t="s">
        <v>8300</v>
      </c>
      <c r="AG5094" s="170" t="s">
        <v>59</v>
      </c>
      <c r="AH5094" s="184" t="s">
        <v>679</v>
      </c>
      <c r="AI5094" s="6" t="s">
        <v>3089</v>
      </c>
      <c r="AJ5094" s="3" t="s">
        <v>8264</v>
      </c>
      <c r="AK5094" t="s">
        <v>8264</v>
      </c>
    </row>
    <row r="5095" spans="29:37" ht="13.5">
      <c r="AC5095" s="6" t="s">
        <v>2080</v>
      </c>
      <c r="AD5095" s="6" t="s">
        <v>7787</v>
      </c>
      <c r="AE5095" s="155" t="s">
        <v>851</v>
      </c>
      <c r="AF5095" s="159" t="s">
        <v>8339</v>
      </c>
      <c r="AG5095" s="170" t="s">
        <v>5093</v>
      </c>
      <c r="AH5095" s="184" t="s">
        <v>1314</v>
      </c>
      <c r="AI5095" s="6" t="s">
        <v>3093</v>
      </c>
      <c r="AJ5095" s="3" t="s">
        <v>8264</v>
      </c>
      <c r="AK5095" t="s">
        <v>8264</v>
      </c>
    </row>
    <row r="5096" spans="29:37" ht="13.5">
      <c r="AC5096" s="6" t="s">
        <v>1959</v>
      </c>
      <c r="AD5096" s="6" t="s">
        <v>7785</v>
      </c>
      <c r="AE5096" s="155" t="s">
        <v>852</v>
      </c>
      <c r="AF5096" s="159" t="s">
        <v>8300</v>
      </c>
      <c r="AG5096" s="170" t="s">
        <v>5179</v>
      </c>
      <c r="AH5096" s="184" t="s">
        <v>1314</v>
      </c>
      <c r="AI5096" s="6" t="s">
        <v>3095</v>
      </c>
      <c r="AJ5096" s="3" t="s">
        <v>8240</v>
      </c>
      <c r="AK5096" t="s">
        <v>8240</v>
      </c>
    </row>
    <row r="5097" spans="29:37" ht="13.5">
      <c r="AC5097" s="6" t="s">
        <v>1771</v>
      </c>
      <c r="AD5097" s="6" t="s">
        <v>7785</v>
      </c>
      <c r="AE5097" s="155" t="s">
        <v>853</v>
      </c>
      <c r="AF5097" s="159" t="s">
        <v>8339</v>
      </c>
      <c r="AG5097" s="170" t="s">
        <v>5204</v>
      </c>
      <c r="AH5097" s="184" t="s">
        <v>1314</v>
      </c>
      <c r="AI5097" s="6" t="s">
        <v>3097</v>
      </c>
      <c r="AJ5097" s="3" t="s">
        <v>8246</v>
      </c>
      <c r="AK5097" t="s">
        <v>8246</v>
      </c>
    </row>
    <row r="5098" spans="29:37" ht="13.5">
      <c r="AC5098" s="6" t="s">
        <v>1851</v>
      </c>
      <c r="AD5098" s="6" t="s">
        <v>7776</v>
      </c>
      <c r="AE5098" s="155" t="s">
        <v>1971</v>
      </c>
      <c r="AF5098" s="159" t="s">
        <v>8299</v>
      </c>
      <c r="AG5098" s="170" t="s">
        <v>2513</v>
      </c>
      <c r="AH5098" s="184" t="s">
        <v>679</v>
      </c>
      <c r="AI5098" s="6" t="s">
        <v>3120</v>
      </c>
      <c r="AJ5098" s="3" t="s">
        <v>8203</v>
      </c>
      <c r="AK5098" t="s">
        <v>8203</v>
      </c>
    </row>
    <row r="5099" spans="29:37" ht="13.5">
      <c r="AC5099" s="6" t="s">
        <v>1758</v>
      </c>
      <c r="AD5099" s="6" t="s">
        <v>7794</v>
      </c>
      <c r="AE5099" s="155" t="s">
        <v>1972</v>
      </c>
      <c r="AF5099" s="159" t="s">
        <v>8299</v>
      </c>
      <c r="AG5099" s="170" t="s">
        <v>2541</v>
      </c>
      <c r="AH5099" s="184" t="s">
        <v>1314</v>
      </c>
      <c r="AI5099" s="6" t="s">
        <v>3124</v>
      </c>
      <c r="AJ5099" s="3" t="s">
        <v>8220</v>
      </c>
      <c r="AK5099" t="s">
        <v>8220</v>
      </c>
    </row>
    <row r="5100" spans="29:37" ht="13.5">
      <c r="AC5100" s="6">
        <v>255314</v>
      </c>
      <c r="AD5100" s="6" t="s">
        <v>7786</v>
      </c>
      <c r="AE5100" s="155" t="s">
        <v>1974</v>
      </c>
      <c r="AF5100" s="159" t="s">
        <v>8299</v>
      </c>
      <c r="AG5100" s="170" t="s">
        <v>2632</v>
      </c>
      <c r="AH5100" s="184" t="s">
        <v>679</v>
      </c>
      <c r="AI5100" s="6" t="s">
        <v>3145</v>
      </c>
      <c r="AJ5100" s="3" t="s">
        <v>8240</v>
      </c>
      <c r="AK5100" t="s">
        <v>8240</v>
      </c>
    </row>
    <row r="5101" spans="29:37" ht="13.5">
      <c r="AC5101" s="6" t="s">
        <v>5560</v>
      </c>
      <c r="AD5101" s="6" t="s">
        <v>7795</v>
      </c>
      <c r="AE5101" s="155" t="s">
        <v>2002</v>
      </c>
      <c r="AF5101" s="159" t="s">
        <v>8299</v>
      </c>
      <c r="AG5101" s="170" t="s">
        <v>2646</v>
      </c>
      <c r="AH5101" s="184" t="s">
        <v>679</v>
      </c>
      <c r="AI5101" s="6" t="s">
        <v>3148</v>
      </c>
      <c r="AJ5101" s="3" t="s">
        <v>8204</v>
      </c>
      <c r="AK5101" t="s">
        <v>8204</v>
      </c>
    </row>
    <row r="5102" spans="29:37" ht="13.5">
      <c r="AC5102" s="6" t="s">
        <v>2173</v>
      </c>
      <c r="AD5102" s="6" t="s">
        <v>7791</v>
      </c>
      <c r="AE5102" s="155" t="s">
        <v>2003</v>
      </c>
      <c r="AF5102" s="159" t="s">
        <v>8299</v>
      </c>
      <c r="AG5102" s="170" t="s">
        <v>2714</v>
      </c>
      <c r="AH5102" s="184" t="s">
        <v>679</v>
      </c>
      <c r="AI5102" s="6" t="s">
        <v>5725</v>
      </c>
      <c r="AJ5102" s="3" t="s">
        <v>8246</v>
      </c>
      <c r="AK5102" t="s">
        <v>8246</v>
      </c>
    </row>
    <row r="5103" spans="29:37" ht="13.5">
      <c r="AC5103" s="6" t="s">
        <v>2079</v>
      </c>
      <c r="AD5103" s="6" t="s">
        <v>7787</v>
      </c>
      <c r="AE5103" s="155" t="s">
        <v>1022</v>
      </c>
      <c r="AF5103" s="159" t="s">
        <v>8339</v>
      </c>
      <c r="AG5103" s="170" t="s">
        <v>2715</v>
      </c>
      <c r="AH5103" s="184" t="s">
        <v>1314</v>
      </c>
      <c r="AI5103" s="6" t="s">
        <v>3152</v>
      </c>
      <c r="AJ5103" s="3" t="s">
        <v>8220</v>
      </c>
      <c r="AK5103" t="s">
        <v>8220</v>
      </c>
    </row>
    <row r="5104" spans="29:37" ht="13.5">
      <c r="AC5104" s="6">
        <v>35265</v>
      </c>
      <c r="AD5104" s="6" t="s">
        <v>7781</v>
      </c>
      <c r="AE5104" s="155" t="s">
        <v>1280</v>
      </c>
      <c r="AF5104" s="159" t="s">
        <v>8339</v>
      </c>
      <c r="AG5104" s="170" t="s">
        <v>2725</v>
      </c>
      <c r="AH5104" s="184" t="s">
        <v>679</v>
      </c>
      <c r="AI5104" s="6" t="s">
        <v>3159</v>
      </c>
      <c r="AJ5104" s="3" t="s">
        <v>8247</v>
      </c>
      <c r="AK5104" t="s">
        <v>8247</v>
      </c>
    </row>
    <row r="5105" spans="29:37" ht="13.5">
      <c r="AC5105" s="6">
        <v>615376</v>
      </c>
      <c r="AD5105" s="6" t="s">
        <v>7796</v>
      </c>
      <c r="AE5105" s="155" t="s">
        <v>1023</v>
      </c>
      <c r="AF5105" s="159" t="s">
        <v>8342</v>
      </c>
      <c r="AG5105" s="170" t="s">
        <v>2726</v>
      </c>
      <c r="AH5105" s="184" t="s">
        <v>1314</v>
      </c>
      <c r="AI5105" s="6" t="s">
        <v>3160</v>
      </c>
      <c r="AJ5105" s="3" t="s">
        <v>8240</v>
      </c>
      <c r="AK5105" t="s">
        <v>8240</v>
      </c>
    </row>
    <row r="5106" spans="29:37" ht="13.5">
      <c r="AC5106" s="6" t="s">
        <v>1765</v>
      </c>
      <c r="AD5106" s="6" t="s">
        <v>7797</v>
      </c>
      <c r="AE5106" s="155" t="s">
        <v>1024</v>
      </c>
      <c r="AF5106" s="159" t="s">
        <v>8346</v>
      </c>
      <c r="AG5106" s="170" t="s">
        <v>1900</v>
      </c>
      <c r="AH5106" s="184" t="s">
        <v>678</v>
      </c>
      <c r="AI5106" s="6" t="s">
        <v>3168</v>
      </c>
      <c r="AJ5106" s="3" t="s">
        <v>8205</v>
      </c>
      <c r="AK5106" t="s">
        <v>8211</v>
      </c>
    </row>
    <row r="5107" spans="29:37" ht="13.5">
      <c r="AC5107" s="6">
        <v>544319</v>
      </c>
      <c r="AD5107" s="6" t="s">
        <v>7798</v>
      </c>
      <c r="AE5107" s="155" t="s">
        <v>1025</v>
      </c>
      <c r="AF5107" s="159" t="s">
        <v>8339</v>
      </c>
      <c r="AG5107" s="170" t="s">
        <v>1998</v>
      </c>
      <c r="AH5107" s="184" t="s">
        <v>678</v>
      </c>
      <c r="AI5107" s="6" t="s">
        <v>3169</v>
      </c>
      <c r="AJ5107" s="3" t="s">
        <v>8240</v>
      </c>
      <c r="AK5107" t="s">
        <v>8240</v>
      </c>
    </row>
    <row r="5108" spans="29:37" ht="13.5">
      <c r="AC5108" s="6" t="s">
        <v>2061</v>
      </c>
      <c r="AD5108" s="6" t="s">
        <v>7799</v>
      </c>
      <c r="AE5108" s="155" t="s">
        <v>1026</v>
      </c>
      <c r="AF5108" s="159" t="s">
        <v>8300</v>
      </c>
      <c r="AG5108" s="170" t="s">
        <v>1999</v>
      </c>
      <c r="AH5108" s="184" t="s">
        <v>678</v>
      </c>
      <c r="AI5108" s="6" t="s">
        <v>3204</v>
      </c>
      <c r="AJ5108" s="3" t="s">
        <v>8247</v>
      </c>
      <c r="AK5108" t="s">
        <v>8247</v>
      </c>
    </row>
    <row r="5109" spans="29:37" ht="13.5">
      <c r="AC5109" s="6" t="s">
        <v>2158</v>
      </c>
      <c r="AD5109" s="6" t="s">
        <v>7793</v>
      </c>
      <c r="AE5109" s="155" t="s">
        <v>1281</v>
      </c>
      <c r="AF5109" s="159" t="s">
        <v>8339</v>
      </c>
      <c r="AG5109" s="170" t="s">
        <v>81</v>
      </c>
      <c r="AH5109" s="184" t="s">
        <v>679</v>
      </c>
      <c r="AI5109" s="6" t="s">
        <v>3206</v>
      </c>
      <c r="AJ5109" s="3" t="s">
        <v>8204</v>
      </c>
      <c r="AK5109" t="s">
        <v>8204</v>
      </c>
    </row>
    <row r="5110" spans="29:37" ht="13.5">
      <c r="AC5110" s="6" t="s">
        <v>1916</v>
      </c>
      <c r="AD5110" s="6" t="s">
        <v>7799</v>
      </c>
      <c r="AE5110" s="155" t="s">
        <v>1027</v>
      </c>
      <c r="AF5110" s="159" t="s">
        <v>8299</v>
      </c>
      <c r="AG5110" s="170" t="s">
        <v>4136</v>
      </c>
      <c r="AH5110" s="184" t="s">
        <v>679</v>
      </c>
      <c r="AI5110" s="6" t="s">
        <v>3207</v>
      </c>
      <c r="AJ5110" s="3" t="s">
        <v>8220</v>
      </c>
      <c r="AK5110" t="s">
        <v>8220</v>
      </c>
    </row>
    <row r="5111" spans="29:37" ht="13.5">
      <c r="AC5111" s="6" t="s">
        <v>2062</v>
      </c>
      <c r="AD5111" s="6" t="s">
        <v>7799</v>
      </c>
      <c r="AE5111" s="155" t="s">
        <v>1028</v>
      </c>
      <c r="AF5111" s="159" t="s">
        <v>8300</v>
      </c>
      <c r="AG5111" s="170" t="s">
        <v>4137</v>
      </c>
      <c r="AH5111" s="184" t="s">
        <v>679</v>
      </c>
      <c r="AI5111" s="6" t="s">
        <v>3219</v>
      </c>
      <c r="AJ5111" s="3" t="s">
        <v>8193</v>
      </c>
      <c r="AK5111" t="s">
        <v>8205</v>
      </c>
    </row>
    <row r="5112" spans="29:37" ht="13.5">
      <c r="AC5112" s="6" t="s">
        <v>5556</v>
      </c>
      <c r="AD5112" s="6" t="s">
        <v>7800</v>
      </c>
      <c r="AE5112" s="155" t="s">
        <v>1825</v>
      </c>
      <c r="AF5112" s="159" t="s">
        <v>8299</v>
      </c>
      <c r="AG5112" s="170" t="s">
        <v>2510</v>
      </c>
      <c r="AH5112" s="184" t="s">
        <v>679</v>
      </c>
      <c r="AI5112" s="6" t="s">
        <v>3225</v>
      </c>
      <c r="AJ5112" s="3" t="s">
        <v>8193</v>
      </c>
      <c r="AK5112" t="s">
        <v>8205</v>
      </c>
    </row>
    <row r="5113" spans="29:37" ht="13.5">
      <c r="AC5113" s="6" t="s">
        <v>2155</v>
      </c>
      <c r="AD5113" s="6" t="s">
        <v>7801</v>
      </c>
      <c r="AE5113" s="155" t="s">
        <v>1805</v>
      </c>
      <c r="AF5113" s="159" t="s">
        <v>8299</v>
      </c>
      <c r="AG5113" s="170" t="s">
        <v>2511</v>
      </c>
      <c r="AH5113" s="184" t="s">
        <v>679</v>
      </c>
      <c r="AI5113" s="6" t="s">
        <v>3229</v>
      </c>
      <c r="AJ5113" s="3" t="s">
        <v>8240</v>
      </c>
      <c r="AK5113" t="s">
        <v>8240</v>
      </c>
    </row>
    <row r="5114" spans="29:37" ht="13.5">
      <c r="AC5114" s="6">
        <v>255315</v>
      </c>
      <c r="AD5114" s="6" t="s">
        <v>7786</v>
      </c>
      <c r="AE5114" s="155">
        <v>15256</v>
      </c>
      <c r="AF5114" s="159" t="s">
        <v>8320</v>
      </c>
      <c r="AG5114" s="170" t="s">
        <v>2512</v>
      </c>
      <c r="AH5114" s="184" t="s">
        <v>679</v>
      </c>
      <c r="AI5114" s="6" t="s">
        <v>3243</v>
      </c>
      <c r="AJ5114" s="3" t="s">
        <v>8247</v>
      </c>
      <c r="AK5114" t="s">
        <v>8247</v>
      </c>
    </row>
    <row r="5115" spans="29:37" ht="13.5">
      <c r="AC5115" s="6">
        <v>35326</v>
      </c>
      <c r="AD5115" s="6" t="s">
        <v>7781</v>
      </c>
      <c r="AE5115" s="155">
        <v>15345</v>
      </c>
      <c r="AF5115" s="159" t="s">
        <v>8297</v>
      </c>
      <c r="AG5115" s="170" t="s">
        <v>2540</v>
      </c>
      <c r="AH5115" s="184" t="s">
        <v>1314</v>
      </c>
      <c r="AI5115" s="6" t="s">
        <v>3245</v>
      </c>
      <c r="AJ5115" s="3" t="s">
        <v>8204</v>
      </c>
      <c r="AK5115" t="s">
        <v>8204</v>
      </c>
    </row>
    <row r="5116" spans="29:37" ht="13.5">
      <c r="AC5116" s="6">
        <v>782451</v>
      </c>
      <c r="AD5116" s="6" t="s">
        <v>7790</v>
      </c>
      <c r="AE5116" s="155">
        <v>25236</v>
      </c>
      <c r="AF5116" s="159" t="s">
        <v>8299</v>
      </c>
      <c r="AG5116" s="170" t="s">
        <v>2575</v>
      </c>
      <c r="AH5116" s="184" t="s">
        <v>1314</v>
      </c>
      <c r="AI5116" s="6" t="s">
        <v>3249</v>
      </c>
      <c r="AJ5116" s="3" t="s">
        <v>8211</v>
      </c>
      <c r="AK5116" t="s">
        <v>8242</v>
      </c>
    </row>
    <row r="5117" spans="29:37" ht="13.5">
      <c r="AC5117" s="6" t="s">
        <v>5558</v>
      </c>
      <c r="AD5117" s="6" t="s">
        <v>7799</v>
      </c>
      <c r="AE5117" s="155">
        <v>25257</v>
      </c>
      <c r="AF5117" s="159" t="s">
        <v>8565</v>
      </c>
      <c r="AG5117" s="170" t="s">
        <v>2608</v>
      </c>
      <c r="AH5117" s="184" t="s">
        <v>1314</v>
      </c>
      <c r="AI5117" s="6" t="s">
        <v>4418</v>
      </c>
      <c r="AJ5117" s="3" t="s">
        <v>8247</v>
      </c>
      <c r="AK5117" t="s">
        <v>8247</v>
      </c>
    </row>
    <row r="5118" spans="29:37" ht="13.5">
      <c r="AC5118" s="6" t="s">
        <v>1244</v>
      </c>
      <c r="AD5118" s="6" t="s">
        <v>7802</v>
      </c>
      <c r="AE5118" s="155">
        <v>25258</v>
      </c>
      <c r="AF5118" s="159" t="s">
        <v>8594</v>
      </c>
      <c r="AG5118" s="170" t="s">
        <v>2710</v>
      </c>
      <c r="AH5118" s="184" t="s">
        <v>679</v>
      </c>
      <c r="AI5118" s="6" t="s">
        <v>3275</v>
      </c>
      <c r="AJ5118" s="3" t="s">
        <v>8264</v>
      </c>
      <c r="AK5118" t="s">
        <v>8264</v>
      </c>
    </row>
    <row r="5119" spans="29:37" ht="13.5">
      <c r="AC5119" s="6" t="s">
        <v>1757</v>
      </c>
      <c r="AD5119" s="6" t="s">
        <v>7794</v>
      </c>
      <c r="AE5119" s="155">
        <v>25332</v>
      </c>
      <c r="AF5119" s="159" t="s">
        <v>8340</v>
      </c>
      <c r="AG5119" s="171" t="s">
        <v>2711</v>
      </c>
      <c r="AH5119" s="184" t="s">
        <v>679</v>
      </c>
      <c r="AI5119" s="6" t="s">
        <v>3886</v>
      </c>
      <c r="AJ5119" s="3" t="s">
        <v>8204</v>
      </c>
      <c r="AK5119" t="s">
        <v>8204</v>
      </c>
    </row>
    <row r="5120" spans="29:37" ht="13.5">
      <c r="AC5120" s="6" t="s">
        <v>1981</v>
      </c>
      <c r="AD5120" s="6" t="s">
        <v>7800</v>
      </c>
      <c r="AE5120" s="155">
        <v>25333</v>
      </c>
      <c r="AF5120" s="159" t="s">
        <v>8393</v>
      </c>
      <c r="AG5120" s="170" t="s">
        <v>2712</v>
      </c>
      <c r="AH5120" s="184" t="s">
        <v>679</v>
      </c>
      <c r="AI5120" s="6" t="s">
        <v>4754</v>
      </c>
      <c r="AJ5120" s="3" t="s">
        <v>8220</v>
      </c>
      <c r="AK5120" t="s">
        <v>8220</v>
      </c>
    </row>
    <row r="5121" spans="29:37" ht="13.5">
      <c r="AC5121" s="6" t="s">
        <v>2258</v>
      </c>
      <c r="AD5121" s="6" t="s">
        <v>7801</v>
      </c>
      <c r="AE5121" s="155">
        <v>25334</v>
      </c>
      <c r="AF5121" s="159" t="s">
        <v>8342</v>
      </c>
      <c r="AG5121" s="170" t="s">
        <v>2713</v>
      </c>
      <c r="AH5121" s="184" t="s">
        <v>1314</v>
      </c>
      <c r="AI5121" s="6" t="s">
        <v>3304</v>
      </c>
      <c r="AJ5121" s="3" t="s">
        <v>8203</v>
      </c>
      <c r="AK5121" t="s">
        <v>8203</v>
      </c>
    </row>
    <row r="5122" spans="29:37" ht="13.5">
      <c r="AC5122" s="6">
        <v>782452</v>
      </c>
      <c r="AD5122" s="6" t="s">
        <v>7790</v>
      </c>
      <c r="AE5122" s="155">
        <v>255312</v>
      </c>
      <c r="AF5122" s="159" t="s">
        <v>8356</v>
      </c>
      <c r="AG5122" s="170" t="s">
        <v>2515</v>
      </c>
      <c r="AH5122" s="184" t="s">
        <v>1314</v>
      </c>
      <c r="AI5122" s="6" t="s">
        <v>5306</v>
      </c>
      <c r="AJ5122" s="3" t="s">
        <v>8264</v>
      </c>
      <c r="AK5122" t="s">
        <v>8264</v>
      </c>
    </row>
    <row r="5123" spans="29:37" ht="13.5">
      <c r="AC5123" s="6">
        <v>575385</v>
      </c>
      <c r="AD5123" s="6" t="s">
        <v>7782</v>
      </c>
      <c r="AE5123" s="155">
        <v>255313</v>
      </c>
      <c r="AF5123" s="159" t="s">
        <v>8297</v>
      </c>
      <c r="AG5123" s="170" t="s">
        <v>2516</v>
      </c>
      <c r="AH5123" s="184" t="s">
        <v>1314</v>
      </c>
      <c r="AI5123" s="6" t="s">
        <v>3318</v>
      </c>
      <c r="AJ5123" s="3" t="s">
        <v>8193</v>
      </c>
      <c r="AK5123" t="s">
        <v>8205</v>
      </c>
    </row>
    <row r="5124" spans="29:37" ht="13.5">
      <c r="AC5124" s="6" t="s">
        <v>1796</v>
      </c>
      <c r="AD5124" s="6" t="s">
        <v>7803</v>
      </c>
      <c r="AE5124" s="155">
        <v>255314</v>
      </c>
      <c r="AF5124" s="159" t="s">
        <v>8300</v>
      </c>
      <c r="AG5124" s="170" t="s">
        <v>2542</v>
      </c>
      <c r="AH5124" s="184" t="s">
        <v>1314</v>
      </c>
      <c r="AI5124" s="6" t="s">
        <v>3432</v>
      </c>
      <c r="AJ5124" s="3" t="s">
        <v>8205</v>
      </c>
      <c r="AK5124" t="s">
        <v>8211</v>
      </c>
    </row>
    <row r="5125" spans="29:37" ht="13.5">
      <c r="AC5125" s="6" t="s">
        <v>1759</v>
      </c>
      <c r="AD5125" s="6" t="s">
        <v>7800</v>
      </c>
      <c r="AE5125" s="155">
        <v>255315</v>
      </c>
      <c r="AF5125" s="159" t="s">
        <v>8300</v>
      </c>
      <c r="AG5125" s="170" t="s">
        <v>2585</v>
      </c>
      <c r="AH5125" s="184" t="s">
        <v>1314</v>
      </c>
      <c r="AI5125" s="6" t="s">
        <v>5387</v>
      </c>
      <c r="AJ5125" s="3" t="s">
        <v>8205</v>
      </c>
      <c r="AK5125" t="s">
        <v>8211</v>
      </c>
    </row>
    <row r="5126" spans="29:37" ht="13.5">
      <c r="AC5126" s="6">
        <v>675438</v>
      </c>
      <c r="AD5126" s="6" t="s">
        <v>7804</v>
      </c>
      <c r="AE5126" s="155">
        <v>255316</v>
      </c>
      <c r="AF5126" s="159" t="s">
        <v>8299</v>
      </c>
      <c r="AG5126" s="170" t="s">
        <v>2591</v>
      </c>
      <c r="AH5126" s="184" t="s">
        <v>1314</v>
      </c>
      <c r="AI5126" s="6" t="s">
        <v>3321</v>
      </c>
      <c r="AJ5126" s="3" t="s">
        <v>8205</v>
      </c>
      <c r="AK5126" t="s">
        <v>8211</v>
      </c>
    </row>
    <row r="5127" spans="29:37" ht="13.5">
      <c r="AC5127" s="6">
        <v>782454</v>
      </c>
      <c r="AD5127" s="6" t="s">
        <v>7790</v>
      </c>
      <c r="AE5127" s="155">
        <v>255317</v>
      </c>
      <c r="AF5127" s="159" t="s">
        <v>8320</v>
      </c>
      <c r="AG5127" s="170" t="s">
        <v>2592</v>
      </c>
      <c r="AH5127" s="184" t="s">
        <v>1314</v>
      </c>
      <c r="AI5127" s="6" t="s">
        <v>3325</v>
      </c>
      <c r="AJ5127" s="3" t="s">
        <v>8193</v>
      </c>
      <c r="AK5127" t="s">
        <v>8205</v>
      </c>
    </row>
    <row r="5128" spans="29:37" ht="13.5">
      <c r="AC5128" s="6" t="s">
        <v>2194</v>
      </c>
      <c r="AD5128" s="6" t="s">
        <v>7801</v>
      </c>
      <c r="AE5128" s="155" t="s">
        <v>1726</v>
      </c>
      <c r="AF5128" s="159" t="s">
        <v>8320</v>
      </c>
      <c r="AG5128" s="170" t="s">
        <v>2617</v>
      </c>
      <c r="AH5128" s="184" t="s">
        <v>1314</v>
      </c>
      <c r="AI5128" s="6" t="s">
        <v>3326</v>
      </c>
      <c r="AJ5128" s="3" t="s">
        <v>8203</v>
      </c>
      <c r="AK5128" t="s">
        <v>8203</v>
      </c>
    </row>
    <row r="5129" spans="29:37" ht="13.5">
      <c r="AC5129" s="6" t="s">
        <v>2259</v>
      </c>
      <c r="AD5129" s="6" t="s">
        <v>7801</v>
      </c>
      <c r="AE5129" s="155" t="s">
        <v>1728</v>
      </c>
      <c r="AF5129" s="159" t="s">
        <v>8340</v>
      </c>
      <c r="AG5129" s="170" t="s">
        <v>2709</v>
      </c>
      <c r="AH5129" s="184" t="s">
        <v>1314</v>
      </c>
      <c r="AI5129" s="6" t="s">
        <v>3343</v>
      </c>
      <c r="AJ5129" s="3" t="s">
        <v>8240</v>
      </c>
      <c r="AK5129" t="s">
        <v>8240</v>
      </c>
    </row>
    <row r="5130" spans="29:37" ht="13.5">
      <c r="AC5130" s="6" t="s">
        <v>1913</v>
      </c>
      <c r="AD5130" s="6" t="s">
        <v>7800</v>
      </c>
      <c r="AE5130" s="155" t="s">
        <v>1729</v>
      </c>
      <c r="AF5130" s="159" t="s">
        <v>8309</v>
      </c>
      <c r="AG5130" s="170" t="s">
        <v>2719</v>
      </c>
      <c r="AH5130" s="184" t="s">
        <v>1314</v>
      </c>
      <c r="AI5130" s="6" t="s">
        <v>3350</v>
      </c>
      <c r="AJ5130" s="3" t="s">
        <v>8264</v>
      </c>
      <c r="AK5130" t="s">
        <v>8264</v>
      </c>
    </row>
    <row r="5131" spans="29:37" ht="13.5">
      <c r="AC5131" s="6">
        <v>541618</v>
      </c>
      <c r="AD5131" s="6" t="s">
        <v>7798</v>
      </c>
      <c r="AE5131" s="155" t="s">
        <v>2111</v>
      </c>
      <c r="AF5131" s="159" t="s">
        <v>8300</v>
      </c>
      <c r="AG5131" s="170" t="s">
        <v>2720</v>
      </c>
      <c r="AH5131" s="184" t="s">
        <v>1314</v>
      </c>
      <c r="AI5131" s="6" t="s">
        <v>5388</v>
      </c>
      <c r="AJ5131" s="3" t="s">
        <v>8264</v>
      </c>
      <c r="AK5131" t="s">
        <v>8264</v>
      </c>
    </row>
    <row r="5132" spans="29:37" ht="13.5">
      <c r="AC5132" s="6" t="s">
        <v>1912</v>
      </c>
      <c r="AD5132" s="6" t="s">
        <v>7805</v>
      </c>
      <c r="AE5132" s="155" t="s">
        <v>2112</v>
      </c>
      <c r="AF5132" s="159" t="s">
        <v>8300</v>
      </c>
      <c r="AG5132" s="170" t="s">
        <v>4138</v>
      </c>
      <c r="AH5132" s="184" t="s">
        <v>679</v>
      </c>
      <c r="AI5132" s="6" t="s">
        <v>3890</v>
      </c>
      <c r="AJ5132" s="3" t="s">
        <v>8203</v>
      </c>
      <c r="AK5132" t="s">
        <v>8203</v>
      </c>
    </row>
    <row r="5133" spans="29:37" ht="13.5">
      <c r="AC5133" s="6" t="s">
        <v>2163</v>
      </c>
      <c r="AD5133" s="6" t="s">
        <v>7797</v>
      </c>
      <c r="AE5133" s="155" t="s">
        <v>2113</v>
      </c>
      <c r="AF5133" s="159" t="s">
        <v>8311</v>
      </c>
      <c r="AG5133" s="173" t="s">
        <v>4139</v>
      </c>
      <c r="AH5133" s="184" t="s">
        <v>679</v>
      </c>
      <c r="AI5133" s="6" t="s">
        <v>1230</v>
      </c>
      <c r="AJ5133" s="3" t="s">
        <v>8193</v>
      </c>
      <c r="AK5133" t="s">
        <v>8205</v>
      </c>
    </row>
    <row r="5134" spans="29:37" ht="13.5">
      <c r="AC5134" s="6" t="s">
        <v>4774</v>
      </c>
      <c r="AD5134" s="6" t="s">
        <v>7789</v>
      </c>
      <c r="AE5134" s="155" t="s">
        <v>2138</v>
      </c>
      <c r="AF5134" s="159" t="s">
        <v>8325</v>
      </c>
      <c r="AG5134" s="173" t="s">
        <v>4140</v>
      </c>
      <c r="AH5134" s="184" t="s">
        <v>679</v>
      </c>
      <c r="AI5134" s="6" t="s">
        <v>3891</v>
      </c>
      <c r="AJ5134" s="3" t="s">
        <v>8204</v>
      </c>
      <c r="AK5134" t="s">
        <v>8204</v>
      </c>
    </row>
    <row r="5135" spans="29:37" ht="13.5">
      <c r="AC5135" s="6" t="s">
        <v>1965</v>
      </c>
      <c r="AD5135" s="6" t="s">
        <v>7806</v>
      </c>
      <c r="AE5135" s="155" t="s">
        <v>2140</v>
      </c>
      <c r="AF5135" s="159" t="s">
        <v>8296</v>
      </c>
      <c r="AG5135" s="173" t="s">
        <v>5171</v>
      </c>
      <c r="AH5135" s="184" t="s">
        <v>679</v>
      </c>
      <c r="AI5135" s="6" t="s">
        <v>4416</v>
      </c>
      <c r="AJ5135" s="3" t="s">
        <v>8264</v>
      </c>
      <c r="AK5135" t="s">
        <v>8264</v>
      </c>
    </row>
    <row r="5136" spans="29:37" ht="13.5">
      <c r="AC5136" s="6" t="s">
        <v>1733</v>
      </c>
      <c r="AD5136" s="6" t="s">
        <v>7807</v>
      </c>
      <c r="AE5136" s="155" t="s">
        <v>2141</v>
      </c>
      <c r="AF5136" s="159" t="s">
        <v>8299</v>
      </c>
      <c r="AG5136" s="173" t="s">
        <v>5168</v>
      </c>
      <c r="AH5136" s="184" t="s">
        <v>1314</v>
      </c>
      <c r="AI5136" s="6" t="s">
        <v>3893</v>
      </c>
      <c r="AJ5136" s="3" t="s">
        <v>8246</v>
      </c>
      <c r="AK5136" t="s">
        <v>8246</v>
      </c>
    </row>
    <row r="5137" spans="29:37" ht="13.5">
      <c r="AC5137" s="6">
        <v>255316</v>
      </c>
      <c r="AD5137" s="6" t="s">
        <v>7786</v>
      </c>
      <c r="AE5137" s="155" t="s">
        <v>2142</v>
      </c>
      <c r="AF5137" s="159" t="s">
        <v>8311</v>
      </c>
      <c r="AG5137" s="173" t="s">
        <v>5113</v>
      </c>
      <c r="AH5137" s="184" t="s">
        <v>1314</v>
      </c>
      <c r="AI5137" s="6" t="s">
        <v>1273</v>
      </c>
      <c r="AJ5137" s="3" t="s">
        <v>8205</v>
      </c>
      <c r="AK5137" t="s">
        <v>8211</v>
      </c>
    </row>
    <row r="5138" spans="29:37" ht="13.5">
      <c r="AC5138" s="6" t="s">
        <v>5559</v>
      </c>
      <c r="AD5138" s="6" t="s">
        <v>7797</v>
      </c>
      <c r="AE5138" s="155" t="s">
        <v>2143</v>
      </c>
      <c r="AF5138" s="159" t="s">
        <v>8299</v>
      </c>
      <c r="AG5138" s="173" t="s">
        <v>5045</v>
      </c>
      <c r="AH5138" s="184" t="s">
        <v>1314</v>
      </c>
      <c r="AI5138" s="6" t="s">
        <v>5720</v>
      </c>
      <c r="AJ5138" s="3" t="s">
        <v>8246</v>
      </c>
      <c r="AK5138" t="s">
        <v>8246</v>
      </c>
    </row>
    <row r="5139" spans="29:37" ht="13.5">
      <c r="AC5139" s="6" t="s">
        <v>1763</v>
      </c>
      <c r="AD5139" s="6" t="s">
        <v>7797</v>
      </c>
      <c r="AE5139" s="155" t="s">
        <v>2144</v>
      </c>
      <c r="AF5139" s="159" t="s">
        <v>8320</v>
      </c>
      <c r="AG5139" s="170" t="s">
        <v>4141</v>
      </c>
      <c r="AH5139" s="184" t="s">
        <v>1314</v>
      </c>
      <c r="AI5139" s="6" t="s">
        <v>4784</v>
      </c>
      <c r="AJ5139" s="3" t="s">
        <v>8211</v>
      </c>
      <c r="AK5139" t="s">
        <v>8242</v>
      </c>
    </row>
    <row r="5140" spans="29:37" ht="13.5">
      <c r="AC5140" s="6" t="s">
        <v>5148</v>
      </c>
      <c r="AD5140" s="6" t="s">
        <v>7808</v>
      </c>
      <c r="AE5140" s="155" t="s">
        <v>2145</v>
      </c>
      <c r="AF5140" s="159" t="s">
        <v>8299</v>
      </c>
      <c r="AG5140" s="170" t="s">
        <v>4142</v>
      </c>
      <c r="AH5140" s="184" t="s">
        <v>1314</v>
      </c>
      <c r="AI5140" s="6" t="s">
        <v>1288</v>
      </c>
      <c r="AJ5140" s="3" t="s">
        <v>8240</v>
      </c>
      <c r="AK5140" t="s">
        <v>8240</v>
      </c>
    </row>
    <row r="5141" spans="29:37" ht="13.5">
      <c r="AC5141" s="6" t="s">
        <v>4498</v>
      </c>
      <c r="AD5141" s="6" t="s">
        <v>7809</v>
      </c>
      <c r="AE5141" s="155" t="s">
        <v>1734</v>
      </c>
      <c r="AF5141" s="159" t="s">
        <v>8300</v>
      </c>
      <c r="AG5141" s="170" t="s">
        <v>4143</v>
      </c>
      <c r="AH5141" s="184" t="s">
        <v>1314</v>
      </c>
      <c r="AI5141" s="6" t="s">
        <v>5390</v>
      </c>
      <c r="AJ5141" s="3" t="s">
        <v>8240</v>
      </c>
      <c r="AK5141" t="s">
        <v>8240</v>
      </c>
    </row>
    <row r="5142" spans="29:37" ht="13.5">
      <c r="AC5142" s="6" t="s">
        <v>1731</v>
      </c>
      <c r="AD5142" s="6" t="s">
        <v>7807</v>
      </c>
      <c r="AE5142" s="155" t="s">
        <v>1735</v>
      </c>
      <c r="AF5142" s="159" t="s">
        <v>8299</v>
      </c>
      <c r="AG5142" s="170" t="s">
        <v>4144</v>
      </c>
      <c r="AH5142" s="184" t="s">
        <v>679</v>
      </c>
      <c r="AI5142" s="6" t="s">
        <v>4757</v>
      </c>
      <c r="AJ5142" s="3" t="s">
        <v>8205</v>
      </c>
      <c r="AK5142" t="s">
        <v>8211</v>
      </c>
    </row>
    <row r="5143" spans="29:37" ht="13.5">
      <c r="AC5143" s="6" t="s">
        <v>5160</v>
      </c>
      <c r="AD5143" s="6" t="s">
        <v>7810</v>
      </c>
      <c r="AE5143" s="155" t="s">
        <v>2148</v>
      </c>
      <c r="AF5143" s="159" t="s">
        <v>8299</v>
      </c>
      <c r="AG5143" s="170" t="s">
        <v>4145</v>
      </c>
      <c r="AH5143" s="184" t="s">
        <v>1314</v>
      </c>
      <c r="AI5143" s="6" t="s">
        <v>4746</v>
      </c>
      <c r="AJ5143" s="3" t="s">
        <v>8220</v>
      </c>
      <c r="AK5143" t="s">
        <v>8220</v>
      </c>
    </row>
    <row r="5144" spans="29:37" ht="13.5">
      <c r="AC5144" s="6" t="s">
        <v>4500</v>
      </c>
      <c r="AD5144" s="6" t="s">
        <v>7811</v>
      </c>
      <c r="AE5144" s="155" t="s">
        <v>2149</v>
      </c>
      <c r="AF5144" s="159" t="s">
        <v>8299</v>
      </c>
      <c r="AG5144" s="170" t="s">
        <v>2373</v>
      </c>
      <c r="AH5144" s="184" t="s">
        <v>679</v>
      </c>
      <c r="AI5144" s="6" t="s">
        <v>4761</v>
      </c>
      <c r="AJ5144" s="3" t="s">
        <v>8205</v>
      </c>
      <c r="AK5144" t="s">
        <v>8211</v>
      </c>
    </row>
    <row r="5145" spans="29:37" ht="13.5">
      <c r="AC5145" s="6" t="s">
        <v>1797</v>
      </c>
      <c r="AD5145" s="6" t="s">
        <v>7803</v>
      </c>
      <c r="AE5145" s="155" t="s">
        <v>1285</v>
      </c>
      <c r="AF5145" s="159" t="s">
        <v>8299</v>
      </c>
      <c r="AG5145" s="170" t="s">
        <v>2374</v>
      </c>
      <c r="AH5145" s="184" t="s">
        <v>679</v>
      </c>
      <c r="AI5145" s="6" t="s">
        <v>4758</v>
      </c>
      <c r="AJ5145" s="3" t="s">
        <v>8220</v>
      </c>
      <c r="AK5145" t="s">
        <v>8220</v>
      </c>
    </row>
    <row r="5146" spans="29:37" ht="13.5">
      <c r="AC5146" s="6" t="s">
        <v>2056</v>
      </c>
      <c r="AD5146" s="6" t="s">
        <v>7812</v>
      </c>
      <c r="AE5146" s="155">
        <v>635423</v>
      </c>
      <c r="AF5146" s="159" t="s">
        <v>8332</v>
      </c>
      <c r="AG5146" s="170" t="s">
        <v>2375</v>
      </c>
      <c r="AH5146" s="184" t="s">
        <v>679</v>
      </c>
      <c r="AI5146" s="6" t="s">
        <v>5602</v>
      </c>
      <c r="AJ5146" s="3" t="s">
        <v>8246</v>
      </c>
      <c r="AK5146" t="s">
        <v>8246</v>
      </c>
    </row>
    <row r="5147" spans="29:37" ht="13.5">
      <c r="AC5147" s="6" t="s">
        <v>1717</v>
      </c>
      <c r="AD5147" s="6" t="s">
        <v>7797</v>
      </c>
      <c r="AE5147" s="155">
        <v>635424</v>
      </c>
      <c r="AF5147" s="159" t="s">
        <v>8296</v>
      </c>
      <c r="AG5147" s="170" t="s">
        <v>2376</v>
      </c>
      <c r="AH5147" s="184" t="s">
        <v>679</v>
      </c>
      <c r="AI5147" s="6" t="s">
        <v>5631</v>
      </c>
      <c r="AJ5147" s="3" t="s">
        <v>8203</v>
      </c>
      <c r="AK5147" t="s">
        <v>8203</v>
      </c>
    </row>
    <row r="5148" spans="29:37" ht="13.5">
      <c r="AC5148" s="6" t="s">
        <v>2066</v>
      </c>
      <c r="AD5148" s="6" t="s">
        <v>7813</v>
      </c>
      <c r="AE5148" s="155">
        <v>635425</v>
      </c>
      <c r="AF5148" s="159" t="s">
        <v>8297</v>
      </c>
      <c r="AG5148" s="170" t="s">
        <v>2377</v>
      </c>
      <c r="AH5148" s="184" t="s">
        <v>679</v>
      </c>
      <c r="AI5148" s="6" t="s">
        <v>5629</v>
      </c>
      <c r="AJ5148" s="3" t="s">
        <v>8203</v>
      </c>
      <c r="AK5148" t="s">
        <v>8203</v>
      </c>
    </row>
    <row r="5149" spans="29:37" ht="13.5">
      <c r="AC5149" s="6" t="s">
        <v>1721</v>
      </c>
      <c r="AD5149" s="6" t="s">
        <v>7797</v>
      </c>
      <c r="AE5149" s="155">
        <v>645426</v>
      </c>
      <c r="AF5149" s="159" t="s">
        <v>8309</v>
      </c>
      <c r="AG5149" s="170" t="s">
        <v>2378</v>
      </c>
      <c r="AH5149" s="184" t="s">
        <v>679</v>
      </c>
      <c r="AI5149" s="6" t="s">
        <v>5397</v>
      </c>
      <c r="AJ5149" s="3" t="s">
        <v>8220</v>
      </c>
      <c r="AK5149" t="s">
        <v>8220</v>
      </c>
    </row>
    <row r="5150" spans="29:37" ht="13.5">
      <c r="AC5150" s="6" t="s">
        <v>5463</v>
      </c>
      <c r="AD5150" s="6" t="s">
        <v>7814</v>
      </c>
      <c r="AE5150" s="155">
        <v>645428</v>
      </c>
      <c r="AF5150" s="159" t="s">
        <v>8299</v>
      </c>
      <c r="AG5150" s="173" t="s">
        <v>2379</v>
      </c>
      <c r="AH5150" s="184" t="s">
        <v>679</v>
      </c>
      <c r="AI5150" s="6" t="s">
        <v>5608</v>
      </c>
      <c r="AJ5150" s="3" t="s">
        <v>8204</v>
      </c>
      <c r="AK5150" t="s">
        <v>8204</v>
      </c>
    </row>
    <row r="5151" spans="29:37" ht="13.5">
      <c r="AC5151" s="6" t="s">
        <v>1973</v>
      </c>
      <c r="AD5151" s="6" t="s">
        <v>7797</v>
      </c>
      <c r="AE5151" s="155">
        <v>645429</v>
      </c>
      <c r="AF5151" s="159" t="s">
        <v>8299</v>
      </c>
      <c r="AG5151" s="173" t="s">
        <v>2383</v>
      </c>
      <c r="AH5151" s="184" t="s">
        <v>679</v>
      </c>
      <c r="AI5151" s="6" t="s">
        <v>5400</v>
      </c>
      <c r="AJ5151" s="3" t="s">
        <v>8220</v>
      </c>
      <c r="AK5151" t="s">
        <v>8220</v>
      </c>
    </row>
    <row r="5152" spans="29:37" ht="13.5">
      <c r="AC5152" s="6" t="s">
        <v>1715</v>
      </c>
      <c r="AD5152" s="6" t="s">
        <v>7797</v>
      </c>
      <c r="AE5152" s="155">
        <v>645430</v>
      </c>
      <c r="AF5152" s="159" t="s">
        <v>8299</v>
      </c>
      <c r="AG5152" s="173" t="s">
        <v>2601</v>
      </c>
      <c r="AH5152" s="184" t="s">
        <v>679</v>
      </c>
      <c r="AI5152" s="6" t="s">
        <v>5401</v>
      </c>
      <c r="AJ5152" s="3" t="s">
        <v>8193</v>
      </c>
      <c r="AK5152" t="s">
        <v>8205</v>
      </c>
    </row>
    <row r="5153" spans="29:37" ht="13.5">
      <c r="AC5153" s="6" t="s">
        <v>1719</v>
      </c>
      <c r="AD5153" s="6" t="s">
        <v>7797</v>
      </c>
      <c r="AE5153" s="155" t="s">
        <v>2307</v>
      </c>
      <c r="AF5153" s="159" t="s">
        <v>8299</v>
      </c>
      <c r="AG5153" s="173" t="s">
        <v>2602</v>
      </c>
      <c r="AH5153" s="184" t="s">
        <v>679</v>
      </c>
      <c r="AI5153" s="6" t="s">
        <v>5403</v>
      </c>
      <c r="AJ5153" s="3" t="s">
        <v>8205</v>
      </c>
      <c r="AK5153" t="s">
        <v>8211</v>
      </c>
    </row>
    <row r="5154" spans="29:37" ht="13.5">
      <c r="AC5154" s="6" t="s">
        <v>1906</v>
      </c>
      <c r="AD5154" s="6" t="s">
        <v>7797</v>
      </c>
      <c r="AE5154" s="155" t="s">
        <v>2308</v>
      </c>
      <c r="AF5154" s="159" t="s">
        <v>8299</v>
      </c>
      <c r="AG5154" s="173" t="s">
        <v>2603</v>
      </c>
      <c r="AH5154" s="184" t="s">
        <v>679</v>
      </c>
      <c r="AI5154" s="6" t="s">
        <v>5765</v>
      </c>
      <c r="AJ5154" s="3" t="s">
        <v>8205</v>
      </c>
      <c r="AK5154" t="s">
        <v>8211</v>
      </c>
    </row>
    <row r="5155" spans="29:37" ht="13.5">
      <c r="AC5155" s="6" t="s">
        <v>1722</v>
      </c>
      <c r="AD5155" s="6" t="s">
        <v>7797</v>
      </c>
      <c r="AE5155" s="155" t="s">
        <v>1803</v>
      </c>
      <c r="AF5155" s="159" t="s">
        <v>8299</v>
      </c>
      <c r="AG5155" s="173" t="s">
        <v>2610</v>
      </c>
      <c r="AH5155" s="184" t="s">
        <v>679</v>
      </c>
      <c r="AI5155" s="6" t="s">
        <v>1760</v>
      </c>
      <c r="AJ5155" s="3" t="s">
        <v>8224</v>
      </c>
      <c r="AK5155" t="s">
        <v>8224</v>
      </c>
    </row>
    <row r="5156" spans="29:37" ht="13.5">
      <c r="AC5156" s="6">
        <v>355307</v>
      </c>
      <c r="AD5156" s="6" t="s">
        <v>7815</v>
      </c>
      <c r="AE5156" s="155" t="s">
        <v>1892</v>
      </c>
      <c r="AF5156" s="159" t="s">
        <v>8296</v>
      </c>
      <c r="AG5156" s="115" t="s">
        <v>2611</v>
      </c>
      <c r="AH5156" s="195" t="s">
        <v>1314</v>
      </c>
      <c r="AI5156" s="6" t="s">
        <v>2153</v>
      </c>
      <c r="AJ5156" s="3" t="s">
        <v>8224</v>
      </c>
      <c r="AK5156" t="s">
        <v>8224</v>
      </c>
    </row>
    <row r="5157" spans="29:37" ht="13.5">
      <c r="AC5157" s="6" t="s">
        <v>1801</v>
      </c>
      <c r="AD5157" s="6" t="s">
        <v>7816</v>
      </c>
      <c r="AE5157" s="155" t="s">
        <v>1893</v>
      </c>
      <c r="AF5157" s="159" t="s">
        <v>8299</v>
      </c>
      <c r="AG5157" s="115" t="s">
        <v>2730</v>
      </c>
      <c r="AH5157" s="196" t="s">
        <v>679</v>
      </c>
      <c r="AI5157" s="6" t="s">
        <v>5315</v>
      </c>
      <c r="AJ5157" t="s">
        <v>8209</v>
      </c>
      <c r="AK5157" t="s">
        <v>8209</v>
      </c>
    </row>
    <row r="5158" spans="29:37" ht="13.5">
      <c r="AC5158" s="6" t="s">
        <v>5173</v>
      </c>
      <c r="AD5158" s="6" t="s">
        <v>7789</v>
      </c>
      <c r="AE5158" s="155" t="s">
        <v>2071</v>
      </c>
      <c r="AF5158" s="159" t="s">
        <v>8300</v>
      </c>
      <c r="AG5158" s="115" t="s">
        <v>2731</v>
      </c>
      <c r="AH5158" s="196" t="s">
        <v>1314</v>
      </c>
      <c r="AI5158" s="6" t="s">
        <v>5776</v>
      </c>
      <c r="AJ5158" t="s">
        <v>8196</v>
      </c>
      <c r="AK5158" t="s">
        <v>8196</v>
      </c>
    </row>
    <row r="5159" spans="29:37" ht="13.5">
      <c r="AC5159" s="6" t="s">
        <v>2068</v>
      </c>
      <c r="AD5159" s="6" t="s">
        <v>7797</v>
      </c>
      <c r="AE5159" s="155" t="s">
        <v>2072</v>
      </c>
      <c r="AF5159" s="159" t="s">
        <v>8300</v>
      </c>
      <c r="AG5159" s="115" t="s">
        <v>2732</v>
      </c>
      <c r="AH5159" s="196" t="s">
        <v>679</v>
      </c>
      <c r="AI5159" s="6" t="s">
        <v>329</v>
      </c>
      <c r="AJ5159" t="s">
        <v>8208</v>
      </c>
      <c r="AK5159" t="s">
        <v>8667</v>
      </c>
    </row>
    <row r="5160" spans="29:37" ht="13.5">
      <c r="AC5160" s="6">
        <v>255317</v>
      </c>
      <c r="AD5160" s="6" t="s">
        <v>7786</v>
      </c>
      <c r="AE5160" s="155" t="s">
        <v>2073</v>
      </c>
      <c r="AF5160" s="159" t="s">
        <v>8299</v>
      </c>
      <c r="AG5160" s="115" t="s">
        <v>2733</v>
      </c>
      <c r="AH5160" s="196" t="s">
        <v>1314</v>
      </c>
      <c r="AI5160" s="6" t="s">
        <v>347</v>
      </c>
      <c r="AJ5160" t="s">
        <v>8209</v>
      </c>
      <c r="AK5160" t="s">
        <v>8209</v>
      </c>
    </row>
    <row r="5161" spans="29:37" ht="13.5">
      <c r="AC5161" s="6" t="s">
        <v>1724</v>
      </c>
      <c r="AD5161" s="6" t="s">
        <v>7797</v>
      </c>
      <c r="AE5161" s="155" t="s">
        <v>2232</v>
      </c>
      <c r="AF5161" s="159" t="s">
        <v>8299</v>
      </c>
      <c r="AG5161" s="115" t="s">
        <v>2734</v>
      </c>
      <c r="AH5161" s="196" t="s">
        <v>679</v>
      </c>
      <c r="AI5161" s="6" t="s">
        <v>1405</v>
      </c>
      <c r="AJ5161" t="s">
        <v>8208</v>
      </c>
      <c r="AK5161" t="s">
        <v>8667</v>
      </c>
    </row>
    <row r="5162" spans="29:37" ht="13.5">
      <c r="AC5162" s="6" t="s">
        <v>1907</v>
      </c>
      <c r="AD5162" s="6" t="s">
        <v>7797</v>
      </c>
      <c r="AE5162" s="155" t="s">
        <v>2302</v>
      </c>
      <c r="AF5162" s="159" t="s">
        <v>8331</v>
      </c>
      <c r="AG5162" s="115" t="s">
        <v>2735</v>
      </c>
      <c r="AH5162" s="196" t="s">
        <v>679</v>
      </c>
      <c r="AI5162" s="6" t="s">
        <v>6621</v>
      </c>
      <c r="AJ5162" t="s">
        <v>8228</v>
      </c>
      <c r="AK5162" t="s">
        <v>8228</v>
      </c>
    </row>
    <row r="5163" spans="29:37" ht="13.5">
      <c r="AC5163" s="6" t="s">
        <v>869</v>
      </c>
      <c r="AD5163" s="6" t="s">
        <v>7814</v>
      </c>
      <c r="AE5163" s="155" t="s">
        <v>1831</v>
      </c>
      <c r="AF5163" s="159" t="s">
        <v>8300</v>
      </c>
      <c r="AG5163" s="115" t="s">
        <v>2736</v>
      </c>
      <c r="AH5163" s="196" t="s">
        <v>679</v>
      </c>
      <c r="AI5163" s="6" t="s">
        <v>1050</v>
      </c>
      <c r="AJ5163" t="s">
        <v>8209</v>
      </c>
      <c r="AK5163" t="s">
        <v>8209</v>
      </c>
    </row>
    <row r="5164" spans="29:37" ht="13.5">
      <c r="AC5164" s="6">
        <v>685439</v>
      </c>
      <c r="AD5164" s="6" t="s">
        <v>7817</v>
      </c>
      <c r="AE5164" s="174" t="s">
        <v>2230</v>
      </c>
      <c r="AF5164" s="159" t="s">
        <v>8299</v>
      </c>
      <c r="AG5164" s="115" t="s">
        <v>2805</v>
      </c>
      <c r="AH5164" s="196" t="s">
        <v>1314</v>
      </c>
      <c r="AI5164" s="6" t="s">
        <v>587</v>
      </c>
      <c r="AJ5164" t="s">
        <v>8208</v>
      </c>
      <c r="AK5164" t="s">
        <v>8667</v>
      </c>
    </row>
    <row r="5165" spans="29:37" ht="13.5">
      <c r="AC5165" s="6" t="s">
        <v>5445</v>
      </c>
      <c r="AD5165" s="6" t="s">
        <v>7743</v>
      </c>
      <c r="AE5165" s="155" t="s">
        <v>2231</v>
      </c>
      <c r="AF5165" s="159" t="s">
        <v>8299</v>
      </c>
      <c r="AG5165" s="115" t="s">
        <v>2804</v>
      </c>
      <c r="AH5165" s="196" t="s">
        <v>1314</v>
      </c>
      <c r="AI5165" s="6" t="s">
        <v>6707</v>
      </c>
      <c r="AJ5165" t="s">
        <v>8197</v>
      </c>
      <c r="AK5165" t="s">
        <v>8197</v>
      </c>
    </row>
    <row r="5166" spans="29:37" ht="13.5">
      <c r="AC5166" s="6" t="s">
        <v>5099</v>
      </c>
      <c r="AD5166" s="6" t="s">
        <v>7818</v>
      </c>
      <c r="AE5166" s="155" t="s">
        <v>934</v>
      </c>
      <c r="AF5166" s="159" t="s">
        <v>8299</v>
      </c>
      <c r="AG5166" s="115" t="s">
        <v>2786</v>
      </c>
      <c r="AH5166" s="196" t="s">
        <v>1314</v>
      </c>
      <c r="AI5166" s="6" t="s">
        <v>5797</v>
      </c>
      <c r="AJ5166" t="s">
        <v>8209</v>
      </c>
      <c r="AK5166" t="s">
        <v>8209</v>
      </c>
    </row>
    <row r="5167" spans="29:37" ht="13.5">
      <c r="AC5167" s="6" t="s">
        <v>1800</v>
      </c>
      <c r="AD5167" s="6" t="s">
        <v>7816</v>
      </c>
      <c r="AE5167" s="155" t="s">
        <v>2233</v>
      </c>
      <c r="AF5167" s="159" t="s">
        <v>8299</v>
      </c>
      <c r="AG5167" s="115" t="s">
        <v>4429</v>
      </c>
      <c r="AH5167" s="196" t="s">
        <v>1314</v>
      </c>
      <c r="AI5167" s="6" t="s">
        <v>5790</v>
      </c>
      <c r="AJ5167" t="s">
        <v>8228</v>
      </c>
      <c r="AK5167" t="s">
        <v>8228</v>
      </c>
    </row>
    <row r="5168" spans="29:37" ht="13.5">
      <c r="AC5168" s="6" t="s">
        <v>2067</v>
      </c>
      <c r="AD5168" s="6" t="s">
        <v>7797</v>
      </c>
      <c r="AE5168" s="155" t="s">
        <v>1014</v>
      </c>
      <c r="AF5168" s="159" t="s">
        <v>8299</v>
      </c>
      <c r="AG5168" s="115" t="s">
        <v>4146</v>
      </c>
      <c r="AH5168" s="196" t="s">
        <v>678</v>
      </c>
      <c r="AI5168" s="6" t="s">
        <v>5788</v>
      </c>
      <c r="AJ5168" t="s">
        <v>8228</v>
      </c>
      <c r="AK5168" t="s">
        <v>8228</v>
      </c>
    </row>
    <row r="5169" spans="29:37" ht="13.5">
      <c r="AC5169" s="6">
        <v>35267</v>
      </c>
      <c r="AD5169" s="6" t="s">
        <v>7781</v>
      </c>
      <c r="AE5169" s="155" t="s">
        <v>1811</v>
      </c>
      <c r="AF5169" s="159" t="s">
        <v>8300</v>
      </c>
      <c r="AG5169" s="115" t="s">
        <v>4147</v>
      </c>
      <c r="AH5169" s="196" t="s">
        <v>679</v>
      </c>
      <c r="AI5169" s="6" t="s">
        <v>5509</v>
      </c>
      <c r="AJ5169" t="s">
        <v>8208</v>
      </c>
      <c r="AK5169" t="s">
        <v>8667</v>
      </c>
    </row>
    <row r="5170" spans="29:37" ht="13.5">
      <c r="AC5170" s="6" t="s">
        <v>5446</v>
      </c>
      <c r="AD5170" s="6" t="s">
        <v>7789</v>
      </c>
      <c r="AE5170" s="155" t="s">
        <v>1752</v>
      </c>
      <c r="AF5170" s="159" t="s">
        <v>8366</v>
      </c>
      <c r="AG5170" s="115" t="s">
        <v>4148</v>
      </c>
      <c r="AH5170" s="196" t="s">
        <v>679</v>
      </c>
      <c r="AI5170" s="6" t="s">
        <v>5787</v>
      </c>
      <c r="AJ5170" t="s">
        <v>8208</v>
      </c>
      <c r="AK5170" t="s">
        <v>8667</v>
      </c>
    </row>
    <row r="5171" spans="29:37" ht="13.5">
      <c r="AC5171" s="6" t="s">
        <v>1815</v>
      </c>
      <c r="AD5171" s="6" t="s">
        <v>7819</v>
      </c>
      <c r="AE5171" s="155" t="s">
        <v>2310</v>
      </c>
      <c r="AF5171" s="159" t="s">
        <v>8595</v>
      </c>
      <c r="AG5171" s="115" t="s">
        <v>83</v>
      </c>
      <c r="AH5171" s="196" t="s">
        <v>679</v>
      </c>
      <c r="AI5171" s="6" t="s">
        <v>5420</v>
      </c>
      <c r="AJ5171" t="s">
        <v>8233</v>
      </c>
      <c r="AK5171" t="s">
        <v>8233</v>
      </c>
    </row>
    <row r="5172" spans="29:37" ht="13.5">
      <c r="AC5172" s="6" t="s">
        <v>918</v>
      </c>
      <c r="AD5172" s="6" t="s">
        <v>7814</v>
      </c>
      <c r="AE5172" s="155" t="s">
        <v>1969</v>
      </c>
      <c r="AF5172" s="159" t="s">
        <v>8300</v>
      </c>
      <c r="AG5172" s="115" t="s">
        <v>4149</v>
      </c>
      <c r="AH5172" s="196" t="s">
        <v>678</v>
      </c>
      <c r="AI5172" s="6" t="s">
        <v>5422</v>
      </c>
      <c r="AJ5172" t="s">
        <v>8196</v>
      </c>
      <c r="AK5172" t="s">
        <v>8196</v>
      </c>
    </row>
    <row r="5173" spans="29:37" ht="13.5">
      <c r="AC5173" s="6">
        <v>541619</v>
      </c>
      <c r="AD5173" s="6" t="s">
        <v>7798</v>
      </c>
      <c r="AE5173" s="155" t="s">
        <v>2171</v>
      </c>
      <c r="AF5173" s="159" t="s">
        <v>8296</v>
      </c>
      <c r="AG5173" s="115" t="s">
        <v>4150</v>
      </c>
      <c r="AH5173" s="196" t="s">
        <v>679</v>
      </c>
      <c r="AI5173" s="6" t="s">
        <v>5794</v>
      </c>
      <c r="AJ5173" t="s">
        <v>8209</v>
      </c>
      <c r="AK5173" t="s">
        <v>8209</v>
      </c>
    </row>
    <row r="5174" spans="29:37" ht="13.5">
      <c r="AC5174" s="6" t="s">
        <v>5100</v>
      </c>
      <c r="AD5174" s="6" t="s">
        <v>7820</v>
      </c>
      <c r="AE5174" s="155" t="s">
        <v>1751</v>
      </c>
      <c r="AF5174" s="159" t="s">
        <v>8300</v>
      </c>
      <c r="AG5174" s="115" t="s">
        <v>4151</v>
      </c>
      <c r="AH5174" s="196" t="s">
        <v>679</v>
      </c>
      <c r="AI5174" s="6" t="s">
        <v>5771</v>
      </c>
      <c r="AJ5174" t="s">
        <v>8208</v>
      </c>
      <c r="AK5174" t="s">
        <v>8667</v>
      </c>
    </row>
    <row r="5175" spans="29:37" ht="13.5">
      <c r="AC5175" s="6" t="s">
        <v>680</v>
      </c>
      <c r="AD5175" s="6" t="s">
        <v>7814</v>
      </c>
      <c r="AE5175" s="155" t="s">
        <v>1753</v>
      </c>
      <c r="AF5175" s="159" t="s">
        <v>8300</v>
      </c>
      <c r="AG5175" s="115" t="s">
        <v>4152</v>
      </c>
      <c r="AH5175" s="196" t="s">
        <v>679</v>
      </c>
      <c r="AI5175" s="6" t="s">
        <v>5510</v>
      </c>
      <c r="AJ5175" t="s">
        <v>8209</v>
      </c>
      <c r="AK5175" t="s">
        <v>8209</v>
      </c>
    </row>
    <row r="5176" spans="29:37" ht="13.5">
      <c r="AC5176" s="6">
        <v>565384</v>
      </c>
      <c r="AD5176" s="6" t="s">
        <v>7821</v>
      </c>
      <c r="AE5176" s="155" t="s">
        <v>1898</v>
      </c>
      <c r="AF5176" s="159" t="s">
        <v>8300</v>
      </c>
      <c r="AG5176" s="115" t="s">
        <v>4153</v>
      </c>
      <c r="AH5176" s="196" t="s">
        <v>679</v>
      </c>
      <c r="AI5176" s="6" t="s">
        <v>5516</v>
      </c>
      <c r="AJ5176" t="s">
        <v>8208</v>
      </c>
      <c r="AK5176" t="s">
        <v>8667</v>
      </c>
    </row>
    <row r="5177" spans="29:37" ht="13.5">
      <c r="AC5177" s="6" t="s">
        <v>5251</v>
      </c>
      <c r="AD5177" s="6" t="s">
        <v>7822</v>
      </c>
      <c r="AE5177" s="155" t="s">
        <v>1899</v>
      </c>
      <c r="AF5177" s="159" t="s">
        <v>8340</v>
      </c>
      <c r="AG5177" s="115" t="s">
        <v>4154</v>
      </c>
      <c r="AH5177" s="196" t="s">
        <v>679</v>
      </c>
      <c r="AI5177" s="6" t="s">
        <v>5789</v>
      </c>
      <c r="AJ5177" t="s">
        <v>8228</v>
      </c>
      <c r="AK5177" t="s">
        <v>8228</v>
      </c>
    </row>
    <row r="5178" spans="29:37" ht="13.5">
      <c r="AC5178" s="6" t="s">
        <v>2075</v>
      </c>
      <c r="AD5178" s="6" t="s">
        <v>7805</v>
      </c>
      <c r="AE5178" s="155" t="s">
        <v>1990</v>
      </c>
      <c r="AF5178" s="159" t="s">
        <v>8299</v>
      </c>
      <c r="AG5178" s="115" t="s">
        <v>1127</v>
      </c>
      <c r="AH5178" s="196" t="s">
        <v>679</v>
      </c>
      <c r="AI5178" s="6" t="s">
        <v>5779</v>
      </c>
      <c r="AJ5178" t="s">
        <v>8228</v>
      </c>
      <c r="AK5178" t="s">
        <v>8228</v>
      </c>
    </row>
    <row r="5179" spans="29:37" ht="13.5">
      <c r="AC5179" s="6" t="s">
        <v>1799</v>
      </c>
      <c r="AD5179" s="6" t="s">
        <v>7816</v>
      </c>
      <c r="AE5179" s="155" t="s">
        <v>1991</v>
      </c>
      <c r="AF5179" s="159" t="s">
        <v>8300</v>
      </c>
      <c r="AG5179" s="115" t="s">
        <v>4155</v>
      </c>
      <c r="AH5179" s="196" t="s">
        <v>679</v>
      </c>
      <c r="AI5179" s="6" t="s">
        <v>5508</v>
      </c>
      <c r="AJ5179" t="s">
        <v>8208</v>
      </c>
      <c r="AK5179" t="s">
        <v>8667</v>
      </c>
    </row>
    <row r="5180" spans="29:37" ht="13.5">
      <c r="AC5180" s="6" t="s">
        <v>930</v>
      </c>
      <c r="AD5180" s="6" t="s">
        <v>7814</v>
      </c>
      <c r="AE5180" s="155" t="s">
        <v>1888</v>
      </c>
      <c r="AF5180" s="159" t="s">
        <v>8596</v>
      </c>
      <c r="AG5180" s="115" t="s">
        <v>4156</v>
      </c>
      <c r="AH5180" s="196" t="s">
        <v>679</v>
      </c>
      <c r="AI5180" s="6" t="s">
        <v>5798</v>
      </c>
      <c r="AJ5180" t="s">
        <v>8228</v>
      </c>
      <c r="AK5180" t="s">
        <v>8228</v>
      </c>
    </row>
    <row r="5181" spans="29:37" ht="13.5">
      <c r="AC5181" s="6" t="s">
        <v>5243</v>
      </c>
      <c r="AD5181" s="6" t="s">
        <v>7823</v>
      </c>
      <c r="AE5181" s="155" t="s">
        <v>1889</v>
      </c>
      <c r="AF5181" s="159" t="s">
        <v>8347</v>
      </c>
      <c r="AG5181" s="115" t="s">
        <v>4157</v>
      </c>
      <c r="AH5181" s="196" t="s">
        <v>679</v>
      </c>
      <c r="AI5181" s="6" t="s">
        <v>6619</v>
      </c>
      <c r="AJ5181" t="s">
        <v>8228</v>
      </c>
      <c r="AK5181" t="s">
        <v>8228</v>
      </c>
    </row>
    <row r="5182" spans="29:37" ht="13.5">
      <c r="AC5182" s="6" t="s">
        <v>1714</v>
      </c>
      <c r="AD5182" s="6" t="s">
        <v>7824</v>
      </c>
      <c r="AE5182" s="155" t="s">
        <v>1890</v>
      </c>
      <c r="AF5182" s="159" t="s">
        <v>8342</v>
      </c>
      <c r="AG5182" s="115" t="s">
        <v>4487</v>
      </c>
      <c r="AH5182" s="196" t="s">
        <v>678</v>
      </c>
      <c r="AI5182" s="6" t="s">
        <v>5799</v>
      </c>
      <c r="AJ5182" t="s">
        <v>8228</v>
      </c>
      <c r="AK5182" t="s">
        <v>8228</v>
      </c>
    </row>
    <row r="5183" spans="29:37" ht="13.5">
      <c r="AC5183" s="6" t="s">
        <v>862</v>
      </c>
      <c r="AD5183" s="6" t="s">
        <v>7814</v>
      </c>
      <c r="AE5183" s="155" t="s">
        <v>1891</v>
      </c>
      <c r="AF5183" s="159" t="s">
        <v>8299</v>
      </c>
      <c r="AG5183" s="115" t="s">
        <v>4158</v>
      </c>
      <c r="AH5183" s="196" t="s">
        <v>678</v>
      </c>
      <c r="AI5183" s="6" t="s">
        <v>5796</v>
      </c>
      <c r="AJ5183" t="s">
        <v>8208</v>
      </c>
      <c r="AK5183" t="s">
        <v>8667</v>
      </c>
    </row>
    <row r="5184" spans="29:37" ht="13.5">
      <c r="AC5184" s="6" t="s">
        <v>1798</v>
      </c>
      <c r="AD5184" s="6" t="s">
        <v>7803</v>
      </c>
      <c r="AE5184" s="155" t="s">
        <v>1923</v>
      </c>
      <c r="AF5184" s="159" t="s">
        <v>8300</v>
      </c>
      <c r="AG5184" s="115" t="s">
        <v>4159</v>
      </c>
      <c r="AH5184" s="196" t="s">
        <v>679</v>
      </c>
      <c r="AI5184" s="6" t="s">
        <v>5785</v>
      </c>
      <c r="AJ5184" t="s">
        <v>8208</v>
      </c>
      <c r="AK5184" t="s">
        <v>8667</v>
      </c>
    </row>
    <row r="5185" spans="29:37" ht="13.5">
      <c r="AC5185" s="6" t="s">
        <v>872</v>
      </c>
      <c r="AD5185" s="6" t="s">
        <v>7814</v>
      </c>
      <c r="AE5185" s="155" t="s">
        <v>1924</v>
      </c>
      <c r="AF5185" s="159" t="s">
        <v>8300</v>
      </c>
      <c r="AG5185" s="115" t="s">
        <v>4160</v>
      </c>
      <c r="AH5185" s="196" t="s">
        <v>679</v>
      </c>
      <c r="AI5185" s="6" t="s">
        <v>5806</v>
      </c>
      <c r="AJ5185" t="s">
        <v>8200</v>
      </c>
      <c r="AK5185" t="s">
        <v>8200</v>
      </c>
    </row>
    <row r="5186" spans="29:37" ht="13.5">
      <c r="AC5186" s="6" t="s">
        <v>921</v>
      </c>
      <c r="AD5186" s="6" t="s">
        <v>7814</v>
      </c>
      <c r="AE5186" s="155" t="s">
        <v>1975</v>
      </c>
      <c r="AF5186" s="159" t="s">
        <v>8300</v>
      </c>
      <c r="AG5186" s="115" t="s">
        <v>4161</v>
      </c>
      <c r="AH5186" s="196" t="s">
        <v>678</v>
      </c>
      <c r="AI5186" s="6" t="s">
        <v>5805</v>
      </c>
      <c r="AJ5186" t="s">
        <v>8208</v>
      </c>
      <c r="AK5186" t="s">
        <v>8667</v>
      </c>
    </row>
    <row r="5187" spans="29:37" ht="13.5">
      <c r="AC5187" s="6" t="s">
        <v>5552</v>
      </c>
      <c r="AD5187" s="6" t="s">
        <v>7814</v>
      </c>
      <c r="AE5187" s="155" t="s">
        <v>1976</v>
      </c>
      <c r="AF5187" s="159" t="s">
        <v>8300</v>
      </c>
      <c r="AG5187" s="115" t="s">
        <v>4162</v>
      </c>
      <c r="AH5187" s="196" t="s">
        <v>679</v>
      </c>
      <c r="AI5187" s="6" t="s">
        <v>5786</v>
      </c>
      <c r="AJ5187" t="s">
        <v>8228</v>
      </c>
      <c r="AK5187" t="s">
        <v>8228</v>
      </c>
    </row>
    <row r="5188" spans="29:37" ht="13.5">
      <c r="AC5188" s="6" t="s">
        <v>1802</v>
      </c>
      <c r="AD5188" s="6" t="s">
        <v>7825</v>
      </c>
      <c r="AE5188" s="155" t="s">
        <v>1982</v>
      </c>
      <c r="AF5188" s="159" t="s">
        <v>8300</v>
      </c>
      <c r="AG5188" s="115" t="s">
        <v>1289</v>
      </c>
      <c r="AH5188" s="196" t="s">
        <v>679</v>
      </c>
      <c r="AI5188" s="6" t="s">
        <v>5772</v>
      </c>
      <c r="AJ5188" t="s">
        <v>8208</v>
      </c>
      <c r="AK5188" t="s">
        <v>8667</v>
      </c>
    </row>
    <row r="5189" spans="29:37" ht="13.5">
      <c r="AC5189" s="6" t="s">
        <v>927</v>
      </c>
      <c r="AD5189" s="6" t="s">
        <v>7814</v>
      </c>
      <c r="AE5189" s="155" t="s">
        <v>1983</v>
      </c>
      <c r="AF5189" s="159" t="s">
        <v>8296</v>
      </c>
      <c r="AG5189" s="115" t="s">
        <v>4163</v>
      </c>
      <c r="AH5189" s="196" t="s">
        <v>679</v>
      </c>
      <c r="AI5189" s="6" t="s">
        <v>5791</v>
      </c>
      <c r="AJ5189" t="s">
        <v>8208</v>
      </c>
      <c r="AK5189" t="s">
        <v>8667</v>
      </c>
    </row>
    <row r="5190" spans="29:37" ht="13.5">
      <c r="AC5190" s="6" t="s">
        <v>871</v>
      </c>
      <c r="AD5190" s="6" t="s">
        <v>7814</v>
      </c>
      <c r="AE5190" s="155" t="s">
        <v>1984</v>
      </c>
      <c r="AF5190" s="159" t="s">
        <v>8311</v>
      </c>
      <c r="AG5190" s="115" t="s">
        <v>5205</v>
      </c>
      <c r="AH5190" s="196" t="s">
        <v>1314</v>
      </c>
      <c r="AI5190" s="6" t="s">
        <v>5795</v>
      </c>
      <c r="AJ5190" t="s">
        <v>8228</v>
      </c>
      <c r="AK5190" t="s">
        <v>8228</v>
      </c>
    </row>
    <row r="5191" spans="29:37" ht="13.5">
      <c r="AC5191" s="6" t="s">
        <v>1116</v>
      </c>
      <c r="AD5191" s="6" t="s">
        <v>7814</v>
      </c>
      <c r="AE5191" s="155" t="s">
        <v>1985</v>
      </c>
      <c r="AF5191" s="159" t="s">
        <v>8300</v>
      </c>
      <c r="AG5191" s="115" t="s">
        <v>5112</v>
      </c>
      <c r="AH5191" s="196" t="s">
        <v>1314</v>
      </c>
      <c r="AI5191" s="6" t="s">
        <v>6623</v>
      </c>
      <c r="AJ5191" t="s">
        <v>8196</v>
      </c>
      <c r="AK5191" t="s">
        <v>8196</v>
      </c>
    </row>
    <row r="5192" spans="29:37">
      <c r="AC5192" s="6" t="s">
        <v>1911</v>
      </c>
      <c r="AD5192" s="6" t="s">
        <v>7824</v>
      </c>
      <c r="AE5192" s="115" t="s">
        <v>1986</v>
      </c>
      <c r="AF5192" s="162" t="s">
        <v>8300</v>
      </c>
      <c r="AG5192" s="115" t="s">
        <v>5136</v>
      </c>
      <c r="AH5192" s="196" t="s">
        <v>679</v>
      </c>
      <c r="AI5192" s="6" t="s">
        <v>6622</v>
      </c>
      <c r="AJ5192" t="s">
        <v>8228</v>
      </c>
      <c r="AK5192" t="s">
        <v>8228</v>
      </c>
    </row>
    <row r="5193" spans="29:37">
      <c r="AC5193" s="6" t="s">
        <v>2172</v>
      </c>
      <c r="AD5193" s="6" t="s">
        <v>7826</v>
      </c>
      <c r="AE5193" s="115" t="s">
        <v>1987</v>
      </c>
      <c r="AF5193" s="162" t="s">
        <v>8300</v>
      </c>
      <c r="AG5193" s="115" t="s">
        <v>5128</v>
      </c>
      <c r="AH5193" s="196" t="s">
        <v>1314</v>
      </c>
      <c r="AI5193" s="6" t="s">
        <v>1106</v>
      </c>
      <c r="AJ5193" t="s">
        <v>8224</v>
      </c>
      <c r="AK5193" t="s">
        <v>8224</v>
      </c>
    </row>
    <row r="5194" spans="29:37">
      <c r="AC5194" s="6" t="s">
        <v>1732</v>
      </c>
      <c r="AD5194" s="6" t="s">
        <v>7807</v>
      </c>
      <c r="AE5194" s="115" t="s">
        <v>1988</v>
      </c>
      <c r="AF5194" s="162" t="s">
        <v>8299</v>
      </c>
      <c r="AG5194" s="115" t="s">
        <v>5041</v>
      </c>
      <c r="AH5194" s="196" t="s">
        <v>679</v>
      </c>
      <c r="AI5194" s="6" t="s">
        <v>5556</v>
      </c>
      <c r="AJ5194" t="s">
        <v>8238</v>
      </c>
      <c r="AK5194" t="s">
        <v>8673</v>
      </c>
    </row>
    <row r="5195" spans="29:37">
      <c r="AC5195" s="6">
        <v>555381</v>
      </c>
      <c r="AD5195" s="6" t="s">
        <v>7827</v>
      </c>
      <c r="AE5195" s="115" t="s">
        <v>1989</v>
      </c>
      <c r="AF5195" s="162" t="s">
        <v>8300</v>
      </c>
      <c r="AG5195" s="115" t="s">
        <v>5096</v>
      </c>
      <c r="AH5195" s="196" t="s">
        <v>679</v>
      </c>
      <c r="AI5195" s="6" t="s">
        <v>1913</v>
      </c>
      <c r="AJ5195" t="s">
        <v>8238</v>
      </c>
      <c r="AK5195" t="s">
        <v>8673</v>
      </c>
    </row>
    <row r="5196" spans="29:37">
      <c r="AC5196" s="6" t="s">
        <v>5095</v>
      </c>
      <c r="AD5196" s="6" t="s">
        <v>7828</v>
      </c>
      <c r="AE5196" s="115" t="s">
        <v>1760</v>
      </c>
      <c r="AF5196" s="162" t="s">
        <v>8339</v>
      </c>
      <c r="AG5196" s="115" t="s">
        <v>5481</v>
      </c>
      <c r="AH5196" s="196" t="s">
        <v>679</v>
      </c>
      <c r="AI5196" s="6" t="s">
        <v>1981</v>
      </c>
      <c r="AJ5196" t="s">
        <v>8238</v>
      </c>
      <c r="AK5196" t="s">
        <v>8673</v>
      </c>
    </row>
    <row r="5197" spans="29:37">
      <c r="AC5197" s="6" t="s">
        <v>865</v>
      </c>
      <c r="AD5197" s="6" t="s">
        <v>7814</v>
      </c>
      <c r="AE5197" s="115" t="s">
        <v>1995</v>
      </c>
      <c r="AF5197" s="162" t="s">
        <v>8300</v>
      </c>
      <c r="AG5197" s="115" t="s">
        <v>2530</v>
      </c>
      <c r="AH5197" s="196" t="s">
        <v>679</v>
      </c>
      <c r="AI5197" s="6" t="s">
        <v>95</v>
      </c>
      <c r="AJ5197" t="s">
        <v>8269</v>
      </c>
      <c r="AK5197" t="s">
        <v>8269</v>
      </c>
    </row>
    <row r="5198" spans="29:37">
      <c r="AC5198" s="6" t="s">
        <v>899</v>
      </c>
      <c r="AD5198" s="6" t="s">
        <v>7814</v>
      </c>
      <c r="AE5198" s="115" t="s">
        <v>1996</v>
      </c>
      <c r="AF5198" s="162" t="s">
        <v>8300</v>
      </c>
      <c r="AG5198" s="115" t="s">
        <v>2613</v>
      </c>
      <c r="AH5198" s="196" t="s">
        <v>679</v>
      </c>
      <c r="AI5198" s="6" t="s">
        <v>4013</v>
      </c>
      <c r="AJ5198" t="s">
        <v>8272</v>
      </c>
      <c r="AK5198" t="s">
        <v>8272</v>
      </c>
    </row>
    <row r="5199" spans="29:37">
      <c r="AC5199" s="6">
        <v>541620</v>
      </c>
      <c r="AD5199" s="6" t="s">
        <v>7798</v>
      </c>
      <c r="AE5199" s="115" t="s">
        <v>1997</v>
      </c>
      <c r="AF5199" s="162" t="s">
        <v>8299</v>
      </c>
      <c r="AG5199" s="115" t="s">
        <v>2739</v>
      </c>
      <c r="AH5199" s="196" t="s">
        <v>679</v>
      </c>
      <c r="AI5199" s="6" t="s">
        <v>96</v>
      </c>
      <c r="AJ5199" t="s">
        <v>8269</v>
      </c>
      <c r="AK5199" t="s">
        <v>8269</v>
      </c>
    </row>
    <row r="5200" spans="29:37">
      <c r="AC5200" s="6" t="s">
        <v>1764</v>
      </c>
      <c r="AD5200" s="6" t="s">
        <v>7797</v>
      </c>
      <c r="AE5200" s="115" t="s">
        <v>2150</v>
      </c>
      <c r="AF5200" s="162" t="s">
        <v>8299</v>
      </c>
      <c r="AG5200" s="115" t="s">
        <v>2740</v>
      </c>
      <c r="AH5200" s="196" t="s">
        <v>679</v>
      </c>
      <c r="AI5200" s="6" t="s">
        <v>97</v>
      </c>
      <c r="AJ5200" t="s">
        <v>8267</v>
      </c>
      <c r="AK5200" t="s">
        <v>8280</v>
      </c>
    </row>
    <row r="5201" spans="29:37">
      <c r="AC5201" s="6" t="s">
        <v>5462</v>
      </c>
      <c r="AD5201" s="6" t="s">
        <v>7829</v>
      </c>
      <c r="AE5201" s="115" t="s">
        <v>2152</v>
      </c>
      <c r="AF5201" s="11" t="s">
        <v>8340</v>
      </c>
      <c r="AG5201" s="115" t="s">
        <v>2520</v>
      </c>
      <c r="AH5201" s="196" t="s">
        <v>678</v>
      </c>
      <c r="AI5201" s="6" t="s">
        <v>108</v>
      </c>
      <c r="AJ5201" t="s">
        <v>8272</v>
      </c>
      <c r="AK5201" t="s">
        <v>8272</v>
      </c>
    </row>
    <row r="5202" spans="29:37">
      <c r="AC5202" s="6" t="s">
        <v>2019</v>
      </c>
      <c r="AD5202" s="6" t="s">
        <v>7830</v>
      </c>
      <c r="AE5202" s="115" t="s">
        <v>2153</v>
      </c>
      <c r="AF5202" s="11" t="s">
        <v>8597</v>
      </c>
      <c r="AG5202" s="115" t="s">
        <v>2521</v>
      </c>
      <c r="AH5202" s="196" t="s">
        <v>4700</v>
      </c>
      <c r="AI5202" s="6" t="s">
        <v>98</v>
      </c>
      <c r="AJ5202" t="s">
        <v>8267</v>
      </c>
      <c r="AK5202" t="s">
        <v>8280</v>
      </c>
    </row>
    <row r="5203" spans="29:37">
      <c r="AC5203" s="6" t="s">
        <v>896</v>
      </c>
      <c r="AD5203" s="6" t="s">
        <v>7814</v>
      </c>
      <c r="AE5203" s="115" t="s">
        <v>2154</v>
      </c>
      <c r="AF5203" s="11" t="s">
        <v>8300</v>
      </c>
      <c r="AG5203" s="115" t="s">
        <v>2555</v>
      </c>
      <c r="AH5203" s="196" t="s">
        <v>678</v>
      </c>
      <c r="AI5203" s="6" t="s">
        <v>4018</v>
      </c>
      <c r="AJ5203" t="s">
        <v>8267</v>
      </c>
      <c r="AK5203" t="s">
        <v>8280</v>
      </c>
    </row>
    <row r="5204" spans="29:37">
      <c r="AC5204" s="6" t="s">
        <v>907</v>
      </c>
      <c r="AD5204" s="6" t="s">
        <v>7814</v>
      </c>
      <c r="AE5204" s="115" t="s">
        <v>1970</v>
      </c>
      <c r="AF5204" s="11" t="s">
        <v>8299</v>
      </c>
      <c r="AG5204" s="115" t="s">
        <v>2556</v>
      </c>
      <c r="AH5204" s="196" t="s">
        <v>678</v>
      </c>
      <c r="AI5204" s="6" t="s">
        <v>4019</v>
      </c>
      <c r="AJ5204" t="s">
        <v>8272</v>
      </c>
      <c r="AK5204" t="s">
        <v>8272</v>
      </c>
    </row>
    <row r="5205" spans="29:37">
      <c r="AC5205" s="6" t="s">
        <v>2220</v>
      </c>
      <c r="AD5205" s="6" t="s">
        <v>7820</v>
      </c>
      <c r="AE5205" s="115">
        <v>15255</v>
      </c>
      <c r="AF5205" s="11" t="s">
        <v>8299</v>
      </c>
      <c r="AG5205" s="115" t="s">
        <v>2576</v>
      </c>
      <c r="AH5205" s="196" t="s">
        <v>4700</v>
      </c>
      <c r="AI5205" s="6" t="s">
        <v>4020</v>
      </c>
      <c r="AJ5205" t="s">
        <v>8272</v>
      </c>
      <c r="AK5205" t="s">
        <v>8272</v>
      </c>
    </row>
    <row r="5206" spans="29:37">
      <c r="AC5206" s="6" t="s">
        <v>2016</v>
      </c>
      <c r="AD5206" s="6" t="s">
        <v>7831</v>
      </c>
      <c r="AE5206" s="115">
        <v>15343</v>
      </c>
      <c r="AF5206" s="11" t="s">
        <v>8300</v>
      </c>
      <c r="AG5206" s="115" t="s">
        <v>2577</v>
      </c>
      <c r="AH5206" s="196" t="s">
        <v>678</v>
      </c>
      <c r="AI5206" s="6" t="s">
        <v>102</v>
      </c>
      <c r="AJ5206" t="s">
        <v>8272</v>
      </c>
      <c r="AK5206" t="s">
        <v>8272</v>
      </c>
    </row>
    <row r="5207" spans="29:37">
      <c r="AC5207" s="6" t="s">
        <v>882</v>
      </c>
      <c r="AD5207" s="6" t="s">
        <v>7814</v>
      </c>
      <c r="AE5207" s="115">
        <v>15344</v>
      </c>
      <c r="AF5207" s="11" t="s">
        <v>8299</v>
      </c>
      <c r="AG5207" s="115" t="s">
        <v>2578</v>
      </c>
      <c r="AH5207" s="196" t="s">
        <v>678</v>
      </c>
      <c r="AI5207" s="6" t="s">
        <v>106</v>
      </c>
      <c r="AJ5207" t="s">
        <v>8267</v>
      </c>
      <c r="AK5207" t="s">
        <v>8280</v>
      </c>
    </row>
    <row r="5208" spans="29:37">
      <c r="AC5208" s="6" t="s">
        <v>866</v>
      </c>
      <c r="AD5208" s="6" t="s">
        <v>7814</v>
      </c>
      <c r="AE5208" s="115" t="s">
        <v>2114</v>
      </c>
      <c r="AF5208" s="11" t="s">
        <v>8299</v>
      </c>
      <c r="AG5208" s="115" t="s">
        <v>2579</v>
      </c>
      <c r="AH5208" s="196" t="s">
        <v>678</v>
      </c>
      <c r="AI5208" s="6" t="s">
        <v>103</v>
      </c>
      <c r="AJ5208" t="s">
        <v>8267</v>
      </c>
      <c r="AK5208" t="s">
        <v>8280</v>
      </c>
    </row>
    <row r="5209" spans="29:37">
      <c r="AC5209" s="6" t="s">
        <v>887</v>
      </c>
      <c r="AD5209" s="6" t="s">
        <v>7814</v>
      </c>
      <c r="AE5209" s="115">
        <v>595398</v>
      </c>
      <c r="AF5209" s="11" t="s">
        <v>8309</v>
      </c>
      <c r="AG5209" s="115" t="s">
        <v>2580</v>
      </c>
      <c r="AH5209" s="196" t="s">
        <v>4700</v>
      </c>
      <c r="AI5209" s="6" t="s">
        <v>4024</v>
      </c>
      <c r="AJ5209" t="s">
        <v>8272</v>
      </c>
      <c r="AK5209" t="s">
        <v>8272</v>
      </c>
    </row>
    <row r="5210" spans="29:37">
      <c r="AC5210" s="6" t="s">
        <v>1118</v>
      </c>
      <c r="AD5210" s="6" t="s">
        <v>7814</v>
      </c>
      <c r="AE5210" s="115">
        <v>655431</v>
      </c>
      <c r="AF5210" s="11" t="s">
        <v>8325</v>
      </c>
      <c r="AG5210" s="115" t="s">
        <v>2626</v>
      </c>
      <c r="AH5210" s="196" t="s">
        <v>679</v>
      </c>
      <c r="AI5210" s="6" t="s">
        <v>4026</v>
      </c>
      <c r="AJ5210" t="s">
        <v>8272</v>
      </c>
      <c r="AK5210" t="s">
        <v>8272</v>
      </c>
    </row>
    <row r="5211" spans="29:37">
      <c r="AC5211" s="6" t="s">
        <v>906</v>
      </c>
      <c r="AD5211" s="6" t="s">
        <v>7814</v>
      </c>
      <c r="AE5211" s="115">
        <v>655432</v>
      </c>
      <c r="AF5211" s="11" t="s">
        <v>8300</v>
      </c>
      <c r="AG5211" s="115" t="s">
        <v>2627</v>
      </c>
      <c r="AH5211" s="196" t="s">
        <v>679</v>
      </c>
      <c r="AI5211" s="6" t="s">
        <v>4027</v>
      </c>
      <c r="AJ5211" t="s">
        <v>8272</v>
      </c>
      <c r="AK5211" t="s">
        <v>8272</v>
      </c>
    </row>
    <row r="5212" spans="29:37">
      <c r="AC5212" s="6" t="s">
        <v>1730</v>
      </c>
      <c r="AD5212" s="6" t="s">
        <v>7832</v>
      </c>
      <c r="AE5212" s="115">
        <v>745460</v>
      </c>
      <c r="AF5212" s="11" t="s">
        <v>8309</v>
      </c>
      <c r="AG5212" s="115" t="s">
        <v>2628</v>
      </c>
      <c r="AH5212" s="196" t="s">
        <v>679</v>
      </c>
      <c r="AI5212" s="6" t="s">
        <v>4028</v>
      </c>
      <c r="AJ5212" t="s">
        <v>8272</v>
      </c>
      <c r="AK5212" t="s">
        <v>8272</v>
      </c>
    </row>
    <row r="5213" spans="29:37">
      <c r="AC5213" s="6" t="s">
        <v>931</v>
      </c>
      <c r="AD5213" s="6" t="s">
        <v>7814</v>
      </c>
      <c r="AE5213" s="115">
        <v>745461</v>
      </c>
      <c r="AF5213" s="11" t="s">
        <v>8300</v>
      </c>
      <c r="AG5213" s="115" t="s">
        <v>2818</v>
      </c>
      <c r="AH5213" s="196" t="s">
        <v>678</v>
      </c>
      <c r="AI5213" s="6" t="s">
        <v>5732</v>
      </c>
      <c r="AJ5213" t="s">
        <v>8272</v>
      </c>
      <c r="AK5213" t="s">
        <v>8272</v>
      </c>
    </row>
    <row r="5214" spans="29:37">
      <c r="AC5214" s="6" t="s">
        <v>2252</v>
      </c>
      <c r="AD5214" s="6" t="s">
        <v>7826</v>
      </c>
      <c r="AE5214" s="115" t="s">
        <v>1752</v>
      </c>
      <c r="AF5214" s="11" t="s">
        <v>8300</v>
      </c>
      <c r="AG5214" s="115" t="s">
        <v>2819</v>
      </c>
      <c r="AH5214" s="196" t="s">
        <v>679</v>
      </c>
      <c r="AI5214" s="6" t="s">
        <v>5538</v>
      </c>
      <c r="AJ5214" t="s">
        <v>8249</v>
      </c>
      <c r="AK5214" t="s">
        <v>8249</v>
      </c>
    </row>
    <row r="5215" spans="29:37">
      <c r="AC5215" s="6" t="s">
        <v>2074</v>
      </c>
      <c r="AD5215" s="6" t="s">
        <v>7833</v>
      </c>
      <c r="AE5215" s="115" t="s">
        <v>1767</v>
      </c>
      <c r="AF5215" s="11" t="s">
        <v>8300</v>
      </c>
      <c r="AG5215" s="115" t="s">
        <v>2817</v>
      </c>
      <c r="AH5215" s="196" t="s">
        <v>678</v>
      </c>
      <c r="AI5215" s="6" t="s">
        <v>1833</v>
      </c>
      <c r="AJ5215" t="s">
        <v>8194</v>
      </c>
      <c r="AK5215" t="s">
        <v>8194</v>
      </c>
    </row>
    <row r="5216" spans="29:37">
      <c r="AC5216" s="6" t="s">
        <v>885</v>
      </c>
      <c r="AD5216" s="6" t="s">
        <v>7814</v>
      </c>
      <c r="AE5216" s="115" t="s">
        <v>1768</v>
      </c>
      <c r="AF5216" s="11" t="s">
        <v>8300</v>
      </c>
      <c r="AG5216" s="115" t="s">
        <v>2774</v>
      </c>
      <c r="AH5216" s="196" t="s">
        <v>4700</v>
      </c>
      <c r="AI5216" s="6" t="s">
        <v>2205</v>
      </c>
      <c r="AJ5216" t="s">
        <v>8194</v>
      </c>
      <c r="AK5216" t="s">
        <v>8194</v>
      </c>
    </row>
    <row r="5217" spans="29:37">
      <c r="AC5217" s="6" t="s">
        <v>898</v>
      </c>
      <c r="AD5217" s="6" t="s">
        <v>7814</v>
      </c>
      <c r="AE5217" s="115" t="s">
        <v>1769</v>
      </c>
      <c r="AF5217" s="11" t="s">
        <v>8300</v>
      </c>
      <c r="AG5217" s="115" t="s">
        <v>2775</v>
      </c>
      <c r="AH5217" s="196" t="s">
        <v>678</v>
      </c>
      <c r="AI5217" s="6" t="s">
        <v>4064</v>
      </c>
      <c r="AJ5217" t="s">
        <v>8250</v>
      </c>
      <c r="AK5217" t="s">
        <v>8250</v>
      </c>
    </row>
    <row r="5218" spans="29:37">
      <c r="AC5218" s="6" t="s">
        <v>883</v>
      </c>
      <c r="AD5218" s="6" t="s">
        <v>7814</v>
      </c>
      <c r="AE5218" s="115" t="s">
        <v>1807</v>
      </c>
      <c r="AF5218" s="11" t="s">
        <v>8299</v>
      </c>
      <c r="AG5218" s="115" t="s">
        <v>2776</v>
      </c>
      <c r="AH5218" s="196" t="s">
        <v>678</v>
      </c>
      <c r="AI5218" s="6" t="s">
        <v>1115</v>
      </c>
      <c r="AJ5218" t="s">
        <v>8215</v>
      </c>
      <c r="AK5218" t="s">
        <v>8215</v>
      </c>
    </row>
    <row r="5219" spans="29:37">
      <c r="AC5219" s="6" t="s">
        <v>895</v>
      </c>
      <c r="AD5219" s="6" t="s">
        <v>7814</v>
      </c>
      <c r="AE5219" s="115" t="s">
        <v>1901</v>
      </c>
      <c r="AF5219" s="11" t="s">
        <v>8320</v>
      </c>
      <c r="AG5219" s="115" t="s">
        <v>2778</v>
      </c>
      <c r="AH5219" s="196" t="s">
        <v>4700</v>
      </c>
      <c r="AI5219" s="6" t="s">
        <v>866</v>
      </c>
      <c r="AJ5219" t="s">
        <v>8257</v>
      </c>
      <c r="AK5219" t="s">
        <v>8257</v>
      </c>
    </row>
    <row r="5220" spans="29:37">
      <c r="AC5220" s="6" t="s">
        <v>1741</v>
      </c>
      <c r="AD5220" s="6" t="s">
        <v>7802</v>
      </c>
      <c r="AE5220" s="115" t="s">
        <v>1902</v>
      </c>
      <c r="AF5220" s="11" t="s">
        <v>8300</v>
      </c>
      <c r="AG5220" s="115" t="s">
        <v>2779</v>
      </c>
      <c r="AH5220" s="196" t="s">
        <v>4700</v>
      </c>
      <c r="AI5220" s="6" t="s">
        <v>878</v>
      </c>
      <c r="AJ5220" t="s">
        <v>8215</v>
      </c>
      <c r="AK5220" t="s">
        <v>8215</v>
      </c>
    </row>
    <row r="5221" spans="29:37">
      <c r="AC5221" s="6" t="s">
        <v>1115</v>
      </c>
      <c r="AD5221" s="6" t="s">
        <v>7814</v>
      </c>
      <c r="AE5221" s="115" t="s">
        <v>1980</v>
      </c>
      <c r="AF5221" s="11" t="s">
        <v>8300</v>
      </c>
      <c r="AG5221" s="115" t="s">
        <v>1831</v>
      </c>
      <c r="AH5221" s="196" t="s">
        <v>679</v>
      </c>
      <c r="AI5221" s="6" t="s">
        <v>879</v>
      </c>
      <c r="AJ5221" t="s">
        <v>8257</v>
      </c>
      <c r="AK5221" t="s">
        <v>8257</v>
      </c>
    </row>
    <row r="5222" spans="29:37">
      <c r="AC5222" s="6" t="s">
        <v>856</v>
      </c>
      <c r="AD5222" s="6" t="s">
        <v>7814</v>
      </c>
      <c r="AE5222" s="115" t="s">
        <v>1900</v>
      </c>
      <c r="AF5222" s="11" t="s">
        <v>8297</v>
      </c>
      <c r="AG5222" s="115" t="s">
        <v>1842</v>
      </c>
      <c r="AH5222" s="196" t="s">
        <v>1314</v>
      </c>
      <c r="AI5222" s="6" t="s">
        <v>880</v>
      </c>
      <c r="AJ5222" t="s">
        <v>8257</v>
      </c>
      <c r="AK5222" t="s">
        <v>8257</v>
      </c>
    </row>
    <row r="5223" spans="29:37">
      <c r="AC5223" s="6" t="s">
        <v>897</v>
      </c>
      <c r="AD5223" s="6" t="s">
        <v>7814</v>
      </c>
      <c r="AE5223" s="115" t="s">
        <v>1998</v>
      </c>
      <c r="AF5223" s="11" t="s">
        <v>8300</v>
      </c>
      <c r="AG5223" s="115" t="s">
        <v>1966</v>
      </c>
      <c r="AH5223" s="196" t="s">
        <v>679</v>
      </c>
      <c r="AI5223" s="6" t="s">
        <v>883</v>
      </c>
      <c r="AJ5223" t="s">
        <v>8215</v>
      </c>
      <c r="AK5223" t="s">
        <v>8215</v>
      </c>
    </row>
    <row r="5224" spans="29:37">
      <c r="AC5224" s="6">
        <v>355308</v>
      </c>
      <c r="AD5224" s="6" t="s">
        <v>7815</v>
      </c>
      <c r="AE5224" s="115" t="s">
        <v>1999</v>
      </c>
      <c r="AF5224" s="11" t="s">
        <v>8309</v>
      </c>
      <c r="AG5224" s="115" t="s">
        <v>1967</v>
      </c>
      <c r="AH5224" s="196" t="s">
        <v>679</v>
      </c>
      <c r="AI5224" s="6" t="s">
        <v>884</v>
      </c>
      <c r="AJ5224" t="s">
        <v>8257</v>
      </c>
      <c r="AK5224" t="s">
        <v>8257</v>
      </c>
    </row>
    <row r="5225" spans="29:37">
      <c r="AC5225" s="6" t="s">
        <v>925</v>
      </c>
      <c r="AD5225" s="6" t="s">
        <v>7814</v>
      </c>
      <c r="AE5225" s="115" t="s">
        <v>2139</v>
      </c>
      <c r="AF5225" s="11" t="s">
        <v>8299</v>
      </c>
      <c r="AG5225" s="115" t="s">
        <v>1968</v>
      </c>
      <c r="AH5225" s="196" t="s">
        <v>679</v>
      </c>
      <c r="AI5225" s="6" t="s">
        <v>885</v>
      </c>
      <c r="AJ5225" t="s">
        <v>8257</v>
      </c>
      <c r="AK5225" t="s">
        <v>8257</v>
      </c>
    </row>
    <row r="5226" spans="29:37">
      <c r="AC5226" s="6" t="s">
        <v>2058</v>
      </c>
      <c r="AD5226" s="6" t="s">
        <v>7820</v>
      </c>
      <c r="AE5226" s="115" t="s">
        <v>2146</v>
      </c>
      <c r="AF5226" s="11" t="s">
        <v>8299</v>
      </c>
      <c r="AG5226" s="115" t="s">
        <v>2006</v>
      </c>
      <c r="AH5226" s="196" t="s">
        <v>679</v>
      </c>
      <c r="AI5226" s="6" t="s">
        <v>886</v>
      </c>
      <c r="AJ5226" t="s">
        <v>8257</v>
      </c>
      <c r="AK5226" t="s">
        <v>8257</v>
      </c>
    </row>
    <row r="5227" spans="29:37">
      <c r="AC5227" s="6" t="s">
        <v>914</v>
      </c>
      <c r="AD5227" s="6" t="s">
        <v>7814</v>
      </c>
      <c r="AE5227" s="115" t="s">
        <v>2147</v>
      </c>
      <c r="AF5227" s="11" t="s">
        <v>8299</v>
      </c>
      <c r="AG5227" s="115" t="s">
        <v>2008</v>
      </c>
      <c r="AH5227" s="196" t="s">
        <v>679</v>
      </c>
      <c r="AI5227" s="6" t="s">
        <v>887</v>
      </c>
      <c r="AJ5227" t="s">
        <v>8257</v>
      </c>
      <c r="AK5227" t="s">
        <v>8257</v>
      </c>
    </row>
    <row r="5228" spans="29:37">
      <c r="AC5228" s="6" t="s">
        <v>1846</v>
      </c>
      <c r="AD5228" s="6" t="s">
        <v>7834</v>
      </c>
      <c r="AE5228" s="115" t="s">
        <v>2301</v>
      </c>
      <c r="AF5228" s="11" t="s">
        <v>8291</v>
      </c>
      <c r="AG5228" s="115" t="s">
        <v>5167</v>
      </c>
      <c r="AH5228" s="196" t="s">
        <v>1314</v>
      </c>
      <c r="AI5228" s="6" t="s">
        <v>682</v>
      </c>
      <c r="AJ5228" t="s">
        <v>8257</v>
      </c>
      <c r="AK5228" t="s">
        <v>8257</v>
      </c>
    </row>
    <row r="5229" spans="29:37">
      <c r="AC5229" s="6" t="s">
        <v>917</v>
      </c>
      <c r="AD5229" s="6" t="s">
        <v>7814</v>
      </c>
      <c r="AE5229" s="115" t="s">
        <v>2303</v>
      </c>
      <c r="AF5229" s="11" t="s">
        <v>8333</v>
      </c>
      <c r="AG5229" s="115" t="s">
        <v>2519</v>
      </c>
      <c r="AH5229" s="196" t="s">
        <v>1314</v>
      </c>
      <c r="AI5229" s="6" t="s">
        <v>889</v>
      </c>
      <c r="AJ5229" t="s">
        <v>8257</v>
      </c>
      <c r="AK5229" t="s">
        <v>8257</v>
      </c>
    </row>
    <row r="5230" spans="29:37">
      <c r="AC5230" s="6" t="s">
        <v>924</v>
      </c>
      <c r="AD5230" s="6" t="s">
        <v>7814</v>
      </c>
      <c r="AE5230" s="115" t="s">
        <v>1243</v>
      </c>
      <c r="AF5230" s="11" t="s">
        <v>8299</v>
      </c>
      <c r="AG5230" s="115" t="s">
        <v>2742</v>
      </c>
      <c r="AH5230" s="196" t="s">
        <v>679</v>
      </c>
      <c r="AI5230" s="6" t="s">
        <v>891</v>
      </c>
      <c r="AJ5230" t="s">
        <v>8257</v>
      </c>
      <c r="AK5230" t="s">
        <v>8257</v>
      </c>
    </row>
    <row r="5231" spans="29:37">
      <c r="AC5231" s="6" t="s">
        <v>2059</v>
      </c>
      <c r="AD5231" s="6" t="s">
        <v>7820</v>
      </c>
      <c r="AE5231" s="115" t="s">
        <v>1775</v>
      </c>
      <c r="AF5231" s="11" t="s">
        <v>8299</v>
      </c>
      <c r="AG5231" s="115" t="s">
        <v>5090</v>
      </c>
      <c r="AH5231" s="196" t="s">
        <v>1314</v>
      </c>
      <c r="AI5231" s="6" t="s">
        <v>894</v>
      </c>
      <c r="AJ5231" t="s">
        <v>8215</v>
      </c>
      <c r="AK5231" t="s">
        <v>8215</v>
      </c>
    </row>
    <row r="5232" spans="29:37">
      <c r="AC5232" s="6" t="s">
        <v>2014</v>
      </c>
      <c r="AD5232" s="6" t="s">
        <v>7802</v>
      </c>
      <c r="AE5232" s="115" t="s">
        <v>1776</v>
      </c>
      <c r="AF5232" s="11" t="s">
        <v>8299</v>
      </c>
      <c r="AG5232" s="115" t="s">
        <v>2213</v>
      </c>
      <c r="AH5232" s="196" t="s">
        <v>1314</v>
      </c>
      <c r="AI5232" s="6" t="s">
        <v>895</v>
      </c>
      <c r="AJ5232" t="s">
        <v>8215</v>
      </c>
      <c r="AK5232" t="s">
        <v>8215</v>
      </c>
    </row>
    <row r="5233" spans="29:37">
      <c r="AC5233" s="6">
        <v>755463</v>
      </c>
      <c r="AD5233" s="6" t="s">
        <v>7835</v>
      </c>
      <c r="AE5233" s="115" t="s">
        <v>2266</v>
      </c>
      <c r="AF5233" s="11" t="s">
        <v>8297</v>
      </c>
      <c r="AG5233" s="115" t="s">
        <v>2533</v>
      </c>
      <c r="AH5233" s="196" t="s">
        <v>1314</v>
      </c>
      <c r="AI5233" s="6" t="s">
        <v>896</v>
      </c>
      <c r="AJ5233" t="s">
        <v>8257</v>
      </c>
      <c r="AK5233" t="s">
        <v>8257</v>
      </c>
    </row>
    <row r="5234" spans="29:37">
      <c r="AC5234" s="6" t="s">
        <v>2018</v>
      </c>
      <c r="AD5234" s="6" t="s">
        <v>7830</v>
      </c>
      <c r="AE5234" s="115" t="s">
        <v>2269</v>
      </c>
      <c r="AF5234" s="11" t="s">
        <v>8299</v>
      </c>
      <c r="AG5234" s="115" t="s">
        <v>2743</v>
      </c>
      <c r="AH5234" s="196" t="s">
        <v>679</v>
      </c>
      <c r="AI5234" s="6" t="s">
        <v>902</v>
      </c>
      <c r="AJ5234" t="s">
        <v>8215</v>
      </c>
      <c r="AK5234" t="s">
        <v>8215</v>
      </c>
    </row>
    <row r="5235" spans="29:37">
      <c r="AC5235" s="6" t="s">
        <v>6734</v>
      </c>
      <c r="AD5235" s="6" t="s">
        <v>7836</v>
      </c>
      <c r="AE5235" s="115" t="s">
        <v>2237</v>
      </c>
      <c r="AF5235" s="11" t="s">
        <v>8331</v>
      </c>
      <c r="AG5235" s="115" t="s">
        <v>2076</v>
      </c>
      <c r="AH5235" s="196" t="s">
        <v>678</v>
      </c>
      <c r="AI5235" s="6" t="s">
        <v>904</v>
      </c>
      <c r="AJ5235" t="s">
        <v>8215</v>
      </c>
      <c r="AK5235" t="s">
        <v>8215</v>
      </c>
    </row>
    <row r="5236" spans="29:37">
      <c r="AC5236" s="6" t="s">
        <v>915</v>
      </c>
      <c r="AD5236" s="6" t="s">
        <v>7814</v>
      </c>
      <c r="AE5236" s="115" t="s">
        <v>2247</v>
      </c>
      <c r="AF5236" s="11" t="s">
        <v>8300</v>
      </c>
      <c r="AG5236" s="115" t="s">
        <v>2203</v>
      </c>
      <c r="AH5236" s="196" t="s">
        <v>4700</v>
      </c>
      <c r="AI5236" s="6" t="s">
        <v>908</v>
      </c>
      <c r="AJ5236" t="s">
        <v>8257</v>
      </c>
      <c r="AK5236" t="s">
        <v>8257</v>
      </c>
    </row>
    <row r="5237" spans="29:37">
      <c r="AC5237" s="6" t="s">
        <v>1743</v>
      </c>
      <c r="AD5237" s="6" t="s">
        <v>7802</v>
      </c>
      <c r="AE5237" s="115" t="s">
        <v>1781</v>
      </c>
      <c r="AF5237" s="11" t="s">
        <v>8299</v>
      </c>
      <c r="AG5237" s="115" t="s">
        <v>1772</v>
      </c>
      <c r="AH5237" s="196" t="s">
        <v>679</v>
      </c>
      <c r="AI5237" s="6" t="s">
        <v>914</v>
      </c>
      <c r="AJ5237" t="s">
        <v>8257</v>
      </c>
      <c r="AK5237" t="s">
        <v>8257</v>
      </c>
    </row>
    <row r="5238" spans="29:37">
      <c r="AC5238" s="6" t="s">
        <v>892</v>
      </c>
      <c r="AD5238" s="6" t="s">
        <v>7814</v>
      </c>
      <c r="AE5238" s="115" t="s">
        <v>1782</v>
      </c>
      <c r="AF5238" s="11" t="s">
        <v>8299</v>
      </c>
      <c r="AG5238" s="115" t="s">
        <v>1773</v>
      </c>
      <c r="AH5238" s="196" t="s">
        <v>679</v>
      </c>
      <c r="AI5238" s="6" t="s">
        <v>921</v>
      </c>
      <c r="AJ5238" t="s">
        <v>8257</v>
      </c>
      <c r="AK5238" t="s">
        <v>8257</v>
      </c>
    </row>
    <row r="5239" spans="29:37">
      <c r="AC5239" s="6" t="s">
        <v>860</v>
      </c>
      <c r="AD5239" s="6" t="s">
        <v>7814</v>
      </c>
      <c r="AE5239" s="115" t="s">
        <v>1783</v>
      </c>
      <c r="AF5239" s="11" t="s">
        <v>8299</v>
      </c>
      <c r="AG5239" s="115" t="s">
        <v>1774</v>
      </c>
      <c r="AH5239" s="196" t="s">
        <v>679</v>
      </c>
      <c r="AI5239" s="6" t="s">
        <v>922</v>
      </c>
      <c r="AJ5239" t="s">
        <v>8215</v>
      </c>
      <c r="AK5239" t="s">
        <v>8215</v>
      </c>
    </row>
    <row r="5240" spans="29:37">
      <c r="AC5240" s="6" t="s">
        <v>854</v>
      </c>
      <c r="AD5240" s="6" t="s">
        <v>7814</v>
      </c>
      <c r="AE5240" s="115" t="s">
        <v>1784</v>
      </c>
      <c r="AF5240" s="11" t="s">
        <v>8299</v>
      </c>
      <c r="AG5240" s="115" t="s">
        <v>1795</v>
      </c>
      <c r="AH5240" s="196" t="s">
        <v>679</v>
      </c>
      <c r="AI5240" s="6" t="s">
        <v>933</v>
      </c>
      <c r="AJ5240" t="s">
        <v>8257</v>
      </c>
      <c r="AK5240" t="s">
        <v>8257</v>
      </c>
    </row>
    <row r="5241" spans="29:37">
      <c r="AC5241" s="6" t="s">
        <v>894</v>
      </c>
      <c r="AD5241" s="6" t="s">
        <v>7814</v>
      </c>
      <c r="AE5241" s="115" t="s">
        <v>2241</v>
      </c>
      <c r="AF5241" s="11" t="s">
        <v>8311</v>
      </c>
      <c r="AG5241" s="115" t="s">
        <v>1810</v>
      </c>
      <c r="AH5241" s="196" t="s">
        <v>679</v>
      </c>
      <c r="AI5241" s="6" t="s">
        <v>2453</v>
      </c>
      <c r="AJ5241" t="s">
        <v>8276</v>
      </c>
      <c r="AK5241" t="s">
        <v>8276</v>
      </c>
    </row>
    <row r="5242" spans="29:37">
      <c r="AC5242" s="6" t="s">
        <v>683</v>
      </c>
      <c r="AD5242" s="6" t="s">
        <v>7814</v>
      </c>
      <c r="AE5242" s="115" t="s">
        <v>2242</v>
      </c>
      <c r="AF5242" s="11" t="s">
        <v>8299</v>
      </c>
      <c r="AG5242" s="115" t="s">
        <v>1824</v>
      </c>
      <c r="AH5242" s="196" t="s">
        <v>679</v>
      </c>
      <c r="AI5242" s="6" t="s">
        <v>2701</v>
      </c>
      <c r="AJ5242" t="s">
        <v>8276</v>
      </c>
      <c r="AK5242" t="s">
        <v>8276</v>
      </c>
    </row>
    <row r="5243" spans="29:37">
      <c r="AC5243" s="6" t="s">
        <v>878</v>
      </c>
      <c r="AD5243" s="6" t="s">
        <v>7814</v>
      </c>
      <c r="AE5243" s="115" t="s">
        <v>2246</v>
      </c>
      <c r="AF5243" s="11" t="s">
        <v>8299</v>
      </c>
      <c r="AG5243" s="115" t="s">
        <v>1844</v>
      </c>
      <c r="AH5243" s="196" t="s">
        <v>679</v>
      </c>
      <c r="AI5243" s="6" t="s">
        <v>2702</v>
      </c>
      <c r="AJ5243" t="s">
        <v>8276</v>
      </c>
      <c r="AK5243" t="s">
        <v>8276</v>
      </c>
    </row>
    <row r="5244" spans="29:37">
      <c r="AC5244" s="6" t="s">
        <v>1961</v>
      </c>
      <c r="AD5244" s="6" t="s">
        <v>7827</v>
      </c>
      <c r="AE5244" s="115" t="s">
        <v>2249</v>
      </c>
      <c r="AF5244" s="11" t="s">
        <v>8323</v>
      </c>
      <c r="AG5244" s="115" t="s">
        <v>2227</v>
      </c>
      <c r="AH5244" s="196" t="s">
        <v>679</v>
      </c>
      <c r="AI5244" s="6" t="s">
        <v>5620</v>
      </c>
      <c r="AJ5244" t="s">
        <v>8226</v>
      </c>
      <c r="AK5244" t="s">
        <v>8671</v>
      </c>
    </row>
    <row r="5245" spans="29:37">
      <c r="AC5245" s="6" t="s">
        <v>2219</v>
      </c>
      <c r="AD5245" s="6" t="s">
        <v>7820</v>
      </c>
      <c r="AE5245" s="115" t="s">
        <v>2243</v>
      </c>
      <c r="AF5245" s="11" t="s">
        <v>8299</v>
      </c>
      <c r="AG5245" s="115" t="s">
        <v>1912</v>
      </c>
      <c r="AH5245" s="196" t="s">
        <v>678</v>
      </c>
      <c r="AI5245" s="6" t="s">
        <v>4132</v>
      </c>
      <c r="AJ5245" t="s">
        <v>8229</v>
      </c>
      <c r="AK5245" t="s">
        <v>8229</v>
      </c>
    </row>
    <row r="5246" spans="29:37">
      <c r="AC5246" s="6" t="s">
        <v>859</v>
      </c>
      <c r="AD5246" s="6" t="s">
        <v>7814</v>
      </c>
      <c r="AE5246" s="115" t="s">
        <v>2250</v>
      </c>
      <c r="AF5246" s="11" t="s">
        <v>8299</v>
      </c>
      <c r="AG5246" s="115" t="s">
        <v>2075</v>
      </c>
      <c r="AH5246" s="196" t="s">
        <v>679</v>
      </c>
      <c r="AI5246" s="6" t="s">
        <v>646</v>
      </c>
      <c r="AJ5246" t="s">
        <v>8216</v>
      </c>
      <c r="AK5246" t="s">
        <v>8216</v>
      </c>
    </row>
    <row r="5247" spans="29:37">
      <c r="AC5247" s="6" t="s">
        <v>886</v>
      </c>
      <c r="AD5247" s="6" t="s">
        <v>7814</v>
      </c>
      <c r="AE5247" s="115" t="s">
        <v>2272</v>
      </c>
      <c r="AF5247" s="11" t="s">
        <v>8299</v>
      </c>
      <c r="AG5247" s="115" t="s">
        <v>4465</v>
      </c>
      <c r="AH5247" s="196" t="s">
        <v>679</v>
      </c>
      <c r="AI5247" s="6" t="s">
        <v>1434</v>
      </c>
      <c r="AJ5247" t="s">
        <v>8210</v>
      </c>
      <c r="AK5247" t="s">
        <v>8210</v>
      </c>
    </row>
    <row r="5248" spans="29:37">
      <c r="AC5248" s="6">
        <v>35327</v>
      </c>
      <c r="AD5248" s="6" t="s">
        <v>7781</v>
      </c>
      <c r="AE5248" s="115" t="s">
        <v>2271</v>
      </c>
      <c r="AF5248" s="11" t="s">
        <v>8332</v>
      </c>
      <c r="AG5248" s="115" t="s">
        <v>4164</v>
      </c>
      <c r="AH5248" s="196" t="s">
        <v>679</v>
      </c>
      <c r="AI5248" s="6" t="s">
        <v>4517</v>
      </c>
      <c r="AJ5248" t="s">
        <v>8198</v>
      </c>
      <c r="AK5248" t="s">
        <v>8198</v>
      </c>
    </row>
    <row r="5249" spans="29:37">
      <c r="AC5249" s="6" t="s">
        <v>905</v>
      </c>
      <c r="AD5249" s="6" t="s">
        <v>7814</v>
      </c>
      <c r="AE5249" s="115" t="s">
        <v>2270</v>
      </c>
      <c r="AF5249" s="11" t="s">
        <v>8321</v>
      </c>
      <c r="AG5249" s="115" t="s">
        <v>4165</v>
      </c>
      <c r="AH5249" s="196" t="s">
        <v>679</v>
      </c>
      <c r="AI5249" s="6" t="s">
        <v>1570</v>
      </c>
      <c r="AJ5249" t="s">
        <v>8198</v>
      </c>
      <c r="AK5249" t="s">
        <v>8198</v>
      </c>
    </row>
    <row r="5250" spans="29:37">
      <c r="AC5250" s="6" t="s">
        <v>2235</v>
      </c>
      <c r="AD5250" s="6" t="s">
        <v>7837</v>
      </c>
      <c r="AE5250" s="115" t="s">
        <v>2118</v>
      </c>
      <c r="AF5250" s="11" t="s">
        <v>8299</v>
      </c>
      <c r="AG5250" s="115" t="s">
        <v>4166</v>
      </c>
      <c r="AH5250" s="196" t="s">
        <v>679</v>
      </c>
      <c r="AI5250" s="6" t="s">
        <v>83</v>
      </c>
      <c r="AJ5250" t="s">
        <v>8214</v>
      </c>
      <c r="AK5250" t="s">
        <v>8214</v>
      </c>
    </row>
    <row r="5251" spans="29:37">
      <c r="AC5251" s="6" t="s">
        <v>888</v>
      </c>
      <c r="AD5251" s="6" t="s">
        <v>7814</v>
      </c>
      <c r="AE5251" s="115" t="s">
        <v>2119</v>
      </c>
      <c r="AF5251" s="11" t="s">
        <v>8299</v>
      </c>
      <c r="AG5251" s="115" t="s">
        <v>4167</v>
      </c>
      <c r="AH5251" s="196" t="s">
        <v>679</v>
      </c>
      <c r="AI5251" s="6" t="s">
        <v>5707</v>
      </c>
      <c r="AJ5251" t="s">
        <v>8226</v>
      </c>
      <c r="AK5251" t="s">
        <v>8671</v>
      </c>
    </row>
    <row r="5252" spans="29:37">
      <c r="AC5252" s="6" t="s">
        <v>900</v>
      </c>
      <c r="AD5252" s="6" t="s">
        <v>7814</v>
      </c>
      <c r="AE5252" s="115" t="s">
        <v>2268</v>
      </c>
      <c r="AF5252" s="11" t="s">
        <v>8309</v>
      </c>
      <c r="AG5252" s="115" t="s">
        <v>4168</v>
      </c>
      <c r="AH5252" s="196" t="s">
        <v>679</v>
      </c>
      <c r="AI5252" s="6" t="s">
        <v>5628</v>
      </c>
      <c r="AJ5252" t="s">
        <v>8226</v>
      </c>
      <c r="AK5252" t="s">
        <v>8671</v>
      </c>
    </row>
    <row r="5253" spans="29:37">
      <c r="AC5253" s="6" t="s">
        <v>2209</v>
      </c>
      <c r="AD5253" s="6" t="s">
        <v>7802</v>
      </c>
      <c r="AE5253" s="115" t="s">
        <v>2267</v>
      </c>
      <c r="AF5253" s="11" t="s">
        <v>8340</v>
      </c>
      <c r="AG5253" s="115" t="s">
        <v>4169</v>
      </c>
      <c r="AH5253" s="196" t="s">
        <v>679</v>
      </c>
      <c r="AI5253" s="6" t="s">
        <v>1903</v>
      </c>
      <c r="AJ5253" t="s">
        <v>8252</v>
      </c>
      <c r="AK5253" t="s">
        <v>8252</v>
      </c>
    </row>
    <row r="5254" spans="29:37">
      <c r="AC5254" s="6" t="s">
        <v>1804</v>
      </c>
      <c r="AD5254" s="6" t="s">
        <v>7838</v>
      </c>
      <c r="AE5254" s="115" t="s">
        <v>2273</v>
      </c>
      <c r="AF5254" s="11" t="s">
        <v>8299</v>
      </c>
      <c r="AG5254" s="115" t="s">
        <v>4170</v>
      </c>
      <c r="AH5254" s="196" t="s">
        <v>679</v>
      </c>
      <c r="AI5254" s="6" t="s">
        <v>1956</v>
      </c>
      <c r="AJ5254" t="s">
        <v>8252</v>
      </c>
      <c r="AK5254" t="s">
        <v>8252</v>
      </c>
    </row>
    <row r="5255" spans="29:37">
      <c r="AC5255" s="6" t="s">
        <v>4502</v>
      </c>
      <c r="AD5255" s="6" t="s">
        <v>7839</v>
      </c>
      <c r="AE5255" s="115" t="s">
        <v>2274</v>
      </c>
      <c r="AF5255" s="11" t="s">
        <v>8299</v>
      </c>
      <c r="AG5255" s="115" t="s">
        <v>5319</v>
      </c>
      <c r="AH5255" s="196" t="s">
        <v>679</v>
      </c>
      <c r="AI5255" s="6" t="s">
        <v>1914</v>
      </c>
      <c r="AJ5255" t="s">
        <v>8252</v>
      </c>
      <c r="AK5255" t="s">
        <v>8252</v>
      </c>
    </row>
    <row r="5256" spans="29:37">
      <c r="AC5256" s="6" t="s">
        <v>929</v>
      </c>
      <c r="AD5256" s="6" t="s">
        <v>7814</v>
      </c>
      <c r="AE5256" s="115" t="s">
        <v>2120</v>
      </c>
      <c r="AF5256" s="11" t="s">
        <v>8299</v>
      </c>
      <c r="AG5256" s="115" t="s">
        <v>5057</v>
      </c>
      <c r="AH5256" s="196" t="s">
        <v>1314</v>
      </c>
      <c r="AI5256" s="6" t="s">
        <v>1917</v>
      </c>
      <c r="AJ5256" t="s">
        <v>8252</v>
      </c>
      <c r="AK5256" t="s">
        <v>8252</v>
      </c>
    </row>
    <row r="5257" spans="29:37">
      <c r="AC5257" s="6" t="s">
        <v>2060</v>
      </c>
      <c r="AD5257" s="6" t="s">
        <v>7820</v>
      </c>
      <c r="AE5257" s="115" t="s">
        <v>2129</v>
      </c>
      <c r="AF5257" s="11" t="s">
        <v>8311</v>
      </c>
      <c r="AG5257" s="115" t="s">
        <v>5176</v>
      </c>
      <c r="AH5257" s="196" t="s">
        <v>679</v>
      </c>
      <c r="AI5257" s="6" t="s">
        <v>2392</v>
      </c>
      <c r="AJ5257" t="s">
        <v>8237</v>
      </c>
      <c r="AK5257" t="s">
        <v>8237</v>
      </c>
    </row>
    <row r="5258" spans="29:37">
      <c r="AC5258" s="6" t="s">
        <v>923</v>
      </c>
      <c r="AD5258" s="6" t="s">
        <v>7814</v>
      </c>
      <c r="AE5258" s="115" t="s">
        <v>2130</v>
      </c>
      <c r="AF5258" s="11" t="s">
        <v>8321</v>
      </c>
      <c r="AG5258" s="115" t="s">
        <v>3454</v>
      </c>
      <c r="AH5258" s="196" t="s">
        <v>679</v>
      </c>
      <c r="AI5258" s="6" t="s">
        <v>2395</v>
      </c>
      <c r="AJ5258" t="s">
        <v>8237</v>
      </c>
      <c r="AK5258" t="s">
        <v>8237</v>
      </c>
    </row>
    <row r="5259" spans="29:37">
      <c r="AC5259" s="6" t="s">
        <v>1117</v>
      </c>
      <c r="AD5259" s="6" t="s">
        <v>7814</v>
      </c>
      <c r="AE5259" s="115" t="s">
        <v>2131</v>
      </c>
      <c r="AF5259" s="11" t="s">
        <v>8325</v>
      </c>
      <c r="AG5259" s="115" t="s">
        <v>3455</v>
      </c>
      <c r="AH5259" s="196" t="s">
        <v>679</v>
      </c>
      <c r="AI5259" s="6" t="s">
        <v>85</v>
      </c>
      <c r="AJ5259" t="s">
        <v>8269</v>
      </c>
      <c r="AK5259" t="s">
        <v>8269</v>
      </c>
    </row>
    <row r="5260" spans="29:37">
      <c r="AC5260" s="6" t="s">
        <v>2013</v>
      </c>
      <c r="AD5260" s="6" t="s">
        <v>7802</v>
      </c>
      <c r="AE5260" s="115" t="s">
        <v>2265</v>
      </c>
      <c r="AF5260" s="11" t="s">
        <v>8297</v>
      </c>
      <c r="AG5260" s="115" t="s">
        <v>3456</v>
      </c>
      <c r="AH5260" s="196" t="s">
        <v>679</v>
      </c>
      <c r="AI5260" s="6" t="s">
        <v>86</v>
      </c>
      <c r="AJ5260" t="s">
        <v>8267</v>
      </c>
      <c r="AK5260" t="s">
        <v>8280</v>
      </c>
    </row>
    <row r="5261" spans="29:37">
      <c r="AC5261" s="6" t="s">
        <v>884</v>
      </c>
      <c r="AD5261" s="6" t="s">
        <v>7814</v>
      </c>
      <c r="AE5261" s="115" t="s">
        <v>4351</v>
      </c>
      <c r="AF5261" s="11" t="s">
        <v>8299</v>
      </c>
      <c r="AG5261" s="115" t="s">
        <v>2320</v>
      </c>
      <c r="AH5261" s="196" t="s">
        <v>679</v>
      </c>
      <c r="AI5261" s="6" t="s">
        <v>88</v>
      </c>
      <c r="AJ5261" t="s">
        <v>8272</v>
      </c>
      <c r="AK5261" t="s">
        <v>8272</v>
      </c>
    </row>
    <row r="5262" spans="29:37">
      <c r="AC5262" s="6" t="s">
        <v>881</v>
      </c>
      <c r="AD5262" s="6" t="s">
        <v>7814</v>
      </c>
      <c r="AE5262" s="115" t="s">
        <v>4352</v>
      </c>
      <c r="AF5262" s="11" t="s">
        <v>8299</v>
      </c>
      <c r="AG5262" s="115" t="s">
        <v>2324</v>
      </c>
      <c r="AH5262" s="196" t="s">
        <v>679</v>
      </c>
      <c r="AI5262" s="6" t="s">
        <v>4005</v>
      </c>
      <c r="AJ5262" t="s">
        <v>8272</v>
      </c>
      <c r="AK5262" t="s">
        <v>8272</v>
      </c>
    </row>
    <row r="5263" spans="29:37">
      <c r="AC5263" s="6" t="s">
        <v>2015</v>
      </c>
      <c r="AD5263" s="6" t="s">
        <v>7831</v>
      </c>
      <c r="AE5263" s="115" t="s">
        <v>2301</v>
      </c>
      <c r="AF5263" s="11" t="s">
        <v>8598</v>
      </c>
      <c r="AG5263" s="115" t="s">
        <v>1239</v>
      </c>
      <c r="AH5263" s="196" t="s">
        <v>679</v>
      </c>
      <c r="AI5263" s="6" t="s">
        <v>89</v>
      </c>
      <c r="AJ5263" t="s">
        <v>8267</v>
      </c>
      <c r="AK5263" t="s">
        <v>8280</v>
      </c>
    </row>
    <row r="5264" spans="29:37">
      <c r="AC5264" s="6" t="s">
        <v>913</v>
      </c>
      <c r="AD5264" s="6" t="s">
        <v>7814</v>
      </c>
      <c r="AE5264" s="115" t="s">
        <v>2303</v>
      </c>
      <c r="AF5264" s="11" t="s">
        <v>8299</v>
      </c>
      <c r="AG5264" s="115" t="s">
        <v>2336</v>
      </c>
      <c r="AH5264" s="196" t="s">
        <v>1314</v>
      </c>
      <c r="AI5264" s="6" t="s">
        <v>4007</v>
      </c>
      <c r="AJ5264" t="s">
        <v>8269</v>
      </c>
      <c r="AK5264" t="s">
        <v>8269</v>
      </c>
    </row>
    <row r="5265" spans="29:37">
      <c r="AC5265" s="6" t="s">
        <v>912</v>
      </c>
      <c r="AD5265" s="6" t="s">
        <v>7814</v>
      </c>
      <c r="AE5265" s="115" t="s">
        <v>1813</v>
      </c>
      <c r="AF5265" s="11" t="s">
        <v>8300</v>
      </c>
      <c r="AG5265" s="115" t="s">
        <v>5317</v>
      </c>
      <c r="AH5265" s="196" t="s">
        <v>679</v>
      </c>
      <c r="AI5265" s="6" t="s">
        <v>4008</v>
      </c>
      <c r="AJ5265" t="s">
        <v>8272</v>
      </c>
      <c r="AK5265" t="s">
        <v>8272</v>
      </c>
    </row>
    <row r="5266" spans="29:37">
      <c r="AC5266" s="6" t="s">
        <v>922</v>
      </c>
      <c r="AD5266" s="6" t="s">
        <v>7814</v>
      </c>
      <c r="AE5266" s="115" t="s">
        <v>2054</v>
      </c>
      <c r="AF5266" s="11" t="s">
        <v>8300</v>
      </c>
      <c r="AG5266" s="115" t="s">
        <v>2339</v>
      </c>
      <c r="AH5266" s="196" t="s">
        <v>679</v>
      </c>
      <c r="AI5266" s="6" t="s">
        <v>4010</v>
      </c>
      <c r="AJ5266" t="s">
        <v>8272</v>
      </c>
      <c r="AK5266" t="s">
        <v>8272</v>
      </c>
    </row>
    <row r="5267" spans="29:37">
      <c r="AC5267" s="6" t="s">
        <v>890</v>
      </c>
      <c r="AD5267" s="6" t="s">
        <v>7814</v>
      </c>
      <c r="AE5267" s="115" t="s">
        <v>2196</v>
      </c>
      <c r="AF5267" s="11" t="s">
        <v>8309</v>
      </c>
      <c r="AG5267" s="115" t="s">
        <v>2340</v>
      </c>
      <c r="AH5267" s="196" t="s">
        <v>679</v>
      </c>
      <c r="AI5267" s="6" t="s">
        <v>90</v>
      </c>
      <c r="AJ5267" t="s">
        <v>8267</v>
      </c>
      <c r="AK5267" t="s">
        <v>8280</v>
      </c>
    </row>
    <row r="5268" spans="29:37">
      <c r="AC5268" s="6" t="s">
        <v>911</v>
      </c>
      <c r="AD5268" s="6" t="s">
        <v>7814</v>
      </c>
      <c r="AE5268" s="115" t="s">
        <v>2255</v>
      </c>
      <c r="AF5268" s="11" t="s">
        <v>8297</v>
      </c>
      <c r="AG5268" s="115" t="s">
        <v>2347</v>
      </c>
      <c r="AH5268" s="196" t="s">
        <v>679</v>
      </c>
      <c r="AI5268" s="6" t="s">
        <v>2429</v>
      </c>
      <c r="AJ5268" t="s">
        <v>8276</v>
      </c>
      <c r="AK5268" t="s">
        <v>8276</v>
      </c>
    </row>
    <row r="5269" spans="29:37">
      <c r="AC5269" s="6" t="s">
        <v>875</v>
      </c>
      <c r="AD5269" s="6" t="s">
        <v>7814</v>
      </c>
      <c r="AE5269" s="115" t="s">
        <v>2026</v>
      </c>
      <c r="AF5269" s="11" t="s">
        <v>8300</v>
      </c>
      <c r="AG5269" s="115" t="s">
        <v>1277</v>
      </c>
      <c r="AH5269" s="196" t="s">
        <v>679</v>
      </c>
      <c r="AI5269" s="6" t="s">
        <v>2435</v>
      </c>
      <c r="AJ5269" t="s">
        <v>8276</v>
      </c>
      <c r="AK5269" t="s">
        <v>8276</v>
      </c>
    </row>
    <row r="5270" spans="29:37">
      <c r="AC5270" s="6" t="s">
        <v>2030</v>
      </c>
      <c r="AD5270" s="6" t="s">
        <v>7840</v>
      </c>
      <c r="AE5270" s="115" t="s">
        <v>1150</v>
      </c>
      <c r="AF5270" s="11" t="s">
        <v>8300</v>
      </c>
      <c r="AG5270" s="115" t="s">
        <v>2398</v>
      </c>
      <c r="AH5270" s="196" t="s">
        <v>678</v>
      </c>
      <c r="AI5270" s="6" t="s">
        <v>2437</v>
      </c>
      <c r="AJ5270" t="s">
        <v>8276</v>
      </c>
      <c r="AK5270" t="s">
        <v>8276</v>
      </c>
    </row>
    <row r="5271" spans="29:37">
      <c r="AC5271" s="6" t="s">
        <v>858</v>
      </c>
      <c r="AD5271" s="6" t="s">
        <v>7814</v>
      </c>
      <c r="AE5271" s="115" t="s">
        <v>2101</v>
      </c>
      <c r="AF5271" s="11" t="s">
        <v>8311</v>
      </c>
      <c r="AG5271" s="115" t="s">
        <v>2425</v>
      </c>
      <c r="AH5271" s="196" t="s">
        <v>678</v>
      </c>
      <c r="AI5271" s="6">
        <v>25257</v>
      </c>
      <c r="AJ5271" t="s">
        <v>8263</v>
      </c>
      <c r="AK5271" t="s">
        <v>8263</v>
      </c>
    </row>
    <row r="5272" spans="29:37">
      <c r="AC5272" s="6" t="s">
        <v>916</v>
      </c>
      <c r="AD5272" s="6" t="s">
        <v>7814</v>
      </c>
      <c r="AE5272" s="115" t="s">
        <v>2102</v>
      </c>
      <c r="AF5272" s="11" t="s">
        <v>8300</v>
      </c>
      <c r="AG5272" s="115" t="s">
        <v>5482</v>
      </c>
      <c r="AH5272" s="196" t="s">
        <v>679</v>
      </c>
      <c r="AI5272" s="6">
        <v>25258</v>
      </c>
      <c r="AJ5272" t="s">
        <v>8227</v>
      </c>
      <c r="AK5272" t="s">
        <v>8227</v>
      </c>
    </row>
    <row r="5273" spans="29:37">
      <c r="AC5273" s="6" t="s">
        <v>1742</v>
      </c>
      <c r="AD5273" s="6" t="s">
        <v>7802</v>
      </c>
      <c r="AE5273" s="115" t="s">
        <v>2103</v>
      </c>
      <c r="AF5273" s="11" t="s">
        <v>8299</v>
      </c>
      <c r="AG5273" s="115" t="s">
        <v>5289</v>
      </c>
      <c r="AH5273" s="196" t="s">
        <v>4700</v>
      </c>
      <c r="AI5273" s="6">
        <v>25260</v>
      </c>
      <c r="AJ5273" t="s">
        <v>8225</v>
      </c>
      <c r="AK5273" t="s">
        <v>8225</v>
      </c>
    </row>
    <row r="5274" spans="29:37">
      <c r="AC5274" s="6" t="s">
        <v>868</v>
      </c>
      <c r="AD5274" s="6" t="s">
        <v>7814</v>
      </c>
      <c r="AE5274" s="115" t="s">
        <v>2104</v>
      </c>
      <c r="AF5274" s="11" t="s">
        <v>8309</v>
      </c>
      <c r="AG5274" s="115" t="s">
        <v>5294</v>
      </c>
      <c r="AH5274" s="196" t="s">
        <v>4700</v>
      </c>
      <c r="AI5274" s="6">
        <v>25261</v>
      </c>
      <c r="AJ5274" t="s">
        <v>8216</v>
      </c>
      <c r="AK5274" t="s">
        <v>8216</v>
      </c>
    </row>
    <row r="5275" spans="29:37">
      <c r="AC5275" s="6" t="s">
        <v>863</v>
      </c>
      <c r="AD5275" s="6" t="s">
        <v>7814</v>
      </c>
      <c r="AE5275" s="115" t="s">
        <v>2132</v>
      </c>
      <c r="AF5275" s="11" t="s">
        <v>8300</v>
      </c>
      <c r="AG5275" s="115" t="s">
        <v>5034</v>
      </c>
      <c r="AH5275" s="196" t="s">
        <v>679</v>
      </c>
      <c r="AI5275" s="6">
        <v>25263</v>
      </c>
      <c r="AJ5275" t="s">
        <v>8227</v>
      </c>
      <c r="AK5275" t="s">
        <v>8227</v>
      </c>
    </row>
    <row r="5276" spans="29:37">
      <c r="AC5276" s="6" t="s">
        <v>1185</v>
      </c>
      <c r="AD5276" s="6" t="s">
        <v>7814</v>
      </c>
      <c r="AE5276" s="115">
        <v>725450</v>
      </c>
      <c r="AF5276" s="11" t="s">
        <v>8299</v>
      </c>
      <c r="AG5276" s="115" t="s">
        <v>2471</v>
      </c>
      <c r="AH5276" s="196" t="s">
        <v>678</v>
      </c>
      <c r="AI5276" s="6">
        <v>25333</v>
      </c>
      <c r="AJ5276" t="s">
        <v>8263</v>
      </c>
      <c r="AK5276" t="s">
        <v>8263</v>
      </c>
    </row>
    <row r="5277" spans="29:37">
      <c r="AC5277" s="6" t="s">
        <v>893</v>
      </c>
      <c r="AD5277" s="6" t="s">
        <v>7814</v>
      </c>
      <c r="AE5277" s="115">
        <v>725451</v>
      </c>
      <c r="AF5277" s="11" t="s">
        <v>8300</v>
      </c>
      <c r="AG5277" s="115" t="s">
        <v>4171</v>
      </c>
      <c r="AH5277" s="196" t="s">
        <v>678</v>
      </c>
      <c r="AI5277" s="6">
        <v>25334</v>
      </c>
      <c r="AJ5277" t="s">
        <v>8227</v>
      </c>
      <c r="AK5277" t="s">
        <v>8227</v>
      </c>
    </row>
    <row r="5278" spans="29:37">
      <c r="AC5278" s="6">
        <v>35268</v>
      </c>
      <c r="AD5278" s="6" t="s">
        <v>7781</v>
      </c>
      <c r="AE5278" s="115">
        <v>735452</v>
      </c>
      <c r="AF5278" s="11" t="s">
        <v>8296</v>
      </c>
      <c r="AG5278" s="115" t="s">
        <v>2472</v>
      </c>
      <c r="AH5278" s="196" t="s">
        <v>678</v>
      </c>
      <c r="AI5278" s="6">
        <v>25338</v>
      </c>
      <c r="AJ5278" t="s">
        <v>8207</v>
      </c>
      <c r="AK5278" t="s">
        <v>8207</v>
      </c>
    </row>
    <row r="5279" spans="29:37">
      <c r="AC5279" s="6" t="s">
        <v>877</v>
      </c>
      <c r="AD5279" s="6" t="s">
        <v>7814</v>
      </c>
      <c r="AE5279" s="115">
        <v>735453</v>
      </c>
      <c r="AF5279" s="11" t="s">
        <v>8309</v>
      </c>
      <c r="AG5279" s="115" t="s">
        <v>2809</v>
      </c>
      <c r="AH5279" s="196" t="s">
        <v>679</v>
      </c>
      <c r="AI5279" s="6">
        <v>45239</v>
      </c>
      <c r="AJ5279" t="s">
        <v>8261</v>
      </c>
      <c r="AK5279" t="s">
        <v>8261</v>
      </c>
    </row>
    <row r="5280" spans="29:37">
      <c r="AC5280" s="6" t="s">
        <v>857</v>
      </c>
      <c r="AD5280" s="6" t="s">
        <v>7814</v>
      </c>
      <c r="AE5280" s="115">
        <v>735454</v>
      </c>
      <c r="AF5280" s="11" t="s">
        <v>8299</v>
      </c>
      <c r="AG5280" s="115" t="s">
        <v>5165</v>
      </c>
      <c r="AH5280" s="196" t="s">
        <v>679</v>
      </c>
      <c r="AI5280" s="6">
        <v>45269</v>
      </c>
      <c r="AJ5280" t="s">
        <v>8261</v>
      </c>
      <c r="AK5280" t="s">
        <v>8261</v>
      </c>
    </row>
    <row r="5281" spans="29:37">
      <c r="AC5281" s="6" t="s">
        <v>861</v>
      </c>
      <c r="AD5281" s="6" t="s">
        <v>7814</v>
      </c>
      <c r="AE5281" s="115">
        <v>735455</v>
      </c>
      <c r="AF5281" s="11" t="s">
        <v>8299</v>
      </c>
      <c r="AG5281" s="115" t="s">
        <v>5304</v>
      </c>
      <c r="AH5281" s="196" t="s">
        <v>679</v>
      </c>
      <c r="AI5281" s="6">
        <v>45270</v>
      </c>
      <c r="AJ5281" t="s">
        <v>8261</v>
      </c>
      <c r="AK5281" t="s">
        <v>8261</v>
      </c>
    </row>
    <row r="5282" spans="29:37">
      <c r="AC5282" s="6" t="s">
        <v>2210</v>
      </c>
      <c r="AD5282" s="6" t="s">
        <v>7814</v>
      </c>
      <c r="AE5282" s="115">
        <v>735456</v>
      </c>
      <c r="AF5282" s="11" t="s">
        <v>8334</v>
      </c>
      <c r="AG5282" s="115" t="s">
        <v>5038</v>
      </c>
      <c r="AH5282" s="196" t="s">
        <v>679</v>
      </c>
      <c r="AI5282" s="6">
        <v>225278</v>
      </c>
      <c r="AJ5282" t="s">
        <v>8216</v>
      </c>
      <c r="AK5282" t="s">
        <v>8216</v>
      </c>
    </row>
    <row r="5283" spans="29:37">
      <c r="AC5283" s="6" t="s">
        <v>928</v>
      </c>
      <c r="AD5283" s="6" t="s">
        <v>7814</v>
      </c>
      <c r="AE5283" s="115">
        <v>735457</v>
      </c>
      <c r="AF5283" s="11" t="s">
        <v>8300</v>
      </c>
      <c r="AG5283" s="115" t="s">
        <v>4838</v>
      </c>
      <c r="AH5283" s="196" t="s">
        <v>679</v>
      </c>
      <c r="AI5283" s="6">
        <v>265377</v>
      </c>
      <c r="AJ5283" t="s">
        <v>8233</v>
      </c>
      <c r="AK5283" t="s">
        <v>8233</v>
      </c>
    </row>
    <row r="5284" spans="29:37">
      <c r="AC5284" s="6" t="s">
        <v>873</v>
      </c>
      <c r="AD5284" s="6" t="s">
        <v>7814</v>
      </c>
      <c r="AE5284" s="115">
        <v>735458</v>
      </c>
      <c r="AF5284" s="11" t="s">
        <v>8300</v>
      </c>
      <c r="AG5284" s="115" t="s">
        <v>5483</v>
      </c>
      <c r="AH5284" s="196" t="s">
        <v>679</v>
      </c>
      <c r="AI5284" s="6">
        <v>295296</v>
      </c>
      <c r="AJ5284" t="s">
        <v>8225</v>
      </c>
      <c r="AK5284" t="s">
        <v>8225</v>
      </c>
    </row>
    <row r="5285" spans="29:37">
      <c r="AC5285" s="6" t="s">
        <v>2017</v>
      </c>
      <c r="AD5285" s="6" t="s">
        <v>7830</v>
      </c>
      <c r="AE5285" s="115">
        <v>735459</v>
      </c>
      <c r="AF5285" s="11" t="s">
        <v>8300</v>
      </c>
      <c r="AG5285" s="115" t="s">
        <v>5196</v>
      </c>
      <c r="AH5285" s="196" t="s">
        <v>679</v>
      </c>
      <c r="AI5285" s="6" t="s">
        <v>6652</v>
      </c>
      <c r="AJ5285" t="s">
        <v>8219</v>
      </c>
      <c r="AK5285" t="s">
        <v>8219</v>
      </c>
    </row>
    <row r="5286" spans="29:37">
      <c r="AC5286" s="6" t="s">
        <v>2115</v>
      </c>
      <c r="AD5286" s="6" t="s">
        <v>7832</v>
      </c>
      <c r="AE5286" s="115" t="s">
        <v>1785</v>
      </c>
      <c r="AF5286" s="11" t="s">
        <v>8311</v>
      </c>
      <c r="AG5286" s="115" t="s">
        <v>1770</v>
      </c>
      <c r="AH5286" s="196" t="s">
        <v>679</v>
      </c>
      <c r="AI5286" s="6" t="s">
        <v>6666</v>
      </c>
      <c r="AJ5286" t="s">
        <v>8225</v>
      </c>
      <c r="AK5286" t="s">
        <v>8225</v>
      </c>
    </row>
    <row r="5287" spans="29:37">
      <c r="AC5287" s="6" t="s">
        <v>902</v>
      </c>
      <c r="AD5287" s="6" t="s">
        <v>7814</v>
      </c>
      <c r="AE5287" s="115" t="s">
        <v>1786</v>
      </c>
      <c r="AF5287" s="11" t="s">
        <v>8300</v>
      </c>
      <c r="AG5287" s="115" t="s">
        <v>1771</v>
      </c>
      <c r="AH5287" s="196" t="s">
        <v>679</v>
      </c>
      <c r="AI5287" s="6" t="s">
        <v>6653</v>
      </c>
      <c r="AJ5287" t="s">
        <v>8261</v>
      </c>
      <c r="AK5287" t="s">
        <v>8261</v>
      </c>
    </row>
    <row r="5288" spans="29:37">
      <c r="AC5288" s="6" t="s">
        <v>879</v>
      </c>
      <c r="AD5288" s="6" t="s">
        <v>7814</v>
      </c>
      <c r="AE5288" s="115" t="s">
        <v>1787</v>
      </c>
      <c r="AF5288" s="11" t="s">
        <v>8300</v>
      </c>
      <c r="AG5288" s="115" t="s">
        <v>1796</v>
      </c>
      <c r="AH5288" s="196" t="s">
        <v>679</v>
      </c>
      <c r="AI5288" s="6" t="s">
        <v>1223</v>
      </c>
      <c r="AJ5288" t="s">
        <v>8220</v>
      </c>
      <c r="AK5288" t="s">
        <v>8220</v>
      </c>
    </row>
    <row r="5289" spans="29:37">
      <c r="AC5289" s="6" t="s">
        <v>901</v>
      </c>
      <c r="AD5289" s="6" t="s">
        <v>7814</v>
      </c>
      <c r="AE5289" s="115" t="s">
        <v>1788</v>
      </c>
      <c r="AF5289" s="11" t="s">
        <v>8300</v>
      </c>
      <c r="AG5289" s="115" t="s">
        <v>1797</v>
      </c>
      <c r="AH5289" s="196" t="s">
        <v>679</v>
      </c>
      <c r="AI5289" s="6" t="s">
        <v>3090</v>
      </c>
      <c r="AJ5289" t="s">
        <v>8264</v>
      </c>
      <c r="AK5289" t="s">
        <v>8264</v>
      </c>
    </row>
    <row r="5290" spans="29:37">
      <c r="AC5290" s="6" t="s">
        <v>2206</v>
      </c>
      <c r="AD5290" s="6" t="s">
        <v>7802</v>
      </c>
      <c r="AE5290" s="115" t="s">
        <v>1789</v>
      </c>
      <c r="AF5290" s="11" t="s">
        <v>8300</v>
      </c>
      <c r="AG5290" s="115" t="s">
        <v>1798</v>
      </c>
      <c r="AH5290" s="196" t="s">
        <v>679</v>
      </c>
      <c r="AI5290" s="6" t="s">
        <v>3157</v>
      </c>
      <c r="AJ5290" t="s">
        <v>8240</v>
      </c>
      <c r="AK5290" t="s">
        <v>8240</v>
      </c>
    </row>
    <row r="5291" spans="29:37">
      <c r="AC5291" s="6" t="s">
        <v>889</v>
      </c>
      <c r="AD5291" s="6" t="s">
        <v>7814</v>
      </c>
      <c r="AE5291" s="115" t="s">
        <v>2053</v>
      </c>
      <c r="AF5291" s="11" t="s">
        <v>8300</v>
      </c>
      <c r="AG5291" s="115" t="s">
        <v>1903</v>
      </c>
      <c r="AH5291" s="196" t="s">
        <v>679</v>
      </c>
      <c r="AI5291" s="6" t="s">
        <v>3382</v>
      </c>
      <c r="AJ5291" t="s">
        <v>8220</v>
      </c>
      <c r="AK5291" t="s">
        <v>8220</v>
      </c>
    </row>
    <row r="5292" spans="29:37">
      <c r="AC5292" s="6" t="s">
        <v>855</v>
      </c>
      <c r="AD5292" s="6" t="s">
        <v>7814</v>
      </c>
      <c r="AE5292" s="115" t="s">
        <v>2244</v>
      </c>
      <c r="AF5292" s="11" t="s">
        <v>8353</v>
      </c>
      <c r="AG5292" s="115" t="s">
        <v>1904</v>
      </c>
      <c r="AH5292" s="196" t="s">
        <v>678</v>
      </c>
      <c r="AI5292" s="6" t="s">
        <v>8176</v>
      </c>
      <c r="AJ5292" t="s">
        <v>8246</v>
      </c>
      <c r="AK5292" t="s">
        <v>8246</v>
      </c>
    </row>
    <row r="5293" spans="29:37">
      <c r="AC5293" s="6" t="s">
        <v>904</v>
      </c>
      <c r="AD5293" s="6" t="s">
        <v>7814</v>
      </c>
      <c r="AE5293" s="115" t="s">
        <v>2245</v>
      </c>
      <c r="AF5293" s="11" t="s">
        <v>8339</v>
      </c>
      <c r="AG5293" s="115" t="s">
        <v>1905</v>
      </c>
      <c r="AH5293" s="196" t="s">
        <v>679</v>
      </c>
      <c r="AI5293" s="6" t="s">
        <v>5804</v>
      </c>
      <c r="AJ5293" t="s">
        <v>8228</v>
      </c>
      <c r="AK5293" t="s">
        <v>8228</v>
      </c>
    </row>
    <row r="5294" spans="29:37">
      <c r="AC5294" s="6" t="s">
        <v>910</v>
      </c>
      <c r="AD5294" s="6" t="s">
        <v>7814</v>
      </c>
      <c r="AE5294" s="115" t="s">
        <v>2251</v>
      </c>
      <c r="AF5294" s="11" t="s">
        <v>8300</v>
      </c>
      <c r="AG5294" s="115" t="s">
        <v>1956</v>
      </c>
      <c r="AH5294" s="196" t="s">
        <v>679</v>
      </c>
      <c r="AI5294" s="6" t="s">
        <v>6642</v>
      </c>
      <c r="AJ5294" t="s">
        <v>8208</v>
      </c>
      <c r="AK5294" t="s">
        <v>8667</v>
      </c>
    </row>
    <row r="5295" spans="29:37">
      <c r="AC5295" s="6" t="s">
        <v>1824</v>
      </c>
      <c r="AD5295" s="6" t="s">
        <v>7841</v>
      </c>
      <c r="AE5295" s="115" t="s">
        <v>2283</v>
      </c>
      <c r="AF5295" s="11" t="s">
        <v>8365</v>
      </c>
      <c r="AG5295" s="115" t="s">
        <v>1957</v>
      </c>
      <c r="AH5295" s="196" t="s">
        <v>679</v>
      </c>
      <c r="AI5295" s="6" t="s">
        <v>8177</v>
      </c>
      <c r="AJ5295" t="e">
        <v>#N/A</v>
      </c>
      <c r="AK5295" t="e">
        <v>#N/A</v>
      </c>
    </row>
    <row r="5296" spans="29:37">
      <c r="AC5296" s="6" t="s">
        <v>2020</v>
      </c>
      <c r="AD5296" s="6" t="s">
        <v>7830</v>
      </c>
      <c r="AE5296" s="115" t="s">
        <v>2284</v>
      </c>
      <c r="AF5296" s="11" t="s">
        <v>8309</v>
      </c>
      <c r="AG5296" s="115" t="s">
        <v>1958</v>
      </c>
      <c r="AH5296" s="196" t="s">
        <v>679</v>
      </c>
      <c r="AI5296" s="6" t="s">
        <v>6641</v>
      </c>
      <c r="AJ5296" t="s">
        <v>8208</v>
      </c>
      <c r="AK5296" t="s">
        <v>8667</v>
      </c>
    </row>
    <row r="5297" spans="29:37">
      <c r="AC5297" s="6" t="s">
        <v>682</v>
      </c>
      <c r="AD5297" s="6" t="s">
        <v>7814</v>
      </c>
      <c r="AE5297" s="115" t="s">
        <v>2285</v>
      </c>
      <c r="AF5297" s="11" t="s">
        <v>8311</v>
      </c>
      <c r="AG5297" s="115" t="s">
        <v>1959</v>
      </c>
      <c r="AH5297" s="196" t="s">
        <v>679</v>
      </c>
      <c r="AI5297" s="6" t="s">
        <v>989</v>
      </c>
      <c r="AJ5297" t="s">
        <v>8197</v>
      </c>
      <c r="AK5297" t="s">
        <v>8197</v>
      </c>
    </row>
    <row r="5298" spans="29:37">
      <c r="AC5298" s="6" t="s">
        <v>2012</v>
      </c>
      <c r="AD5298" s="6" t="s">
        <v>7802</v>
      </c>
      <c r="AE5298" s="115" t="s">
        <v>4499</v>
      </c>
      <c r="AF5298" s="11" t="s">
        <v>8300</v>
      </c>
      <c r="AG5298" s="115" t="s">
        <v>1960</v>
      </c>
      <c r="AH5298" s="196" t="s">
        <v>678</v>
      </c>
      <c r="AI5298" s="6" t="s">
        <v>692</v>
      </c>
      <c r="AJ5298" t="s">
        <v>8263</v>
      </c>
      <c r="AK5298" t="s">
        <v>8263</v>
      </c>
    </row>
    <row r="5299" spans="29:37">
      <c r="AC5299" s="6" t="s">
        <v>926</v>
      </c>
      <c r="AD5299" s="6" t="s">
        <v>7814</v>
      </c>
      <c r="AE5299" s="115">
        <v>541621</v>
      </c>
      <c r="AF5299" s="11" t="s">
        <v>8299</v>
      </c>
      <c r="AG5299" s="115" t="s">
        <v>2151</v>
      </c>
      <c r="AH5299" s="196" t="s">
        <v>678</v>
      </c>
      <c r="AI5299" s="6" t="s">
        <v>2260</v>
      </c>
      <c r="AJ5299" t="s">
        <v>8263</v>
      </c>
      <c r="AK5299" t="s">
        <v>8263</v>
      </c>
    </row>
    <row r="5300" spans="29:37">
      <c r="AC5300" s="6">
        <v>695440</v>
      </c>
      <c r="AD5300" s="6" t="s">
        <v>7842</v>
      </c>
      <c r="AE5300" s="115">
        <v>541622</v>
      </c>
      <c r="AF5300" s="11" t="s">
        <v>8320</v>
      </c>
      <c r="AG5300" s="115" t="s">
        <v>5100</v>
      </c>
      <c r="AH5300" s="196" t="s">
        <v>679</v>
      </c>
      <c r="AI5300" s="6" t="s">
        <v>3461</v>
      </c>
      <c r="AJ5300" t="s">
        <v>8246</v>
      </c>
      <c r="AK5300" t="s">
        <v>8246</v>
      </c>
    </row>
    <row r="5301" spans="29:37">
      <c r="AC5301" s="6" t="s">
        <v>2218</v>
      </c>
      <c r="AD5301" s="6" t="s">
        <v>7820</v>
      </c>
      <c r="AE5301" s="115" t="s">
        <v>1747</v>
      </c>
      <c r="AF5301" s="11" t="s">
        <v>8599</v>
      </c>
      <c r="AG5301" s="115" t="s">
        <v>2517</v>
      </c>
      <c r="AH5301" s="196" t="s">
        <v>679</v>
      </c>
      <c r="AI5301" s="6" t="s">
        <v>3466</v>
      </c>
      <c r="AJ5301" t="s">
        <v>8264</v>
      </c>
      <c r="AK5301" t="s">
        <v>8264</v>
      </c>
    </row>
    <row r="5302" spans="29:37">
      <c r="AC5302" s="6" t="s">
        <v>891</v>
      </c>
      <c r="AD5302" s="6" t="s">
        <v>7814</v>
      </c>
      <c r="AE5302" s="115" t="s">
        <v>2160</v>
      </c>
      <c r="AF5302" s="11" t="s">
        <v>8299</v>
      </c>
      <c r="AG5302" s="115" t="s">
        <v>2543</v>
      </c>
      <c r="AH5302" s="196" t="s">
        <v>679</v>
      </c>
      <c r="AI5302" s="6" t="s">
        <v>3470</v>
      </c>
      <c r="AJ5302" t="s">
        <v>8246</v>
      </c>
      <c r="AK5302" t="s">
        <v>8246</v>
      </c>
    </row>
    <row r="5303" spans="29:37">
      <c r="AC5303" s="6" t="s">
        <v>1740</v>
      </c>
      <c r="AD5303" s="6" t="s">
        <v>7802</v>
      </c>
      <c r="AE5303" s="115" t="s">
        <v>1819</v>
      </c>
      <c r="AF5303" s="11" t="s">
        <v>8299</v>
      </c>
      <c r="AG5303" s="115" t="s">
        <v>2680</v>
      </c>
      <c r="AH5303" s="196" t="s">
        <v>679</v>
      </c>
      <c r="AI5303" s="6" t="s">
        <v>203</v>
      </c>
      <c r="AJ5303" t="s">
        <v>8201</v>
      </c>
      <c r="AK5303" t="s">
        <v>8666</v>
      </c>
    </row>
    <row r="5304" spans="29:37">
      <c r="AC5304" s="6" t="s">
        <v>874</v>
      </c>
      <c r="AD5304" s="6" t="s">
        <v>7814</v>
      </c>
      <c r="AE5304" s="115" t="s">
        <v>1845</v>
      </c>
      <c r="AF5304" s="11" t="s">
        <v>8299</v>
      </c>
      <c r="AG5304" s="115" t="s">
        <v>2741</v>
      </c>
      <c r="AH5304" s="196" t="s">
        <v>679</v>
      </c>
      <c r="AI5304" s="6" t="s">
        <v>996</v>
      </c>
      <c r="AJ5304" t="s">
        <v>8209</v>
      </c>
      <c r="AK5304" t="s">
        <v>8209</v>
      </c>
    </row>
    <row r="5305" spans="29:37">
      <c r="AC5305" s="6" t="s">
        <v>2057</v>
      </c>
      <c r="AD5305" s="6" t="s">
        <v>7820</v>
      </c>
      <c r="AE5305" s="115" t="s">
        <v>1284</v>
      </c>
      <c r="AF5305" s="11" t="s">
        <v>8299</v>
      </c>
      <c r="AG5305" s="115" t="s">
        <v>2529</v>
      </c>
      <c r="AH5305" s="196" t="s">
        <v>1314</v>
      </c>
      <c r="AI5305" s="6" t="s">
        <v>5327</v>
      </c>
      <c r="AJ5305" t="s">
        <v>8208</v>
      </c>
      <c r="AK5305" t="s">
        <v>8667</v>
      </c>
    </row>
    <row r="5306" spans="29:37">
      <c r="AC5306" s="6" t="s">
        <v>880</v>
      </c>
      <c r="AD5306" s="6" t="s">
        <v>7814</v>
      </c>
      <c r="AE5306" s="115" t="s">
        <v>2161</v>
      </c>
      <c r="AF5306" s="11" t="s">
        <v>8299</v>
      </c>
      <c r="AG5306" s="115" t="s">
        <v>4172</v>
      </c>
      <c r="AH5306" s="196" t="s">
        <v>1314</v>
      </c>
      <c r="AI5306" s="6" t="s">
        <v>954</v>
      </c>
      <c r="AJ5306" t="s">
        <v>8196</v>
      </c>
      <c r="AK5306" t="s">
        <v>8196</v>
      </c>
    </row>
    <row r="5307" spans="29:37">
      <c r="AC5307" s="6" t="s">
        <v>1766</v>
      </c>
      <c r="AD5307" s="6" t="s">
        <v>7797</v>
      </c>
      <c r="AE5307" s="115" t="s">
        <v>2162</v>
      </c>
      <c r="AF5307" s="11" t="s">
        <v>8299</v>
      </c>
      <c r="AG5307" s="115" t="s">
        <v>2554</v>
      </c>
      <c r="AH5307" s="196" t="s">
        <v>679</v>
      </c>
      <c r="AI5307" s="6" t="s">
        <v>4760</v>
      </c>
      <c r="AJ5307" t="s">
        <v>8218</v>
      </c>
      <c r="AK5307" t="s">
        <v>8218</v>
      </c>
    </row>
    <row r="5308" spans="29:37">
      <c r="AC5308" s="6" t="s">
        <v>933</v>
      </c>
      <c r="AD5308" s="6" t="s">
        <v>7814</v>
      </c>
      <c r="AE5308" s="115" t="s">
        <v>1761</v>
      </c>
      <c r="AF5308" s="11" t="s">
        <v>8600</v>
      </c>
      <c r="AG5308" s="115" t="s">
        <v>2021</v>
      </c>
      <c r="AH5308" s="196" t="s">
        <v>679</v>
      </c>
      <c r="AI5308" s="6" t="s">
        <v>982</v>
      </c>
      <c r="AJ5308" t="s">
        <v>8195</v>
      </c>
      <c r="AK5308" t="s">
        <v>8195</v>
      </c>
    </row>
    <row r="5309" spans="29:37">
      <c r="AC5309" s="6" t="s">
        <v>903</v>
      </c>
      <c r="AD5309" s="6" t="s">
        <v>7814</v>
      </c>
      <c r="AE5309" s="115" t="s">
        <v>1762</v>
      </c>
      <c r="AF5309" s="11" t="s">
        <v>8309</v>
      </c>
      <c r="AG5309" s="115" t="s">
        <v>2040</v>
      </c>
      <c r="AH5309" s="196" t="s">
        <v>679</v>
      </c>
      <c r="AI5309" s="6" t="s">
        <v>1049</v>
      </c>
      <c r="AJ5309" t="s">
        <v>8200</v>
      </c>
      <c r="AK5309" t="s">
        <v>8200</v>
      </c>
    </row>
    <row r="5310" spans="29:37">
      <c r="AC5310" s="6" t="s">
        <v>920</v>
      </c>
      <c r="AD5310" s="6" t="s">
        <v>7814</v>
      </c>
      <c r="AE5310" s="115" t="s">
        <v>1826</v>
      </c>
      <c r="AF5310" s="11" t="s">
        <v>8309</v>
      </c>
      <c r="AG5310" s="115" t="s">
        <v>2042</v>
      </c>
      <c r="AH5310" s="196" t="s">
        <v>679</v>
      </c>
      <c r="AI5310" s="6" t="s">
        <v>1256</v>
      </c>
      <c r="AJ5310" t="s">
        <v>8234</v>
      </c>
      <c r="AK5310" t="s">
        <v>8234</v>
      </c>
    </row>
    <row r="5311" spans="29:37">
      <c r="AC5311" s="6" t="s">
        <v>909</v>
      </c>
      <c r="AD5311" s="6" t="s">
        <v>7814</v>
      </c>
      <c r="AE5311" s="115" t="s">
        <v>1839</v>
      </c>
      <c r="AF5311" s="11" t="s">
        <v>8297</v>
      </c>
      <c r="AG5311" s="115" t="s">
        <v>2043</v>
      </c>
      <c r="AH5311" s="196" t="s">
        <v>679</v>
      </c>
      <c r="AI5311" s="6" t="s">
        <v>257</v>
      </c>
      <c r="AJ5311" t="s">
        <v>8195</v>
      </c>
      <c r="AK5311" t="s">
        <v>8195</v>
      </c>
    </row>
    <row r="5312" spans="29:37">
      <c r="AC5312" s="6" t="s">
        <v>1962</v>
      </c>
      <c r="AD5312" s="6" t="s">
        <v>7827</v>
      </c>
      <c r="AE5312" s="115" t="s">
        <v>1840</v>
      </c>
      <c r="AF5312" s="11" t="s">
        <v>8320</v>
      </c>
      <c r="AG5312" s="115" t="s">
        <v>2044</v>
      </c>
      <c r="AH5312" s="196" t="s">
        <v>1314</v>
      </c>
      <c r="AI5312" s="6" t="s">
        <v>1360</v>
      </c>
      <c r="AJ5312" t="s">
        <v>8195</v>
      </c>
      <c r="AK5312" t="s">
        <v>8195</v>
      </c>
    </row>
    <row r="5313" spans="29:37">
      <c r="AC5313" s="6" t="s">
        <v>908</v>
      </c>
      <c r="AD5313" s="6" t="s">
        <v>7814</v>
      </c>
      <c r="AE5313" s="115" t="s">
        <v>1841</v>
      </c>
      <c r="AF5313" s="11" t="s">
        <v>8601</v>
      </c>
      <c r="AG5313" s="115" t="s">
        <v>2045</v>
      </c>
      <c r="AH5313" s="196" t="s">
        <v>679</v>
      </c>
      <c r="AI5313" s="6" t="s">
        <v>3222</v>
      </c>
      <c r="AJ5313" t="s">
        <v>8246</v>
      </c>
      <c r="AK5313" t="s">
        <v>8246</v>
      </c>
    </row>
    <row r="5314" spans="29:37">
      <c r="AC5314" s="6" t="s">
        <v>2116</v>
      </c>
      <c r="AD5314" s="6" t="s">
        <v>7843</v>
      </c>
      <c r="AE5314" s="115" t="s">
        <v>2009</v>
      </c>
      <c r="AF5314" s="11" t="s">
        <v>8309</v>
      </c>
      <c r="AG5314" s="115" t="s">
        <v>2046</v>
      </c>
      <c r="AH5314" s="196" t="s">
        <v>1314</v>
      </c>
      <c r="AI5314" s="6" t="s">
        <v>256</v>
      </c>
      <c r="AJ5314" t="s">
        <v>8209</v>
      </c>
      <c r="AK5314" t="s">
        <v>8209</v>
      </c>
    </row>
    <row r="5315" spans="29:37">
      <c r="AC5315" s="6" t="s">
        <v>2069</v>
      </c>
      <c r="AD5315" s="6" t="s">
        <v>7844</v>
      </c>
      <c r="AE5315" s="115" t="s">
        <v>2010</v>
      </c>
      <c r="AF5315" s="11" t="s">
        <v>8296</v>
      </c>
      <c r="AG5315" s="115" t="s">
        <v>2826</v>
      </c>
      <c r="AH5315" s="196" t="s">
        <v>1314</v>
      </c>
      <c r="AI5315" s="6" t="s">
        <v>1355</v>
      </c>
      <c r="AJ5315" t="s">
        <v>8195</v>
      </c>
      <c r="AK5315" t="s">
        <v>8195</v>
      </c>
    </row>
    <row r="5316" spans="29:37">
      <c r="AC5316" s="6" t="s">
        <v>876</v>
      </c>
      <c r="AD5316" s="6" t="s">
        <v>7814</v>
      </c>
      <c r="AE5316" s="115" t="s">
        <v>2011</v>
      </c>
      <c r="AF5316" s="11" t="s">
        <v>8299</v>
      </c>
      <c r="AG5316" s="115" t="s">
        <v>2695</v>
      </c>
      <c r="AH5316" s="196" t="s">
        <v>1314</v>
      </c>
      <c r="AI5316" s="6" t="s">
        <v>304</v>
      </c>
      <c r="AJ5316" t="s">
        <v>8200</v>
      </c>
      <c r="AK5316" t="s">
        <v>8200</v>
      </c>
    </row>
    <row r="5317" spans="29:37">
      <c r="AC5317" s="6" t="s">
        <v>1844</v>
      </c>
      <c r="AD5317" s="6" t="s">
        <v>7845</v>
      </c>
      <c r="AE5317" s="115" t="s">
        <v>2263</v>
      </c>
      <c r="AF5317" s="11" t="s">
        <v>8299</v>
      </c>
      <c r="AG5317" s="115" t="s">
        <v>2747</v>
      </c>
      <c r="AH5317" s="196" t="s">
        <v>679</v>
      </c>
      <c r="AI5317" s="6" t="s">
        <v>372</v>
      </c>
      <c r="AJ5317" t="s">
        <v>8201</v>
      </c>
      <c r="AK5317" t="s">
        <v>8666</v>
      </c>
    </row>
    <row r="5318" spans="29:37">
      <c r="AC5318" s="6" t="s">
        <v>932</v>
      </c>
      <c r="AD5318" s="6" t="s">
        <v>7814</v>
      </c>
      <c r="AE5318" s="115" t="s">
        <v>2</v>
      </c>
      <c r="AF5318" s="11" t="s">
        <v>8299</v>
      </c>
      <c r="AG5318" s="115" t="s">
        <v>2748</v>
      </c>
      <c r="AH5318" s="196" t="s">
        <v>1314</v>
      </c>
      <c r="AI5318" s="6" t="s">
        <v>1092</v>
      </c>
      <c r="AJ5318" t="s">
        <v>8196</v>
      </c>
      <c r="AK5318" t="s">
        <v>8196</v>
      </c>
    </row>
    <row r="5319" spans="29:37">
      <c r="AC5319" s="6" t="s">
        <v>1792</v>
      </c>
      <c r="AD5319" s="6" t="s">
        <v>7846</v>
      </c>
      <c r="AE5319" s="115" t="s">
        <v>2223</v>
      </c>
      <c r="AF5319" s="11" t="s">
        <v>8299</v>
      </c>
      <c r="AG5319" s="115" t="s">
        <v>5197</v>
      </c>
      <c r="AH5319" s="196" t="s">
        <v>1314</v>
      </c>
      <c r="AI5319" s="6" t="s">
        <v>3810</v>
      </c>
      <c r="AJ5319" t="s">
        <v>8218</v>
      </c>
      <c r="AK5319" t="s">
        <v>8218</v>
      </c>
    </row>
    <row r="5320" spans="29:37">
      <c r="AC5320" s="6">
        <v>755462</v>
      </c>
      <c r="AD5320" s="6" t="s">
        <v>7835</v>
      </c>
      <c r="AE5320" s="115" t="s">
        <v>2224</v>
      </c>
      <c r="AF5320" s="11" t="s">
        <v>8341</v>
      </c>
      <c r="AG5320" s="115" t="s">
        <v>4173</v>
      </c>
      <c r="AH5320" s="196" t="s">
        <v>679</v>
      </c>
      <c r="AI5320" s="6" t="s">
        <v>40</v>
      </c>
      <c r="AJ5320" t="s">
        <v>8209</v>
      </c>
      <c r="AK5320" t="s">
        <v>8209</v>
      </c>
    </row>
    <row r="5321" spans="29:37">
      <c r="AC5321" s="6" t="s">
        <v>2065</v>
      </c>
      <c r="AD5321" s="6" t="s">
        <v>7828</v>
      </c>
      <c r="AE5321" s="115" t="s">
        <v>2225</v>
      </c>
      <c r="AF5321" s="11" t="s">
        <v>8602</v>
      </c>
      <c r="AG5321" s="115" t="s">
        <v>4174</v>
      </c>
      <c r="AH5321" s="196" t="s">
        <v>679</v>
      </c>
      <c r="AI5321" s="6" t="s">
        <v>487</v>
      </c>
      <c r="AJ5321" t="s">
        <v>8200</v>
      </c>
      <c r="AK5321" t="s">
        <v>8200</v>
      </c>
    </row>
    <row r="5322" spans="29:37">
      <c r="AC5322" s="6">
        <v>541621</v>
      </c>
      <c r="AD5322" s="6" t="s">
        <v>7798</v>
      </c>
      <c r="AE5322" s="115" t="s">
        <v>2226</v>
      </c>
      <c r="AF5322" s="11" t="s">
        <v>8299</v>
      </c>
      <c r="AG5322" s="115" t="s">
        <v>4175</v>
      </c>
      <c r="AH5322" s="196" t="s">
        <v>679</v>
      </c>
      <c r="AI5322" s="6" t="s">
        <v>2521</v>
      </c>
      <c r="AJ5322" t="s">
        <v>8226</v>
      </c>
      <c r="AK5322" t="s">
        <v>8671</v>
      </c>
    </row>
    <row r="5323" spans="29:37">
      <c r="AC5323" s="6" t="s">
        <v>1910</v>
      </c>
      <c r="AD5323" s="6" t="s">
        <v>7824</v>
      </c>
      <c r="AE5323" s="115" t="s">
        <v>2121</v>
      </c>
      <c r="AF5323" s="11" t="s">
        <v>8299</v>
      </c>
      <c r="AG5323" s="115" t="s">
        <v>4176</v>
      </c>
      <c r="AH5323" s="196" t="s">
        <v>679</v>
      </c>
      <c r="AI5323" s="6" t="s">
        <v>3003</v>
      </c>
      <c r="AJ5323" t="s">
        <v>8204</v>
      </c>
      <c r="AK5323" t="s">
        <v>8204</v>
      </c>
    </row>
    <row r="5324" spans="29:37">
      <c r="AC5324" s="6" t="s">
        <v>4501</v>
      </c>
      <c r="AD5324" s="6" t="s">
        <v>7847</v>
      </c>
      <c r="AE5324" s="115" t="s">
        <v>2124</v>
      </c>
      <c r="AF5324" s="11" t="s">
        <v>8299</v>
      </c>
      <c r="AG5324" s="115" t="s">
        <v>4177</v>
      </c>
      <c r="AH5324" s="196" t="s">
        <v>679</v>
      </c>
      <c r="AI5324" s="6" t="s">
        <v>5607</v>
      </c>
      <c r="AJ5324" t="s">
        <v>8246</v>
      </c>
      <c r="AK5324" t="s">
        <v>8246</v>
      </c>
    </row>
    <row r="5325" spans="29:37">
      <c r="AC5325" s="6" t="s">
        <v>919</v>
      </c>
      <c r="AD5325" s="6" t="s">
        <v>7814</v>
      </c>
      <c r="AE5325" s="115" t="s">
        <v>2125</v>
      </c>
      <c r="AF5325" s="11" t="s">
        <v>8296</v>
      </c>
      <c r="AG5325" s="115" t="s">
        <v>4178</v>
      </c>
      <c r="AH5325" s="196" t="s">
        <v>679</v>
      </c>
      <c r="AI5325" s="6" t="s">
        <v>289</v>
      </c>
      <c r="AJ5325" t="s">
        <v>8200</v>
      </c>
      <c r="AK5325" t="s">
        <v>8200</v>
      </c>
    </row>
    <row r="5326" spans="29:37">
      <c r="AC5326" s="6" t="s">
        <v>864</v>
      </c>
      <c r="AD5326" s="6" t="s">
        <v>7814</v>
      </c>
      <c r="AE5326" s="115">
        <v>543134</v>
      </c>
      <c r="AF5326" s="11" t="s">
        <v>8311</v>
      </c>
      <c r="AG5326" s="115" t="s">
        <v>1298</v>
      </c>
      <c r="AH5326" s="196" t="s">
        <v>679</v>
      </c>
      <c r="AI5326" s="6" t="s">
        <v>333</v>
      </c>
      <c r="AJ5326" t="s">
        <v>8209</v>
      </c>
      <c r="AK5326" t="s">
        <v>8209</v>
      </c>
    </row>
    <row r="5327" spans="29:37">
      <c r="AC5327" s="6" t="s">
        <v>1806</v>
      </c>
      <c r="AD5327" s="6" t="s">
        <v>7848</v>
      </c>
      <c r="AE5327" s="115">
        <v>543135</v>
      </c>
      <c r="AF5327" s="11" t="s">
        <v>8299</v>
      </c>
      <c r="AG5327" s="115" t="s">
        <v>5062</v>
      </c>
      <c r="AH5327" s="196" t="s">
        <v>1314</v>
      </c>
      <c r="AI5327" s="6" t="s">
        <v>385</v>
      </c>
      <c r="AJ5327" t="s">
        <v>8228</v>
      </c>
      <c r="AK5327" t="s">
        <v>8228</v>
      </c>
    </row>
    <row r="5328" spans="29:37">
      <c r="AC5328" s="6" t="s">
        <v>2063</v>
      </c>
      <c r="AD5328" s="6" t="s">
        <v>7828</v>
      </c>
      <c r="AE5328" s="115">
        <v>543136</v>
      </c>
      <c r="AF5328" s="11" t="s">
        <v>8320</v>
      </c>
      <c r="AG5328" s="115" t="s">
        <v>5054</v>
      </c>
      <c r="AH5328" s="196" t="s">
        <v>1314</v>
      </c>
      <c r="AI5328" s="6" t="s">
        <v>1389</v>
      </c>
      <c r="AJ5328" t="s">
        <v>8195</v>
      </c>
      <c r="AK5328" t="s">
        <v>8195</v>
      </c>
    </row>
    <row r="5329" spans="29:37">
      <c r="AC5329" s="6" t="s">
        <v>1963</v>
      </c>
      <c r="AD5329" s="6" t="s">
        <v>7827</v>
      </c>
      <c r="AE5329" s="115">
        <v>543137</v>
      </c>
      <c r="AF5329" s="11" t="s">
        <v>8299</v>
      </c>
      <c r="AG5329" s="115" t="s">
        <v>1532</v>
      </c>
      <c r="AH5329" s="196" t="s">
        <v>679</v>
      </c>
      <c r="AI5329" s="6" t="s">
        <v>512</v>
      </c>
      <c r="AJ5329" t="s">
        <v>8209</v>
      </c>
      <c r="AK5329" t="s">
        <v>8209</v>
      </c>
    </row>
    <row r="5330" spans="29:37">
      <c r="AC5330" s="6" t="s">
        <v>2064</v>
      </c>
      <c r="AD5330" s="6" t="s">
        <v>7828</v>
      </c>
      <c r="AE5330" s="115">
        <v>543138</v>
      </c>
      <c r="AF5330" s="11" t="s">
        <v>8320</v>
      </c>
      <c r="AG5330" s="115" t="s">
        <v>675</v>
      </c>
      <c r="AH5330" s="196" t="s">
        <v>679</v>
      </c>
      <c r="AI5330" s="6" t="s">
        <v>947</v>
      </c>
      <c r="AJ5330" t="s">
        <v>8228</v>
      </c>
      <c r="AK5330" t="s">
        <v>8228</v>
      </c>
    </row>
    <row r="5331" spans="29:37">
      <c r="AC5331" s="6" t="s">
        <v>867</v>
      </c>
      <c r="AD5331" s="6" t="s">
        <v>7814</v>
      </c>
      <c r="AE5331" s="115" t="s">
        <v>1747</v>
      </c>
      <c r="AF5331" s="11" t="s">
        <v>8299</v>
      </c>
      <c r="AG5331" s="115" t="s">
        <v>1420</v>
      </c>
      <c r="AH5331" s="196" t="s">
        <v>679</v>
      </c>
      <c r="AI5331" s="6" t="s">
        <v>1441</v>
      </c>
      <c r="AJ5331" t="s">
        <v>8196</v>
      </c>
      <c r="AK5331" t="s">
        <v>8196</v>
      </c>
    </row>
    <row r="5332" spans="29:37">
      <c r="AC5332" s="6" t="s">
        <v>1745</v>
      </c>
      <c r="AD5332" s="6" t="s">
        <v>7814</v>
      </c>
      <c r="AE5332" s="115" t="s">
        <v>1791</v>
      </c>
      <c r="AF5332" s="11" t="s">
        <v>8299</v>
      </c>
      <c r="AG5332" s="115" t="s">
        <v>1421</v>
      </c>
      <c r="AH5332" s="196" t="s">
        <v>679</v>
      </c>
      <c r="AI5332" s="6" t="s">
        <v>2559</v>
      </c>
      <c r="AJ5332" t="s">
        <v>8226</v>
      </c>
      <c r="AK5332" t="s">
        <v>8671</v>
      </c>
    </row>
    <row r="5333" spans="29:37">
      <c r="AC5333" s="6" t="s">
        <v>2205</v>
      </c>
      <c r="AD5333" s="6" t="s">
        <v>7802</v>
      </c>
      <c r="AE5333" s="115" t="s">
        <v>1793</v>
      </c>
      <c r="AF5333" s="11" t="s">
        <v>8309</v>
      </c>
      <c r="AG5333" s="115" t="s">
        <v>676</v>
      </c>
      <c r="AH5333" s="196" t="s">
        <v>679</v>
      </c>
      <c r="AI5333" s="6" t="s">
        <v>4771</v>
      </c>
      <c r="AJ5333" t="s">
        <v>8246</v>
      </c>
      <c r="AK5333" t="s">
        <v>8246</v>
      </c>
    </row>
    <row r="5334" spans="29:37">
      <c r="AC5334" s="6" t="s">
        <v>1833</v>
      </c>
      <c r="AD5334" s="6" t="s">
        <v>7849</v>
      </c>
      <c r="AE5334" s="115" t="s">
        <v>2031</v>
      </c>
      <c r="AF5334" s="11" t="s">
        <v>8299</v>
      </c>
      <c r="AG5334" s="115" t="s">
        <v>677</v>
      </c>
      <c r="AH5334" s="196" t="s">
        <v>679</v>
      </c>
      <c r="AI5334" s="6" t="s">
        <v>4016</v>
      </c>
      <c r="AJ5334" t="s">
        <v>8272</v>
      </c>
      <c r="AK5334" t="s">
        <v>8272</v>
      </c>
    </row>
    <row r="5335" spans="29:37">
      <c r="AC5335" s="6" t="s">
        <v>2032</v>
      </c>
      <c r="AD5335" s="6" t="s">
        <v>7846</v>
      </c>
      <c r="AE5335" s="115" t="s">
        <v>2032</v>
      </c>
      <c r="AF5335" s="11" t="s">
        <v>8299</v>
      </c>
      <c r="AG5335" s="115" t="s">
        <v>1430</v>
      </c>
      <c r="AH5335" s="196" t="s">
        <v>679</v>
      </c>
      <c r="AI5335" s="6" t="s">
        <v>459</v>
      </c>
      <c r="AJ5335" t="s">
        <v>8208</v>
      </c>
      <c r="AK5335" t="s">
        <v>8667</v>
      </c>
    </row>
    <row r="5336" spans="29:37">
      <c r="AC5336" s="6">
        <v>543135</v>
      </c>
      <c r="AD5336" s="6" t="s">
        <v>7798</v>
      </c>
      <c r="AE5336" s="115" t="s">
        <v>1283</v>
      </c>
      <c r="AF5336" s="11" t="s">
        <v>8299</v>
      </c>
      <c r="AG5336" s="115" t="s">
        <v>1477</v>
      </c>
      <c r="AH5336" s="196" t="s">
        <v>679</v>
      </c>
      <c r="AI5336" s="6" t="s">
        <v>383</v>
      </c>
      <c r="AJ5336" t="s">
        <v>8209</v>
      </c>
      <c r="AK5336" t="s">
        <v>8209</v>
      </c>
    </row>
    <row r="5337" spans="29:37">
      <c r="AC5337" s="6" t="s">
        <v>2227</v>
      </c>
      <c r="AD5337" s="6" t="s">
        <v>7850</v>
      </c>
      <c r="AE5337" s="115" t="s">
        <v>2236</v>
      </c>
      <c r="AF5337" s="11" t="s">
        <v>8320</v>
      </c>
      <c r="AG5337" s="115" t="s">
        <v>1479</v>
      </c>
      <c r="AH5337" s="196" t="s">
        <v>679</v>
      </c>
      <c r="AI5337" s="6" t="s">
        <v>3764</v>
      </c>
      <c r="AJ5337" t="s">
        <v>8218</v>
      </c>
      <c r="AK5337" t="s">
        <v>8218</v>
      </c>
    </row>
    <row r="5338" spans="29:37">
      <c r="AC5338" s="6">
        <v>543134</v>
      </c>
      <c r="AD5338" s="6" t="s">
        <v>7798</v>
      </c>
      <c r="AE5338" s="115" t="s">
        <v>2174</v>
      </c>
      <c r="AF5338" s="11" t="s">
        <v>8300</v>
      </c>
      <c r="AG5338" s="115" t="s">
        <v>1481</v>
      </c>
      <c r="AH5338" s="196" t="s">
        <v>679</v>
      </c>
      <c r="AI5338" s="6" t="s">
        <v>592</v>
      </c>
      <c r="AJ5338" t="s">
        <v>8212</v>
      </c>
      <c r="AK5338" t="s">
        <v>8212</v>
      </c>
    </row>
    <row r="5339" spans="29:37">
      <c r="AC5339" s="6" t="s">
        <v>1791</v>
      </c>
      <c r="AD5339" s="6" t="s">
        <v>7851</v>
      </c>
      <c r="AE5339" s="115" t="s">
        <v>2175</v>
      </c>
      <c r="AF5339" s="11" t="s">
        <v>8299</v>
      </c>
      <c r="AG5339" s="115" t="s">
        <v>1562</v>
      </c>
      <c r="AH5339" s="196" t="s">
        <v>678</v>
      </c>
      <c r="AI5339" s="6" t="s">
        <v>4704</v>
      </c>
      <c r="AJ5339" t="s">
        <v>8200</v>
      </c>
      <c r="AK5339" t="s">
        <v>8200</v>
      </c>
    </row>
    <row r="5340" spans="29:37">
      <c r="AC5340" s="6" t="s">
        <v>1773</v>
      </c>
      <c r="AD5340" s="6" t="s">
        <v>7852</v>
      </c>
      <c r="AE5340" s="115" t="s">
        <v>2176</v>
      </c>
      <c r="AF5340" s="11" t="s">
        <v>8300</v>
      </c>
      <c r="AG5340" s="115" t="s">
        <v>1563</v>
      </c>
      <c r="AH5340" s="196" t="s">
        <v>678</v>
      </c>
      <c r="AI5340" s="6" t="s">
        <v>1872</v>
      </c>
      <c r="AJ5340" t="s">
        <v>8234</v>
      </c>
      <c r="AK5340" t="s">
        <v>8234</v>
      </c>
    </row>
    <row r="5341" spans="29:37">
      <c r="AC5341" s="6" t="s">
        <v>870</v>
      </c>
      <c r="AD5341" s="6" t="s">
        <v>7814</v>
      </c>
      <c r="AE5341" s="115" t="s">
        <v>2177</v>
      </c>
      <c r="AF5341" s="11" t="s">
        <v>8300</v>
      </c>
      <c r="AG5341" s="115" t="s">
        <v>1564</v>
      </c>
      <c r="AH5341" s="196" t="s">
        <v>678</v>
      </c>
      <c r="AI5341" s="6" t="s">
        <v>24</v>
      </c>
      <c r="AJ5341" t="s">
        <v>8209</v>
      </c>
      <c r="AK5341" t="s">
        <v>8209</v>
      </c>
    </row>
    <row r="5342" spans="29:37">
      <c r="AC5342" s="6" t="s">
        <v>1774</v>
      </c>
      <c r="AD5342" s="6" t="s">
        <v>7852</v>
      </c>
      <c r="AE5342" s="115" t="s">
        <v>2178</v>
      </c>
      <c r="AF5342" s="11" t="s">
        <v>8309</v>
      </c>
      <c r="AG5342" s="115" t="s">
        <v>4779</v>
      </c>
      <c r="AH5342" s="196" t="s">
        <v>679</v>
      </c>
      <c r="AI5342" s="6" t="s">
        <v>4720</v>
      </c>
      <c r="AJ5342" t="s">
        <v>8196</v>
      </c>
      <c r="AK5342" t="s">
        <v>8196</v>
      </c>
    </row>
    <row r="5343" spans="29:37">
      <c r="AC5343" s="6" t="s">
        <v>1964</v>
      </c>
      <c r="AD5343" s="6" t="s">
        <v>7827</v>
      </c>
      <c r="AE5343" s="115" t="s">
        <v>2179</v>
      </c>
      <c r="AF5343" s="11" t="s">
        <v>8300</v>
      </c>
      <c r="AG5343" s="115" t="s">
        <v>5200</v>
      </c>
      <c r="AH5343" s="196" t="s">
        <v>679</v>
      </c>
      <c r="AI5343" s="6" t="s">
        <v>249</v>
      </c>
      <c r="AJ5343" t="s">
        <v>8209</v>
      </c>
      <c r="AK5343" t="s">
        <v>8209</v>
      </c>
    </row>
    <row r="5344" spans="29:37">
      <c r="AC5344" s="6">
        <v>541622</v>
      </c>
      <c r="AD5344" s="6" t="s">
        <v>7798</v>
      </c>
      <c r="AE5344" s="115" t="s">
        <v>2181</v>
      </c>
      <c r="AF5344" s="11" t="s">
        <v>8300</v>
      </c>
      <c r="AG5344" s="115" t="s">
        <v>4179</v>
      </c>
      <c r="AH5344" s="196" t="s">
        <v>679</v>
      </c>
      <c r="AI5344" s="6" t="s">
        <v>422</v>
      </c>
      <c r="AJ5344" t="s">
        <v>8196</v>
      </c>
      <c r="AK5344" t="s">
        <v>8196</v>
      </c>
    </row>
    <row r="5345" spans="29:37">
      <c r="AC5345" s="6" t="s">
        <v>2117</v>
      </c>
      <c r="AD5345" s="6" t="s">
        <v>7832</v>
      </c>
      <c r="AE5345" s="115" t="s">
        <v>2182</v>
      </c>
      <c r="AF5345" s="11" t="s">
        <v>8299</v>
      </c>
      <c r="AG5345" s="115" t="s">
        <v>4180</v>
      </c>
      <c r="AH5345" s="196" t="s">
        <v>679</v>
      </c>
      <c r="AI5345" s="6" t="s">
        <v>1359</v>
      </c>
      <c r="AJ5345" t="s">
        <v>8195</v>
      </c>
      <c r="AK5345" t="s">
        <v>8195</v>
      </c>
    </row>
    <row r="5346" spans="29:37">
      <c r="AC5346" s="6">
        <v>355309</v>
      </c>
      <c r="AD5346" s="6" t="s">
        <v>7815</v>
      </c>
      <c r="AE5346" s="115" t="s">
        <v>2183</v>
      </c>
      <c r="AF5346" s="11" t="s">
        <v>8320</v>
      </c>
      <c r="AG5346" s="115" t="s">
        <v>1914</v>
      </c>
      <c r="AH5346" s="196" t="s">
        <v>679</v>
      </c>
      <c r="AI5346" s="6" t="s">
        <v>555</v>
      </c>
      <c r="AJ5346" t="s">
        <v>8196</v>
      </c>
      <c r="AK5346" t="s">
        <v>8196</v>
      </c>
    </row>
    <row r="5347" spans="29:37">
      <c r="AC5347" s="6" t="s">
        <v>1810</v>
      </c>
      <c r="AD5347" s="6" t="s">
        <v>7845</v>
      </c>
      <c r="AE5347" s="115" t="s">
        <v>2184</v>
      </c>
      <c r="AF5347" s="11" t="s">
        <v>8300</v>
      </c>
      <c r="AG5347" s="115" t="s">
        <v>1915</v>
      </c>
      <c r="AH5347" s="196" t="s">
        <v>678</v>
      </c>
      <c r="AI5347" s="6" t="s">
        <v>396</v>
      </c>
      <c r="AJ5347" t="s">
        <v>8208</v>
      </c>
      <c r="AK5347" t="s">
        <v>8667</v>
      </c>
    </row>
    <row r="5348" spans="29:37">
      <c r="AC5348" s="6" t="s">
        <v>1744</v>
      </c>
      <c r="AD5348" s="6" t="s">
        <v>7814</v>
      </c>
      <c r="AE5348" s="115" t="s">
        <v>1794</v>
      </c>
      <c r="AF5348" s="11" t="s">
        <v>8300</v>
      </c>
      <c r="AG5348" s="115" t="s">
        <v>1917</v>
      </c>
      <c r="AH5348" s="196" t="s">
        <v>679</v>
      </c>
      <c r="AI5348" s="6" t="s">
        <v>235</v>
      </c>
      <c r="AJ5348" t="s">
        <v>8196</v>
      </c>
      <c r="AK5348" t="s">
        <v>8196</v>
      </c>
    </row>
    <row r="5349" spans="29:37">
      <c r="AC5349" s="6">
        <v>543139</v>
      </c>
      <c r="AD5349" s="6" t="s">
        <v>7798</v>
      </c>
      <c r="AE5349" s="115" t="s">
        <v>2187</v>
      </c>
      <c r="AF5349" s="11" t="s">
        <v>8365</v>
      </c>
      <c r="AG5349" s="115" t="s">
        <v>2077</v>
      </c>
      <c r="AH5349" s="196" t="s">
        <v>679</v>
      </c>
      <c r="AI5349" s="6" t="s">
        <v>1362</v>
      </c>
      <c r="AJ5349" t="s">
        <v>8208</v>
      </c>
      <c r="AK5349" t="s">
        <v>8667</v>
      </c>
    </row>
    <row r="5350" spans="29:37">
      <c r="AC5350" s="6">
        <v>695441</v>
      </c>
      <c r="AD5350" s="6" t="s">
        <v>7842</v>
      </c>
      <c r="AE5350" s="115" t="s">
        <v>2188</v>
      </c>
      <c r="AF5350" s="11" t="s">
        <v>8300</v>
      </c>
      <c r="AG5350" s="115" t="s">
        <v>5484</v>
      </c>
      <c r="AH5350" s="196" t="s">
        <v>679</v>
      </c>
      <c r="AI5350" s="6" t="s">
        <v>397</v>
      </c>
      <c r="AJ5350" t="s">
        <v>8209</v>
      </c>
      <c r="AK5350" t="s">
        <v>8209</v>
      </c>
    </row>
    <row r="5351" spans="29:37">
      <c r="AC5351" s="6" t="s">
        <v>5260</v>
      </c>
      <c r="AD5351" s="6" t="s">
        <v>7820</v>
      </c>
      <c r="AE5351" s="115" t="s">
        <v>2189</v>
      </c>
      <c r="AF5351" s="11" t="s">
        <v>8300</v>
      </c>
      <c r="AG5351" s="115" t="s">
        <v>2078</v>
      </c>
      <c r="AH5351" s="196" t="s">
        <v>679</v>
      </c>
      <c r="AI5351" s="6" t="s">
        <v>2261</v>
      </c>
      <c r="AJ5351" t="s">
        <v>8234</v>
      </c>
      <c r="AK5351" t="s">
        <v>8234</v>
      </c>
    </row>
    <row r="5352" spans="29:37">
      <c r="AC5352" s="6" t="s">
        <v>1834</v>
      </c>
      <c r="AD5352" s="6" t="s">
        <v>7849</v>
      </c>
      <c r="AE5352" s="115" t="s">
        <v>2190</v>
      </c>
      <c r="AF5352" s="11" t="s">
        <v>8300</v>
      </c>
      <c r="AG5352" s="115" t="s">
        <v>2079</v>
      </c>
      <c r="AH5352" s="196" t="s">
        <v>679</v>
      </c>
      <c r="AI5352" s="6" t="s">
        <v>4505</v>
      </c>
      <c r="AJ5352" t="s">
        <v>8234</v>
      </c>
      <c r="AK5352" t="s">
        <v>8234</v>
      </c>
    </row>
    <row r="5353" spans="29:37">
      <c r="AC5353" s="6" t="s">
        <v>2212</v>
      </c>
      <c r="AD5353" s="6" t="s">
        <v>7853</v>
      </c>
      <c r="AE5353" s="115" t="s">
        <v>2191</v>
      </c>
      <c r="AF5353" s="11" t="s">
        <v>8300</v>
      </c>
      <c r="AG5353" s="115" t="s">
        <v>2080</v>
      </c>
      <c r="AH5353" s="196" t="s">
        <v>679</v>
      </c>
      <c r="AI5353" s="6" t="s">
        <v>6732</v>
      </c>
      <c r="AJ5353" t="s">
        <v>8234</v>
      </c>
      <c r="AK5353" t="s">
        <v>8234</v>
      </c>
    </row>
    <row r="5354" spans="29:37">
      <c r="AC5354" s="6" t="s">
        <v>2031</v>
      </c>
      <c r="AD5354" s="6" t="s">
        <v>7846</v>
      </c>
      <c r="AE5354" s="115" t="s">
        <v>1291</v>
      </c>
      <c r="AF5354" s="11" t="s">
        <v>8299</v>
      </c>
      <c r="AG5354" s="115" t="s">
        <v>5485</v>
      </c>
      <c r="AH5354" s="196" t="s">
        <v>679</v>
      </c>
      <c r="AI5354" s="6" t="s">
        <v>6733</v>
      </c>
      <c r="AJ5354" t="s">
        <v>8234</v>
      </c>
      <c r="AK5354" t="s">
        <v>8234</v>
      </c>
    </row>
    <row r="5355" spans="29:37">
      <c r="AC5355" s="6" t="s">
        <v>2133</v>
      </c>
      <c r="AD5355" s="6" t="s">
        <v>7854</v>
      </c>
      <c r="AE5355" s="115" t="s">
        <v>2192</v>
      </c>
      <c r="AF5355" s="11" t="s">
        <v>8300</v>
      </c>
      <c r="AG5355" s="115" t="s">
        <v>2170</v>
      </c>
      <c r="AH5355" s="196" t="s">
        <v>679</v>
      </c>
      <c r="AI5355" s="6" t="s">
        <v>3459</v>
      </c>
      <c r="AJ5355" t="s">
        <v>8205</v>
      </c>
      <c r="AK5355" t="s">
        <v>8211</v>
      </c>
    </row>
    <row r="5356" spans="29:37">
      <c r="AC5356" s="6" t="s">
        <v>5267</v>
      </c>
      <c r="AD5356" s="6" t="s">
        <v>7828</v>
      </c>
      <c r="AE5356" s="115">
        <v>644322</v>
      </c>
      <c r="AF5356" s="11" t="s">
        <v>8299</v>
      </c>
      <c r="AG5356" s="115" t="s">
        <v>5307</v>
      </c>
      <c r="AH5356" s="196" t="s">
        <v>4700</v>
      </c>
      <c r="AI5356" s="6" t="s">
        <v>3464</v>
      </c>
      <c r="AJ5356" t="s">
        <v>8204</v>
      </c>
      <c r="AK5356" t="s">
        <v>8204</v>
      </c>
    </row>
    <row r="5357" spans="29:37">
      <c r="AC5357" s="6">
        <v>555382</v>
      </c>
      <c r="AD5357" s="6" t="s">
        <v>7827</v>
      </c>
      <c r="AE5357" s="115">
        <v>665433</v>
      </c>
      <c r="AF5357" s="11" t="s">
        <v>8300</v>
      </c>
      <c r="AG5357" s="115" t="s">
        <v>2230</v>
      </c>
      <c r="AH5357" s="196" t="s">
        <v>679</v>
      </c>
      <c r="AI5357" s="6" t="s">
        <v>3465</v>
      </c>
      <c r="AJ5357" t="s">
        <v>8193</v>
      </c>
      <c r="AK5357" t="s">
        <v>8205</v>
      </c>
    </row>
    <row r="5358" spans="29:37">
      <c r="AC5358" s="6">
        <v>543136</v>
      </c>
      <c r="AD5358" s="6" t="s">
        <v>7798</v>
      </c>
      <c r="AE5358" s="115">
        <v>665434</v>
      </c>
      <c r="AF5358" s="11" t="s">
        <v>8331</v>
      </c>
      <c r="AG5358" s="115" t="s">
        <v>2231</v>
      </c>
      <c r="AH5358" s="196" t="s">
        <v>679</v>
      </c>
      <c r="AI5358" s="6" t="s">
        <v>3467</v>
      </c>
      <c r="AJ5358" t="s">
        <v>8246</v>
      </c>
      <c r="AK5358" t="s">
        <v>8246</v>
      </c>
    </row>
    <row r="5359" spans="29:37">
      <c r="AC5359" s="6">
        <v>543137</v>
      </c>
      <c r="AD5359" s="6" t="s">
        <v>7798</v>
      </c>
      <c r="AE5359" s="115">
        <v>665435</v>
      </c>
      <c r="AF5359" s="11" t="s">
        <v>8324</v>
      </c>
      <c r="AG5359" s="115" t="s">
        <v>934</v>
      </c>
      <c r="AH5359" s="196" t="s">
        <v>679</v>
      </c>
      <c r="AI5359" s="6" t="s">
        <v>3468</v>
      </c>
      <c r="AJ5359" t="s">
        <v>8193</v>
      </c>
      <c r="AK5359" t="s">
        <v>8205</v>
      </c>
    </row>
    <row r="5360" spans="29:37">
      <c r="AC5360" s="6" t="s">
        <v>2213</v>
      </c>
      <c r="AD5360" s="6" t="s">
        <v>7855</v>
      </c>
      <c r="AE5360" s="115">
        <v>665436</v>
      </c>
      <c r="AF5360" s="11" t="s">
        <v>8324</v>
      </c>
      <c r="AG5360" s="115" t="s">
        <v>2232</v>
      </c>
      <c r="AH5360" s="196" t="s">
        <v>679</v>
      </c>
      <c r="AI5360" s="6" t="s">
        <v>3469</v>
      </c>
      <c r="AJ5360" t="s">
        <v>8204</v>
      </c>
      <c r="AK5360" t="s">
        <v>8204</v>
      </c>
    </row>
    <row r="5361" spans="29:37">
      <c r="AC5361" s="6" t="s">
        <v>5553</v>
      </c>
      <c r="AD5361" s="6" t="s">
        <v>7846</v>
      </c>
      <c r="AE5361" s="115">
        <v>665437</v>
      </c>
      <c r="AF5361" s="11" t="s">
        <v>8311</v>
      </c>
      <c r="AG5361" s="115" t="s">
        <v>4725</v>
      </c>
      <c r="AH5361" s="196" t="s">
        <v>4700</v>
      </c>
      <c r="AI5361" s="6" t="s">
        <v>3488</v>
      </c>
      <c r="AJ5361" t="s">
        <v>8204</v>
      </c>
      <c r="AK5361" t="s">
        <v>8204</v>
      </c>
    </row>
    <row r="5362" spans="29:37">
      <c r="AC5362" s="6" t="s">
        <v>1795</v>
      </c>
      <c r="AD5362" s="6" t="s">
        <v>7856</v>
      </c>
      <c r="AE5362" s="115" t="s">
        <v>2262</v>
      </c>
      <c r="AF5362" s="11" t="s">
        <v>8300</v>
      </c>
      <c r="AG5362" s="115" t="s">
        <v>2233</v>
      </c>
      <c r="AH5362" s="196" t="s">
        <v>679</v>
      </c>
      <c r="AI5362" s="6" t="s">
        <v>41</v>
      </c>
      <c r="AJ5362" t="s">
        <v>8209</v>
      </c>
      <c r="AK5362" t="s">
        <v>8209</v>
      </c>
    </row>
    <row r="5363" spans="29:37">
      <c r="AC5363" s="6" t="s">
        <v>1772</v>
      </c>
      <c r="AD5363" s="6" t="s">
        <v>7852</v>
      </c>
      <c r="AE5363" s="115" t="s">
        <v>2186</v>
      </c>
      <c r="AF5363" s="11" t="s">
        <v>8300</v>
      </c>
      <c r="AG5363" s="115" t="s">
        <v>4708</v>
      </c>
      <c r="AH5363" s="196" t="s">
        <v>4700</v>
      </c>
      <c r="AI5363" s="6" t="s">
        <v>204</v>
      </c>
      <c r="AJ5363" t="s">
        <v>8201</v>
      </c>
      <c r="AK5363" t="s">
        <v>8666</v>
      </c>
    </row>
    <row r="5364" spans="29:37">
      <c r="AC5364" s="6">
        <v>543138</v>
      </c>
      <c r="AD5364" s="6" t="s">
        <v>7798</v>
      </c>
      <c r="AE5364" s="115" t="s">
        <v>2289</v>
      </c>
      <c r="AF5364" s="11" t="s">
        <v>8332</v>
      </c>
      <c r="AG5364" s="115" t="s">
        <v>2234</v>
      </c>
      <c r="AH5364" s="196" t="s">
        <v>4700</v>
      </c>
      <c r="AI5364" s="6" t="s">
        <v>42</v>
      </c>
      <c r="AJ5364" t="s">
        <v>8228</v>
      </c>
      <c r="AK5364" t="s">
        <v>8228</v>
      </c>
    </row>
    <row r="5365" spans="29:37">
      <c r="AC5365" s="6" t="s">
        <v>1746</v>
      </c>
      <c r="AD5365" s="6" t="s">
        <v>7857</v>
      </c>
      <c r="AE5365" s="115" t="s">
        <v>2292</v>
      </c>
      <c r="AF5365" s="11" t="s">
        <v>8297</v>
      </c>
      <c r="AG5365" s="115" t="s">
        <v>2235</v>
      </c>
      <c r="AH5365" s="196" t="s">
        <v>679</v>
      </c>
      <c r="AI5365" s="6" t="s">
        <v>206</v>
      </c>
      <c r="AJ5365" t="s">
        <v>8209</v>
      </c>
      <c r="AK5365" t="s">
        <v>8209</v>
      </c>
    </row>
    <row r="5366" spans="29:37">
      <c r="AC5366" s="6">
        <v>585389</v>
      </c>
      <c r="AD5366" s="6" t="s">
        <v>7858</v>
      </c>
      <c r="AE5366" s="115" t="s">
        <v>1962</v>
      </c>
      <c r="AF5366" s="11" t="s">
        <v>8300</v>
      </c>
      <c r="AG5366" s="115" t="s">
        <v>2278</v>
      </c>
      <c r="AH5366" s="196" t="s">
        <v>679</v>
      </c>
      <c r="AI5366" s="6" t="s">
        <v>207</v>
      </c>
      <c r="AJ5366" t="s">
        <v>8209</v>
      </c>
      <c r="AK5366" t="s">
        <v>8209</v>
      </c>
    </row>
    <row r="5367" spans="29:37">
      <c r="AC5367" s="6" t="s">
        <v>2197</v>
      </c>
      <c r="AD5367" s="6" t="s">
        <v>7859</v>
      </c>
      <c r="AE5367" s="115" t="s">
        <v>1714</v>
      </c>
      <c r="AF5367" s="11" t="s">
        <v>8339</v>
      </c>
      <c r="AG5367" s="115" t="s">
        <v>4453</v>
      </c>
      <c r="AH5367" s="196" t="s">
        <v>678</v>
      </c>
      <c r="AI5367" s="6" t="s">
        <v>1315</v>
      </c>
      <c r="AJ5367" t="s">
        <v>8201</v>
      </c>
      <c r="AK5367" t="s">
        <v>8666</v>
      </c>
    </row>
    <row r="5368" spans="29:37">
      <c r="AC5368" s="6" t="s">
        <v>2236</v>
      </c>
      <c r="AD5368" s="6" t="s">
        <v>7846</v>
      </c>
      <c r="AE5368" s="115" t="s">
        <v>1910</v>
      </c>
      <c r="AF5368" s="11" t="s">
        <v>8300</v>
      </c>
      <c r="AG5368" s="115" t="s">
        <v>4181</v>
      </c>
      <c r="AH5368" s="196" t="s">
        <v>679</v>
      </c>
      <c r="AI5368" s="6" t="s">
        <v>998</v>
      </c>
      <c r="AJ5368" t="s">
        <v>8196</v>
      </c>
      <c r="AK5368" t="s">
        <v>8196</v>
      </c>
    </row>
    <row r="5369" spans="29:37">
      <c r="AC5369" s="6" t="s">
        <v>2051</v>
      </c>
      <c r="AD5369" s="6" t="s">
        <v>7860</v>
      </c>
      <c r="AE5369" s="115" t="s">
        <v>1911</v>
      </c>
      <c r="AF5369" s="11" t="s">
        <v>8375</v>
      </c>
      <c r="AG5369" s="115" t="s">
        <v>4182</v>
      </c>
      <c r="AH5369" s="196" t="s">
        <v>679</v>
      </c>
      <c r="AI5369" s="6" t="s">
        <v>4702</v>
      </c>
      <c r="AJ5369" t="s">
        <v>8213</v>
      </c>
      <c r="AK5369" t="s">
        <v>8213</v>
      </c>
    </row>
    <row r="5370" spans="29:37">
      <c r="AC5370" s="6" t="s">
        <v>2011</v>
      </c>
      <c r="AD5370" s="6" t="s">
        <v>7861</v>
      </c>
      <c r="AE5370" s="115" t="s">
        <v>1961</v>
      </c>
      <c r="AF5370" s="11" t="s">
        <v>8300</v>
      </c>
      <c r="AG5370" s="115" t="s">
        <v>4183</v>
      </c>
      <c r="AH5370" s="196" t="s">
        <v>679</v>
      </c>
      <c r="AI5370" s="6" t="s">
        <v>5333</v>
      </c>
      <c r="AJ5370" t="s">
        <v>8213</v>
      </c>
      <c r="AK5370" t="s">
        <v>8213</v>
      </c>
    </row>
    <row r="5371" spans="29:37">
      <c r="AC5371" s="6" t="s">
        <v>2047</v>
      </c>
      <c r="AD5371" s="6" t="s">
        <v>7860</v>
      </c>
      <c r="AE5371" s="115" t="s">
        <v>1965</v>
      </c>
      <c r="AF5371" s="11" t="s">
        <v>8603</v>
      </c>
      <c r="AG5371" s="115" t="s">
        <v>4184</v>
      </c>
      <c r="AH5371" s="196" t="s">
        <v>679</v>
      </c>
      <c r="AI5371" s="6" t="s">
        <v>5334</v>
      </c>
      <c r="AJ5371" t="s">
        <v>8213</v>
      </c>
      <c r="AK5371" t="s">
        <v>8213</v>
      </c>
    </row>
    <row r="5372" spans="29:37">
      <c r="AC5372" s="6" t="s">
        <v>2208</v>
      </c>
      <c r="AD5372" s="6" t="s">
        <v>7857</v>
      </c>
      <c r="AE5372" s="115" t="s">
        <v>2066</v>
      </c>
      <c r="AF5372" s="11" t="s">
        <v>8300</v>
      </c>
      <c r="AG5372" s="115" t="s">
        <v>4185</v>
      </c>
      <c r="AH5372" s="196" t="s">
        <v>678</v>
      </c>
      <c r="AI5372" s="6" t="s">
        <v>3710</v>
      </c>
      <c r="AJ5372" t="s">
        <v>8218</v>
      </c>
      <c r="AK5372" t="s">
        <v>8218</v>
      </c>
    </row>
    <row r="5373" spans="29:37">
      <c r="AC5373" s="6" t="s">
        <v>1723</v>
      </c>
      <c r="AD5373" s="6" t="s">
        <v>7860</v>
      </c>
      <c r="AE5373" s="115" t="s">
        <v>1715</v>
      </c>
      <c r="AF5373" s="11" t="s">
        <v>8300</v>
      </c>
      <c r="AG5373" s="115" t="s">
        <v>4186</v>
      </c>
      <c r="AH5373" s="196" t="s">
        <v>679</v>
      </c>
      <c r="AI5373" s="6" t="s">
        <v>2558</v>
      </c>
      <c r="AJ5373" t="s">
        <v>8226</v>
      </c>
      <c r="AK5373" t="s">
        <v>8671</v>
      </c>
    </row>
    <row r="5374" spans="29:37">
      <c r="AC5374" s="6" t="s">
        <v>2214</v>
      </c>
      <c r="AD5374" s="6" t="s">
        <v>7860</v>
      </c>
      <c r="AE5374" s="115" t="s">
        <v>1717</v>
      </c>
      <c r="AF5374" s="11" t="s">
        <v>8300</v>
      </c>
      <c r="AG5374" s="115" t="s">
        <v>4187</v>
      </c>
      <c r="AH5374" s="196" t="s">
        <v>679</v>
      </c>
      <c r="AI5374" s="6" t="s">
        <v>2565</v>
      </c>
      <c r="AJ5374" t="s">
        <v>8226</v>
      </c>
      <c r="AK5374" t="s">
        <v>8671</v>
      </c>
    </row>
    <row r="5375" spans="29:37">
      <c r="AC5375" s="6" t="s">
        <v>2226</v>
      </c>
      <c r="AD5375" s="6" t="s">
        <v>7861</v>
      </c>
      <c r="AE5375" s="115" t="s">
        <v>1719</v>
      </c>
      <c r="AF5375" s="11" t="s">
        <v>8300</v>
      </c>
      <c r="AG5375" s="115" t="s">
        <v>4188</v>
      </c>
      <c r="AH5375" s="196" t="s">
        <v>678</v>
      </c>
      <c r="AI5375" s="6" t="s">
        <v>2422</v>
      </c>
      <c r="AJ5375" t="s">
        <v>8237</v>
      </c>
      <c r="AK5375" t="s">
        <v>8237</v>
      </c>
    </row>
    <row r="5376" spans="29:37">
      <c r="AC5376" s="6">
        <v>555383</v>
      </c>
      <c r="AD5376" s="6" t="s">
        <v>7827</v>
      </c>
      <c r="AE5376" s="115" t="s">
        <v>1721</v>
      </c>
      <c r="AF5376" s="11" t="s">
        <v>8299</v>
      </c>
      <c r="AG5376" s="115" t="s">
        <v>4189</v>
      </c>
      <c r="AH5376" s="196" t="s">
        <v>678</v>
      </c>
      <c r="AI5376" s="6" t="s">
        <v>1859</v>
      </c>
      <c r="AJ5376" t="s">
        <v>8234</v>
      </c>
      <c r="AK5376" t="s">
        <v>8234</v>
      </c>
    </row>
    <row r="5377" spans="29:37">
      <c r="AC5377" s="6" t="s">
        <v>5557</v>
      </c>
      <c r="AD5377" s="6" t="s">
        <v>7846</v>
      </c>
      <c r="AE5377" s="115" t="s">
        <v>1722</v>
      </c>
      <c r="AF5377" s="11" t="s">
        <v>8300</v>
      </c>
      <c r="AG5377" s="115" t="s">
        <v>4190</v>
      </c>
      <c r="AH5377" s="196" t="s">
        <v>678</v>
      </c>
      <c r="AI5377" s="6" t="s">
        <v>1876</v>
      </c>
      <c r="AJ5377" t="s">
        <v>8234</v>
      </c>
      <c r="AK5377" t="s">
        <v>8234</v>
      </c>
    </row>
    <row r="5378" spans="29:37">
      <c r="AC5378" s="6" t="s">
        <v>2216</v>
      </c>
      <c r="AD5378" s="6" t="s">
        <v>7860</v>
      </c>
      <c r="AE5378" s="115" t="s">
        <v>1724</v>
      </c>
      <c r="AF5378" s="11" t="s">
        <v>8300</v>
      </c>
      <c r="AG5378" s="115" t="s">
        <v>4191</v>
      </c>
      <c r="AH5378" s="196" t="s">
        <v>679</v>
      </c>
      <c r="AI5378" s="6" t="s">
        <v>1879</v>
      </c>
      <c r="AJ5378" t="s">
        <v>8234</v>
      </c>
      <c r="AK5378" t="s">
        <v>8234</v>
      </c>
    </row>
    <row r="5379" spans="29:37">
      <c r="AC5379" s="6">
        <v>705446</v>
      </c>
      <c r="AD5379" s="6" t="s">
        <v>7862</v>
      </c>
      <c r="AE5379" s="115" t="s">
        <v>1763</v>
      </c>
      <c r="AF5379" s="11" t="s">
        <v>8300</v>
      </c>
      <c r="AG5379" s="115" t="s">
        <v>4192</v>
      </c>
      <c r="AH5379" s="196" t="s">
        <v>678</v>
      </c>
      <c r="AI5379" s="6" t="s">
        <v>742</v>
      </c>
      <c r="AJ5379" t="s">
        <v>8234</v>
      </c>
      <c r="AK5379" t="s">
        <v>8234</v>
      </c>
    </row>
    <row r="5380" spans="29:37">
      <c r="AC5380" s="6" t="s">
        <v>2221</v>
      </c>
      <c r="AD5380" s="6" t="s">
        <v>7860</v>
      </c>
      <c r="AE5380" s="115" t="s">
        <v>1764</v>
      </c>
      <c r="AF5380" s="11" t="s">
        <v>8339</v>
      </c>
      <c r="AG5380" s="115" t="s">
        <v>4193</v>
      </c>
      <c r="AH5380" s="196" t="s">
        <v>678</v>
      </c>
      <c r="AI5380" s="6" t="s">
        <v>743</v>
      </c>
      <c r="AJ5380" t="s">
        <v>8273</v>
      </c>
      <c r="AK5380" t="s">
        <v>8273</v>
      </c>
    </row>
    <row r="5381" spans="29:37">
      <c r="AC5381" s="6" t="s">
        <v>2207</v>
      </c>
      <c r="AD5381" s="6" t="s">
        <v>7857</v>
      </c>
      <c r="AE5381" s="115" t="s">
        <v>1765</v>
      </c>
      <c r="AF5381" s="11" t="s">
        <v>8300</v>
      </c>
      <c r="AG5381" s="115" t="s">
        <v>4194</v>
      </c>
      <c r="AH5381" s="196" t="s">
        <v>679</v>
      </c>
      <c r="AI5381" s="6" t="s">
        <v>753</v>
      </c>
      <c r="AJ5381" t="s">
        <v>8263</v>
      </c>
      <c r="AK5381" t="s">
        <v>8263</v>
      </c>
    </row>
    <row r="5382" spans="29:37">
      <c r="AC5382" s="6" t="s">
        <v>4769</v>
      </c>
      <c r="AD5382" s="6" t="s">
        <v>7860</v>
      </c>
      <c r="AE5382" s="115" t="s">
        <v>1906</v>
      </c>
      <c r="AF5382" s="11" t="s">
        <v>8409</v>
      </c>
      <c r="AG5382" s="115" t="s">
        <v>4195</v>
      </c>
      <c r="AH5382" s="196" t="s">
        <v>679</v>
      </c>
      <c r="AI5382" s="6" t="s">
        <v>793</v>
      </c>
      <c r="AJ5382" t="s">
        <v>8263</v>
      </c>
      <c r="AK5382" t="s">
        <v>8263</v>
      </c>
    </row>
    <row r="5383" spans="29:37">
      <c r="AC5383" s="6" t="s">
        <v>5543</v>
      </c>
      <c r="AD5383" s="6" t="s">
        <v>7814</v>
      </c>
      <c r="AE5383" s="115" t="s">
        <v>1907</v>
      </c>
      <c r="AF5383" s="11" t="s">
        <v>8300</v>
      </c>
      <c r="AG5383" s="115" t="s">
        <v>4196</v>
      </c>
      <c r="AH5383" s="196" t="s">
        <v>679</v>
      </c>
      <c r="AI5383" s="6" t="s">
        <v>821</v>
      </c>
      <c r="AJ5383" t="s">
        <v>8263</v>
      </c>
      <c r="AK5383" t="s">
        <v>8263</v>
      </c>
    </row>
    <row r="5384" spans="29:37">
      <c r="AC5384" s="6" t="s">
        <v>2010</v>
      </c>
      <c r="AD5384" s="6" t="s">
        <v>7861</v>
      </c>
      <c r="AE5384" s="115" t="s">
        <v>1973</v>
      </c>
      <c r="AF5384" s="11" t="s">
        <v>8300</v>
      </c>
      <c r="AG5384" s="115" t="s">
        <v>4197</v>
      </c>
      <c r="AH5384" s="196" t="s">
        <v>678</v>
      </c>
      <c r="AI5384" s="6" t="s">
        <v>5618</v>
      </c>
      <c r="AJ5384" t="s">
        <v>8255</v>
      </c>
      <c r="AK5384" t="s">
        <v>8255</v>
      </c>
    </row>
    <row r="5385" spans="29:37">
      <c r="AC5385" s="6" t="s">
        <v>2222</v>
      </c>
      <c r="AD5385" s="6" t="s">
        <v>7860</v>
      </c>
      <c r="AE5385" s="115" t="s">
        <v>2056</v>
      </c>
      <c r="AF5385" s="11" t="s">
        <v>8300</v>
      </c>
      <c r="AG5385" s="115" t="s">
        <v>4198</v>
      </c>
      <c r="AH5385" s="196" t="s">
        <v>679</v>
      </c>
      <c r="AI5385" s="6" t="s">
        <v>2873</v>
      </c>
      <c r="AJ5385" t="s">
        <v>8246</v>
      </c>
      <c r="AK5385" t="s">
        <v>8246</v>
      </c>
    </row>
    <row r="5386" spans="29:37">
      <c r="AC5386" s="6" t="s">
        <v>1283</v>
      </c>
      <c r="AD5386" s="6" t="s">
        <v>7846</v>
      </c>
      <c r="AE5386" s="115" t="s">
        <v>2067</v>
      </c>
      <c r="AF5386" s="11" t="s">
        <v>8300</v>
      </c>
      <c r="AG5386" s="115" t="s">
        <v>4199</v>
      </c>
      <c r="AH5386" s="196" t="s">
        <v>678</v>
      </c>
      <c r="AI5386" s="6" t="s">
        <v>2877</v>
      </c>
      <c r="AJ5386" t="s">
        <v>8203</v>
      </c>
      <c r="AK5386" t="s">
        <v>8203</v>
      </c>
    </row>
    <row r="5387" spans="29:37">
      <c r="AC5387" s="6" t="s">
        <v>1748</v>
      </c>
      <c r="AD5387" s="6" t="s">
        <v>7857</v>
      </c>
      <c r="AE5387" s="115" t="s">
        <v>2068</v>
      </c>
      <c r="AF5387" s="11" t="s">
        <v>8299</v>
      </c>
      <c r="AG5387" s="115" t="s">
        <v>4200</v>
      </c>
      <c r="AH5387" s="196" t="s">
        <v>679</v>
      </c>
      <c r="AI5387" s="6" t="s">
        <v>2890</v>
      </c>
      <c r="AJ5387" t="s">
        <v>8246</v>
      </c>
      <c r="AK5387" t="s">
        <v>8246</v>
      </c>
    </row>
    <row r="5388" spans="29:37">
      <c r="AC5388" s="6" t="s">
        <v>2217</v>
      </c>
      <c r="AD5388" s="6" t="s">
        <v>7860</v>
      </c>
      <c r="AE5388" s="115" t="s">
        <v>2163</v>
      </c>
      <c r="AF5388" s="11" t="s">
        <v>8300</v>
      </c>
      <c r="AG5388" s="115" t="s">
        <v>4201</v>
      </c>
      <c r="AH5388" s="196" t="s">
        <v>679</v>
      </c>
      <c r="AI5388" s="6" t="s">
        <v>2891</v>
      </c>
      <c r="AJ5388" t="s">
        <v>8246</v>
      </c>
      <c r="AK5388" t="s">
        <v>8246</v>
      </c>
    </row>
    <row r="5389" spans="29:37">
      <c r="AC5389" s="6">
        <v>585390</v>
      </c>
      <c r="AD5389" s="6" t="s">
        <v>7858</v>
      </c>
      <c r="AE5389" s="115">
        <v>555381</v>
      </c>
      <c r="AF5389" s="11" t="s">
        <v>8300</v>
      </c>
      <c r="AG5389" s="115" t="s">
        <v>4202</v>
      </c>
      <c r="AH5389" s="196" t="s">
        <v>679</v>
      </c>
      <c r="AI5389" s="6" t="s">
        <v>2894</v>
      </c>
      <c r="AJ5389" t="s">
        <v>8246</v>
      </c>
      <c r="AK5389" t="s">
        <v>8246</v>
      </c>
    </row>
    <row r="5390" spans="29:37">
      <c r="AC5390" s="6" t="s">
        <v>4492</v>
      </c>
      <c r="AD5390" s="6" t="s">
        <v>7857</v>
      </c>
      <c r="AE5390" s="115">
        <v>565384</v>
      </c>
      <c r="AF5390" s="11" t="s">
        <v>8320</v>
      </c>
      <c r="AG5390" s="115" t="s">
        <v>4203</v>
      </c>
      <c r="AH5390" s="196" t="s">
        <v>679</v>
      </c>
      <c r="AI5390" s="6" t="s">
        <v>2936</v>
      </c>
      <c r="AJ5390" t="s">
        <v>8246</v>
      </c>
      <c r="AK5390" t="s">
        <v>8246</v>
      </c>
    </row>
    <row r="5391" spans="29:37">
      <c r="AC5391" s="6" t="s">
        <v>1793</v>
      </c>
      <c r="AD5391" s="6" t="s">
        <v>7846</v>
      </c>
      <c r="AE5391" s="115">
        <v>695440</v>
      </c>
      <c r="AF5391" s="11" t="s">
        <v>8299</v>
      </c>
      <c r="AG5391" s="115" t="s">
        <v>4204</v>
      </c>
      <c r="AH5391" s="196" t="s">
        <v>4700</v>
      </c>
      <c r="AI5391" s="6" t="s">
        <v>2949</v>
      </c>
      <c r="AJ5391" t="s">
        <v>8220</v>
      </c>
      <c r="AK5391" t="s">
        <v>8220</v>
      </c>
    </row>
    <row r="5392" spans="29:37">
      <c r="AC5392" s="6" t="s">
        <v>2199</v>
      </c>
      <c r="AD5392" s="6" t="s">
        <v>7863</v>
      </c>
      <c r="AE5392" s="115">
        <v>782449</v>
      </c>
      <c r="AF5392" s="11" t="s">
        <v>8299</v>
      </c>
      <c r="AG5392" s="115" t="s">
        <v>4205</v>
      </c>
      <c r="AH5392" s="196" t="s">
        <v>679</v>
      </c>
      <c r="AI5392" s="6" t="s">
        <v>2976</v>
      </c>
      <c r="AJ5392" t="s">
        <v>8203</v>
      </c>
      <c r="AK5392" t="s">
        <v>8203</v>
      </c>
    </row>
    <row r="5393" spans="29:37">
      <c r="AC5393" s="6">
        <v>695442</v>
      </c>
      <c r="AD5393" s="6" t="s">
        <v>7842</v>
      </c>
      <c r="AE5393" s="115">
        <v>782451</v>
      </c>
      <c r="AF5393" s="11" t="s">
        <v>8300</v>
      </c>
      <c r="AG5393" s="115" t="s">
        <v>4206</v>
      </c>
      <c r="AH5393" s="196" t="s">
        <v>679</v>
      </c>
      <c r="AI5393" s="6" t="s">
        <v>3030</v>
      </c>
      <c r="AJ5393" t="s">
        <v>8211</v>
      </c>
      <c r="AK5393" t="s">
        <v>8242</v>
      </c>
    </row>
    <row r="5394" spans="29:37">
      <c r="AC5394" s="6" t="s">
        <v>2050</v>
      </c>
      <c r="AD5394" s="6" t="s">
        <v>7860</v>
      </c>
      <c r="AE5394" s="115">
        <v>782452</v>
      </c>
      <c r="AF5394" s="11" t="s">
        <v>8320</v>
      </c>
      <c r="AG5394" s="115" t="s">
        <v>4207</v>
      </c>
      <c r="AH5394" s="196" t="s">
        <v>679</v>
      </c>
      <c r="AI5394" s="6" t="s">
        <v>3084</v>
      </c>
      <c r="AJ5394" t="s">
        <v>8204</v>
      </c>
      <c r="AK5394" t="s">
        <v>8204</v>
      </c>
    </row>
    <row r="5395" spans="29:37">
      <c r="AC5395" s="6">
        <v>585394</v>
      </c>
      <c r="AD5395" s="6" t="s">
        <v>7858</v>
      </c>
      <c r="AE5395" s="115">
        <v>782453</v>
      </c>
      <c r="AF5395" s="11" t="s">
        <v>8299</v>
      </c>
      <c r="AG5395" s="115" t="s">
        <v>4208</v>
      </c>
      <c r="AH5395" s="196" t="s">
        <v>679</v>
      </c>
      <c r="AI5395" s="6" t="s">
        <v>3107</v>
      </c>
      <c r="AJ5395" t="s">
        <v>8220</v>
      </c>
      <c r="AK5395" t="s">
        <v>8220</v>
      </c>
    </row>
    <row r="5396" spans="29:37">
      <c r="AC5396" s="6" t="s">
        <v>2048</v>
      </c>
      <c r="AD5396" s="6" t="s">
        <v>7860</v>
      </c>
      <c r="AE5396" s="115">
        <v>782454</v>
      </c>
      <c r="AF5396" s="11" t="s">
        <v>8300</v>
      </c>
      <c r="AG5396" s="115" t="s">
        <v>4209</v>
      </c>
      <c r="AH5396" s="196" t="s">
        <v>678</v>
      </c>
      <c r="AI5396" s="6" t="s">
        <v>3208</v>
      </c>
      <c r="AJ5396" t="s">
        <v>8205</v>
      </c>
      <c r="AK5396" t="s">
        <v>8211</v>
      </c>
    </row>
    <row r="5397" spans="29:37">
      <c r="AC5397" s="6" t="s">
        <v>2134</v>
      </c>
      <c r="AD5397" s="6" t="s">
        <v>7854</v>
      </c>
      <c r="AE5397" s="115" t="s">
        <v>1963</v>
      </c>
      <c r="AF5397" s="11" t="s">
        <v>8312</v>
      </c>
      <c r="AG5397" s="115" t="s">
        <v>4210</v>
      </c>
      <c r="AH5397" s="196" t="s">
        <v>679</v>
      </c>
      <c r="AI5397" s="6" t="s">
        <v>3279</v>
      </c>
      <c r="AJ5397" t="s">
        <v>8246</v>
      </c>
      <c r="AK5397" t="s">
        <v>8246</v>
      </c>
    </row>
    <row r="5398" spans="29:37">
      <c r="AC5398" s="6" t="s">
        <v>4491</v>
      </c>
      <c r="AD5398" s="6" t="s">
        <v>7857</v>
      </c>
      <c r="AE5398" s="115" t="s">
        <v>2069</v>
      </c>
      <c r="AF5398" s="11" t="s">
        <v>8300</v>
      </c>
      <c r="AG5398" s="115" t="s">
        <v>2781</v>
      </c>
      <c r="AH5398" s="196" t="s">
        <v>679</v>
      </c>
      <c r="AI5398" s="6" t="s">
        <v>5758</v>
      </c>
      <c r="AJ5398" t="s">
        <v>8205</v>
      </c>
      <c r="AK5398" t="s">
        <v>8211</v>
      </c>
    </row>
    <row r="5399" spans="29:37">
      <c r="AC5399" s="6" t="s">
        <v>1847</v>
      </c>
      <c r="AD5399" s="6" t="s">
        <v>7864</v>
      </c>
      <c r="AE5399" s="115" t="s">
        <v>2286</v>
      </c>
      <c r="AF5399" s="11" t="s">
        <v>8325</v>
      </c>
      <c r="AG5399" s="115" t="s">
        <v>2782</v>
      </c>
      <c r="AH5399" s="196" t="s">
        <v>679</v>
      </c>
      <c r="AI5399" s="6" t="s">
        <v>5301</v>
      </c>
      <c r="AJ5399" t="s">
        <v>8203</v>
      </c>
      <c r="AK5399" t="s">
        <v>8203</v>
      </c>
    </row>
    <row r="5400" spans="29:37">
      <c r="AC5400" s="6">
        <v>705445</v>
      </c>
      <c r="AD5400" s="6" t="s">
        <v>7862</v>
      </c>
      <c r="AE5400" s="115" t="s">
        <v>1964</v>
      </c>
      <c r="AF5400" s="11" t="s">
        <v>8339</v>
      </c>
      <c r="AG5400" s="115" t="s">
        <v>2783</v>
      </c>
      <c r="AH5400" s="196" t="s">
        <v>679</v>
      </c>
      <c r="AI5400" s="6" t="s">
        <v>182</v>
      </c>
      <c r="AJ5400" t="s">
        <v>8212</v>
      </c>
      <c r="AK5400" t="s">
        <v>8212</v>
      </c>
    </row>
    <row r="5401" spans="29:37">
      <c r="AC5401" s="6" t="s">
        <v>2052</v>
      </c>
      <c r="AD5401" s="6" t="s">
        <v>7860</v>
      </c>
      <c r="AE5401" s="115" t="s">
        <v>1912</v>
      </c>
      <c r="AF5401" s="11" t="s">
        <v>8515</v>
      </c>
      <c r="AG5401" s="115" t="s">
        <v>4211</v>
      </c>
      <c r="AH5401" s="196" t="s">
        <v>679</v>
      </c>
      <c r="AI5401" s="6" t="s">
        <v>1345</v>
      </c>
      <c r="AJ5401" t="s">
        <v>8196</v>
      </c>
      <c r="AK5401" t="s">
        <v>8196</v>
      </c>
    </row>
    <row r="5402" spans="29:37">
      <c r="AC5402" s="6" t="s">
        <v>2159</v>
      </c>
      <c r="AD5402" s="6" t="s">
        <v>7860</v>
      </c>
      <c r="AE5402" s="115" t="s">
        <v>2075</v>
      </c>
      <c r="AF5402" s="11" t="s">
        <v>8300</v>
      </c>
      <c r="AG5402" s="115" t="s">
        <v>4212</v>
      </c>
      <c r="AH5402" s="196" t="s">
        <v>679</v>
      </c>
      <c r="AI5402" s="6" t="s">
        <v>229</v>
      </c>
      <c r="AJ5402" t="s">
        <v>8196</v>
      </c>
      <c r="AK5402" t="s">
        <v>8196</v>
      </c>
    </row>
    <row r="5403" spans="29:37">
      <c r="AC5403" s="6" t="s">
        <v>2224</v>
      </c>
      <c r="AD5403" s="6" t="s">
        <v>7861</v>
      </c>
      <c r="AE5403" s="115" t="s">
        <v>2276</v>
      </c>
      <c r="AF5403" s="11" t="s">
        <v>8300</v>
      </c>
      <c r="AG5403" s="115" t="s">
        <v>1682</v>
      </c>
      <c r="AH5403" s="196" t="s">
        <v>1314</v>
      </c>
      <c r="AI5403" s="6" t="s">
        <v>239</v>
      </c>
      <c r="AJ5403" t="s">
        <v>8201</v>
      </c>
      <c r="AK5403" t="s">
        <v>8666</v>
      </c>
    </row>
    <row r="5404" spans="29:37">
      <c r="AC5404" s="6" t="s">
        <v>2215</v>
      </c>
      <c r="AD5404" s="6" t="s">
        <v>7860</v>
      </c>
      <c r="AE5404" s="115" t="s">
        <v>1249</v>
      </c>
      <c r="AF5404" s="11" t="s">
        <v>8300</v>
      </c>
      <c r="AG5404" s="115" t="s">
        <v>4213</v>
      </c>
      <c r="AH5404" s="196" t="s">
        <v>679</v>
      </c>
      <c r="AI5404" s="6" t="s">
        <v>242</v>
      </c>
      <c r="AJ5404" t="s">
        <v>8196</v>
      </c>
      <c r="AK5404" t="s">
        <v>8196</v>
      </c>
    </row>
    <row r="5405" spans="29:37">
      <c r="AC5405" s="6">
        <v>585391</v>
      </c>
      <c r="AD5405" s="6" t="s">
        <v>7858</v>
      </c>
      <c r="AE5405" s="115" t="s">
        <v>2195</v>
      </c>
      <c r="AF5405" s="11" t="s">
        <v>8300</v>
      </c>
      <c r="AG5405" s="115" t="s">
        <v>4214</v>
      </c>
      <c r="AH5405" s="196" t="s">
        <v>1314</v>
      </c>
      <c r="AI5405" s="6" t="s">
        <v>244</v>
      </c>
      <c r="AJ5405" t="s">
        <v>8209</v>
      </c>
      <c r="AK5405" t="s">
        <v>8209</v>
      </c>
    </row>
    <row r="5406" spans="29:37">
      <c r="AC5406" s="6" t="s">
        <v>5737</v>
      </c>
      <c r="AD5406" s="6" t="s">
        <v>7846</v>
      </c>
      <c r="AE5406" s="115" t="s">
        <v>2253</v>
      </c>
      <c r="AF5406" s="11" t="s">
        <v>8299</v>
      </c>
      <c r="AG5406" s="115" t="s">
        <v>4215</v>
      </c>
      <c r="AH5406" s="196" t="s">
        <v>679</v>
      </c>
      <c r="AI5406" s="6" t="s">
        <v>245</v>
      </c>
      <c r="AJ5406" t="s">
        <v>8201</v>
      </c>
      <c r="AK5406" t="s">
        <v>8666</v>
      </c>
    </row>
    <row r="5407" spans="29:37">
      <c r="AC5407" s="6" t="s">
        <v>2225</v>
      </c>
      <c r="AD5407" s="6" t="s">
        <v>7861</v>
      </c>
      <c r="AE5407" s="115" t="s">
        <v>2254</v>
      </c>
      <c r="AF5407" s="11" t="s">
        <v>8321</v>
      </c>
      <c r="AG5407" s="115" t="s">
        <v>4216</v>
      </c>
      <c r="AH5407" s="196" t="s">
        <v>679</v>
      </c>
      <c r="AI5407" s="6" t="s">
        <v>251</v>
      </c>
      <c r="AJ5407" t="s">
        <v>8209</v>
      </c>
      <c r="AK5407" t="s">
        <v>8209</v>
      </c>
    </row>
    <row r="5408" spans="29:37">
      <c r="AC5408" s="6" t="s">
        <v>1761</v>
      </c>
      <c r="AD5408" s="6" t="s">
        <v>7861</v>
      </c>
      <c r="AE5408" s="115" t="s">
        <v>2197</v>
      </c>
      <c r="AF5408" s="11" t="s">
        <v>8300</v>
      </c>
      <c r="AG5408" s="115" t="s">
        <v>4217</v>
      </c>
      <c r="AH5408" s="196" t="s">
        <v>679</v>
      </c>
      <c r="AI5408" s="6" t="s">
        <v>1349</v>
      </c>
      <c r="AJ5408" t="s">
        <v>8195</v>
      </c>
      <c r="AK5408" t="s">
        <v>8195</v>
      </c>
    </row>
    <row r="5409" spans="29:37">
      <c r="AC5409" s="6" t="s">
        <v>2263</v>
      </c>
      <c r="AD5409" s="6" t="s">
        <v>7861</v>
      </c>
      <c r="AE5409" s="115" t="s">
        <v>2055</v>
      </c>
      <c r="AF5409" s="11" t="s">
        <v>8300</v>
      </c>
      <c r="AG5409" s="115" t="s">
        <v>4218</v>
      </c>
      <c r="AH5409" s="196" t="s">
        <v>679</v>
      </c>
      <c r="AI5409" s="6" t="s">
        <v>254</v>
      </c>
      <c r="AJ5409" t="s">
        <v>8196</v>
      </c>
      <c r="AK5409" t="s">
        <v>8196</v>
      </c>
    </row>
    <row r="5410" spans="29:37">
      <c r="AC5410" s="6" t="s">
        <v>1762</v>
      </c>
      <c r="AD5410" s="6" t="s">
        <v>7861</v>
      </c>
      <c r="AE5410" s="115" t="s">
        <v>2198</v>
      </c>
      <c r="AF5410" s="11" t="s">
        <v>8300</v>
      </c>
      <c r="AG5410" s="115" t="s">
        <v>4219</v>
      </c>
      <c r="AH5410" s="196" t="s">
        <v>679</v>
      </c>
      <c r="AI5410" s="6" t="s">
        <v>261</v>
      </c>
      <c r="AJ5410" t="s">
        <v>8209</v>
      </c>
      <c r="AK5410" t="s">
        <v>8209</v>
      </c>
    </row>
    <row r="5411" spans="29:37">
      <c r="AC5411" s="6" t="s">
        <v>5230</v>
      </c>
      <c r="AD5411" s="6" t="s">
        <v>7857</v>
      </c>
      <c r="AE5411" s="115" t="s">
        <v>2199</v>
      </c>
      <c r="AF5411" s="11" t="s">
        <v>8300</v>
      </c>
      <c r="AG5411" s="115" t="s">
        <v>4220</v>
      </c>
      <c r="AH5411" s="196" t="s">
        <v>679</v>
      </c>
      <c r="AI5411" s="6" t="s">
        <v>263</v>
      </c>
      <c r="AJ5411" t="s">
        <v>8195</v>
      </c>
      <c r="AK5411" t="s">
        <v>8195</v>
      </c>
    </row>
    <row r="5412" spans="29:37">
      <c r="AC5412" s="6" t="s">
        <v>2070</v>
      </c>
      <c r="AD5412" s="6" t="s">
        <v>7865</v>
      </c>
      <c r="AE5412" s="115" t="s">
        <v>2086</v>
      </c>
      <c r="AF5412" s="11" t="s">
        <v>8299</v>
      </c>
      <c r="AG5412" s="115" t="s">
        <v>4221</v>
      </c>
      <c r="AH5412" s="196" t="s">
        <v>1314</v>
      </c>
      <c r="AI5412" s="6" t="s">
        <v>1353</v>
      </c>
      <c r="AJ5412" t="s">
        <v>8195</v>
      </c>
      <c r="AK5412" t="s">
        <v>8195</v>
      </c>
    </row>
    <row r="5413" spans="29:37">
      <c r="AC5413" s="6" t="s">
        <v>2049</v>
      </c>
      <c r="AD5413" s="6" t="s">
        <v>7860</v>
      </c>
      <c r="AE5413" s="115" t="s">
        <v>2087</v>
      </c>
      <c r="AF5413" s="11" t="s">
        <v>8311</v>
      </c>
      <c r="AG5413" s="115" t="s">
        <v>4222</v>
      </c>
      <c r="AH5413" s="196" t="s">
        <v>679</v>
      </c>
      <c r="AI5413" s="6" t="s">
        <v>1354</v>
      </c>
      <c r="AJ5413" t="s">
        <v>8195</v>
      </c>
      <c r="AK5413" t="s">
        <v>8195</v>
      </c>
    </row>
    <row r="5414" spans="29:37">
      <c r="AC5414" s="6" t="s">
        <v>2223</v>
      </c>
      <c r="AD5414" s="6" t="s">
        <v>7861</v>
      </c>
      <c r="AE5414" s="115" t="s">
        <v>2088</v>
      </c>
      <c r="AF5414" s="11" t="s">
        <v>8299</v>
      </c>
      <c r="AG5414" s="115" t="s">
        <v>4223</v>
      </c>
      <c r="AH5414" s="196" t="s">
        <v>1314</v>
      </c>
      <c r="AI5414" s="6" t="s">
        <v>270</v>
      </c>
      <c r="AJ5414" t="s">
        <v>8196</v>
      </c>
      <c r="AK5414" t="s">
        <v>8196</v>
      </c>
    </row>
    <row r="5415" spans="29:37">
      <c r="AC5415" s="6" t="s">
        <v>5037</v>
      </c>
      <c r="AD5415" s="6" t="s">
        <v>7860</v>
      </c>
      <c r="AE5415" s="115" t="s">
        <v>2089</v>
      </c>
      <c r="AF5415" s="11" t="s">
        <v>8300</v>
      </c>
      <c r="AG5415" s="115" t="s">
        <v>4224</v>
      </c>
      <c r="AH5415" s="196" t="s">
        <v>679</v>
      </c>
      <c r="AI5415" s="6" t="s">
        <v>276</v>
      </c>
      <c r="AJ5415" t="s">
        <v>8209</v>
      </c>
      <c r="AK5415" t="s">
        <v>8209</v>
      </c>
    </row>
    <row r="5416" spans="29:37">
      <c r="AC5416" s="6" t="s">
        <v>2076</v>
      </c>
      <c r="AD5416" s="6" t="s">
        <v>7866</v>
      </c>
      <c r="AE5416" s="115" t="s">
        <v>2090</v>
      </c>
      <c r="AF5416" s="11" t="s">
        <v>8309</v>
      </c>
      <c r="AG5416" s="115" t="s">
        <v>4225</v>
      </c>
      <c r="AH5416" s="196" t="s">
        <v>679</v>
      </c>
      <c r="AI5416" s="6" t="s">
        <v>283</v>
      </c>
      <c r="AJ5416" t="s">
        <v>8209</v>
      </c>
      <c r="AK5416" t="s">
        <v>8209</v>
      </c>
    </row>
    <row r="5417" spans="29:37">
      <c r="AC5417" s="6">
        <v>355310</v>
      </c>
      <c r="AD5417" s="6" t="s">
        <v>7815</v>
      </c>
      <c r="AE5417" s="115">
        <v>695441</v>
      </c>
      <c r="AF5417" s="11" t="s">
        <v>8309</v>
      </c>
      <c r="AG5417" s="115" t="s">
        <v>4226</v>
      </c>
      <c r="AH5417" s="196" t="s">
        <v>679</v>
      </c>
      <c r="AI5417" s="6" t="s">
        <v>286</v>
      </c>
      <c r="AJ5417" t="s">
        <v>8209</v>
      </c>
      <c r="AK5417" t="s">
        <v>8209</v>
      </c>
    </row>
    <row r="5418" spans="29:37">
      <c r="AC5418" s="6" t="s">
        <v>1837</v>
      </c>
      <c r="AD5418" s="6" t="s">
        <v>7867</v>
      </c>
      <c r="AE5418" s="115">
        <v>695442</v>
      </c>
      <c r="AF5418" s="11" t="s">
        <v>8300</v>
      </c>
      <c r="AG5418" s="115" t="s">
        <v>4227</v>
      </c>
      <c r="AH5418" s="196" t="s">
        <v>679</v>
      </c>
      <c r="AI5418" s="6" t="s">
        <v>288</v>
      </c>
      <c r="AJ5418" t="s">
        <v>8228</v>
      </c>
      <c r="AK5418" t="s">
        <v>8228</v>
      </c>
    </row>
    <row r="5419" spans="29:37">
      <c r="AC5419" s="6">
        <v>585393</v>
      </c>
      <c r="AD5419" s="6" t="s">
        <v>7858</v>
      </c>
      <c r="AE5419" s="115">
        <v>695443</v>
      </c>
      <c r="AF5419" s="11" t="s">
        <v>8300</v>
      </c>
      <c r="AG5419" s="115" t="s">
        <v>4228</v>
      </c>
      <c r="AH5419" s="196" t="s">
        <v>678</v>
      </c>
      <c r="AI5419" s="6" t="s">
        <v>301</v>
      </c>
      <c r="AJ5419" t="s">
        <v>8200</v>
      </c>
      <c r="AK5419" t="s">
        <v>8200</v>
      </c>
    </row>
    <row r="5420" spans="29:37">
      <c r="AC5420" s="6" t="s">
        <v>1836</v>
      </c>
      <c r="AD5420" s="6" t="s">
        <v>7867</v>
      </c>
      <c r="AE5420" s="115">
        <v>705444</v>
      </c>
      <c r="AF5420" s="11" t="s">
        <v>8299</v>
      </c>
      <c r="AG5420" s="115" t="s">
        <v>4229</v>
      </c>
      <c r="AH5420" s="196" t="s">
        <v>679</v>
      </c>
      <c r="AI5420" s="6" t="s">
        <v>302</v>
      </c>
      <c r="AJ5420" t="s">
        <v>8208</v>
      </c>
      <c r="AK5420" t="s">
        <v>8667</v>
      </c>
    </row>
    <row r="5421" spans="29:37">
      <c r="AC5421" s="6" t="s">
        <v>5151</v>
      </c>
      <c r="AD5421" s="6" t="s">
        <v>7846</v>
      </c>
      <c r="AE5421" s="115">
        <v>705445</v>
      </c>
      <c r="AF5421" s="11" t="s">
        <v>8299</v>
      </c>
      <c r="AG5421" s="115" t="s">
        <v>4230</v>
      </c>
      <c r="AH5421" s="196" t="s">
        <v>1314</v>
      </c>
      <c r="AI5421" s="6" t="s">
        <v>332</v>
      </c>
      <c r="AJ5421" t="s">
        <v>8208</v>
      </c>
      <c r="AK5421" t="s">
        <v>8667</v>
      </c>
    </row>
    <row r="5422" spans="29:37">
      <c r="AC5422" s="6" t="s">
        <v>1838</v>
      </c>
      <c r="AD5422" s="6" t="s">
        <v>7867</v>
      </c>
      <c r="AE5422" s="115">
        <v>705446</v>
      </c>
      <c r="AF5422" s="11" t="s">
        <v>8300</v>
      </c>
      <c r="AG5422" s="115" t="s">
        <v>2784</v>
      </c>
      <c r="AH5422" s="196" t="s">
        <v>1314</v>
      </c>
      <c r="AI5422" s="6" t="s">
        <v>7</v>
      </c>
      <c r="AJ5422" t="s">
        <v>8196</v>
      </c>
      <c r="AK5422" t="s">
        <v>8196</v>
      </c>
    </row>
    <row r="5423" spans="29:37">
      <c r="AC5423" s="6">
        <v>585392</v>
      </c>
      <c r="AD5423" s="6" t="s">
        <v>7858</v>
      </c>
      <c r="AE5423" s="115">
        <v>715447</v>
      </c>
      <c r="AF5423" s="11" t="s">
        <v>8299</v>
      </c>
      <c r="AG5423" s="115" t="s">
        <v>4231</v>
      </c>
      <c r="AH5423" s="196" t="s">
        <v>679</v>
      </c>
      <c r="AI5423" s="6" t="s">
        <v>345</v>
      </c>
      <c r="AJ5423" t="s">
        <v>8209</v>
      </c>
      <c r="AK5423" t="s">
        <v>8209</v>
      </c>
    </row>
    <row r="5424" spans="29:37">
      <c r="AC5424" s="6" t="s">
        <v>2009</v>
      </c>
      <c r="AD5424" s="6" t="s">
        <v>7861</v>
      </c>
      <c r="AE5424" s="115">
        <v>715448</v>
      </c>
      <c r="AF5424" s="11" t="s">
        <v>8300</v>
      </c>
      <c r="AG5424" s="115" t="s">
        <v>4232</v>
      </c>
      <c r="AH5424" s="196" t="s">
        <v>679</v>
      </c>
      <c r="AI5424" s="6" t="s">
        <v>348</v>
      </c>
      <c r="AJ5424" t="s">
        <v>8209</v>
      </c>
      <c r="AK5424" t="s">
        <v>8209</v>
      </c>
    </row>
    <row r="5425" spans="29:37">
      <c r="AC5425" s="6" t="s">
        <v>2203</v>
      </c>
      <c r="AD5425" s="6" t="s">
        <v>7866</v>
      </c>
      <c r="AE5425" s="115">
        <v>715449</v>
      </c>
      <c r="AF5425" s="11" t="s">
        <v>8299</v>
      </c>
      <c r="AG5425" s="115" t="s">
        <v>4233</v>
      </c>
      <c r="AH5425" s="196" t="s">
        <v>679</v>
      </c>
      <c r="AI5425" s="6" t="s">
        <v>353</v>
      </c>
      <c r="AJ5425" t="s">
        <v>8195</v>
      </c>
      <c r="AK5425" t="s">
        <v>8195</v>
      </c>
    </row>
    <row r="5426" spans="29:37">
      <c r="AC5426" s="6" t="s">
        <v>2198</v>
      </c>
      <c r="AD5426" s="6" t="s">
        <v>7868</v>
      </c>
      <c r="AE5426" s="115" t="s">
        <v>2293</v>
      </c>
      <c r="AF5426" s="11" t="s">
        <v>8331</v>
      </c>
      <c r="AG5426" s="115" t="s">
        <v>4234</v>
      </c>
      <c r="AH5426" s="196" t="s">
        <v>1314</v>
      </c>
      <c r="AI5426" s="6" t="s">
        <v>369</v>
      </c>
      <c r="AJ5426" t="s">
        <v>8209</v>
      </c>
      <c r="AK5426" t="s">
        <v>8209</v>
      </c>
    </row>
    <row r="5427" spans="29:37">
      <c r="AC5427" s="6" t="s">
        <v>5261</v>
      </c>
      <c r="AD5427" s="6" t="s">
        <v>7861</v>
      </c>
      <c r="AE5427" s="115" t="s">
        <v>2288</v>
      </c>
      <c r="AF5427" s="11" t="s">
        <v>8311</v>
      </c>
      <c r="AG5427" s="115" t="s">
        <v>4235</v>
      </c>
      <c r="AH5427" s="196" t="s">
        <v>678</v>
      </c>
      <c r="AI5427" s="6" t="s">
        <v>379</v>
      </c>
      <c r="AJ5427" t="s">
        <v>8212</v>
      </c>
      <c r="AK5427" t="s">
        <v>8212</v>
      </c>
    </row>
    <row r="5428" spans="29:37">
      <c r="AC5428" s="6" t="s">
        <v>1749</v>
      </c>
      <c r="AD5428" s="6" t="s">
        <v>7857</v>
      </c>
      <c r="AE5428" s="115" t="s">
        <v>2282</v>
      </c>
      <c r="AF5428" s="11" t="s">
        <v>8320</v>
      </c>
      <c r="AG5428" s="115" t="s">
        <v>4236</v>
      </c>
      <c r="AH5428" s="196" t="s">
        <v>679</v>
      </c>
      <c r="AI5428" s="6" t="s">
        <v>423</v>
      </c>
      <c r="AJ5428" t="s">
        <v>8196</v>
      </c>
      <c r="AK5428" t="s">
        <v>8196</v>
      </c>
    </row>
    <row r="5429" spans="29:37">
      <c r="AC5429" s="6" t="s">
        <v>2164</v>
      </c>
      <c r="AD5429" s="6" t="s">
        <v>7860</v>
      </c>
      <c r="AE5429" s="115" t="s">
        <v>2165</v>
      </c>
      <c r="AF5429" s="11" t="s">
        <v>8297</v>
      </c>
      <c r="AG5429" s="115" t="s">
        <v>4237</v>
      </c>
      <c r="AH5429" s="196" t="s">
        <v>679</v>
      </c>
      <c r="AI5429" s="6" t="s">
        <v>432</v>
      </c>
      <c r="AJ5429" t="s">
        <v>8195</v>
      </c>
      <c r="AK5429" t="s">
        <v>8195</v>
      </c>
    </row>
    <row r="5430" spans="29:37">
      <c r="AC5430" s="6" t="s">
        <v>5253</v>
      </c>
      <c r="AD5430" s="6" t="s">
        <v>7869</v>
      </c>
      <c r="AE5430" s="115" t="s">
        <v>2166</v>
      </c>
      <c r="AF5430" s="11" t="s">
        <v>8320</v>
      </c>
      <c r="AG5430" s="115" t="s">
        <v>4238</v>
      </c>
      <c r="AH5430" s="196" t="s">
        <v>679</v>
      </c>
      <c r="AI5430" s="6" t="s">
        <v>445</v>
      </c>
      <c r="AJ5430" t="s">
        <v>8228</v>
      </c>
      <c r="AK5430" t="s">
        <v>8228</v>
      </c>
    </row>
    <row r="5431" spans="29:37">
      <c r="AC5431" s="6" t="s">
        <v>2124</v>
      </c>
      <c r="AD5431" s="6" t="s">
        <v>7870</v>
      </c>
      <c r="AE5431" s="115" t="s">
        <v>2167</v>
      </c>
      <c r="AF5431" s="11" t="s">
        <v>8299</v>
      </c>
      <c r="AG5431" s="115" t="s">
        <v>4239</v>
      </c>
      <c r="AH5431" s="196" t="s">
        <v>679</v>
      </c>
      <c r="AI5431" s="6" t="s">
        <v>446</v>
      </c>
      <c r="AJ5431" t="s">
        <v>8208</v>
      </c>
      <c r="AK5431" t="s">
        <v>8667</v>
      </c>
    </row>
    <row r="5432" spans="29:37">
      <c r="AC5432" s="6" t="s">
        <v>5263</v>
      </c>
      <c r="AD5432" s="6" t="s">
        <v>7776</v>
      </c>
      <c r="AE5432" s="115" t="s">
        <v>2168</v>
      </c>
      <c r="AF5432" s="11" t="s">
        <v>8309</v>
      </c>
      <c r="AG5432" s="115" t="s">
        <v>4240</v>
      </c>
      <c r="AH5432" s="196" t="s">
        <v>679</v>
      </c>
      <c r="AI5432" s="6" t="s">
        <v>450</v>
      </c>
      <c r="AJ5432" t="s">
        <v>8209</v>
      </c>
      <c r="AK5432" t="s">
        <v>8209</v>
      </c>
    </row>
    <row r="5433" spans="29:37">
      <c r="AC5433" s="6" t="s">
        <v>5548</v>
      </c>
      <c r="AD5433" s="6" t="s">
        <v>7860</v>
      </c>
      <c r="AE5433" s="115" t="s">
        <v>2169</v>
      </c>
      <c r="AF5433" s="11" t="s">
        <v>8300</v>
      </c>
      <c r="AG5433" s="115" t="s">
        <v>4241</v>
      </c>
      <c r="AH5433" s="196" t="s">
        <v>678</v>
      </c>
      <c r="AI5433" s="6" t="s">
        <v>464</v>
      </c>
      <c r="AJ5433" t="s">
        <v>8208</v>
      </c>
      <c r="AK5433" t="s">
        <v>8667</v>
      </c>
    </row>
    <row r="5434" spans="29:37">
      <c r="AC5434" s="6" t="s">
        <v>1750</v>
      </c>
      <c r="AD5434" s="6" t="s">
        <v>7857</v>
      </c>
      <c r="AE5434" s="115" t="s">
        <v>2200</v>
      </c>
      <c r="AF5434" s="11" t="s">
        <v>8324</v>
      </c>
      <c r="AG5434" s="115" t="s">
        <v>4242</v>
      </c>
      <c r="AH5434" s="196" t="s">
        <v>679</v>
      </c>
      <c r="AI5434" s="6" t="s">
        <v>1041</v>
      </c>
      <c r="AJ5434" t="s">
        <v>8200</v>
      </c>
      <c r="AK5434" t="s">
        <v>8200</v>
      </c>
    </row>
    <row r="5435" spans="29:37">
      <c r="AC5435" s="6" t="s">
        <v>5307</v>
      </c>
      <c r="AD5435" s="6" t="s">
        <v>7846</v>
      </c>
      <c r="AE5435" s="115" t="s">
        <v>2201</v>
      </c>
      <c r="AF5435" s="11" t="s">
        <v>8300</v>
      </c>
      <c r="AG5435" s="115" t="s">
        <v>4243</v>
      </c>
      <c r="AH5435" s="196" t="s">
        <v>679</v>
      </c>
      <c r="AI5435" s="6" t="s">
        <v>1042</v>
      </c>
      <c r="AJ5435" t="s">
        <v>8228</v>
      </c>
      <c r="AK5435" t="s">
        <v>8228</v>
      </c>
    </row>
    <row r="5436" spans="29:37">
      <c r="AC5436" s="6">
        <v>695443</v>
      </c>
      <c r="AD5436" s="6" t="s">
        <v>7842</v>
      </c>
      <c r="AE5436" s="115" t="s">
        <v>2202</v>
      </c>
      <c r="AF5436" s="11" t="s">
        <v>8300</v>
      </c>
      <c r="AG5436" s="115" t="s">
        <v>4244</v>
      </c>
      <c r="AH5436" s="196" t="s">
        <v>679</v>
      </c>
      <c r="AI5436" s="6" t="s">
        <v>480</v>
      </c>
      <c r="AJ5436" t="s">
        <v>8228</v>
      </c>
      <c r="AK5436" t="s">
        <v>8228</v>
      </c>
    </row>
    <row r="5437" spans="29:37">
      <c r="AC5437" s="6">
        <v>355311</v>
      </c>
      <c r="AD5437" s="6" t="s">
        <v>7815</v>
      </c>
      <c r="AE5437" s="115" t="s">
        <v>2204</v>
      </c>
      <c r="AF5437" s="11" t="s">
        <v>8300</v>
      </c>
      <c r="AG5437" s="115" t="s">
        <v>5486</v>
      </c>
      <c r="AH5437" s="196" t="s">
        <v>679</v>
      </c>
      <c r="AI5437" s="6" t="s">
        <v>486</v>
      </c>
      <c r="AJ5437" t="s">
        <v>8228</v>
      </c>
      <c r="AK5437" t="s">
        <v>8228</v>
      </c>
    </row>
    <row r="5438" spans="29:37">
      <c r="AC5438" s="6" t="s">
        <v>1790</v>
      </c>
      <c r="AD5438" s="6" t="s">
        <v>7869</v>
      </c>
      <c r="AE5438" s="115" t="s">
        <v>2256</v>
      </c>
      <c r="AF5438" s="11" t="s">
        <v>8300</v>
      </c>
      <c r="AG5438" s="115" t="s">
        <v>2165</v>
      </c>
      <c r="AH5438" s="196" t="s">
        <v>1314</v>
      </c>
      <c r="AI5438" s="6" t="s">
        <v>493</v>
      </c>
      <c r="AJ5438" t="s">
        <v>8228</v>
      </c>
      <c r="AK5438" t="s">
        <v>8228</v>
      </c>
    </row>
    <row r="5439" spans="29:37">
      <c r="AC5439" s="6" t="s">
        <v>1840</v>
      </c>
      <c r="AD5439" s="6" t="s">
        <v>7871</v>
      </c>
      <c r="AE5439" s="115" t="s">
        <v>2257</v>
      </c>
      <c r="AF5439" s="11" t="s">
        <v>8332</v>
      </c>
      <c r="AG5439" s="115" t="s">
        <v>2166</v>
      </c>
      <c r="AH5439" s="196" t="s">
        <v>1314</v>
      </c>
      <c r="AI5439" s="6" t="s">
        <v>494</v>
      </c>
      <c r="AJ5439" t="s">
        <v>8209</v>
      </c>
      <c r="AK5439" t="s">
        <v>8209</v>
      </c>
    </row>
    <row r="5440" spans="29:37">
      <c r="AC5440" s="6" t="s">
        <v>2137</v>
      </c>
      <c r="AD5440" s="6" t="s">
        <v>7854</v>
      </c>
      <c r="AE5440" s="115" t="s">
        <v>2305</v>
      </c>
      <c r="AF5440" s="11" t="s">
        <v>8604</v>
      </c>
      <c r="AG5440" s="115" t="s">
        <v>2167</v>
      </c>
      <c r="AH5440" s="196" t="s">
        <v>1314</v>
      </c>
      <c r="AI5440" s="6" t="s">
        <v>499</v>
      </c>
      <c r="AJ5440" t="s">
        <v>8228</v>
      </c>
      <c r="AK5440" t="s">
        <v>8228</v>
      </c>
    </row>
    <row r="5441" spans="29:37">
      <c r="AC5441" s="6" t="s">
        <v>5245</v>
      </c>
      <c r="AD5441" s="6" t="s">
        <v>7861</v>
      </c>
      <c r="AE5441" s="115" t="s">
        <v>2211</v>
      </c>
      <c r="AF5441" s="11" t="s">
        <v>8299</v>
      </c>
      <c r="AG5441" s="115" t="s">
        <v>2168</v>
      </c>
      <c r="AH5441" s="196" t="s">
        <v>1314</v>
      </c>
      <c r="AI5441" s="6" t="s">
        <v>502</v>
      </c>
      <c r="AJ5441" t="s">
        <v>8196</v>
      </c>
      <c r="AK5441" t="s">
        <v>8196</v>
      </c>
    </row>
    <row r="5442" spans="29:37">
      <c r="AC5442" s="6" t="s">
        <v>2136</v>
      </c>
      <c r="AD5442" s="6" t="s">
        <v>7854</v>
      </c>
      <c r="AE5442" s="115" t="s">
        <v>1746</v>
      </c>
      <c r="AF5442" s="11" t="s">
        <v>8299</v>
      </c>
      <c r="AG5442" s="115" t="s">
        <v>2169</v>
      </c>
      <c r="AH5442" s="196" t="s">
        <v>1314</v>
      </c>
      <c r="AI5442" s="6" t="s">
        <v>508</v>
      </c>
      <c r="AJ5442" t="s">
        <v>8209</v>
      </c>
      <c r="AK5442" t="s">
        <v>8209</v>
      </c>
    </row>
    <row r="5443" spans="29:37">
      <c r="AC5443" s="6" t="s">
        <v>2135</v>
      </c>
      <c r="AD5443" s="6" t="s">
        <v>7854</v>
      </c>
      <c r="AE5443" s="115" t="s">
        <v>1748</v>
      </c>
      <c r="AF5443" s="11" t="s">
        <v>8311</v>
      </c>
      <c r="AG5443" s="115" t="s">
        <v>2200</v>
      </c>
      <c r="AH5443" s="196" t="s">
        <v>679</v>
      </c>
      <c r="AI5443" s="6" t="s">
        <v>1437</v>
      </c>
      <c r="AJ5443" t="s">
        <v>8196</v>
      </c>
      <c r="AK5443" t="s">
        <v>8196</v>
      </c>
    </row>
    <row r="5444" spans="29:37">
      <c r="AC5444" s="6" t="s">
        <v>1843</v>
      </c>
      <c r="AD5444" s="6" t="s">
        <v>7872</v>
      </c>
      <c r="AE5444" s="115" t="s">
        <v>1749</v>
      </c>
      <c r="AF5444" s="11" t="s">
        <v>8299</v>
      </c>
      <c r="AG5444" s="115" t="s">
        <v>2201</v>
      </c>
      <c r="AH5444" s="196" t="s">
        <v>679</v>
      </c>
      <c r="AI5444" s="6" t="s">
        <v>1196</v>
      </c>
      <c r="AJ5444" t="s">
        <v>8200</v>
      </c>
      <c r="AK5444" t="s">
        <v>8200</v>
      </c>
    </row>
    <row r="5445" spans="29:37">
      <c r="AC5445" s="6" t="s">
        <v>5210</v>
      </c>
      <c r="AD5445" s="6" t="s">
        <v>7857</v>
      </c>
      <c r="AE5445" s="115" t="s">
        <v>1750</v>
      </c>
      <c r="AF5445" s="11" t="s">
        <v>8299</v>
      </c>
      <c r="AG5445" s="115" t="s">
        <v>2202</v>
      </c>
      <c r="AH5445" s="196" t="s">
        <v>679</v>
      </c>
      <c r="AI5445" s="6" t="s">
        <v>35</v>
      </c>
      <c r="AJ5445" t="s">
        <v>8233</v>
      </c>
      <c r="AK5445" t="s">
        <v>8233</v>
      </c>
    </row>
    <row r="5446" spans="29:37">
      <c r="AC5446" s="6" t="s">
        <v>5102</v>
      </c>
      <c r="AD5446" s="6" t="s">
        <v>7861</v>
      </c>
      <c r="AE5446" s="115" t="s">
        <v>1843</v>
      </c>
      <c r="AF5446" s="11" t="s">
        <v>8299</v>
      </c>
      <c r="AG5446" s="115" t="s">
        <v>2204</v>
      </c>
      <c r="AH5446" s="196" t="s">
        <v>679</v>
      </c>
      <c r="AI5446" s="6" t="s">
        <v>1491</v>
      </c>
      <c r="AJ5446" t="s">
        <v>8195</v>
      </c>
      <c r="AK5446" t="s">
        <v>8195</v>
      </c>
    </row>
    <row r="5447" spans="29:37">
      <c r="AC5447" s="6" t="s">
        <v>2245</v>
      </c>
      <c r="AD5447" s="6" t="s">
        <v>7869</v>
      </c>
      <c r="AE5447" s="115" t="s">
        <v>1847</v>
      </c>
      <c r="AF5447" s="11" t="s">
        <v>8299</v>
      </c>
      <c r="AG5447" s="115" t="s">
        <v>2256</v>
      </c>
      <c r="AH5447" s="196" t="s">
        <v>679</v>
      </c>
      <c r="AI5447" s="6" t="s">
        <v>595</v>
      </c>
      <c r="AJ5447" t="s">
        <v>8228</v>
      </c>
      <c r="AK5447" t="s">
        <v>8228</v>
      </c>
    </row>
    <row r="5448" spans="29:37">
      <c r="AC5448" s="6" t="s">
        <v>5071</v>
      </c>
      <c r="AD5448" s="6" t="s">
        <v>7861</v>
      </c>
      <c r="AE5448" s="115" t="s">
        <v>2207</v>
      </c>
      <c r="AF5448" s="11" t="s">
        <v>8299</v>
      </c>
      <c r="AG5448" s="115" t="s">
        <v>2257</v>
      </c>
      <c r="AH5448" s="196" t="s">
        <v>679</v>
      </c>
      <c r="AI5448" s="6" t="s">
        <v>1655</v>
      </c>
      <c r="AJ5448" t="s">
        <v>8196</v>
      </c>
      <c r="AK5448" t="s">
        <v>8196</v>
      </c>
    </row>
    <row r="5449" spans="29:37">
      <c r="AC5449" s="6" t="s">
        <v>5036</v>
      </c>
      <c r="AD5449" s="6" t="s">
        <v>7776</v>
      </c>
      <c r="AE5449" s="115" t="s">
        <v>2208</v>
      </c>
      <c r="AF5449" s="11" t="s">
        <v>8323</v>
      </c>
      <c r="AG5449" s="115"/>
      <c r="AH5449" s="11"/>
      <c r="AI5449" s="6" t="s">
        <v>4711</v>
      </c>
      <c r="AJ5449" t="s">
        <v>8196</v>
      </c>
      <c r="AK5449" t="s">
        <v>8196</v>
      </c>
    </row>
    <row r="5450" spans="29:37">
      <c r="AC5450" s="6">
        <v>705444</v>
      </c>
      <c r="AD5450" s="6" t="s">
        <v>7862</v>
      </c>
      <c r="AE5450" s="115" t="s">
        <v>2212</v>
      </c>
      <c r="AF5450" s="11" t="s">
        <v>8299</v>
      </c>
      <c r="AG5450" s="115"/>
      <c r="AH5450" s="11"/>
      <c r="AI5450" s="6" t="s">
        <v>4709</v>
      </c>
      <c r="AJ5450" t="s">
        <v>8209</v>
      </c>
      <c r="AK5450" t="s">
        <v>8209</v>
      </c>
    </row>
    <row r="5451" spans="29:37">
      <c r="AC5451" s="6" t="s">
        <v>1787</v>
      </c>
      <c r="AD5451" s="6" t="s">
        <v>7869</v>
      </c>
      <c r="AE5451" s="115">
        <v>35267</v>
      </c>
      <c r="AF5451" s="11" t="s">
        <v>8290</v>
      </c>
      <c r="AG5451" s="115"/>
      <c r="AH5451" s="11"/>
      <c r="AI5451" s="6" t="s">
        <v>5419</v>
      </c>
      <c r="AJ5451" t="s">
        <v>8228</v>
      </c>
      <c r="AK5451" t="s">
        <v>8228</v>
      </c>
    </row>
    <row r="5452" spans="29:37">
      <c r="AC5452" s="6" t="s">
        <v>1789</v>
      </c>
      <c r="AD5452" s="6" t="s">
        <v>7869</v>
      </c>
      <c r="AE5452" s="115">
        <v>35268</v>
      </c>
      <c r="AF5452" s="11" t="s">
        <v>8321</v>
      </c>
      <c r="AG5452" s="115"/>
      <c r="AH5452" s="11"/>
      <c r="AI5452" s="6" t="s">
        <v>5429</v>
      </c>
      <c r="AJ5452" t="s">
        <v>8228</v>
      </c>
      <c r="AK5452" t="s">
        <v>8228</v>
      </c>
    </row>
    <row r="5453" spans="29:37">
      <c r="AC5453" s="6" t="s">
        <v>5555</v>
      </c>
      <c r="AD5453" s="6" t="s">
        <v>7873</v>
      </c>
      <c r="AE5453" s="115">
        <v>35327</v>
      </c>
      <c r="AF5453" s="11" t="s">
        <v>8309</v>
      </c>
      <c r="AG5453" s="115"/>
      <c r="AH5453" s="11"/>
      <c r="AI5453" s="6" t="s">
        <v>1906</v>
      </c>
      <c r="AJ5453" t="s">
        <v>8234</v>
      </c>
      <c r="AK5453" t="s">
        <v>8234</v>
      </c>
    </row>
    <row r="5454" spans="29:37">
      <c r="AC5454" s="6" t="s">
        <v>2251</v>
      </c>
      <c r="AD5454" s="6" t="s">
        <v>7869</v>
      </c>
      <c r="AE5454" s="115" t="s">
        <v>1730</v>
      </c>
      <c r="AF5454" s="11" t="s">
        <v>8299</v>
      </c>
      <c r="AG5454" s="115"/>
      <c r="AH5454" s="11"/>
      <c r="AI5454" s="6" t="s">
        <v>892</v>
      </c>
      <c r="AJ5454" t="s">
        <v>8215</v>
      </c>
      <c r="AK5454" t="s">
        <v>8215</v>
      </c>
    </row>
    <row r="5455" spans="29:37">
      <c r="AC5455" s="6" t="s">
        <v>1785</v>
      </c>
      <c r="AD5455" s="6" t="s">
        <v>7869</v>
      </c>
      <c r="AE5455" s="115" t="s">
        <v>2115</v>
      </c>
      <c r="AF5455" s="11" t="s">
        <v>8299</v>
      </c>
      <c r="AG5455" s="115"/>
      <c r="AH5455" s="11"/>
      <c r="AI5455" s="6" t="s">
        <v>2520</v>
      </c>
      <c r="AJ5455" t="s">
        <v>8226</v>
      </c>
      <c r="AK5455" t="s">
        <v>8671</v>
      </c>
    </row>
    <row r="5456" spans="29:37">
      <c r="AC5456" s="6" t="s">
        <v>1841</v>
      </c>
      <c r="AD5456" s="6" t="s">
        <v>7871</v>
      </c>
      <c r="AE5456" s="115" t="s">
        <v>2116</v>
      </c>
      <c r="AF5456" s="11" t="s">
        <v>8364</v>
      </c>
      <c r="AG5456" s="115"/>
      <c r="AH5456" s="11"/>
      <c r="AI5456" s="6" t="s">
        <v>1542</v>
      </c>
      <c r="AJ5456" t="s">
        <v>8197</v>
      </c>
      <c r="AK5456" t="s">
        <v>8197</v>
      </c>
    </row>
    <row r="5457" spans="29:37">
      <c r="AC5457" s="6" t="s">
        <v>2244</v>
      </c>
      <c r="AD5457" s="6" t="s">
        <v>7869</v>
      </c>
      <c r="AE5457" s="115" t="s">
        <v>2117</v>
      </c>
      <c r="AF5457" s="11" t="s">
        <v>8299</v>
      </c>
      <c r="AG5457" s="115"/>
      <c r="AH5457" s="11"/>
      <c r="AI5457" s="6" t="s">
        <v>661</v>
      </c>
      <c r="AJ5457" t="s">
        <v>8198</v>
      </c>
      <c r="AK5457" t="s">
        <v>8198</v>
      </c>
    </row>
    <row r="5458" spans="29:37">
      <c r="AC5458" s="6">
        <v>715447</v>
      </c>
      <c r="AD5458" s="6" t="s">
        <v>7874</v>
      </c>
      <c r="AE5458" s="115" t="s">
        <v>2133</v>
      </c>
      <c r="AF5458" s="11" t="s">
        <v>8320</v>
      </c>
      <c r="AG5458" s="115"/>
      <c r="AH5458" s="11"/>
      <c r="AI5458" s="6" t="s">
        <v>6655</v>
      </c>
      <c r="AJ5458" t="s">
        <v>8197</v>
      </c>
      <c r="AK5458" t="s">
        <v>8197</v>
      </c>
    </row>
    <row r="5459" spans="29:37">
      <c r="AC5459" s="6" t="s">
        <v>2</v>
      </c>
      <c r="AD5459" s="6" t="s">
        <v>7875</v>
      </c>
      <c r="AE5459" s="115" t="s">
        <v>2134</v>
      </c>
      <c r="AF5459" s="11" t="s">
        <v>8299</v>
      </c>
      <c r="AG5459" s="115"/>
      <c r="AH5459" s="11"/>
      <c r="AI5459" s="6">
        <v>771613</v>
      </c>
      <c r="AJ5459" t="s">
        <v>8233</v>
      </c>
      <c r="AK5459" t="s">
        <v>8233</v>
      </c>
    </row>
    <row r="5460" spans="29:37">
      <c r="AC5460" s="6" t="s">
        <v>2201</v>
      </c>
      <c r="AD5460" s="6" t="s">
        <v>7876</v>
      </c>
      <c r="AE5460" s="115" t="s">
        <v>2135</v>
      </c>
      <c r="AF5460" s="11" t="s">
        <v>8299</v>
      </c>
      <c r="AG5460" s="115"/>
      <c r="AH5460" s="11"/>
      <c r="AI5460" s="6" t="s">
        <v>293</v>
      </c>
      <c r="AJ5460" t="s">
        <v>8200</v>
      </c>
      <c r="AK5460" t="s">
        <v>8200</v>
      </c>
    </row>
    <row r="5461" spans="29:37">
      <c r="AC5461" s="6" t="s">
        <v>2256</v>
      </c>
      <c r="AD5461" s="6" t="s">
        <v>7876</v>
      </c>
      <c r="AE5461" s="115" t="s">
        <v>2136</v>
      </c>
      <c r="AF5461" s="11" t="s">
        <v>8299</v>
      </c>
      <c r="AG5461" s="115"/>
      <c r="AH5461" s="11"/>
      <c r="AI5461" s="6" t="s">
        <v>357</v>
      </c>
      <c r="AJ5461" t="s">
        <v>8228</v>
      </c>
      <c r="AK5461" t="s">
        <v>8228</v>
      </c>
    </row>
    <row r="5462" spans="29:37">
      <c r="AC5462" s="6" t="s">
        <v>2200</v>
      </c>
      <c r="AD5462" s="6" t="s">
        <v>7876</v>
      </c>
      <c r="AE5462" s="115" t="s">
        <v>2137</v>
      </c>
      <c r="AF5462" s="11" t="s">
        <v>8311</v>
      </c>
      <c r="AG5462" s="115"/>
      <c r="AH5462" s="11"/>
      <c r="AI5462" s="6" t="s">
        <v>8086</v>
      </c>
      <c r="AJ5462" t="s">
        <v>8208</v>
      </c>
      <c r="AK5462" t="s">
        <v>8667</v>
      </c>
    </row>
    <row r="5463" spans="29:37">
      <c r="AC5463" s="6">
        <v>715448</v>
      </c>
      <c r="AD5463" s="6" t="s">
        <v>7877</v>
      </c>
      <c r="AE5463" s="115">
        <v>543139</v>
      </c>
      <c r="AF5463" s="11" t="s">
        <v>8299</v>
      </c>
      <c r="AG5463" s="115"/>
      <c r="AH5463" s="11"/>
      <c r="AI5463" s="6" t="s">
        <v>8178</v>
      </c>
      <c r="AJ5463" t="s">
        <v>8208</v>
      </c>
      <c r="AK5463" t="s">
        <v>8667</v>
      </c>
    </row>
    <row r="5464" spans="29:37">
      <c r="AC5464" s="6" t="s">
        <v>5191</v>
      </c>
      <c r="AD5464" s="6" t="s">
        <v>7857</v>
      </c>
      <c r="AE5464" s="115">
        <v>575385</v>
      </c>
      <c r="AF5464" s="11" t="s">
        <v>8320</v>
      </c>
      <c r="AG5464" s="115"/>
      <c r="AH5464" s="11"/>
      <c r="AI5464" s="6" t="s">
        <v>5528</v>
      </c>
      <c r="AJ5464" t="s">
        <v>8245</v>
      </c>
      <c r="AK5464" t="s">
        <v>8676</v>
      </c>
    </row>
    <row r="5465" spans="29:37">
      <c r="AC5465" s="6" t="s">
        <v>5271</v>
      </c>
      <c r="AD5465" s="6" t="s">
        <v>7861</v>
      </c>
      <c r="AE5465" s="115">
        <v>575386</v>
      </c>
      <c r="AF5465" s="11" t="s">
        <v>8309</v>
      </c>
      <c r="AG5465" s="115"/>
      <c r="AH5465" s="11"/>
      <c r="AI5465" s="6" t="s">
        <v>5493</v>
      </c>
      <c r="AJ5465" t="e">
        <v>#N/A</v>
      </c>
      <c r="AK5465" t="e">
        <v>#N/A</v>
      </c>
    </row>
    <row r="5466" spans="29:37">
      <c r="AC5466" s="6" t="s">
        <v>5554</v>
      </c>
      <c r="AD5466" s="6" t="s">
        <v>7873</v>
      </c>
      <c r="AE5466" s="115">
        <v>585389</v>
      </c>
      <c r="AF5466" s="11" t="s">
        <v>8323</v>
      </c>
      <c r="AG5466" s="115"/>
      <c r="AH5466" s="11"/>
      <c r="AI5466" s="6" t="s">
        <v>6643</v>
      </c>
      <c r="AJ5466" t="s">
        <v>8200</v>
      </c>
      <c r="AK5466" t="s">
        <v>8200</v>
      </c>
    </row>
    <row r="5467" spans="29:37">
      <c r="AC5467" s="6" t="s">
        <v>1786</v>
      </c>
      <c r="AD5467" s="6" t="s">
        <v>7869</v>
      </c>
      <c r="AE5467" s="115">
        <v>585390</v>
      </c>
      <c r="AF5467" s="11" t="s">
        <v>8299</v>
      </c>
      <c r="AG5467" s="115"/>
      <c r="AH5467" s="11"/>
      <c r="AI5467" s="6" t="s">
        <v>8179</v>
      </c>
      <c r="AJ5467" t="s">
        <v>8240</v>
      </c>
      <c r="AK5467" t="s">
        <v>8240</v>
      </c>
    </row>
    <row r="5468" spans="29:37">
      <c r="AC5468" s="6" t="s">
        <v>2257</v>
      </c>
      <c r="AD5468" s="6" t="s">
        <v>7876</v>
      </c>
      <c r="AE5468" s="115">
        <v>585391</v>
      </c>
      <c r="AF5468" s="11" t="s">
        <v>8605</v>
      </c>
      <c r="AG5468" s="115"/>
      <c r="AH5468" s="11"/>
      <c r="AI5468" s="6" t="s">
        <v>8180</v>
      </c>
      <c r="AJ5468" t="s">
        <v>8193</v>
      </c>
      <c r="AK5468" t="s">
        <v>8205</v>
      </c>
    </row>
    <row r="5469" spans="29:37">
      <c r="AC5469" s="6" t="s">
        <v>2202</v>
      </c>
      <c r="AD5469" s="6" t="s">
        <v>7876</v>
      </c>
      <c r="AE5469" s="115">
        <v>585392</v>
      </c>
      <c r="AF5469" s="11" t="s">
        <v>8325</v>
      </c>
      <c r="AG5469" s="115"/>
      <c r="AH5469" s="11"/>
      <c r="AI5469" s="6" t="s">
        <v>8181</v>
      </c>
      <c r="AJ5469" t="s">
        <v>8203</v>
      </c>
      <c r="AK5469" t="s">
        <v>8203</v>
      </c>
    </row>
    <row r="5470" spans="29:37">
      <c r="AC5470" s="6" t="s">
        <v>2160</v>
      </c>
      <c r="AD5470" s="6" t="s">
        <v>7878</v>
      </c>
      <c r="AE5470" s="115">
        <v>585393</v>
      </c>
      <c r="AF5470" s="11" t="s">
        <v>8321</v>
      </c>
      <c r="AG5470" s="115"/>
      <c r="AH5470" s="11"/>
      <c r="AI5470" s="6" t="s">
        <v>8182</v>
      </c>
      <c r="AJ5470" t="s">
        <v>8193</v>
      </c>
      <c r="AK5470" t="s">
        <v>8205</v>
      </c>
    </row>
    <row r="5471" spans="29:37">
      <c r="AC5471" s="6">
        <v>725450</v>
      </c>
      <c r="AD5471" s="6" t="s">
        <v>7879</v>
      </c>
      <c r="AE5471" s="115">
        <v>585394</v>
      </c>
      <c r="AF5471" s="11" t="s">
        <v>8340</v>
      </c>
      <c r="AG5471" s="115"/>
      <c r="AH5471" s="11"/>
      <c r="AI5471" s="6" t="s">
        <v>1306</v>
      </c>
      <c r="AJ5471" t="s">
        <v>8281</v>
      </c>
      <c r="AK5471" t="s">
        <v>8281</v>
      </c>
    </row>
    <row r="5472" spans="29:37">
      <c r="AC5472" s="6">
        <v>735452</v>
      </c>
      <c r="AD5472" s="6" t="s">
        <v>7880</v>
      </c>
      <c r="AE5472" s="115" t="s">
        <v>1740</v>
      </c>
      <c r="AF5472" s="11" t="s">
        <v>8353</v>
      </c>
      <c r="AG5472" s="115"/>
      <c r="AH5472" s="11"/>
      <c r="AI5472" s="6" t="s">
        <v>1308</v>
      </c>
      <c r="AJ5472" t="s">
        <v>8281</v>
      </c>
      <c r="AK5472" t="s">
        <v>8281</v>
      </c>
    </row>
    <row r="5473" spans="29:37">
      <c r="AC5473" s="6" t="s">
        <v>5033</v>
      </c>
      <c r="AD5473" s="6" t="s">
        <v>7861</v>
      </c>
      <c r="AE5473" s="115" t="s">
        <v>1741</v>
      </c>
      <c r="AF5473" s="11" t="s">
        <v>8299</v>
      </c>
      <c r="AG5473" s="115"/>
      <c r="AH5473" s="11"/>
      <c r="AI5473" s="6" t="s">
        <v>1716</v>
      </c>
      <c r="AJ5473" t="s">
        <v>8234</v>
      </c>
      <c r="AK5473" t="s">
        <v>8234</v>
      </c>
    </row>
    <row r="5474" spans="29:37">
      <c r="AC5474" s="6" t="s">
        <v>2125</v>
      </c>
      <c r="AD5474" s="6" t="s">
        <v>7870</v>
      </c>
      <c r="AE5474" s="115" t="s">
        <v>1742</v>
      </c>
      <c r="AF5474" s="11" t="s">
        <v>8320</v>
      </c>
      <c r="AG5474" s="115"/>
      <c r="AH5474" s="11"/>
      <c r="AI5474" s="6" t="s">
        <v>934</v>
      </c>
      <c r="AJ5474" t="s">
        <v>8234</v>
      </c>
      <c r="AK5474" t="s">
        <v>8234</v>
      </c>
    </row>
    <row r="5475" spans="29:37">
      <c r="AC5475" s="6" t="s">
        <v>5340</v>
      </c>
      <c r="AD5475" s="6" t="s">
        <v>7857</v>
      </c>
      <c r="AE5475" s="115" t="s">
        <v>1743</v>
      </c>
      <c r="AF5475" s="11" t="s">
        <v>8299</v>
      </c>
      <c r="AG5475" s="115"/>
      <c r="AH5475" s="11"/>
      <c r="AI5475" s="6" t="s">
        <v>1713</v>
      </c>
      <c r="AJ5475" t="s">
        <v>8234</v>
      </c>
      <c r="AK5475" t="s">
        <v>8234</v>
      </c>
    </row>
    <row r="5476" spans="29:37">
      <c r="AC5476" s="6" t="s">
        <v>1788</v>
      </c>
      <c r="AD5476" s="6" t="s">
        <v>7869</v>
      </c>
      <c r="AE5476" s="115" t="s">
        <v>1802</v>
      </c>
      <c r="AF5476" s="11" t="s">
        <v>8320</v>
      </c>
      <c r="AG5476" s="115"/>
      <c r="AH5476" s="11"/>
      <c r="AI5476" s="6" t="s">
        <v>1972</v>
      </c>
      <c r="AJ5476" t="s">
        <v>8234</v>
      </c>
      <c r="AK5476" t="s">
        <v>8234</v>
      </c>
    </row>
    <row r="5477" spans="29:37">
      <c r="AC5477" s="6" t="s">
        <v>2204</v>
      </c>
      <c r="AD5477" s="6" t="s">
        <v>7876</v>
      </c>
      <c r="AE5477" s="115" t="s">
        <v>1244</v>
      </c>
      <c r="AF5477" s="11" t="s">
        <v>8299</v>
      </c>
      <c r="AG5477" s="115"/>
      <c r="AH5477" s="11"/>
      <c r="AI5477" s="6" t="s">
        <v>2230</v>
      </c>
      <c r="AJ5477" t="s">
        <v>8234</v>
      </c>
      <c r="AK5477" t="s">
        <v>8234</v>
      </c>
    </row>
    <row r="5478" spans="29:37">
      <c r="AC5478" s="6">
        <v>715449</v>
      </c>
      <c r="AD5478" s="6" t="s">
        <v>7874</v>
      </c>
      <c r="AE5478" s="115" t="s">
        <v>1815</v>
      </c>
      <c r="AF5478" s="11" t="s">
        <v>8299</v>
      </c>
      <c r="AG5478" s="115"/>
      <c r="AH5478" s="11"/>
      <c r="AI5478" s="6" t="s">
        <v>2233</v>
      </c>
      <c r="AJ5478" t="s">
        <v>8234</v>
      </c>
      <c r="AK5478" t="s">
        <v>8234</v>
      </c>
    </row>
    <row r="5479" spans="29:37">
      <c r="AC5479" s="6" t="s">
        <v>2055</v>
      </c>
      <c r="AD5479" s="6" t="s">
        <v>7881</v>
      </c>
      <c r="AE5479" s="115" t="s">
        <v>1833</v>
      </c>
      <c r="AF5479" s="11" t="s">
        <v>8353</v>
      </c>
      <c r="AG5479" s="115"/>
      <c r="AH5479" s="11"/>
      <c r="AI5479" s="6" t="s">
        <v>696</v>
      </c>
      <c r="AJ5479" t="s">
        <v>8234</v>
      </c>
      <c r="AK5479" t="s">
        <v>8234</v>
      </c>
    </row>
    <row r="5480" spans="29:37">
      <c r="AC5480" s="6">
        <v>725451</v>
      </c>
      <c r="AD5480" s="6" t="s">
        <v>7879</v>
      </c>
      <c r="AE5480" s="115" t="s">
        <v>1834</v>
      </c>
      <c r="AF5480" s="11" t="s">
        <v>8299</v>
      </c>
      <c r="AG5480" s="115"/>
      <c r="AH5480" s="11"/>
      <c r="AI5480" s="6" t="s">
        <v>5544</v>
      </c>
      <c r="AJ5480" t="s">
        <v>8234</v>
      </c>
      <c r="AK5480" t="s">
        <v>8234</v>
      </c>
    </row>
    <row r="5481" spans="29:37">
      <c r="AC5481" s="6">
        <v>735453</v>
      </c>
      <c r="AD5481" s="6" t="s">
        <v>7880</v>
      </c>
      <c r="AE5481" s="115" t="s">
        <v>1846</v>
      </c>
      <c r="AF5481" s="11" t="s">
        <v>8299</v>
      </c>
      <c r="AG5481" s="115"/>
      <c r="AH5481" s="11"/>
      <c r="AI5481" s="6" t="s">
        <v>8183</v>
      </c>
      <c r="AJ5481" t="s">
        <v>8234</v>
      </c>
      <c r="AK5481" t="s">
        <v>8234</v>
      </c>
    </row>
    <row r="5482" spans="29:37">
      <c r="AC5482" s="6" t="s">
        <v>5032</v>
      </c>
      <c r="AD5482" s="6" t="s">
        <v>7861</v>
      </c>
      <c r="AE5482" s="115" t="s">
        <v>2012</v>
      </c>
      <c r="AF5482" s="11" t="s">
        <v>8299</v>
      </c>
      <c r="AG5482" s="115"/>
      <c r="AH5482" s="11"/>
      <c r="AI5482" s="6" t="s">
        <v>8184</v>
      </c>
      <c r="AJ5482" t="s">
        <v>8234</v>
      </c>
      <c r="AK5482" t="s">
        <v>8234</v>
      </c>
    </row>
    <row r="5483" spans="29:37">
      <c r="AC5483" s="6" t="s">
        <v>2053</v>
      </c>
      <c r="AD5483" s="6" t="s">
        <v>7882</v>
      </c>
      <c r="AE5483" s="115" t="s">
        <v>2013</v>
      </c>
      <c r="AF5483" s="11" t="s">
        <v>8299</v>
      </c>
      <c r="AG5483" s="115"/>
      <c r="AH5483" s="11"/>
      <c r="AI5483" s="6" t="s">
        <v>8185</v>
      </c>
      <c r="AJ5483" t="s">
        <v>8234</v>
      </c>
      <c r="AK5483" t="s">
        <v>8234</v>
      </c>
    </row>
    <row r="5484" spans="29:37">
      <c r="AC5484" s="6" t="s">
        <v>2167</v>
      </c>
      <c r="AD5484" s="6" t="s">
        <v>7883</v>
      </c>
      <c r="AE5484" s="115" t="s">
        <v>2014</v>
      </c>
      <c r="AF5484" s="11" t="s">
        <v>8299</v>
      </c>
      <c r="AG5484" s="115"/>
      <c r="AH5484" s="11"/>
      <c r="AI5484" s="6" t="s">
        <v>8186</v>
      </c>
      <c r="AJ5484" t="s">
        <v>8222</v>
      </c>
      <c r="AK5484" t="s">
        <v>8670</v>
      </c>
    </row>
    <row r="5485" spans="29:37">
      <c r="AC5485" s="6" t="s">
        <v>2169</v>
      </c>
      <c r="AD5485" s="6" t="s">
        <v>7883</v>
      </c>
      <c r="AE5485" s="115" t="s">
        <v>2015</v>
      </c>
      <c r="AF5485" s="11" t="s">
        <v>8299</v>
      </c>
      <c r="AG5485" s="115"/>
      <c r="AH5485" s="11"/>
      <c r="AI5485" s="6" t="s">
        <v>8187</v>
      </c>
      <c r="AJ5485" t="s">
        <v>8263</v>
      </c>
      <c r="AK5485" t="s">
        <v>8263</v>
      </c>
    </row>
    <row r="5486" spans="29:37">
      <c r="AC5486" s="6" t="s">
        <v>2165</v>
      </c>
      <c r="AD5486" s="6" t="s">
        <v>7883</v>
      </c>
      <c r="AE5486" s="115" t="s">
        <v>2016</v>
      </c>
      <c r="AF5486" s="11" t="s">
        <v>8299</v>
      </c>
      <c r="AG5486" s="115"/>
      <c r="AH5486" s="11"/>
      <c r="AI5486" s="6" t="s">
        <v>3684</v>
      </c>
      <c r="AJ5486" t="s">
        <v>8232</v>
      </c>
      <c r="AK5486" t="s">
        <v>8232</v>
      </c>
    </row>
    <row r="5487" spans="29:37">
      <c r="AC5487" s="6" t="s">
        <v>2166</v>
      </c>
      <c r="AD5487" s="6" t="s">
        <v>7883</v>
      </c>
      <c r="AE5487" s="115" t="s">
        <v>2017</v>
      </c>
      <c r="AF5487" s="11" t="s">
        <v>8299</v>
      </c>
      <c r="AG5487" s="115"/>
      <c r="AH5487" s="11"/>
      <c r="AI5487" s="6" t="s">
        <v>3681</v>
      </c>
      <c r="AJ5487" t="s">
        <v>8232</v>
      </c>
      <c r="AK5487" t="s">
        <v>8232</v>
      </c>
    </row>
    <row r="5488" spans="29:37">
      <c r="AC5488" s="6" t="s">
        <v>5228</v>
      </c>
      <c r="AD5488" s="6" t="s">
        <v>7861</v>
      </c>
      <c r="AE5488" s="115" t="s">
        <v>2018</v>
      </c>
      <c r="AF5488" s="11" t="s">
        <v>8296</v>
      </c>
      <c r="AG5488" s="115"/>
      <c r="AH5488" s="11"/>
      <c r="AI5488" s="6" t="s">
        <v>5296</v>
      </c>
      <c r="AJ5488" t="s">
        <v>8232</v>
      </c>
      <c r="AK5488" t="s">
        <v>8232</v>
      </c>
    </row>
    <row r="5489" spans="29:37">
      <c r="AC5489" s="6" t="s">
        <v>1839</v>
      </c>
      <c r="AD5489" s="6" t="s">
        <v>7884</v>
      </c>
      <c r="AE5489" s="115" t="s">
        <v>2019</v>
      </c>
      <c r="AF5489" s="11" t="s">
        <v>8309</v>
      </c>
      <c r="AG5489" s="115"/>
      <c r="AH5489" s="11"/>
      <c r="AI5489" s="6" t="s">
        <v>1251</v>
      </c>
      <c r="AJ5489" t="s">
        <v>8232</v>
      </c>
      <c r="AK5489" t="s">
        <v>8232</v>
      </c>
    </row>
    <row r="5490" spans="29:37">
      <c r="AC5490" s="6" t="s">
        <v>2168</v>
      </c>
      <c r="AD5490" s="6" t="s">
        <v>7883</v>
      </c>
      <c r="AE5490" s="115" t="s">
        <v>2020</v>
      </c>
      <c r="AF5490" s="11" t="s">
        <v>8299</v>
      </c>
      <c r="AG5490" s="115"/>
      <c r="AH5490" s="11"/>
      <c r="AI5490" s="6" t="s">
        <v>3683</v>
      </c>
      <c r="AJ5490" t="s">
        <v>8232</v>
      </c>
      <c r="AK5490" t="s">
        <v>8232</v>
      </c>
    </row>
    <row r="5491" spans="29:37">
      <c r="AC5491" s="6" t="s">
        <v>2254</v>
      </c>
      <c r="AD5491" s="6" t="s">
        <v>7885</v>
      </c>
      <c r="AE5491" s="115" t="s">
        <v>2030</v>
      </c>
      <c r="AF5491" s="11" t="s">
        <v>8299</v>
      </c>
      <c r="AG5491" s="115"/>
      <c r="AH5491" s="11"/>
      <c r="AI5491" s="6" t="s">
        <v>935</v>
      </c>
      <c r="AJ5491" t="s">
        <v>8221</v>
      </c>
      <c r="AK5491" t="s">
        <v>8669</v>
      </c>
    </row>
    <row r="5492" spans="29:37">
      <c r="AC5492" s="6" t="s">
        <v>2161</v>
      </c>
      <c r="AD5492" s="6" t="s">
        <v>7886</v>
      </c>
      <c r="AE5492" s="115" t="s">
        <v>2205</v>
      </c>
      <c r="AF5492" s="11" t="s">
        <v>8342</v>
      </c>
      <c r="AG5492" s="115"/>
      <c r="AH5492" s="11"/>
      <c r="AI5492" s="6" t="s">
        <v>3682</v>
      </c>
      <c r="AJ5492" t="s">
        <v>8232</v>
      </c>
      <c r="AK5492" t="s">
        <v>8232</v>
      </c>
    </row>
    <row r="5493" spans="29:37">
      <c r="AC5493" s="6" t="s">
        <v>2162</v>
      </c>
      <c r="AD5493" s="6" t="s">
        <v>7887</v>
      </c>
      <c r="AE5493" s="115" t="s">
        <v>2206</v>
      </c>
      <c r="AF5493" s="11" t="s">
        <v>8289</v>
      </c>
      <c r="AG5493" s="115"/>
      <c r="AH5493" s="11"/>
      <c r="AI5493" s="6" t="s">
        <v>2278</v>
      </c>
      <c r="AJ5493" t="s">
        <v>8194</v>
      </c>
      <c r="AK5493" t="s">
        <v>8194</v>
      </c>
    </row>
    <row r="5494" spans="29:37">
      <c r="AC5494" s="6">
        <v>735454</v>
      </c>
      <c r="AD5494" s="6" t="s">
        <v>7880</v>
      </c>
      <c r="AE5494" s="115" t="s">
        <v>2209</v>
      </c>
      <c r="AF5494" s="11" t="s">
        <v>8299</v>
      </c>
      <c r="AG5494" s="115"/>
      <c r="AH5494" s="11"/>
      <c r="AI5494" s="6" t="s">
        <v>2235</v>
      </c>
      <c r="AJ5494" t="s">
        <v>8221</v>
      </c>
      <c r="AK5494" t="s">
        <v>8669</v>
      </c>
    </row>
    <row r="5495" spans="29:37">
      <c r="AC5495" s="6" t="s">
        <v>5138</v>
      </c>
      <c r="AD5495" s="6" t="s">
        <v>7861</v>
      </c>
      <c r="AE5495" s="115" t="s">
        <v>854</v>
      </c>
      <c r="AF5495" s="11" t="s">
        <v>8299</v>
      </c>
      <c r="AG5495" s="115"/>
      <c r="AH5495" s="11"/>
      <c r="AI5495" s="6" t="s">
        <v>1278</v>
      </c>
      <c r="AJ5495" t="s">
        <v>8239</v>
      </c>
      <c r="AK5495" t="s">
        <v>8674</v>
      </c>
    </row>
    <row r="5496" spans="29:37">
      <c r="AC5496" s="6" t="s">
        <v>5272</v>
      </c>
      <c r="AD5496" s="6" t="s">
        <v>7888</v>
      </c>
      <c r="AE5496" s="115" t="s">
        <v>855</v>
      </c>
      <c r="AF5496" s="11" t="s">
        <v>8299</v>
      </c>
      <c r="AG5496" s="115"/>
      <c r="AH5496" s="11"/>
      <c r="AI5496" s="6" t="s">
        <v>5228</v>
      </c>
      <c r="AJ5496" t="s">
        <v>8248</v>
      </c>
      <c r="AK5496" t="s">
        <v>8248</v>
      </c>
    </row>
    <row r="5497" spans="29:37">
      <c r="AC5497" s="6" t="s">
        <v>4499</v>
      </c>
      <c r="AD5497" s="6" t="s">
        <v>7869</v>
      </c>
      <c r="AE5497" s="115" t="s">
        <v>856</v>
      </c>
      <c r="AF5497" s="11" t="s">
        <v>8299</v>
      </c>
      <c r="AG5497" s="115"/>
      <c r="AH5497" s="11"/>
      <c r="AI5497" s="6" t="s">
        <v>2232</v>
      </c>
      <c r="AJ5497" t="s">
        <v>8213</v>
      </c>
      <c r="AK5497" t="s">
        <v>8213</v>
      </c>
    </row>
    <row r="5498" spans="29:37">
      <c r="AC5498" s="6" t="s">
        <v>1819</v>
      </c>
      <c r="AD5498" s="6" t="s">
        <v>7889</v>
      </c>
      <c r="AE5498" s="115" t="s">
        <v>857</v>
      </c>
      <c r="AF5498" s="11" t="s">
        <v>8299</v>
      </c>
      <c r="AG5498" s="115"/>
      <c r="AH5498" s="11"/>
      <c r="AI5498" s="6" t="s">
        <v>4708</v>
      </c>
      <c r="AJ5498" t="s">
        <v>8194</v>
      </c>
      <c r="AK5498" t="s">
        <v>8194</v>
      </c>
    </row>
    <row r="5499" spans="29:37">
      <c r="AC5499" s="6" t="s">
        <v>1826</v>
      </c>
      <c r="AD5499" s="6" t="s">
        <v>7888</v>
      </c>
      <c r="AE5499" s="115" t="s">
        <v>858</v>
      </c>
      <c r="AF5499" s="11" t="s">
        <v>8299</v>
      </c>
      <c r="AG5499" s="115"/>
      <c r="AH5499" s="11"/>
      <c r="AI5499" s="6" t="s">
        <v>5243</v>
      </c>
      <c r="AJ5499" t="s">
        <v>8238</v>
      </c>
      <c r="AK5499" t="s">
        <v>8673</v>
      </c>
    </row>
    <row r="5500" spans="29:37">
      <c r="AC5500" s="6" t="s">
        <v>2195</v>
      </c>
      <c r="AD5500" s="6" t="s">
        <v>7885</v>
      </c>
      <c r="AE5500" s="115" t="s">
        <v>859</v>
      </c>
      <c r="AF5500" s="11" t="s">
        <v>8299</v>
      </c>
      <c r="AG5500" s="115"/>
      <c r="AH5500" s="11"/>
      <c r="AI5500" s="6" t="s">
        <v>8188</v>
      </c>
      <c r="AJ5500" t="s">
        <v>8239</v>
      </c>
      <c r="AK5500" t="s">
        <v>8674</v>
      </c>
    </row>
    <row r="5501" spans="29:37">
      <c r="AC5501" s="6">
        <v>735455</v>
      </c>
      <c r="AD5501" s="6" t="s">
        <v>7880</v>
      </c>
      <c r="AE5501" s="115" t="s">
        <v>1185</v>
      </c>
      <c r="AF5501" s="11" t="s">
        <v>8299</v>
      </c>
      <c r="AG5501" s="115"/>
      <c r="AH5501" s="11"/>
      <c r="AI5501" s="6" t="s">
        <v>5307</v>
      </c>
      <c r="AJ5501" t="s">
        <v>8194</v>
      </c>
      <c r="AK5501" t="s">
        <v>8194</v>
      </c>
    </row>
    <row r="5502" spans="29:37">
      <c r="AC5502" s="6">
        <v>735456</v>
      </c>
      <c r="AD5502" s="6" t="s">
        <v>7880</v>
      </c>
      <c r="AE5502" s="115" t="s">
        <v>860</v>
      </c>
      <c r="AF5502" s="11" t="s">
        <v>8299</v>
      </c>
      <c r="AG5502" s="115"/>
      <c r="AH5502" s="11"/>
      <c r="AI5502" s="6" t="s">
        <v>8189</v>
      </c>
      <c r="AJ5502" t="s">
        <v>8213</v>
      </c>
      <c r="AK5502" t="s">
        <v>8213</v>
      </c>
    </row>
    <row r="5503" spans="29:37">
      <c r="AC5503" s="6" t="s">
        <v>2121</v>
      </c>
      <c r="AD5503" s="6" t="s">
        <v>7890</v>
      </c>
      <c r="AE5503" s="115" t="s">
        <v>1115</v>
      </c>
      <c r="AF5503" s="11" t="s">
        <v>8342</v>
      </c>
      <c r="AG5503" s="115"/>
      <c r="AH5503" s="11"/>
      <c r="AI5503" s="6" t="s">
        <v>8190</v>
      </c>
      <c r="AJ5503" t="s">
        <v>8213</v>
      </c>
      <c r="AK5503" t="s">
        <v>8213</v>
      </c>
    </row>
    <row r="5504" spans="29:37">
      <c r="AC5504" s="6" t="s">
        <v>2253</v>
      </c>
      <c r="AD5504" s="6" t="s">
        <v>7885</v>
      </c>
      <c r="AE5504" s="115" t="s">
        <v>861</v>
      </c>
      <c r="AF5504" s="11" t="s">
        <v>8299</v>
      </c>
      <c r="AG5504" s="115"/>
      <c r="AH5504" s="11"/>
      <c r="AI5504" s="6" t="s">
        <v>8191</v>
      </c>
      <c r="AJ5504" t="s">
        <v>8213</v>
      </c>
      <c r="AK5504" t="s">
        <v>8213</v>
      </c>
    </row>
    <row r="5505" spans="29:37">
      <c r="AC5505" s="6">
        <v>735457</v>
      </c>
      <c r="AD5505" s="6" t="s">
        <v>7880</v>
      </c>
      <c r="AE5505" s="115" t="s">
        <v>862</v>
      </c>
      <c r="AF5505" s="11" t="s">
        <v>8299</v>
      </c>
      <c r="AG5505" s="115"/>
      <c r="AH5505" s="11"/>
      <c r="AI5505" s="6" t="s">
        <v>8192</v>
      </c>
      <c r="AJ5505" t="s">
        <v>8213</v>
      </c>
      <c r="AK5505" t="s">
        <v>8213</v>
      </c>
    </row>
    <row r="5506" spans="29:37">
      <c r="AC5506" s="6" t="s">
        <v>2087</v>
      </c>
      <c r="AD5506" s="6" t="s">
        <v>7891</v>
      </c>
      <c r="AE5506" s="115" t="s">
        <v>683</v>
      </c>
      <c r="AF5506" s="11" t="s">
        <v>8342</v>
      </c>
      <c r="AG5506" s="115"/>
      <c r="AH5506" s="11"/>
      <c r="AI5506" s="6" t="s">
        <v>8627</v>
      </c>
      <c r="AJ5506" t="s">
        <v>8246</v>
      </c>
      <c r="AK5506" t="s">
        <v>8246</v>
      </c>
    </row>
    <row r="5507" spans="29:37">
      <c r="AC5507" s="6" t="s">
        <v>2054</v>
      </c>
      <c r="AD5507" s="6" t="s">
        <v>7892</v>
      </c>
      <c r="AE5507" s="115" t="s">
        <v>863</v>
      </c>
      <c r="AF5507" s="11" t="s">
        <v>8346</v>
      </c>
      <c r="AG5507" s="115"/>
      <c r="AH5507" s="11"/>
      <c r="AI5507" s="6" t="s">
        <v>8628</v>
      </c>
      <c r="AJ5507" t="s">
        <v>8246</v>
      </c>
      <c r="AK5507" t="s">
        <v>8246</v>
      </c>
    </row>
    <row r="5508" spans="29:37">
      <c r="AC5508" s="6" t="s">
        <v>1284</v>
      </c>
      <c r="AD5508" s="6" t="s">
        <v>7893</v>
      </c>
      <c r="AE5508" s="115" t="s">
        <v>864</v>
      </c>
      <c r="AF5508" s="11" t="s">
        <v>8299</v>
      </c>
      <c r="AG5508" s="115"/>
      <c r="AH5508" s="11"/>
      <c r="AI5508" s="6" t="s">
        <v>8629</v>
      </c>
      <c r="AJ5508" t="s">
        <v>8246</v>
      </c>
      <c r="AK5508" t="s">
        <v>8246</v>
      </c>
    </row>
    <row r="5509" spans="29:37">
      <c r="AC5509" s="6" t="s">
        <v>2126</v>
      </c>
      <c r="AD5509" s="6" t="s">
        <v>7870</v>
      </c>
      <c r="AE5509" s="115" t="s">
        <v>865</v>
      </c>
      <c r="AF5509" s="11" t="s">
        <v>8320</v>
      </c>
      <c r="AG5509" s="115"/>
      <c r="AH5509" s="11"/>
      <c r="AI5509" s="6" t="s">
        <v>8630</v>
      </c>
      <c r="AJ5509" t="s">
        <v>8283</v>
      </c>
      <c r="AK5509" t="s">
        <v>8283</v>
      </c>
    </row>
    <row r="5510" spans="29:37">
      <c r="AC5510" s="6" t="s">
        <v>5332</v>
      </c>
      <c r="AD5510" s="6" t="s">
        <v>7894</v>
      </c>
      <c r="AE5510" s="115" t="s">
        <v>1744</v>
      </c>
      <c r="AF5510" s="11" t="s">
        <v>8299</v>
      </c>
      <c r="AG5510" s="115"/>
      <c r="AH5510" s="11"/>
      <c r="AI5510" s="6" t="s">
        <v>8631</v>
      </c>
      <c r="AJ5510" t="s">
        <v>8283</v>
      </c>
      <c r="AK5510" t="s">
        <v>8283</v>
      </c>
    </row>
    <row r="5511" spans="29:37">
      <c r="AC5511" s="6">
        <v>735458</v>
      </c>
      <c r="AD5511" s="6" t="s">
        <v>7880</v>
      </c>
      <c r="AE5511" s="115" t="s">
        <v>866</v>
      </c>
      <c r="AF5511" s="11" t="s">
        <v>8342</v>
      </c>
      <c r="AG5511" s="115"/>
      <c r="AH5511" s="11"/>
      <c r="AI5511" s="6" t="s">
        <v>8632</v>
      </c>
      <c r="AJ5511" t="s">
        <v>8214</v>
      </c>
      <c r="AK5511" t="s">
        <v>8214</v>
      </c>
    </row>
    <row r="5512" spans="29:37">
      <c r="AC5512" s="6" t="s">
        <v>1812</v>
      </c>
      <c r="AD5512" s="6" t="s">
        <v>7895</v>
      </c>
      <c r="AE5512" s="115" t="s">
        <v>867</v>
      </c>
      <c r="AF5512" s="11" t="s">
        <v>8344</v>
      </c>
      <c r="AG5512" s="115"/>
      <c r="AH5512" s="11"/>
      <c r="AI5512" s="6" t="s">
        <v>8633</v>
      </c>
      <c r="AJ5512" t="s">
        <v>8283</v>
      </c>
      <c r="AK5512" t="s">
        <v>8283</v>
      </c>
    </row>
    <row r="5513" spans="29:37">
      <c r="AC5513" s="6">
        <v>735459</v>
      </c>
      <c r="AD5513" s="6" t="s">
        <v>7880</v>
      </c>
      <c r="AE5513" s="115" t="s">
        <v>868</v>
      </c>
      <c r="AF5513" s="11" t="s">
        <v>8299</v>
      </c>
      <c r="AG5513" s="115"/>
      <c r="AH5513" s="11"/>
      <c r="AI5513" s="6" t="s">
        <v>8634</v>
      </c>
      <c r="AJ5513" t="s">
        <v>8283</v>
      </c>
      <c r="AK5513" t="s">
        <v>8283</v>
      </c>
    </row>
    <row r="5514" spans="29:37">
      <c r="AC5514" s="6" t="s">
        <v>5221</v>
      </c>
      <c r="AD5514" s="6" t="s">
        <v>7894</v>
      </c>
      <c r="AE5514" s="115" t="s">
        <v>869</v>
      </c>
      <c r="AF5514" s="11" t="s">
        <v>8299</v>
      </c>
      <c r="AG5514" s="115"/>
      <c r="AH5514" s="11"/>
      <c r="AI5514" s="6" t="s">
        <v>8635</v>
      </c>
      <c r="AJ5514" t="s">
        <v>8231</v>
      </c>
      <c r="AK5514" t="s">
        <v>8238</v>
      </c>
    </row>
    <row r="5515" spans="29:37">
      <c r="AC5515" s="6" t="s">
        <v>1845</v>
      </c>
      <c r="AD5515" s="6" t="s">
        <v>7896</v>
      </c>
      <c r="AE5515" s="115" t="s">
        <v>1745</v>
      </c>
      <c r="AF5515" s="11" t="s">
        <v>8299</v>
      </c>
      <c r="AG5515" s="115"/>
      <c r="AH5515" s="11"/>
      <c r="AI5515" s="6" t="s">
        <v>8636</v>
      </c>
      <c r="AJ5515" t="s">
        <v>8283</v>
      </c>
      <c r="AK5515" t="s">
        <v>8283</v>
      </c>
    </row>
    <row r="5516" spans="29:37">
      <c r="AC5516" s="6" t="s">
        <v>2128</v>
      </c>
      <c r="AD5516" s="6" t="s">
        <v>7870</v>
      </c>
      <c r="AE5516" s="115" t="s">
        <v>870</v>
      </c>
      <c r="AF5516" s="11" t="s">
        <v>8299</v>
      </c>
      <c r="AG5516" s="115"/>
      <c r="AH5516" s="11"/>
      <c r="AI5516" s="6" t="s">
        <v>8637</v>
      </c>
      <c r="AJ5516" t="s">
        <v>8281</v>
      </c>
      <c r="AK5516" t="s">
        <v>8281</v>
      </c>
    </row>
    <row r="5517" spans="29:37">
      <c r="AC5517" s="6" t="s">
        <v>2088</v>
      </c>
      <c r="AD5517" s="6" t="s">
        <v>7891</v>
      </c>
      <c r="AE5517" s="115" t="s">
        <v>871</v>
      </c>
      <c r="AF5517" s="11" t="s">
        <v>8309</v>
      </c>
      <c r="AG5517" s="115"/>
      <c r="AH5517" s="11"/>
      <c r="AI5517" s="6" t="s">
        <v>8638</v>
      </c>
      <c r="AJ5517" t="s">
        <v>8281</v>
      </c>
      <c r="AK5517" t="s">
        <v>8281</v>
      </c>
    </row>
    <row r="5518" spans="29:37">
      <c r="AC5518" s="6" t="s">
        <v>5252</v>
      </c>
      <c r="AD5518" s="6" t="s">
        <v>7897</v>
      </c>
      <c r="AE5518" s="115" t="s">
        <v>872</v>
      </c>
      <c r="AF5518" s="11" t="s">
        <v>8299</v>
      </c>
      <c r="AG5518" s="115"/>
      <c r="AH5518" s="11"/>
      <c r="AI5518" s="6" t="s">
        <v>8639</v>
      </c>
      <c r="AJ5518" t="s">
        <v>8281</v>
      </c>
      <c r="AK5518" t="s">
        <v>8281</v>
      </c>
    </row>
    <row r="5519" spans="29:37">
      <c r="AC5519" s="6" t="s">
        <v>5145</v>
      </c>
      <c r="AD5519" s="6" t="s">
        <v>7898</v>
      </c>
      <c r="AE5519" s="115" t="s">
        <v>1836</v>
      </c>
      <c r="AF5519" s="11" t="s">
        <v>8320</v>
      </c>
      <c r="AG5519" s="115"/>
      <c r="AH5519" s="11"/>
      <c r="AI5519" s="6" t="s">
        <v>8640</v>
      </c>
      <c r="AJ5519" t="s">
        <v>8281</v>
      </c>
      <c r="AK5519" t="s">
        <v>8281</v>
      </c>
    </row>
    <row r="5520" spans="29:37">
      <c r="AC5520" s="6" t="s">
        <v>2089</v>
      </c>
      <c r="AD5520" s="6" t="s">
        <v>7891</v>
      </c>
      <c r="AE5520" s="115" t="s">
        <v>1837</v>
      </c>
      <c r="AF5520" s="11" t="s">
        <v>8299</v>
      </c>
      <c r="AG5520" s="115"/>
      <c r="AH5520" s="11"/>
      <c r="AI5520" s="6" t="s">
        <v>8641</v>
      </c>
      <c r="AJ5520" t="s">
        <v>8281</v>
      </c>
      <c r="AK5520" t="s">
        <v>8281</v>
      </c>
    </row>
    <row r="5521" spans="29:37">
      <c r="AC5521" s="6" t="s">
        <v>2196</v>
      </c>
      <c r="AD5521" s="6" t="s">
        <v>7894</v>
      </c>
      <c r="AE5521" s="115" t="s">
        <v>1838</v>
      </c>
      <c r="AF5521" s="11" t="s">
        <v>8324</v>
      </c>
      <c r="AG5521" s="115"/>
      <c r="AH5521" s="11"/>
      <c r="AI5521" s="6" t="s">
        <v>8642</v>
      </c>
      <c r="AJ5521" t="s">
        <v>8281</v>
      </c>
      <c r="AK5521" t="s">
        <v>8281</v>
      </c>
    </row>
    <row r="5522" spans="29:37">
      <c r="AC5522" s="6" t="s">
        <v>2255</v>
      </c>
      <c r="AD5522" s="6" t="s">
        <v>7894</v>
      </c>
      <c r="AE5522" s="115" t="s">
        <v>1116</v>
      </c>
      <c r="AF5522" s="11" t="s">
        <v>8299</v>
      </c>
      <c r="AG5522" s="115"/>
      <c r="AH5522" s="11"/>
      <c r="AI5522" s="6" t="s">
        <v>5131</v>
      </c>
      <c r="AJ5522" t="s">
        <v>8262</v>
      </c>
      <c r="AK5522" t="s">
        <v>8262</v>
      </c>
    </row>
    <row r="5523" spans="29:37">
      <c r="AC5523" s="6" t="s">
        <v>4414</v>
      </c>
      <c r="AD5523" s="6" t="s">
        <v>7899</v>
      </c>
      <c r="AE5523" s="115" t="s">
        <v>873</v>
      </c>
      <c r="AF5523" s="11" t="s">
        <v>8299</v>
      </c>
      <c r="AG5523" s="115"/>
      <c r="AH5523" s="11"/>
      <c r="AI5523" s="6" t="s">
        <v>3567</v>
      </c>
      <c r="AJ5523" t="s">
        <v>8214</v>
      </c>
      <c r="AK5523" t="s">
        <v>8214</v>
      </c>
    </row>
    <row r="5524" spans="29:37">
      <c r="AC5524" s="6" t="s">
        <v>2122</v>
      </c>
      <c r="AD5524" s="6" t="s">
        <v>7870</v>
      </c>
      <c r="AE5524" s="115" t="s">
        <v>874</v>
      </c>
      <c r="AF5524" s="11" t="s">
        <v>8299</v>
      </c>
      <c r="AG5524" s="115"/>
      <c r="AH5524" s="11"/>
      <c r="AI5524" s="6" t="s">
        <v>3568</v>
      </c>
      <c r="AJ5524" t="s">
        <v>8214</v>
      </c>
      <c r="AK5524" t="s">
        <v>8214</v>
      </c>
    </row>
    <row r="5525" spans="29:37">
      <c r="AC5525" s="6" t="s">
        <v>1827</v>
      </c>
      <c r="AD5525" s="6" t="s">
        <v>7900</v>
      </c>
      <c r="AE5525" s="115" t="s">
        <v>875</v>
      </c>
      <c r="AF5525" s="11" t="s">
        <v>8299</v>
      </c>
      <c r="AG5525" s="115"/>
      <c r="AH5525" s="11"/>
      <c r="AI5525" s="6" t="s">
        <v>5068</v>
      </c>
      <c r="AJ5525" t="s">
        <v>8214</v>
      </c>
      <c r="AK5525" t="s">
        <v>8214</v>
      </c>
    </row>
    <row r="5526" spans="29:37">
      <c r="AC5526" s="6" t="s">
        <v>5569</v>
      </c>
      <c r="AD5526" s="6" t="s">
        <v>7900</v>
      </c>
      <c r="AE5526" s="115" t="s">
        <v>876</v>
      </c>
      <c r="AF5526" s="11" t="s">
        <v>8357</v>
      </c>
      <c r="AG5526" s="115"/>
      <c r="AH5526" s="11"/>
      <c r="AI5526" s="6" t="s">
        <v>5329</v>
      </c>
      <c r="AJ5526" t="s">
        <v>8225</v>
      </c>
      <c r="AK5526" t="s">
        <v>8225</v>
      </c>
    </row>
    <row r="5527" spans="29:37">
      <c r="AC5527" s="6" t="s">
        <v>2090</v>
      </c>
      <c r="AD5527" s="6" t="s">
        <v>7891</v>
      </c>
      <c r="AE5527" s="115" t="s">
        <v>877</v>
      </c>
      <c r="AF5527" s="11" t="s">
        <v>8606</v>
      </c>
      <c r="AG5527" s="115"/>
      <c r="AH5527" s="11"/>
      <c r="AI5527" s="6" t="s">
        <v>5330</v>
      </c>
      <c r="AJ5527" t="s">
        <v>8224</v>
      </c>
      <c r="AK5527" t="s">
        <v>8224</v>
      </c>
    </row>
    <row r="5528" spans="29:37">
      <c r="AC5528" s="6" t="s">
        <v>5199</v>
      </c>
      <c r="AD5528" s="6" t="s">
        <v>7894</v>
      </c>
      <c r="AE5528" s="115" t="s">
        <v>878</v>
      </c>
      <c r="AF5528" s="11" t="s">
        <v>8347</v>
      </c>
      <c r="AG5528" s="115"/>
      <c r="AH5528" s="11"/>
      <c r="AI5528" s="6" t="s">
        <v>4836</v>
      </c>
      <c r="AJ5528" t="s">
        <v>8230</v>
      </c>
      <c r="AK5528" t="s">
        <v>8230</v>
      </c>
    </row>
    <row r="5529" spans="29:37">
      <c r="AC5529" s="6" t="s">
        <v>2123</v>
      </c>
      <c r="AD5529" s="6" t="s">
        <v>7870</v>
      </c>
      <c r="AE5529" s="115" t="s">
        <v>879</v>
      </c>
      <c r="AF5529" s="11" t="s">
        <v>8444</v>
      </c>
      <c r="AG5529" s="115"/>
      <c r="AH5529" s="11"/>
      <c r="AI5529" s="6" t="s">
        <v>3593</v>
      </c>
      <c r="AJ5529" t="s">
        <v>8282</v>
      </c>
      <c r="AK5529" t="s">
        <v>8282</v>
      </c>
    </row>
    <row r="5530" spans="29:37">
      <c r="AC5530" s="6" t="s">
        <v>5236</v>
      </c>
      <c r="AD5530" s="6" t="s">
        <v>7894</v>
      </c>
      <c r="AE5530" s="115" t="s">
        <v>880</v>
      </c>
      <c r="AF5530" s="11" t="s">
        <v>8395</v>
      </c>
      <c r="AG5530" s="115"/>
      <c r="AH5530" s="11"/>
      <c r="AI5530" s="6" t="s">
        <v>3599</v>
      </c>
      <c r="AJ5530" t="s">
        <v>8260</v>
      </c>
      <c r="AK5530" t="s">
        <v>8678</v>
      </c>
    </row>
    <row r="5531" spans="29:37">
      <c r="AC5531" s="6" t="s">
        <v>2093</v>
      </c>
      <c r="AD5531" s="6" t="s">
        <v>7901</v>
      </c>
      <c r="AE5531" s="115" t="s">
        <v>881</v>
      </c>
      <c r="AF5531" s="11" t="s">
        <v>8342</v>
      </c>
      <c r="AG5531" s="115"/>
      <c r="AH5531" s="11"/>
      <c r="AI5531" s="6" t="s">
        <v>5058</v>
      </c>
      <c r="AJ5531" t="s">
        <v>8260</v>
      </c>
      <c r="AK5531" t="s">
        <v>8678</v>
      </c>
    </row>
    <row r="5532" spans="29:37">
      <c r="AC5532" s="6" t="s">
        <v>2101</v>
      </c>
      <c r="AD5532" s="6" t="s">
        <v>7902</v>
      </c>
      <c r="AE5532" s="115" t="s">
        <v>882</v>
      </c>
      <c r="AF5532" s="11" t="s">
        <v>8309</v>
      </c>
      <c r="AG5532" s="115"/>
      <c r="AH5532" s="11"/>
      <c r="AI5532" s="6" t="s">
        <v>3627</v>
      </c>
      <c r="AJ5532" t="s">
        <v>8283</v>
      </c>
      <c r="AK5532" t="s">
        <v>8283</v>
      </c>
    </row>
    <row r="5533" spans="29:37">
      <c r="AC5533" s="6" t="s">
        <v>2278</v>
      </c>
      <c r="AD5533" s="6" t="s">
        <v>7903</v>
      </c>
      <c r="AE5533" s="115" t="s">
        <v>883</v>
      </c>
      <c r="AF5533" s="11" t="s">
        <v>8375</v>
      </c>
      <c r="AG5533" s="115"/>
      <c r="AH5533" s="11"/>
      <c r="AI5533" s="6" t="s">
        <v>3630</v>
      </c>
      <c r="AJ5533" t="s">
        <v>8283</v>
      </c>
      <c r="AK5533" t="s">
        <v>8283</v>
      </c>
    </row>
    <row r="5534" spans="29:37">
      <c r="AC5534" s="6" t="s">
        <v>5565</v>
      </c>
      <c r="AD5534" s="6" t="s">
        <v>7900</v>
      </c>
      <c r="AE5534" s="115" t="s">
        <v>884</v>
      </c>
      <c r="AF5534" s="11" t="s">
        <v>8607</v>
      </c>
      <c r="AG5534" s="115"/>
      <c r="AH5534" s="11"/>
      <c r="AI5534" s="6" t="s">
        <v>3631</v>
      </c>
      <c r="AJ5534" t="s">
        <v>8283</v>
      </c>
      <c r="AK5534" t="s">
        <v>8283</v>
      </c>
    </row>
    <row r="5535" spans="29:37">
      <c r="AC5535" s="6" t="s">
        <v>2086</v>
      </c>
      <c r="AD5535" s="6" t="s">
        <v>7891</v>
      </c>
      <c r="AE5535" s="115" t="s">
        <v>885</v>
      </c>
      <c r="AF5535" s="11" t="s">
        <v>8346</v>
      </c>
      <c r="AG5535" s="115"/>
      <c r="AH5535" s="11"/>
      <c r="AI5535" s="6" t="s">
        <v>3692</v>
      </c>
      <c r="AJ5535" t="s">
        <v>8214</v>
      </c>
      <c r="AK5535" t="s">
        <v>8214</v>
      </c>
    </row>
    <row r="5536" spans="29:37">
      <c r="AC5536" s="6" t="s">
        <v>5229</v>
      </c>
      <c r="AD5536" s="6" t="s">
        <v>7895</v>
      </c>
      <c r="AE5536" s="115" t="s">
        <v>886</v>
      </c>
      <c r="AF5536" s="11" t="s">
        <v>8477</v>
      </c>
      <c r="AG5536" s="115"/>
      <c r="AH5536" s="11"/>
      <c r="AI5536" s="6" t="s">
        <v>4790</v>
      </c>
      <c r="AJ5536" t="s">
        <v>8218</v>
      </c>
      <c r="AK5536" t="s">
        <v>8218</v>
      </c>
    </row>
    <row r="5537" spans="29:37">
      <c r="AC5537" s="6" t="s">
        <v>5361</v>
      </c>
      <c r="AD5537" s="6" t="s">
        <v>7900</v>
      </c>
      <c r="AE5537" s="115" t="s">
        <v>887</v>
      </c>
      <c r="AF5537" s="11" t="s">
        <v>8608</v>
      </c>
      <c r="AG5537" s="115"/>
      <c r="AH5537" s="11"/>
      <c r="AI5537" s="6" t="s">
        <v>5254</v>
      </c>
      <c r="AJ5537" t="s">
        <v>8266</v>
      </c>
      <c r="AK5537" t="s">
        <v>8266</v>
      </c>
    </row>
    <row r="5538" spans="29:37">
      <c r="AC5538" s="6" t="s">
        <v>2091</v>
      </c>
      <c r="AD5538" s="6" t="s">
        <v>7904</v>
      </c>
      <c r="AE5538" s="115" t="s">
        <v>888</v>
      </c>
      <c r="AF5538" s="11" t="s">
        <v>8357</v>
      </c>
      <c r="AG5538" s="115"/>
      <c r="AH5538" s="11"/>
      <c r="AI5538" s="6" t="s">
        <v>5202</v>
      </c>
      <c r="AJ5538" t="s">
        <v>8266</v>
      </c>
      <c r="AK5538" t="s">
        <v>8266</v>
      </c>
    </row>
    <row r="5539" spans="29:37">
      <c r="AC5539" s="6" t="s">
        <v>2232</v>
      </c>
      <c r="AD5539" s="6" t="s">
        <v>7905</v>
      </c>
      <c r="AE5539" s="115" t="s">
        <v>682</v>
      </c>
      <c r="AF5539" s="11" t="s">
        <v>8342</v>
      </c>
      <c r="AG5539" s="115"/>
      <c r="AH5539" s="11"/>
      <c r="AI5539" s="6" t="s">
        <v>5349</v>
      </c>
      <c r="AJ5539" t="s">
        <v>8199</v>
      </c>
      <c r="AK5539" t="s">
        <v>8199</v>
      </c>
    </row>
    <row r="5540" spans="29:37">
      <c r="AC5540" s="6" t="s">
        <v>2092</v>
      </c>
      <c r="AD5540" s="6" t="s">
        <v>7904</v>
      </c>
      <c r="AE5540" s="115" t="s">
        <v>889</v>
      </c>
      <c r="AF5540" s="11" t="s">
        <v>8346</v>
      </c>
      <c r="AG5540" s="115"/>
      <c r="AH5540" s="11"/>
      <c r="AI5540" s="6" t="s">
        <v>3837</v>
      </c>
      <c r="AJ5540" t="s">
        <v>8260</v>
      </c>
      <c r="AK5540" t="s">
        <v>8678</v>
      </c>
    </row>
    <row r="5541" spans="29:37">
      <c r="AC5541" s="6" t="s">
        <v>2127</v>
      </c>
      <c r="AD5541" s="6" t="s">
        <v>7870</v>
      </c>
      <c r="AE5541" s="115" t="s">
        <v>890</v>
      </c>
      <c r="AF5541" s="11" t="s">
        <v>8296</v>
      </c>
      <c r="AG5541" s="115"/>
      <c r="AH5541" s="11"/>
      <c r="AI5541" s="6" t="s">
        <v>3838</v>
      </c>
      <c r="AJ5541" t="s">
        <v>8283</v>
      </c>
      <c r="AK5541" t="s">
        <v>8283</v>
      </c>
    </row>
    <row r="5542" spans="29:37">
      <c r="AC5542" s="6" t="s">
        <v>1835</v>
      </c>
      <c r="AD5542" s="6" t="s">
        <v>7906</v>
      </c>
      <c r="AE5542" s="115" t="s">
        <v>891</v>
      </c>
      <c r="AF5542" s="11" t="s">
        <v>8609</v>
      </c>
      <c r="AG5542" s="115"/>
      <c r="AH5542" s="11"/>
      <c r="AI5542" s="6" t="s">
        <v>3839</v>
      </c>
      <c r="AJ5542" t="s">
        <v>8283</v>
      </c>
      <c r="AK5542" t="s">
        <v>8283</v>
      </c>
    </row>
    <row r="5543" spans="29:37">
      <c r="AC5543" s="6" t="s">
        <v>1830</v>
      </c>
      <c r="AD5543" s="6" t="s">
        <v>7903</v>
      </c>
      <c r="AE5543" s="115" t="s">
        <v>892</v>
      </c>
      <c r="AF5543" s="11" t="s">
        <v>8347</v>
      </c>
      <c r="AG5543" s="115"/>
      <c r="AH5543" s="11"/>
      <c r="AI5543" s="6" t="s">
        <v>3840</v>
      </c>
      <c r="AJ5543" t="s">
        <v>8283</v>
      </c>
      <c r="AK5543" t="s">
        <v>8283</v>
      </c>
    </row>
    <row r="5544" spans="29:37">
      <c r="AC5544" s="6" t="s">
        <v>5232</v>
      </c>
      <c r="AD5544" s="6" t="s">
        <v>7903</v>
      </c>
      <c r="AE5544" s="115" t="s">
        <v>893</v>
      </c>
      <c r="AF5544" s="11" t="s">
        <v>8320</v>
      </c>
      <c r="AG5544" s="115"/>
      <c r="AH5544" s="11"/>
      <c r="AI5544" s="6" t="s">
        <v>3841</v>
      </c>
      <c r="AJ5544" t="s">
        <v>8283</v>
      </c>
      <c r="AK5544" t="s">
        <v>8283</v>
      </c>
    </row>
    <row r="5545" spans="29:37">
      <c r="AC5545" s="6" t="s">
        <v>2096</v>
      </c>
      <c r="AD5545" s="6" t="s">
        <v>7901</v>
      </c>
      <c r="AE5545" s="115" t="s">
        <v>894</v>
      </c>
      <c r="AF5545" s="11" t="s">
        <v>8342</v>
      </c>
      <c r="AG5545" s="115"/>
      <c r="AH5545" s="11"/>
      <c r="AI5545" s="6" t="s">
        <v>3843</v>
      </c>
      <c r="AJ5545" t="s">
        <v>8283</v>
      </c>
      <c r="AK5545" t="s">
        <v>8283</v>
      </c>
    </row>
    <row r="5546" spans="29:37">
      <c r="AC5546" s="6" t="s">
        <v>1248</v>
      </c>
      <c r="AD5546" s="6" t="s">
        <v>7903</v>
      </c>
      <c r="AE5546" s="115" t="s">
        <v>895</v>
      </c>
      <c r="AF5546" s="11" t="s">
        <v>8513</v>
      </c>
      <c r="AG5546" s="115"/>
      <c r="AH5546" s="11"/>
      <c r="AI5546" s="6" t="s">
        <v>3844</v>
      </c>
      <c r="AJ5546" t="s">
        <v>8283</v>
      </c>
      <c r="AK5546" t="s">
        <v>8283</v>
      </c>
    </row>
    <row r="5547" spans="29:37">
      <c r="AC5547" s="6" t="s">
        <v>2276</v>
      </c>
      <c r="AD5547" s="6" t="s">
        <v>7907</v>
      </c>
      <c r="AE5547" s="115" t="s">
        <v>896</v>
      </c>
      <c r="AF5547" s="11" t="s">
        <v>8342</v>
      </c>
      <c r="AG5547" s="115"/>
      <c r="AH5547" s="11"/>
      <c r="AI5547" s="6" t="s">
        <v>3851</v>
      </c>
      <c r="AJ5547" t="s">
        <v>8282</v>
      </c>
      <c r="AK5547" t="s">
        <v>8282</v>
      </c>
    </row>
    <row r="5548" spans="29:37">
      <c r="AC5548" s="6" t="s">
        <v>1828</v>
      </c>
      <c r="AD5548" s="6" t="s">
        <v>7903</v>
      </c>
      <c r="AE5548" s="115" t="s">
        <v>897</v>
      </c>
      <c r="AF5548" s="11" t="s">
        <v>8299</v>
      </c>
      <c r="AG5548" s="115"/>
      <c r="AH5548" s="11"/>
      <c r="AI5548" s="6" t="s">
        <v>3852</v>
      </c>
      <c r="AJ5548" t="s">
        <v>8282</v>
      </c>
      <c r="AK5548" t="s">
        <v>8282</v>
      </c>
    </row>
    <row r="5549" spans="29:37">
      <c r="AC5549" s="6" t="s">
        <v>5359</v>
      </c>
      <c r="AD5549" s="6" t="s">
        <v>7900</v>
      </c>
      <c r="AE5549" s="115" t="s">
        <v>898</v>
      </c>
      <c r="AF5549" s="11" t="s">
        <v>8570</v>
      </c>
      <c r="AG5549" s="115"/>
      <c r="AH5549" s="11"/>
      <c r="AI5549" s="6" t="s">
        <v>3853</v>
      </c>
      <c r="AJ5549" t="s">
        <v>8282</v>
      </c>
      <c r="AK5549" t="s">
        <v>8282</v>
      </c>
    </row>
    <row r="5550" spans="29:37">
      <c r="AC5550" s="6" t="s">
        <v>2102</v>
      </c>
      <c r="AD5550" s="6" t="s">
        <v>7902</v>
      </c>
      <c r="AE5550" s="115" t="s">
        <v>899</v>
      </c>
      <c r="AF5550" s="11" t="s">
        <v>8299</v>
      </c>
      <c r="AG5550" s="115"/>
      <c r="AH5550" s="11"/>
      <c r="AI5550" s="6" t="s">
        <v>3854</v>
      </c>
      <c r="AJ5550" t="s">
        <v>8282</v>
      </c>
      <c r="AK5550" t="s">
        <v>8282</v>
      </c>
    </row>
    <row r="5551" spans="29:37">
      <c r="AC5551" s="6" t="s">
        <v>1829</v>
      </c>
      <c r="AD5551" s="6" t="s">
        <v>7903</v>
      </c>
      <c r="AE5551" s="115" t="s">
        <v>900</v>
      </c>
      <c r="AF5551" s="11" t="s">
        <v>8299</v>
      </c>
      <c r="AG5551" s="115"/>
      <c r="AH5551" s="11"/>
      <c r="AI5551" s="6" t="s">
        <v>5201</v>
      </c>
      <c r="AJ5551" t="s">
        <v>8218</v>
      </c>
      <c r="AK5551" t="s">
        <v>8218</v>
      </c>
    </row>
    <row r="5552" spans="29:37">
      <c r="AC5552" s="6" t="s">
        <v>5566</v>
      </c>
      <c r="AD5552" s="6" t="s">
        <v>7903</v>
      </c>
      <c r="AE5552" s="115" t="s">
        <v>901</v>
      </c>
      <c r="AF5552" s="11" t="s">
        <v>8342</v>
      </c>
      <c r="AG5552" s="115"/>
      <c r="AH5552" s="11"/>
      <c r="AI5552" s="6" t="s">
        <v>3916</v>
      </c>
      <c r="AJ5552" t="s">
        <v>8268</v>
      </c>
      <c r="AK5552" t="s">
        <v>8268</v>
      </c>
    </row>
    <row r="5553" spans="29:37">
      <c r="AC5553" s="6" t="s">
        <v>4503</v>
      </c>
      <c r="AD5553" s="6" t="s">
        <v>7908</v>
      </c>
      <c r="AE5553" s="115" t="s">
        <v>902</v>
      </c>
      <c r="AF5553" s="11" t="s">
        <v>8610</v>
      </c>
      <c r="AG5553" s="115"/>
      <c r="AH5553" s="11"/>
      <c r="AI5553" s="6" t="s">
        <v>3917</v>
      </c>
      <c r="AJ5553" t="s">
        <v>8268</v>
      </c>
      <c r="AK5553" t="s">
        <v>8268</v>
      </c>
    </row>
    <row r="5554" spans="29:37">
      <c r="AC5554" s="6" t="s">
        <v>5158</v>
      </c>
      <c r="AD5554" s="6" t="s">
        <v>7900</v>
      </c>
      <c r="AE5554" s="115" t="s">
        <v>903</v>
      </c>
      <c r="AF5554" s="11" t="s">
        <v>8299</v>
      </c>
      <c r="AG5554" s="115"/>
      <c r="AH5554" s="11"/>
      <c r="AI5554" s="6" t="s">
        <v>3918</v>
      </c>
      <c r="AJ5554" t="s">
        <v>8268</v>
      </c>
      <c r="AK5554" t="s">
        <v>8268</v>
      </c>
    </row>
    <row r="5555" spans="29:37">
      <c r="AC5555" s="6" t="s">
        <v>2103</v>
      </c>
      <c r="AD5555" s="6" t="s">
        <v>7902</v>
      </c>
      <c r="AE5555" s="115" t="s">
        <v>904</v>
      </c>
      <c r="AF5555" s="11" t="s">
        <v>8342</v>
      </c>
      <c r="AG5555" s="115"/>
      <c r="AH5555" s="11"/>
      <c r="AI5555" s="6" t="s">
        <v>3919</v>
      </c>
      <c r="AJ5555" t="s">
        <v>8268</v>
      </c>
      <c r="AK5555" t="s">
        <v>8268</v>
      </c>
    </row>
    <row r="5556" spans="29:37">
      <c r="AC5556" s="6" t="s">
        <v>2277</v>
      </c>
      <c r="AD5556" s="6" t="s">
        <v>7903</v>
      </c>
      <c r="AE5556" s="115" t="s">
        <v>905</v>
      </c>
      <c r="AF5556" s="11" t="s">
        <v>8299</v>
      </c>
      <c r="AG5556" s="115"/>
      <c r="AH5556" s="11"/>
      <c r="AI5556" s="6" t="s">
        <v>5052</v>
      </c>
      <c r="AJ5556" t="s">
        <v>8268</v>
      </c>
      <c r="AK5556" t="s">
        <v>8268</v>
      </c>
    </row>
    <row r="5557" spans="29:37">
      <c r="AC5557" s="6" t="s">
        <v>4788</v>
      </c>
      <c r="AD5557" s="6" t="s">
        <v>7776</v>
      </c>
      <c r="AE5557" s="115" t="s">
        <v>906</v>
      </c>
      <c r="AF5557" s="11" t="s">
        <v>8299</v>
      </c>
      <c r="AG5557" s="115"/>
      <c r="AH5557" s="11"/>
      <c r="AI5557" s="6" t="s">
        <v>5055</v>
      </c>
      <c r="AJ5557" t="s">
        <v>8268</v>
      </c>
      <c r="AK5557" t="s">
        <v>8268</v>
      </c>
    </row>
    <row r="5558" spans="29:37">
      <c r="AC5558" s="6" t="s">
        <v>1252</v>
      </c>
      <c r="AD5558" s="6" t="s">
        <v>7908</v>
      </c>
      <c r="AE5558" s="115" t="s">
        <v>907</v>
      </c>
      <c r="AF5558" s="11" t="s">
        <v>8342</v>
      </c>
      <c r="AG5558" s="115"/>
      <c r="AH5558" s="11"/>
      <c r="AI5558" s="6" t="s">
        <v>5129</v>
      </c>
      <c r="AJ5558" t="s">
        <v>8244</v>
      </c>
      <c r="AK5558" t="s">
        <v>8244</v>
      </c>
    </row>
    <row r="5559" spans="29:37">
      <c r="AC5559" s="6" t="s">
        <v>5358</v>
      </c>
      <c r="AD5559" s="6" t="s">
        <v>7900</v>
      </c>
      <c r="AE5559" s="115" t="s">
        <v>908</v>
      </c>
      <c r="AF5559" s="11" t="s">
        <v>8342</v>
      </c>
      <c r="AG5559" s="115"/>
      <c r="AH5559" s="11"/>
      <c r="AI5559" s="6" t="s">
        <v>5734</v>
      </c>
      <c r="AJ5559" t="s">
        <v>8268</v>
      </c>
      <c r="AK5559" t="s">
        <v>8268</v>
      </c>
    </row>
    <row r="5560" spans="29:37">
      <c r="AC5560" s="6" t="s">
        <v>2104</v>
      </c>
      <c r="AD5560" s="6" t="s">
        <v>7902</v>
      </c>
      <c r="AE5560" s="115" t="s">
        <v>909</v>
      </c>
      <c r="AF5560" s="11" t="s">
        <v>8342</v>
      </c>
      <c r="AG5560" s="115"/>
      <c r="AH5560" s="11"/>
      <c r="AI5560" s="6" t="s">
        <v>5108</v>
      </c>
      <c r="AJ5560" t="s">
        <v>8260</v>
      </c>
      <c r="AK5560" t="s">
        <v>8678</v>
      </c>
    </row>
    <row r="5561" spans="29:37">
      <c r="AC5561" s="6" t="s">
        <v>5573</v>
      </c>
      <c r="AD5561" s="6" t="s">
        <v>7909</v>
      </c>
      <c r="AE5561" s="115" t="s">
        <v>910</v>
      </c>
      <c r="AF5561" s="11" t="s">
        <v>8299</v>
      </c>
      <c r="AG5561" s="115"/>
      <c r="AH5561" s="11"/>
      <c r="AI5561" s="6" t="s">
        <v>4477</v>
      </c>
      <c r="AJ5561" t="s">
        <v>8280</v>
      </c>
      <c r="AK5561" t="s">
        <v>8280</v>
      </c>
    </row>
    <row r="5562" spans="29:37">
      <c r="AC5562" s="6" t="s">
        <v>5362</v>
      </c>
      <c r="AD5562" s="6" t="s">
        <v>7900</v>
      </c>
      <c r="AE5562" s="115" t="s">
        <v>911</v>
      </c>
      <c r="AF5562" s="11" t="s">
        <v>8353</v>
      </c>
      <c r="AG5562" s="115"/>
      <c r="AH5562" s="11"/>
      <c r="AI5562" s="6" t="s">
        <v>3985</v>
      </c>
      <c r="AJ5562" t="s">
        <v>8260</v>
      </c>
      <c r="AK5562" t="s">
        <v>8678</v>
      </c>
    </row>
    <row r="5563" spans="29:37">
      <c r="AC5563" s="6" t="s">
        <v>5360</v>
      </c>
      <c r="AD5563" s="6" t="s">
        <v>7900</v>
      </c>
      <c r="AE5563" s="115" t="s">
        <v>1117</v>
      </c>
      <c r="AF5563" s="11" t="s">
        <v>8342</v>
      </c>
      <c r="AG5563" s="115"/>
      <c r="AH5563" s="11"/>
      <c r="AI5563" s="6" t="s">
        <v>3988</v>
      </c>
      <c r="AJ5563" t="s">
        <v>8260</v>
      </c>
      <c r="AK5563" t="s">
        <v>8678</v>
      </c>
    </row>
    <row r="5564" spans="29:37">
      <c r="AC5564" s="6" t="s">
        <v>2094</v>
      </c>
      <c r="AD5564" s="6" t="s">
        <v>7904</v>
      </c>
      <c r="AE5564" s="115" t="s">
        <v>912</v>
      </c>
      <c r="AF5564" s="11" t="s">
        <v>8342</v>
      </c>
      <c r="AG5564" s="115"/>
      <c r="AH5564" s="11"/>
      <c r="AI5564" s="6" t="s">
        <v>3989</v>
      </c>
      <c r="AJ5564" t="s">
        <v>8260</v>
      </c>
      <c r="AK5564" t="s">
        <v>8678</v>
      </c>
    </row>
    <row r="5565" spans="29:37">
      <c r="AC5565" s="6" t="s">
        <v>1150</v>
      </c>
      <c r="AD5565" s="6" t="s">
        <v>7902</v>
      </c>
      <c r="AE5565" s="115" t="s">
        <v>913</v>
      </c>
      <c r="AF5565" s="11" t="s">
        <v>8346</v>
      </c>
      <c r="AG5565" s="115"/>
      <c r="AH5565" s="11"/>
      <c r="AI5565" s="6" t="s">
        <v>3993</v>
      </c>
      <c r="AJ5565" t="s">
        <v>8260</v>
      </c>
      <c r="AK5565" t="s">
        <v>8678</v>
      </c>
    </row>
    <row r="5566" spans="29:37">
      <c r="AC5566" s="6" t="s">
        <v>4787</v>
      </c>
      <c r="AD5566" s="6" t="s">
        <v>7910</v>
      </c>
      <c r="AE5566" s="115" t="s">
        <v>914</v>
      </c>
      <c r="AF5566" s="11" t="s">
        <v>8342</v>
      </c>
      <c r="AG5566" s="115"/>
      <c r="AH5566" s="11"/>
      <c r="AI5566" s="6" t="s">
        <v>3994</v>
      </c>
      <c r="AJ5566" t="s">
        <v>8260</v>
      </c>
      <c r="AK5566" t="s">
        <v>8678</v>
      </c>
    </row>
    <row r="5567" spans="29:37">
      <c r="AC5567" s="6" t="s">
        <v>2095</v>
      </c>
      <c r="AD5567" s="6" t="s">
        <v>7904</v>
      </c>
      <c r="AE5567" s="115" t="s">
        <v>915</v>
      </c>
      <c r="AF5567" s="11" t="s">
        <v>8342</v>
      </c>
      <c r="AG5567" s="115"/>
      <c r="AH5567" s="11"/>
      <c r="AI5567" s="6" t="s">
        <v>5069</v>
      </c>
      <c r="AJ5567" t="s">
        <v>8279</v>
      </c>
      <c r="AK5567" t="s">
        <v>8679</v>
      </c>
    </row>
    <row r="5568" spans="29:37">
      <c r="AC5568" s="6" t="s">
        <v>5745</v>
      </c>
      <c r="AD5568" s="6" t="s">
        <v>7909</v>
      </c>
      <c r="AE5568" s="115" t="s">
        <v>916</v>
      </c>
      <c r="AF5568" s="11" t="s">
        <v>8299</v>
      </c>
      <c r="AG5568" s="115"/>
      <c r="AH5568" s="11"/>
      <c r="AI5568" s="6" t="s">
        <v>4032</v>
      </c>
      <c r="AJ5568" t="s">
        <v>8267</v>
      </c>
      <c r="AK5568" t="s">
        <v>8280</v>
      </c>
    </row>
    <row r="5569" spans="29:37">
      <c r="AC5569" s="6" t="s">
        <v>5572</v>
      </c>
      <c r="AD5569" s="6" t="s">
        <v>7909</v>
      </c>
      <c r="AE5569" s="115" t="s">
        <v>917</v>
      </c>
      <c r="AF5569" s="11" t="s">
        <v>8299</v>
      </c>
      <c r="AG5569" s="115"/>
      <c r="AH5569" s="11"/>
      <c r="AI5569" s="6" t="s">
        <v>5118</v>
      </c>
      <c r="AJ5569" t="s">
        <v>8267</v>
      </c>
      <c r="AK5569" t="s">
        <v>8280</v>
      </c>
    </row>
    <row r="5570" spans="29:37">
      <c r="AC5570" s="6" t="s">
        <v>1249</v>
      </c>
      <c r="AD5570" s="6" t="s">
        <v>7911</v>
      </c>
      <c r="AE5570" s="115" t="s">
        <v>918</v>
      </c>
      <c r="AF5570" s="11" t="s">
        <v>8299</v>
      </c>
      <c r="AG5570" s="115"/>
      <c r="AH5570" s="11"/>
      <c r="AI5570" s="6" t="s">
        <v>5227</v>
      </c>
      <c r="AJ5570" t="s">
        <v>8272</v>
      </c>
      <c r="AK5570" t="s">
        <v>8272</v>
      </c>
    </row>
    <row r="5571" spans="29:37">
      <c r="AC5571" s="6" t="s">
        <v>4708</v>
      </c>
      <c r="AD5571" s="6" t="s">
        <v>7909</v>
      </c>
      <c r="AE5571" s="115" t="s">
        <v>919</v>
      </c>
      <c r="AF5571" s="11" t="s">
        <v>8299</v>
      </c>
      <c r="AG5571" s="115"/>
      <c r="AH5571" s="11"/>
      <c r="AI5571" s="6" t="s">
        <v>5075</v>
      </c>
      <c r="AJ5571" t="s">
        <v>8230</v>
      </c>
      <c r="AK5571" t="s">
        <v>8230</v>
      </c>
    </row>
    <row r="5572" spans="29:37">
      <c r="AC5572" s="6" t="s">
        <v>5215</v>
      </c>
      <c r="AD5572" s="6" t="s">
        <v>7908</v>
      </c>
      <c r="AE5572" s="115" t="s">
        <v>920</v>
      </c>
      <c r="AF5572" s="11" t="s">
        <v>8299</v>
      </c>
      <c r="AG5572" s="115"/>
      <c r="AH5572" s="11"/>
      <c r="AI5572" s="6" t="s">
        <v>4058</v>
      </c>
      <c r="AJ5572" t="s">
        <v>8223</v>
      </c>
      <c r="AK5572" t="s">
        <v>8223</v>
      </c>
    </row>
    <row r="5573" spans="29:37">
      <c r="AC5573" s="6" t="s">
        <v>1813</v>
      </c>
      <c r="AD5573" s="6" t="s">
        <v>7912</v>
      </c>
      <c r="AE5573" s="115" t="s">
        <v>921</v>
      </c>
      <c r="AF5573" s="11" t="s">
        <v>8342</v>
      </c>
      <c r="AG5573" s="115"/>
      <c r="AH5573" s="11"/>
      <c r="AI5573" s="6" t="s">
        <v>4059</v>
      </c>
      <c r="AJ5573" t="s">
        <v>8260</v>
      </c>
      <c r="AK5573" t="s">
        <v>8678</v>
      </c>
    </row>
    <row r="5574" spans="29:37">
      <c r="AC5574" s="6" t="s">
        <v>5563</v>
      </c>
      <c r="AD5574" s="6" t="s">
        <v>7900</v>
      </c>
      <c r="AE5574" s="115" t="s">
        <v>1118</v>
      </c>
      <c r="AF5574" s="11" t="s">
        <v>8299</v>
      </c>
      <c r="AG5574" s="115"/>
      <c r="AH5574" s="11"/>
      <c r="AI5574" s="6" t="s">
        <v>4068</v>
      </c>
      <c r="AJ5574" t="s">
        <v>8250</v>
      </c>
      <c r="AK5574" t="s">
        <v>8250</v>
      </c>
    </row>
    <row r="5575" spans="29:37">
      <c r="AC5575" s="6" t="s">
        <v>5568</v>
      </c>
      <c r="AD5575" s="6" t="s">
        <v>7910</v>
      </c>
      <c r="AE5575" s="115" t="s">
        <v>922</v>
      </c>
      <c r="AF5575" s="11" t="s">
        <v>8342</v>
      </c>
      <c r="AG5575" s="115"/>
      <c r="AH5575" s="11"/>
      <c r="AI5575" s="6" t="s">
        <v>4070</v>
      </c>
      <c r="AJ5575" t="s">
        <v>8250</v>
      </c>
      <c r="AK5575" t="s">
        <v>8250</v>
      </c>
    </row>
    <row r="5576" spans="29:37">
      <c r="AC5576" s="6" t="s">
        <v>5222</v>
      </c>
      <c r="AD5576" s="6" t="s">
        <v>7908</v>
      </c>
      <c r="AE5576" s="115" t="s">
        <v>923</v>
      </c>
      <c r="AF5576" s="11" t="s">
        <v>8299</v>
      </c>
      <c r="AG5576" s="115"/>
      <c r="AH5576" s="11"/>
      <c r="AI5576" s="6" t="s">
        <v>1114</v>
      </c>
      <c r="AJ5576" t="s">
        <v>8250</v>
      </c>
      <c r="AK5576" t="s">
        <v>8250</v>
      </c>
    </row>
    <row r="5577" spans="29:37">
      <c r="AC5577" s="6" t="s">
        <v>5570</v>
      </c>
      <c r="AD5577" s="6" t="s">
        <v>7913</v>
      </c>
      <c r="AE5577" s="115" t="s">
        <v>924</v>
      </c>
      <c r="AF5577" s="11" t="s">
        <v>8299</v>
      </c>
      <c r="AG5577" s="115"/>
      <c r="AH5577" s="11"/>
      <c r="AI5577" s="6" t="s">
        <v>4072</v>
      </c>
      <c r="AJ5577" t="s">
        <v>8250</v>
      </c>
      <c r="AK5577" t="s">
        <v>8250</v>
      </c>
    </row>
    <row r="5578" spans="29:37">
      <c r="AC5578" s="6" t="s">
        <v>5571</v>
      </c>
      <c r="AD5578" s="6" t="s">
        <v>7914</v>
      </c>
      <c r="AE5578" s="115" t="s">
        <v>925</v>
      </c>
      <c r="AF5578" s="11" t="s">
        <v>8309</v>
      </c>
      <c r="AG5578" s="115"/>
      <c r="AH5578" s="11"/>
      <c r="AI5578" s="6" t="s">
        <v>5454</v>
      </c>
      <c r="AJ5578" t="s">
        <v>8250</v>
      </c>
      <c r="AK5578" t="s">
        <v>8250</v>
      </c>
    </row>
    <row r="5579" spans="29:37">
      <c r="AC5579" s="6" t="s">
        <v>5338</v>
      </c>
      <c r="AD5579" s="6" t="s">
        <v>7908</v>
      </c>
      <c r="AE5579" s="115" t="s">
        <v>926</v>
      </c>
      <c r="AF5579" s="11" t="s">
        <v>8311</v>
      </c>
      <c r="AG5579" s="115"/>
      <c r="AH5579" s="11"/>
      <c r="AI5579" s="6" t="s">
        <v>4078</v>
      </c>
      <c r="AJ5579" t="s">
        <v>8268</v>
      </c>
      <c r="AK5579" t="s">
        <v>8268</v>
      </c>
    </row>
    <row r="5580" spans="29:37">
      <c r="AC5580" s="6" t="s">
        <v>4786</v>
      </c>
      <c r="AD5580" s="6" t="s">
        <v>7910</v>
      </c>
      <c r="AE5580" s="115" t="s">
        <v>2210</v>
      </c>
      <c r="AF5580" s="11" t="s">
        <v>8299</v>
      </c>
      <c r="AG5580" s="115"/>
      <c r="AH5580" s="11"/>
      <c r="AI5580" s="6" t="s">
        <v>4080</v>
      </c>
      <c r="AJ5580" t="s">
        <v>8268</v>
      </c>
      <c r="AK5580" t="s">
        <v>8268</v>
      </c>
    </row>
    <row r="5581" spans="29:37">
      <c r="AC5581" s="6" t="s">
        <v>5211</v>
      </c>
      <c r="AD5581" s="6" t="s">
        <v>7908</v>
      </c>
      <c r="AE5581" s="115" t="s">
        <v>927</v>
      </c>
      <c r="AF5581" s="11" t="s">
        <v>8299</v>
      </c>
      <c r="AG5581" s="115"/>
      <c r="AH5581" s="11"/>
      <c r="AI5581" s="6" t="s">
        <v>5308</v>
      </c>
      <c r="AJ5581" t="s">
        <v>8268</v>
      </c>
      <c r="AK5581" t="s">
        <v>8268</v>
      </c>
    </row>
    <row r="5582" spans="29:37">
      <c r="AC5582" s="6" t="s">
        <v>5567</v>
      </c>
      <c r="AD5582" s="6" t="s">
        <v>7909</v>
      </c>
      <c r="AE5582" s="115" t="s">
        <v>928</v>
      </c>
      <c r="AF5582" s="11" t="s">
        <v>8320</v>
      </c>
      <c r="AG5582" s="115"/>
      <c r="AH5582" s="11"/>
      <c r="AI5582" s="6" t="s">
        <v>4082</v>
      </c>
      <c r="AJ5582" t="s">
        <v>8214</v>
      </c>
      <c r="AK5582" t="s">
        <v>8214</v>
      </c>
    </row>
    <row r="5583" spans="29:37">
      <c r="AC5583" s="6" t="s">
        <v>2098</v>
      </c>
      <c r="AD5583" s="6" t="s">
        <v>7901</v>
      </c>
      <c r="AE5583" s="115" t="s">
        <v>929</v>
      </c>
      <c r="AF5583" s="11" t="s">
        <v>8299</v>
      </c>
      <c r="AG5583" s="115"/>
      <c r="AH5583" s="11"/>
      <c r="AI5583" s="6" t="s">
        <v>4083</v>
      </c>
      <c r="AJ5583" t="s">
        <v>8214</v>
      </c>
      <c r="AK5583" t="s">
        <v>8214</v>
      </c>
    </row>
    <row r="5584" spans="29:37">
      <c r="AC5584" s="6" t="s">
        <v>5044</v>
      </c>
      <c r="AD5584" s="6" t="s">
        <v>7915</v>
      </c>
      <c r="AE5584" s="115" t="s">
        <v>930</v>
      </c>
      <c r="AF5584" s="11" t="s">
        <v>8309</v>
      </c>
      <c r="AG5584" s="115"/>
      <c r="AH5584" s="11"/>
      <c r="AI5584" s="6" t="s">
        <v>4084</v>
      </c>
      <c r="AJ5584" t="s">
        <v>8214</v>
      </c>
      <c r="AK5584" t="s">
        <v>8214</v>
      </c>
    </row>
    <row r="5585" spans="29:37">
      <c r="AC5585" s="6" t="s">
        <v>5564</v>
      </c>
      <c r="AD5585" s="6" t="s">
        <v>7900</v>
      </c>
      <c r="AE5585" s="115" t="s">
        <v>680</v>
      </c>
      <c r="AF5585" s="11" t="s">
        <v>8320</v>
      </c>
      <c r="AG5585" s="115"/>
      <c r="AH5585" s="11"/>
      <c r="AI5585" s="6" t="s">
        <v>4085</v>
      </c>
      <c r="AJ5585" t="s">
        <v>8214</v>
      </c>
      <c r="AK5585" t="s">
        <v>8214</v>
      </c>
    </row>
    <row r="5586" spans="29:37">
      <c r="AC5586" s="6" t="s">
        <v>5339</v>
      </c>
      <c r="AD5586" s="6" t="s">
        <v>7908</v>
      </c>
      <c r="AE5586" s="115" t="s">
        <v>931</v>
      </c>
      <c r="AF5586" s="11" t="s">
        <v>8299</v>
      </c>
      <c r="AG5586" s="115"/>
      <c r="AH5586" s="11"/>
      <c r="AI5586" s="6" t="s">
        <v>5531</v>
      </c>
      <c r="AJ5586" t="s">
        <v>8250</v>
      </c>
      <c r="AK5586" t="s">
        <v>8250</v>
      </c>
    </row>
    <row r="5587" spans="29:37">
      <c r="AC5587" s="6" t="s">
        <v>5729</v>
      </c>
      <c r="AD5587" s="6" t="s">
        <v>7916</v>
      </c>
      <c r="AE5587" s="115" t="s">
        <v>932</v>
      </c>
      <c r="AF5587" s="11" t="s">
        <v>8299</v>
      </c>
      <c r="AG5587" s="115"/>
      <c r="AH5587" s="11"/>
      <c r="AI5587" s="6" t="s">
        <v>5536</v>
      </c>
      <c r="AJ5587" t="s">
        <v>8250</v>
      </c>
      <c r="AK5587" t="s">
        <v>8250</v>
      </c>
    </row>
    <row r="5588" spans="29:37">
      <c r="AC5588" s="6" t="s">
        <v>2099</v>
      </c>
      <c r="AD5588" s="6" t="s">
        <v>7901</v>
      </c>
      <c r="AE5588" s="115" t="s">
        <v>933</v>
      </c>
      <c r="AF5588" s="11" t="s">
        <v>8342</v>
      </c>
      <c r="AG5588" s="115"/>
      <c r="AH5588" s="11"/>
      <c r="AI5588" s="6" t="s">
        <v>4098</v>
      </c>
      <c r="AJ5588" t="s">
        <v>8260</v>
      </c>
      <c r="AK5588" t="s">
        <v>8678</v>
      </c>
    </row>
    <row r="5589" spans="29:37">
      <c r="AC5589" s="6" t="s">
        <v>5740</v>
      </c>
      <c r="AD5589" s="6" t="s">
        <v>7900</v>
      </c>
      <c r="AE5589" s="115" t="s">
        <v>2306</v>
      </c>
      <c r="AF5589" s="11" t="s">
        <v>8299</v>
      </c>
      <c r="AG5589" s="115"/>
      <c r="AH5589" s="11"/>
      <c r="AI5589" s="6" t="s">
        <v>4099</v>
      </c>
      <c r="AJ5589" t="s">
        <v>8260</v>
      </c>
      <c r="AK5589" t="s">
        <v>8678</v>
      </c>
    </row>
    <row r="5590" spans="29:37">
      <c r="AC5590" s="6" t="s">
        <v>4773</v>
      </c>
      <c r="AD5590" s="6" t="s">
        <v>7916</v>
      </c>
      <c r="AE5590" s="115" t="s">
        <v>2294</v>
      </c>
      <c r="AF5590" s="11" t="s">
        <v>8330</v>
      </c>
      <c r="AG5590" s="115"/>
      <c r="AH5590" s="11"/>
      <c r="AI5590" s="6" t="s">
        <v>5472</v>
      </c>
      <c r="AJ5590" t="s">
        <v>8265</v>
      </c>
      <c r="AK5590" t="s">
        <v>8265</v>
      </c>
    </row>
    <row r="5591" spans="29:37">
      <c r="AC5591" s="6" t="s">
        <v>2100</v>
      </c>
      <c r="AD5591" s="6" t="s">
        <v>7901</v>
      </c>
      <c r="AE5591" s="115" t="s">
        <v>1806</v>
      </c>
      <c r="AF5591" s="11" t="s">
        <v>8299</v>
      </c>
      <c r="AG5591" s="115"/>
      <c r="AH5591" s="11"/>
      <c r="AI5591" s="6" t="s">
        <v>5168</v>
      </c>
      <c r="AJ5591" t="s">
        <v>8262</v>
      </c>
      <c r="AK5591" t="s">
        <v>8262</v>
      </c>
    </row>
    <row r="5592" spans="29:37">
      <c r="AC5592" s="6" t="s">
        <v>2097</v>
      </c>
      <c r="AD5592" s="6" t="s">
        <v>7901</v>
      </c>
      <c r="AE5592" s="115" t="s">
        <v>2213</v>
      </c>
      <c r="AF5592" s="11" t="s">
        <v>8299</v>
      </c>
      <c r="AG5592" s="115"/>
      <c r="AH5592" s="11"/>
      <c r="AI5592" s="6" t="s">
        <v>5113</v>
      </c>
      <c r="AJ5592" t="s">
        <v>8262</v>
      </c>
      <c r="AK5592" t="s">
        <v>8262</v>
      </c>
    </row>
    <row r="5593" spans="29:37">
      <c r="AC5593" s="6" t="s">
        <v>1821</v>
      </c>
      <c r="AD5593" s="6" t="s">
        <v>7917</v>
      </c>
      <c r="AE5593" s="115" t="s">
        <v>2172</v>
      </c>
      <c r="AF5593" s="11" t="s">
        <v>8300</v>
      </c>
      <c r="AG5593" s="115"/>
      <c r="AH5593" s="11"/>
      <c r="AI5593" s="6" t="s">
        <v>5045</v>
      </c>
      <c r="AJ5593" t="s">
        <v>8262</v>
      </c>
      <c r="AK5593" t="s">
        <v>8262</v>
      </c>
    </row>
    <row r="5594" spans="29:37">
      <c r="AC5594" s="6" t="s">
        <v>5492</v>
      </c>
      <c r="AD5594" s="6" t="s">
        <v>7913</v>
      </c>
      <c r="AE5594" s="115" t="s">
        <v>2252</v>
      </c>
      <c r="AF5594" s="11" t="s">
        <v>8299</v>
      </c>
      <c r="AG5594" s="115"/>
      <c r="AH5594" s="11"/>
      <c r="AI5594" s="6" t="s">
        <v>5136</v>
      </c>
      <c r="AJ5594" t="s">
        <v>8214</v>
      </c>
      <c r="AK5594" t="s">
        <v>8214</v>
      </c>
    </row>
    <row r="5595" spans="29:37">
      <c r="AC5595" s="6" t="s">
        <v>5739</v>
      </c>
      <c r="AD5595" s="6" t="s">
        <v>7916</v>
      </c>
      <c r="AE5595" s="115" t="s">
        <v>2156</v>
      </c>
      <c r="AF5595" s="11" t="s">
        <v>8300</v>
      </c>
      <c r="AG5595" s="115"/>
      <c r="AH5595" s="11"/>
      <c r="AI5595" s="6" t="s">
        <v>4179</v>
      </c>
      <c r="AJ5595" t="s">
        <v>8223</v>
      </c>
      <c r="AK5595" t="s">
        <v>8223</v>
      </c>
    </row>
    <row r="5596" spans="29:37">
      <c r="AC5596" s="6" t="s">
        <v>2021</v>
      </c>
      <c r="AD5596" s="6" t="s">
        <v>7918</v>
      </c>
      <c r="AE5596" s="115" t="s">
        <v>2173</v>
      </c>
      <c r="AF5596" s="11" t="s">
        <v>8297</v>
      </c>
      <c r="AG5596" s="115"/>
      <c r="AH5596" s="11"/>
      <c r="AI5596" s="6" t="s">
        <v>4180</v>
      </c>
      <c r="AJ5596" t="s">
        <v>8223</v>
      </c>
      <c r="AK5596" t="s">
        <v>8223</v>
      </c>
    </row>
    <row r="5597" spans="29:37">
      <c r="AC5597" s="6" t="s">
        <v>1822</v>
      </c>
      <c r="AD5597" s="6" t="s">
        <v>7917</v>
      </c>
      <c r="AE5597" s="115" t="s">
        <v>935</v>
      </c>
      <c r="AF5597" s="11" t="s">
        <v>8300</v>
      </c>
      <c r="AG5597" s="115"/>
      <c r="AH5597" s="11"/>
      <c r="AI5597" s="6" t="s">
        <v>3566</v>
      </c>
      <c r="AJ5597" t="s">
        <v>8214</v>
      </c>
      <c r="AK5597" t="s">
        <v>8214</v>
      </c>
    </row>
    <row r="5598" spans="29:37">
      <c r="AC5598" s="6" t="s">
        <v>1823</v>
      </c>
      <c r="AD5598" s="6" t="s">
        <v>7917</v>
      </c>
      <c r="AE5598" s="115" t="s">
        <v>2157</v>
      </c>
      <c r="AF5598" s="11" t="s">
        <v>8300</v>
      </c>
      <c r="AG5598" s="115"/>
      <c r="AH5598" s="11"/>
      <c r="AI5598" s="6" t="s">
        <v>3915</v>
      </c>
      <c r="AJ5598" t="s">
        <v>8268</v>
      </c>
      <c r="AK5598" t="s">
        <v>8268</v>
      </c>
    </row>
    <row r="5599" spans="29:37">
      <c r="AC5599" s="6" t="s">
        <v>4725</v>
      </c>
      <c r="AD5599" s="6" t="s">
        <v>7910</v>
      </c>
      <c r="AE5599" s="115" t="s">
        <v>2180</v>
      </c>
      <c r="AF5599" s="11" t="s">
        <v>8299</v>
      </c>
      <c r="AG5599" s="115"/>
      <c r="AH5599" s="11"/>
      <c r="AI5599" s="6">
        <v>75420</v>
      </c>
      <c r="AJ5599" t="s">
        <v>8216</v>
      </c>
      <c r="AK5599" t="s">
        <v>8216</v>
      </c>
    </row>
    <row r="5600" spans="29:37">
      <c r="AC5600" s="6" t="s">
        <v>2264</v>
      </c>
      <c r="AD5600" s="6" t="s">
        <v>7919</v>
      </c>
      <c r="AE5600" s="115" t="s">
        <v>2158</v>
      </c>
      <c r="AF5600" s="11" t="s">
        <v>8300</v>
      </c>
      <c r="AG5600" s="115"/>
      <c r="AH5600" s="11"/>
      <c r="AI5600" s="6">
        <v>105575</v>
      </c>
      <c r="AJ5600" t="s">
        <v>8283</v>
      </c>
      <c r="AK5600" t="s">
        <v>8283</v>
      </c>
    </row>
    <row r="5601" spans="29:37">
      <c r="AC5601" s="6" t="s">
        <v>4702</v>
      </c>
      <c r="AD5601" s="6" t="s">
        <v>7920</v>
      </c>
      <c r="AE5601" s="115" t="s">
        <v>2185</v>
      </c>
      <c r="AF5601" s="11" t="s">
        <v>8299</v>
      </c>
      <c r="AG5601" s="115"/>
      <c r="AH5601" s="11"/>
      <c r="AI5601" s="6">
        <v>105579</v>
      </c>
      <c r="AJ5601" t="s">
        <v>8283</v>
      </c>
      <c r="AK5601" t="s">
        <v>8283</v>
      </c>
    </row>
    <row r="5602" spans="29:37">
      <c r="AC5602" s="6" t="s">
        <v>2042</v>
      </c>
      <c r="AD5602" s="6" t="s">
        <v>7921</v>
      </c>
      <c r="AE5602" s="115">
        <v>685439</v>
      </c>
      <c r="AF5602" s="11" t="s">
        <v>8309</v>
      </c>
      <c r="AG5602" s="115"/>
      <c r="AH5602" s="11"/>
      <c r="AI5602" s="6">
        <v>106332</v>
      </c>
      <c r="AJ5602" t="s">
        <v>8283</v>
      </c>
      <c r="AK5602" t="s">
        <v>8283</v>
      </c>
    </row>
    <row r="5603" spans="29:37">
      <c r="AC5603" s="6" t="s">
        <v>2040</v>
      </c>
      <c r="AD5603" s="6" t="s">
        <v>7921</v>
      </c>
      <c r="AE5603" s="115">
        <v>755462</v>
      </c>
      <c r="AF5603" s="11" t="s">
        <v>8300</v>
      </c>
      <c r="AG5603" s="115"/>
      <c r="AH5603" s="11"/>
      <c r="AI5603" s="6">
        <v>115593</v>
      </c>
      <c r="AJ5603" t="s">
        <v>8260</v>
      </c>
      <c r="AK5603" t="s">
        <v>8678</v>
      </c>
    </row>
    <row r="5604" spans="29:37">
      <c r="AC5604" s="6" t="s">
        <v>2043</v>
      </c>
      <c r="AD5604" s="6" t="s">
        <v>7921</v>
      </c>
      <c r="AE5604" s="115">
        <v>755463</v>
      </c>
      <c r="AF5604" s="11" t="s">
        <v>8299</v>
      </c>
      <c r="AG5604" s="115"/>
      <c r="AH5604" s="11"/>
      <c r="AI5604" s="6">
        <v>115594</v>
      </c>
      <c r="AJ5604" t="s">
        <v>8214</v>
      </c>
      <c r="AK5604" t="s">
        <v>8214</v>
      </c>
    </row>
    <row r="5605" spans="29:37">
      <c r="AC5605" s="6" t="s">
        <v>2132</v>
      </c>
      <c r="AD5605" s="6" t="s">
        <v>7922</v>
      </c>
      <c r="AE5605" s="115" t="s">
        <v>2193</v>
      </c>
      <c r="AF5605" s="11" t="s">
        <v>8300</v>
      </c>
      <c r="AG5605" s="115"/>
      <c r="AH5605" s="11"/>
      <c r="AI5605" s="6">
        <v>115597</v>
      </c>
      <c r="AJ5605" t="s">
        <v>8214</v>
      </c>
      <c r="AK5605" t="s">
        <v>8214</v>
      </c>
    </row>
    <row r="5606" spans="29:37">
      <c r="AC5606" s="6" t="s">
        <v>5333</v>
      </c>
      <c r="AD5606" s="6" t="s">
        <v>7923</v>
      </c>
      <c r="AE5606" s="115" t="s">
        <v>2281</v>
      </c>
      <c r="AF5606" s="11" t="s">
        <v>8296</v>
      </c>
      <c r="AG5606" s="115"/>
      <c r="AH5606" s="11"/>
      <c r="AI5606" s="6">
        <v>116559</v>
      </c>
      <c r="AJ5606" t="s">
        <v>8260</v>
      </c>
      <c r="AK5606" t="s">
        <v>8678</v>
      </c>
    </row>
    <row r="5607" spans="29:37">
      <c r="AC5607" s="6" t="s">
        <v>5744</v>
      </c>
      <c r="AD5607" s="6" t="s">
        <v>7924</v>
      </c>
      <c r="AE5607" s="115" t="s">
        <v>2295</v>
      </c>
      <c r="AF5607" s="11" t="s">
        <v>8325</v>
      </c>
      <c r="AG5607" s="115"/>
      <c r="AH5607" s="11"/>
      <c r="AI5607" s="6">
        <v>145627</v>
      </c>
      <c r="AJ5607" t="s">
        <v>8214</v>
      </c>
      <c r="AK5607" t="s">
        <v>8214</v>
      </c>
    </row>
    <row r="5608" spans="29:37">
      <c r="AC5608" s="6" t="s">
        <v>5334</v>
      </c>
      <c r="AD5608" s="6" t="s">
        <v>7923</v>
      </c>
      <c r="AE5608" s="115" t="s">
        <v>2296</v>
      </c>
      <c r="AF5608" s="11" t="s">
        <v>8311</v>
      </c>
      <c r="AG5608" s="115"/>
      <c r="AH5608" s="11"/>
      <c r="AI5608" s="6">
        <v>145628</v>
      </c>
      <c r="AJ5608" t="s">
        <v>8214</v>
      </c>
      <c r="AK5608" t="s">
        <v>8214</v>
      </c>
    </row>
    <row r="5609" spans="29:37">
      <c r="AC5609" s="6" t="s">
        <v>5337</v>
      </c>
      <c r="AD5609" s="6" t="s">
        <v>7925</v>
      </c>
      <c r="AE5609" s="115" t="s">
        <v>2155</v>
      </c>
      <c r="AF5609" s="11" t="s">
        <v>8300</v>
      </c>
      <c r="AG5609" s="115"/>
      <c r="AH5609" s="11"/>
      <c r="AI5609" s="6">
        <v>155812</v>
      </c>
      <c r="AJ5609" t="s">
        <v>8214</v>
      </c>
      <c r="AK5609" t="s">
        <v>8214</v>
      </c>
    </row>
    <row r="5610" spans="29:37">
      <c r="AC5610" s="6" t="s">
        <v>2025</v>
      </c>
      <c r="AD5610" s="6" t="s">
        <v>7926</v>
      </c>
      <c r="AE5610" s="115" t="s">
        <v>2194</v>
      </c>
      <c r="AF5610" s="11" t="s">
        <v>8300</v>
      </c>
      <c r="AG5610" s="115"/>
      <c r="AH5610" s="11"/>
      <c r="AI5610" s="6">
        <v>155813</v>
      </c>
      <c r="AJ5610" t="s">
        <v>8214</v>
      </c>
      <c r="AK5610" t="s">
        <v>8214</v>
      </c>
    </row>
    <row r="5611" spans="29:37">
      <c r="AC5611" s="6" t="s">
        <v>5335</v>
      </c>
      <c r="AD5611" s="6" t="s">
        <v>7923</v>
      </c>
      <c r="AE5611" s="115" t="s">
        <v>2258</v>
      </c>
      <c r="AF5611" s="11" t="s">
        <v>8299</v>
      </c>
      <c r="AG5611" s="115"/>
      <c r="AH5611" s="11"/>
      <c r="AI5611" s="6">
        <v>155814</v>
      </c>
      <c r="AJ5611" t="s">
        <v>8214</v>
      </c>
      <c r="AK5611" t="s">
        <v>8214</v>
      </c>
    </row>
    <row r="5612" spans="29:37">
      <c r="AC5612" s="6" t="s">
        <v>2028</v>
      </c>
      <c r="AD5612" s="6" t="s">
        <v>7927</v>
      </c>
      <c r="AE5612" s="115" t="s">
        <v>2259</v>
      </c>
      <c r="AF5612" s="11" t="s">
        <v>8320</v>
      </c>
      <c r="AG5612" s="115"/>
      <c r="AH5612" s="11"/>
      <c r="AI5612" s="6" t="s">
        <v>4250</v>
      </c>
      <c r="AJ5612" t="s">
        <v>8266</v>
      </c>
      <c r="AK5612" t="s">
        <v>8266</v>
      </c>
    </row>
    <row r="5613" spans="29:37">
      <c r="AC5613" s="6" t="s">
        <v>5273</v>
      </c>
      <c r="AD5613" s="6" t="s">
        <v>7928</v>
      </c>
      <c r="AE5613" s="115" t="s">
        <v>2235</v>
      </c>
      <c r="AF5613" s="11" t="s">
        <v>8299</v>
      </c>
      <c r="AG5613" s="115"/>
      <c r="AH5613" s="11"/>
      <c r="AI5613" s="6" t="s">
        <v>4302</v>
      </c>
      <c r="AJ5613" t="s">
        <v>8266</v>
      </c>
      <c r="AK5613" t="s">
        <v>8266</v>
      </c>
    </row>
    <row r="5614" spans="29:37">
      <c r="AC5614" s="6" t="s">
        <v>2027</v>
      </c>
      <c r="AD5614" s="6" t="s">
        <v>7927</v>
      </c>
      <c r="AE5614" s="115" t="s">
        <v>2041</v>
      </c>
      <c r="AF5614" s="11" t="s">
        <v>8309</v>
      </c>
      <c r="AG5614" s="115"/>
      <c r="AH5614" s="11"/>
      <c r="AI5614" s="6">
        <v>275243</v>
      </c>
      <c r="AJ5614" t="s">
        <v>8250</v>
      </c>
      <c r="AK5614" t="s">
        <v>8250</v>
      </c>
    </row>
    <row r="5615" spans="29:37">
      <c r="AC5615" s="6" t="s">
        <v>2044</v>
      </c>
      <c r="AD5615" s="6" t="s">
        <v>7921</v>
      </c>
      <c r="AE5615" s="115" t="s">
        <v>2040</v>
      </c>
      <c r="AF5615" s="11" t="s">
        <v>8300</v>
      </c>
      <c r="AG5615" s="115"/>
      <c r="AH5615" s="11"/>
      <c r="AI5615" s="6">
        <v>285291</v>
      </c>
      <c r="AJ5615" t="s">
        <v>8214</v>
      </c>
      <c r="AK5615" t="s">
        <v>8214</v>
      </c>
    </row>
    <row r="5616" spans="29:37">
      <c r="AC5616" s="6" t="s">
        <v>2046</v>
      </c>
      <c r="AD5616" s="6" t="s">
        <v>7921</v>
      </c>
      <c r="AE5616" s="115" t="s">
        <v>2042</v>
      </c>
      <c r="AF5616" s="11" t="s">
        <v>8320</v>
      </c>
      <c r="AG5616" s="115"/>
      <c r="AH5616" s="11"/>
      <c r="AI5616" s="6">
        <v>285418</v>
      </c>
      <c r="AJ5616" t="s">
        <v>8214</v>
      </c>
      <c r="AK5616" t="s">
        <v>8214</v>
      </c>
    </row>
    <row r="5617" spans="29:37">
      <c r="AC5617" s="6" t="s">
        <v>4342</v>
      </c>
      <c r="AD5617" s="6" t="s">
        <v>7929</v>
      </c>
      <c r="AE5617" s="115" t="s">
        <v>2043</v>
      </c>
      <c r="AF5617" s="11" t="s">
        <v>8300</v>
      </c>
      <c r="AG5617" s="115"/>
      <c r="AH5617" s="11"/>
      <c r="AI5617" s="6" t="s">
        <v>4324</v>
      </c>
      <c r="AJ5617" t="s">
        <v>8250</v>
      </c>
      <c r="AK5617" t="s">
        <v>8250</v>
      </c>
    </row>
    <row r="5618" spans="29:37">
      <c r="AC5618" s="6" t="s">
        <v>5336</v>
      </c>
      <c r="AD5618" s="6" t="s">
        <v>7923</v>
      </c>
      <c r="AE5618" s="115" t="s">
        <v>2044</v>
      </c>
      <c r="AF5618" s="11" t="s">
        <v>8300</v>
      </c>
      <c r="AG5618" s="115"/>
      <c r="AH5618" s="11"/>
      <c r="AI5618" s="6">
        <v>365583</v>
      </c>
      <c r="AJ5618" t="s">
        <v>8268</v>
      </c>
      <c r="AK5618" t="s">
        <v>8268</v>
      </c>
    </row>
    <row r="5619" spans="29:37">
      <c r="AC5619" s="6" t="s">
        <v>4343</v>
      </c>
      <c r="AD5619" s="6" t="s">
        <v>7930</v>
      </c>
      <c r="AE5619" s="115" t="s">
        <v>2045</v>
      </c>
      <c r="AF5619" s="11" t="s">
        <v>8299</v>
      </c>
      <c r="AG5619" s="115"/>
      <c r="AH5619" s="11"/>
      <c r="AI5619" s="6" t="s">
        <v>4368</v>
      </c>
      <c r="AJ5619" t="s">
        <v>8279</v>
      </c>
      <c r="AK5619" t="s">
        <v>8679</v>
      </c>
    </row>
    <row r="5620" spans="29:37">
      <c r="AC5620" s="6" t="s">
        <v>2045</v>
      </c>
      <c r="AD5620" s="6" t="s">
        <v>7921</v>
      </c>
      <c r="AE5620" s="115" t="s">
        <v>2046</v>
      </c>
      <c r="AF5620" s="11" t="s">
        <v>8300</v>
      </c>
      <c r="AG5620" s="115"/>
      <c r="AH5620" s="11"/>
      <c r="AI5620" s="6" t="s">
        <v>4369</v>
      </c>
      <c r="AJ5620" t="s">
        <v>8279</v>
      </c>
      <c r="AK5620" t="s">
        <v>8679</v>
      </c>
    </row>
    <row r="5621" spans="29:37">
      <c r="AC5621" s="6" t="s">
        <v>4344</v>
      </c>
      <c r="AD5621" s="6" t="s">
        <v>7931</v>
      </c>
      <c r="AE5621" s="115" t="s">
        <v>1725</v>
      </c>
      <c r="AF5621" s="11" t="s">
        <v>8611</v>
      </c>
      <c r="AG5621" s="115"/>
      <c r="AH5621" s="11"/>
      <c r="AI5621" s="6" t="s">
        <v>4374</v>
      </c>
      <c r="AJ5621" t="s">
        <v>8268</v>
      </c>
      <c r="AK5621" t="s">
        <v>8268</v>
      </c>
    </row>
    <row r="5622" spans="29:37">
      <c r="AC5622" s="6" t="s">
        <v>4347</v>
      </c>
      <c r="AD5622" s="6" t="s">
        <v>7932</v>
      </c>
      <c r="AE5622" s="115" t="s">
        <v>1736</v>
      </c>
      <c r="AF5622" s="11" t="s">
        <v>8300</v>
      </c>
      <c r="AG5622" s="115"/>
      <c r="AH5622" s="11"/>
      <c r="AI5622" s="6" t="s">
        <v>4387</v>
      </c>
      <c r="AJ5622" t="s">
        <v>8278</v>
      </c>
      <c r="AK5622" t="s">
        <v>8278</v>
      </c>
    </row>
    <row r="5623" spans="29:37">
      <c r="AC5623" s="6" t="s">
        <v>4345</v>
      </c>
      <c r="AD5623" s="6" t="s">
        <v>7932</v>
      </c>
      <c r="AE5623" s="115" t="s">
        <v>1737</v>
      </c>
      <c r="AF5623" s="11" t="s">
        <v>8300</v>
      </c>
      <c r="AG5623" s="115"/>
      <c r="AH5623" s="11"/>
      <c r="AI5623" s="6" t="s">
        <v>4388</v>
      </c>
      <c r="AJ5623" t="s">
        <v>8282</v>
      </c>
      <c r="AK5623" t="s">
        <v>8282</v>
      </c>
    </row>
    <row r="5624" spans="29:37">
      <c r="AC5624" s="6" t="s">
        <v>2029</v>
      </c>
      <c r="AD5624" s="6" t="s">
        <v>7927</v>
      </c>
      <c r="AE5624" s="115" t="s">
        <v>1738</v>
      </c>
      <c r="AF5624" s="11" t="s">
        <v>8300</v>
      </c>
      <c r="AG5624" s="115"/>
      <c r="AH5624" s="11"/>
      <c r="AI5624" s="6" t="s">
        <v>4389</v>
      </c>
      <c r="AJ5624" t="s">
        <v>8282</v>
      </c>
      <c r="AK5624" t="s">
        <v>8282</v>
      </c>
    </row>
    <row r="5625" spans="29:37">
      <c r="AC5625" s="6" t="s">
        <v>4346</v>
      </c>
      <c r="AD5625" s="6" t="s">
        <v>7932</v>
      </c>
      <c r="AE5625" s="115" t="s">
        <v>1739</v>
      </c>
      <c r="AF5625" s="11" t="s">
        <v>8300</v>
      </c>
      <c r="AG5625" s="115"/>
      <c r="AH5625" s="11"/>
      <c r="AI5625" s="6" t="s">
        <v>4390</v>
      </c>
      <c r="AJ5625" t="s">
        <v>8268</v>
      </c>
      <c r="AK5625" t="s">
        <v>8268</v>
      </c>
    </row>
    <row r="5626" spans="29:37">
      <c r="AC5626" s="6" t="s">
        <v>3622</v>
      </c>
      <c r="AD5626" s="6" t="s">
        <v>7925</v>
      </c>
      <c r="AE5626" s="115" t="s">
        <v>1886</v>
      </c>
      <c r="AF5626" s="11" t="s">
        <v>8406</v>
      </c>
      <c r="AG5626" s="115"/>
      <c r="AH5626" s="11"/>
      <c r="AI5626" s="6" t="s">
        <v>1680</v>
      </c>
      <c r="AJ5626" t="s">
        <v>8214</v>
      </c>
      <c r="AK5626" t="s">
        <v>8214</v>
      </c>
    </row>
    <row r="5627" spans="29:37">
      <c r="AC5627" s="6" t="s">
        <v>3621</v>
      </c>
      <c r="AD5627" s="6" t="s">
        <v>7925</v>
      </c>
      <c r="AE5627" s="115" t="s">
        <v>1887</v>
      </c>
      <c r="AF5627" s="11" t="s">
        <v>8612</v>
      </c>
      <c r="AG5627" s="115"/>
      <c r="AH5627" s="11"/>
      <c r="AI5627" s="6" t="s">
        <v>4395</v>
      </c>
      <c r="AJ5627" t="s">
        <v>8214</v>
      </c>
      <c r="AK5627" t="s">
        <v>8214</v>
      </c>
    </row>
    <row r="5628" spans="29:37">
      <c r="AC5628" s="6" t="s">
        <v>2038</v>
      </c>
      <c r="AD5628" s="6" t="s">
        <v>7933</v>
      </c>
      <c r="AE5628" s="115" t="s">
        <v>1925</v>
      </c>
      <c r="AF5628" s="11" t="s">
        <v>8300</v>
      </c>
      <c r="AG5628" s="115"/>
      <c r="AH5628" s="11"/>
      <c r="AI5628" s="6">
        <v>796326</v>
      </c>
      <c r="AJ5628" t="s">
        <v>8282</v>
      </c>
      <c r="AK5628" t="s">
        <v>8282</v>
      </c>
    </row>
    <row r="5629" spans="29:37">
      <c r="AC5629" s="6" t="s">
        <v>2039</v>
      </c>
      <c r="AD5629" s="6" t="s">
        <v>7933</v>
      </c>
      <c r="AE5629" s="115" t="s">
        <v>1951</v>
      </c>
      <c r="AF5629" s="11" t="s">
        <v>8300</v>
      </c>
      <c r="AG5629" s="115"/>
      <c r="AH5629" s="11"/>
      <c r="AI5629" s="6">
        <v>796327</v>
      </c>
      <c r="AJ5629" t="s">
        <v>8282</v>
      </c>
      <c r="AK5629" t="s">
        <v>8282</v>
      </c>
    </row>
    <row r="5630" spans="29:37">
      <c r="AC5630" s="6" t="s">
        <v>2035</v>
      </c>
      <c r="AD5630" s="6" t="s">
        <v>7933</v>
      </c>
      <c r="AE5630" s="115" t="s">
        <v>1952</v>
      </c>
      <c r="AF5630" s="11" t="s">
        <v>8339</v>
      </c>
      <c r="AG5630" s="115"/>
      <c r="AH5630" s="11"/>
      <c r="AI5630" s="6">
        <v>796328</v>
      </c>
      <c r="AJ5630" t="s">
        <v>8282</v>
      </c>
      <c r="AK5630" t="s">
        <v>8282</v>
      </c>
    </row>
    <row r="5631" spans="29:37">
      <c r="AC5631" s="6" t="s">
        <v>2036</v>
      </c>
      <c r="AD5631" s="6" t="s">
        <v>7933</v>
      </c>
      <c r="AE5631" s="115" t="s">
        <v>1953</v>
      </c>
      <c r="AF5631" s="11" t="s">
        <v>8300</v>
      </c>
      <c r="AG5631" s="115"/>
      <c r="AH5631" s="11"/>
      <c r="AI5631" s="6">
        <v>796329</v>
      </c>
      <c r="AJ5631" t="s">
        <v>8282</v>
      </c>
      <c r="AK5631" t="s">
        <v>8282</v>
      </c>
    </row>
    <row r="5632" spans="29:37">
      <c r="AC5632" s="6" t="s">
        <v>2033</v>
      </c>
      <c r="AD5632" s="6" t="s">
        <v>7933</v>
      </c>
      <c r="AE5632" s="115" t="s">
        <v>1954</v>
      </c>
      <c r="AF5632" s="11" t="s">
        <v>8299</v>
      </c>
      <c r="AG5632" s="115"/>
      <c r="AH5632" s="11"/>
      <c r="AI5632" s="6">
        <v>806334</v>
      </c>
      <c r="AJ5632" t="s">
        <v>8260</v>
      </c>
      <c r="AK5632" t="s">
        <v>8678</v>
      </c>
    </row>
    <row r="5633" spans="29:37">
      <c r="AC5633" s="6" t="s">
        <v>2034</v>
      </c>
      <c r="AD5633" s="6" t="s">
        <v>7933</v>
      </c>
      <c r="AE5633" s="115" t="s">
        <v>1955</v>
      </c>
      <c r="AF5633" s="11" t="s">
        <v>8309</v>
      </c>
      <c r="AG5633" s="115"/>
      <c r="AH5633" s="11"/>
      <c r="AI5633" s="6">
        <v>816330</v>
      </c>
      <c r="AJ5633" t="s">
        <v>8282</v>
      </c>
      <c r="AK5633" t="s">
        <v>8282</v>
      </c>
    </row>
    <row r="5634" spans="29:37">
      <c r="AC5634" s="6" t="s">
        <v>6735</v>
      </c>
      <c r="AD5634" s="6" t="s">
        <v>7934</v>
      </c>
      <c r="AE5634" s="115" t="s">
        <v>1757</v>
      </c>
      <c r="AF5634" s="11" t="s">
        <v>8300</v>
      </c>
      <c r="AG5634" s="115"/>
      <c r="AH5634" s="11"/>
      <c r="AI5634" s="6">
        <v>816331</v>
      </c>
      <c r="AJ5634" t="s">
        <v>8282</v>
      </c>
      <c r="AK5634" t="s">
        <v>8282</v>
      </c>
    </row>
    <row r="5635" spans="29:37">
      <c r="AC5635" s="6" t="s">
        <v>5814</v>
      </c>
      <c r="AD5635" s="6" t="s">
        <v>7934</v>
      </c>
      <c r="AE5635" s="115" t="s">
        <v>1759</v>
      </c>
      <c r="AF5635" s="11" t="s">
        <v>8300</v>
      </c>
      <c r="AG5635" s="115"/>
      <c r="AH5635" s="11"/>
      <c r="AI5635" s="6">
        <v>816558</v>
      </c>
      <c r="AJ5635" t="s">
        <v>8282</v>
      </c>
      <c r="AK5635" t="s">
        <v>8282</v>
      </c>
    </row>
    <row r="5636" spans="29:37">
      <c r="AC5636" s="6" t="s">
        <v>5322</v>
      </c>
      <c r="AD5636" s="6" t="s">
        <v>7925</v>
      </c>
      <c r="AE5636" s="115" t="s">
        <v>1913</v>
      </c>
      <c r="AF5636" s="11" t="s">
        <v>8346</v>
      </c>
      <c r="AG5636" s="115"/>
      <c r="AH5636" s="11"/>
      <c r="AI5636" s="6">
        <v>856354</v>
      </c>
      <c r="AJ5636" t="s">
        <v>8283</v>
      </c>
      <c r="AK5636" t="s">
        <v>8283</v>
      </c>
    </row>
    <row r="5637" spans="29:37">
      <c r="AC5637" s="6" t="s">
        <v>2037</v>
      </c>
      <c r="AD5637" s="6" t="s">
        <v>7933</v>
      </c>
      <c r="AE5637" s="115" t="s">
        <v>1981</v>
      </c>
      <c r="AF5637" s="11" t="s">
        <v>8339</v>
      </c>
      <c r="AG5637" s="115"/>
      <c r="AH5637" s="11"/>
      <c r="AI5637" s="6" t="s">
        <v>4468</v>
      </c>
      <c r="AJ5637" t="s">
        <v>8272</v>
      </c>
      <c r="AK5637" t="s">
        <v>8272</v>
      </c>
    </row>
    <row r="5638" spans="29:37">
      <c r="AC5638" s="6" t="s">
        <v>5314</v>
      </c>
      <c r="AD5638" s="6" t="s">
        <v>7925</v>
      </c>
      <c r="AE5638" s="115" t="s">
        <v>1800</v>
      </c>
      <c r="AF5638" s="11" t="s">
        <v>8299</v>
      </c>
      <c r="AG5638" s="115"/>
      <c r="AH5638" s="11"/>
      <c r="AI5638" s="6" t="s">
        <v>8643</v>
      </c>
      <c r="AJ5638" t="s">
        <v>8269</v>
      </c>
      <c r="AK5638" t="s">
        <v>8269</v>
      </c>
    </row>
    <row r="5639" spans="29:37">
      <c r="AC5639" s="6" t="s">
        <v>2026</v>
      </c>
      <c r="AD5639" s="6" t="s">
        <v>7935</v>
      </c>
      <c r="AE5639" s="115">
        <v>675438</v>
      </c>
      <c r="AF5639" s="11" t="s">
        <v>8309</v>
      </c>
      <c r="AG5639" s="115"/>
      <c r="AH5639" s="11"/>
      <c r="AI5639" s="6" t="s">
        <v>8644</v>
      </c>
      <c r="AJ5639" t="s">
        <v>8278</v>
      </c>
      <c r="AK5639" t="s">
        <v>8278</v>
      </c>
    </row>
    <row r="5640" spans="29:37">
      <c r="AC5640" s="6" t="s">
        <v>5274</v>
      </c>
      <c r="AD5640" s="6" t="s">
        <v>7925</v>
      </c>
      <c r="AE5640" s="115" t="s">
        <v>1731</v>
      </c>
      <c r="AF5640" s="11" t="s">
        <v>8299</v>
      </c>
      <c r="AG5640" s="115"/>
      <c r="AH5640" s="11"/>
      <c r="AI5640" s="6" t="s">
        <v>139</v>
      </c>
      <c r="AJ5640" t="s">
        <v>8207</v>
      </c>
      <c r="AK5640" t="s">
        <v>8207</v>
      </c>
    </row>
    <row r="5641" spans="29:37">
      <c r="AC5641" s="6" t="s">
        <v>2024</v>
      </c>
      <c r="AD5641" s="6" t="s">
        <v>7936</v>
      </c>
      <c r="AE5641" s="115" t="s">
        <v>1733</v>
      </c>
      <c r="AF5641" s="11" t="s">
        <v>8299</v>
      </c>
      <c r="AG5641" s="115"/>
      <c r="AH5641" s="11"/>
      <c r="AI5641" s="6" t="s">
        <v>1480</v>
      </c>
      <c r="AJ5641" t="s">
        <v>8207</v>
      </c>
      <c r="AK5641" t="s">
        <v>8207</v>
      </c>
    </row>
    <row r="5642" spans="29:37">
      <c r="AC5642" s="6" t="s">
        <v>2023</v>
      </c>
      <c r="AD5642" s="6" t="s">
        <v>7936</v>
      </c>
      <c r="AE5642" s="115">
        <v>544319</v>
      </c>
      <c r="AF5642" s="11" t="s">
        <v>8300</v>
      </c>
      <c r="AG5642" s="115"/>
      <c r="AH5642" s="11"/>
      <c r="AI5642" s="6" t="s">
        <v>33</v>
      </c>
      <c r="AJ5642" t="s">
        <v>8207</v>
      </c>
      <c r="AK5642" t="s">
        <v>8207</v>
      </c>
    </row>
    <row r="5643" spans="29:37">
      <c r="AC5643" s="6" t="s">
        <v>5574</v>
      </c>
      <c r="AD5643" s="6" t="s">
        <v>7937</v>
      </c>
      <c r="AE5643" s="115">
        <v>545379</v>
      </c>
      <c r="AF5643" s="11" t="s">
        <v>8300</v>
      </c>
      <c r="AG5643" s="115"/>
      <c r="AH5643" s="11"/>
      <c r="AI5643" s="6" t="s">
        <v>144</v>
      </c>
      <c r="AJ5643" t="s">
        <v>8207</v>
      </c>
      <c r="AK5643" t="s">
        <v>8207</v>
      </c>
    </row>
    <row r="5644" spans="29:37">
      <c r="AC5644" s="6" t="s">
        <v>5545</v>
      </c>
      <c r="AD5644" s="6" t="s">
        <v>7768</v>
      </c>
      <c r="AE5644" s="115">
        <v>545380</v>
      </c>
      <c r="AF5644" s="11" t="s">
        <v>8291</v>
      </c>
      <c r="AG5644" s="115"/>
      <c r="AH5644" s="11"/>
      <c r="AI5644" s="6" t="s">
        <v>5123</v>
      </c>
      <c r="AJ5644" t="s">
        <v>8207</v>
      </c>
      <c r="AK5644" t="s">
        <v>8207</v>
      </c>
    </row>
    <row r="5645" spans="29:37">
      <c r="AC5645" s="6" t="s">
        <v>5728</v>
      </c>
      <c r="AD5645" s="6" t="s">
        <v>7938</v>
      </c>
      <c r="AE5645" s="115">
        <v>615376</v>
      </c>
      <c r="AF5645" s="11" t="s">
        <v>8613</v>
      </c>
      <c r="AG5645" s="115"/>
      <c r="AH5645" s="11"/>
      <c r="AI5645" s="6" t="s">
        <v>1633</v>
      </c>
      <c r="AJ5645" t="s">
        <v>8207</v>
      </c>
      <c r="AK5645" t="s">
        <v>8207</v>
      </c>
    </row>
    <row r="5646" spans="29:37">
      <c r="AC5646" s="6" t="s">
        <v>4813</v>
      </c>
      <c r="AD5646" s="6" t="s">
        <v>7353</v>
      </c>
      <c r="AE5646" s="115" t="s">
        <v>2300</v>
      </c>
      <c r="AF5646" s="11" t="s">
        <v>8300</v>
      </c>
      <c r="AG5646" s="115"/>
      <c r="AH5646" s="11"/>
      <c r="AI5646" s="6" t="s">
        <v>146</v>
      </c>
      <c r="AJ5646" t="s">
        <v>8216</v>
      </c>
      <c r="AK5646" t="s">
        <v>8216</v>
      </c>
    </row>
    <row r="5647" spans="29:37">
      <c r="AC5647" s="6" t="s">
        <v>5727</v>
      </c>
      <c r="AD5647" s="6" t="s">
        <v>7353</v>
      </c>
      <c r="AE5647" s="115" t="s">
        <v>1770</v>
      </c>
      <c r="AF5647" s="11" t="s">
        <v>8300</v>
      </c>
      <c r="AG5647" s="115"/>
      <c r="AH5647" s="11"/>
      <c r="AI5647" s="6" t="s">
        <v>6651</v>
      </c>
      <c r="AJ5647" t="s">
        <v>8207</v>
      </c>
      <c r="AK5647" t="s">
        <v>8207</v>
      </c>
    </row>
    <row r="5648" spans="29:37">
      <c r="AC5648" s="6" t="s">
        <v>5755</v>
      </c>
      <c r="AD5648" s="6" t="s">
        <v>7353</v>
      </c>
      <c r="AE5648" s="115" t="s">
        <v>1771</v>
      </c>
      <c r="AF5648" s="11" t="s">
        <v>8300</v>
      </c>
      <c r="AG5648" s="115"/>
      <c r="AH5648" s="11"/>
      <c r="AI5648" s="6" t="s">
        <v>6657</v>
      </c>
      <c r="AJ5648" t="s">
        <v>8197</v>
      </c>
      <c r="AK5648" t="s">
        <v>8197</v>
      </c>
    </row>
    <row r="5649" spans="29:37">
      <c r="AC5649" s="6" t="s">
        <v>6736</v>
      </c>
      <c r="AD5649" s="6" t="s">
        <v>7353</v>
      </c>
      <c r="AE5649" s="115" t="s">
        <v>1796</v>
      </c>
      <c r="AF5649" s="11" t="s">
        <v>8300</v>
      </c>
      <c r="AG5649" s="115"/>
      <c r="AH5649" s="11"/>
      <c r="AI5649" s="6" t="s">
        <v>6656</v>
      </c>
      <c r="AJ5649" t="s">
        <v>8197</v>
      </c>
      <c r="AK5649" t="s">
        <v>8197</v>
      </c>
    </row>
    <row r="5650" spans="29:37">
      <c r="AC5650" s="6" t="s">
        <v>5197</v>
      </c>
      <c r="AD5650" s="6" t="s">
        <v>5705</v>
      </c>
      <c r="AE5650" s="115" t="s">
        <v>1903</v>
      </c>
      <c r="AF5650" s="11" t="s">
        <v>8614</v>
      </c>
      <c r="AG5650" s="115"/>
      <c r="AH5650" s="11"/>
      <c r="AI5650" s="6" t="s">
        <v>184</v>
      </c>
      <c r="AJ5650" t="s">
        <v>8212</v>
      </c>
      <c r="AK5650" t="s">
        <v>8212</v>
      </c>
    </row>
    <row r="5651" spans="29:37">
      <c r="AC5651" s="6" t="s">
        <v>5087</v>
      </c>
      <c r="AD5651" s="6" t="s">
        <v>5704</v>
      </c>
      <c r="AE5651" s="115" t="s">
        <v>1904</v>
      </c>
      <c r="AF5651" s="11" t="s">
        <v>8615</v>
      </c>
      <c r="AG5651" s="115"/>
      <c r="AH5651" s="11"/>
      <c r="AI5651" s="6" t="s">
        <v>185</v>
      </c>
      <c r="AJ5651" t="s">
        <v>8212</v>
      </c>
      <c r="AK5651" t="s">
        <v>8212</v>
      </c>
    </row>
    <row r="5652" spans="29:37">
      <c r="AC5652" s="6" t="s">
        <v>5043</v>
      </c>
      <c r="AD5652" s="6" t="s">
        <v>5703</v>
      </c>
      <c r="AE5652" s="115" t="s">
        <v>1905</v>
      </c>
      <c r="AF5652" s="11" t="s">
        <v>8300</v>
      </c>
      <c r="AG5652" s="115"/>
      <c r="AH5652" s="11"/>
      <c r="AI5652" s="6" t="s">
        <v>186</v>
      </c>
      <c r="AJ5652" t="s">
        <v>8212</v>
      </c>
      <c r="AK5652" t="s">
        <v>8212</v>
      </c>
    </row>
    <row r="5653" spans="29:37">
      <c r="AC5653" s="6">
        <v>247501</v>
      </c>
      <c r="AD5653" s="6" t="s">
        <v>5702</v>
      </c>
      <c r="AE5653" s="115" t="s">
        <v>1956</v>
      </c>
      <c r="AF5653" s="11" t="s">
        <v>8339</v>
      </c>
      <c r="AG5653" s="115"/>
      <c r="AH5653" s="11"/>
      <c r="AI5653" s="6" t="s">
        <v>187</v>
      </c>
      <c r="AJ5653" t="s">
        <v>8212</v>
      </c>
      <c r="AK5653" t="s">
        <v>8212</v>
      </c>
    </row>
    <row r="5654" spans="29:37">
      <c r="AC5654" s="6" t="s">
        <v>4730</v>
      </c>
      <c r="AD5654" s="6" t="s">
        <v>5653</v>
      </c>
      <c r="AE5654" s="115" t="s">
        <v>1957</v>
      </c>
      <c r="AF5654" s="11" t="s">
        <v>8300</v>
      </c>
      <c r="AG5654" s="115"/>
      <c r="AH5654" s="11"/>
      <c r="AI5654" s="6" t="s">
        <v>188</v>
      </c>
      <c r="AJ5654" t="s">
        <v>8212</v>
      </c>
      <c r="AK5654" t="s">
        <v>8212</v>
      </c>
    </row>
    <row r="5655" spans="29:37">
      <c r="AC5655" s="6" t="s">
        <v>5622</v>
      </c>
      <c r="AD5655" s="6" t="s">
        <v>5701</v>
      </c>
      <c r="AE5655" s="115" t="s">
        <v>1958</v>
      </c>
      <c r="AF5655" s="11" t="s">
        <v>8616</v>
      </c>
      <c r="AG5655" s="115"/>
      <c r="AH5655" s="11"/>
      <c r="AI5655" s="6" t="s">
        <v>189</v>
      </c>
      <c r="AJ5655" t="s">
        <v>8212</v>
      </c>
      <c r="AK5655" t="s">
        <v>8212</v>
      </c>
    </row>
    <row r="5656" spans="29:37">
      <c r="AC5656" s="6" t="s">
        <v>5700</v>
      </c>
      <c r="AD5656" s="6" t="s">
        <v>5669</v>
      </c>
      <c r="AE5656" s="115" t="s">
        <v>1959</v>
      </c>
      <c r="AF5656" s="11" t="s">
        <v>8309</v>
      </c>
      <c r="AG5656" s="115"/>
      <c r="AH5656" s="11"/>
      <c r="AI5656" s="6" t="s">
        <v>190</v>
      </c>
      <c r="AJ5656" t="s">
        <v>8212</v>
      </c>
      <c r="AK5656" t="s">
        <v>8212</v>
      </c>
    </row>
    <row r="5657" spans="29:37">
      <c r="AC5657" s="6" t="s">
        <v>5699</v>
      </c>
      <c r="AD5657" s="6" t="s">
        <v>5698</v>
      </c>
      <c r="AE5657" s="115" t="s">
        <v>1960</v>
      </c>
      <c r="AF5657" s="11" t="s">
        <v>8300</v>
      </c>
      <c r="AG5657" s="115"/>
      <c r="AH5657" s="11"/>
      <c r="AI5657" s="6" t="s">
        <v>191</v>
      </c>
      <c r="AJ5657" t="s">
        <v>8212</v>
      </c>
      <c r="AK5657" t="s">
        <v>8212</v>
      </c>
    </row>
    <row r="5658" spans="29:37">
      <c r="AC5658" s="6" t="s">
        <v>5697</v>
      </c>
      <c r="AD5658" s="6" t="s">
        <v>5696</v>
      </c>
      <c r="AE5658" s="115" t="s">
        <v>2151</v>
      </c>
      <c r="AF5658" s="11" t="s">
        <v>8339</v>
      </c>
      <c r="AG5658" s="115"/>
      <c r="AH5658" s="11"/>
      <c r="AI5658" s="6" t="s">
        <v>193</v>
      </c>
      <c r="AJ5658" t="s">
        <v>8212</v>
      </c>
      <c r="AK5658" t="s">
        <v>8212</v>
      </c>
    </row>
    <row r="5659" spans="29:37">
      <c r="AC5659" s="6" t="s">
        <v>5695</v>
      </c>
      <c r="AD5659" s="6" t="s">
        <v>5694</v>
      </c>
      <c r="AE5659" s="115" t="s">
        <v>1914</v>
      </c>
      <c r="AF5659" s="11" t="s">
        <v>8347</v>
      </c>
      <c r="AG5659" s="115"/>
      <c r="AH5659" s="11"/>
      <c r="AI5659" s="6" t="s">
        <v>196</v>
      </c>
      <c r="AJ5659" t="s">
        <v>8212</v>
      </c>
      <c r="AK5659" t="s">
        <v>8212</v>
      </c>
    </row>
    <row r="5660" spans="29:37">
      <c r="AC5660" s="6" t="s">
        <v>5693</v>
      </c>
      <c r="AD5660" s="6" t="s">
        <v>5692</v>
      </c>
      <c r="AE5660" s="115" t="s">
        <v>1915</v>
      </c>
      <c r="AF5660" s="11" t="s">
        <v>8347</v>
      </c>
      <c r="AG5660" s="115"/>
      <c r="AH5660" s="11"/>
      <c r="AI5660" s="6" t="s">
        <v>201</v>
      </c>
      <c r="AJ5660" t="s">
        <v>8212</v>
      </c>
      <c r="AK5660" t="s">
        <v>8212</v>
      </c>
    </row>
    <row r="5661" spans="29:37">
      <c r="AC5661" s="6" t="s">
        <v>5691</v>
      </c>
      <c r="AD5661" s="6" t="s">
        <v>5690</v>
      </c>
      <c r="AE5661" s="115" t="s">
        <v>1917</v>
      </c>
      <c r="AF5661" s="11" t="s">
        <v>8617</v>
      </c>
      <c r="AG5661" s="115"/>
      <c r="AH5661" s="11"/>
      <c r="AI5661" s="6" t="s">
        <v>202</v>
      </c>
      <c r="AJ5661" t="s">
        <v>8212</v>
      </c>
      <c r="AK5661" t="s">
        <v>8212</v>
      </c>
    </row>
    <row r="5662" spans="29:37">
      <c r="AC5662" s="6" t="s">
        <v>5689</v>
      </c>
      <c r="AD5662" s="6" t="s">
        <v>5688</v>
      </c>
      <c r="AE5662" s="115" t="s">
        <v>2077</v>
      </c>
      <c r="AF5662" s="11" t="s">
        <v>8339</v>
      </c>
      <c r="AG5662" s="115"/>
      <c r="AH5662" s="11"/>
      <c r="AI5662" s="6" t="s">
        <v>1030</v>
      </c>
      <c r="AJ5662" t="s">
        <v>8212</v>
      </c>
      <c r="AK5662" t="s">
        <v>8212</v>
      </c>
    </row>
    <row r="5663" spans="29:37">
      <c r="AC5663" s="6" t="s">
        <v>2474</v>
      </c>
      <c r="AD5663" s="6" t="s">
        <v>5687</v>
      </c>
      <c r="AE5663" s="115" t="s">
        <v>2078</v>
      </c>
      <c r="AF5663" s="11" t="s">
        <v>8300</v>
      </c>
      <c r="AG5663" s="115"/>
      <c r="AH5663" s="11"/>
      <c r="AI5663" s="6" t="s">
        <v>5080</v>
      </c>
      <c r="AJ5663" t="s">
        <v>8224</v>
      </c>
      <c r="AK5663" t="s">
        <v>8224</v>
      </c>
    </row>
    <row r="5664" spans="29:37">
      <c r="AC5664" s="6" t="s">
        <v>5686</v>
      </c>
      <c r="AD5664" s="6" t="s">
        <v>5633</v>
      </c>
      <c r="AE5664" s="115" t="s">
        <v>2079</v>
      </c>
      <c r="AF5664" s="11" t="s">
        <v>8300</v>
      </c>
      <c r="AG5664" s="115"/>
      <c r="AH5664" s="11"/>
      <c r="AI5664" s="6" t="s">
        <v>5444</v>
      </c>
      <c r="AJ5664" t="s">
        <v>8224</v>
      </c>
      <c r="AK5664" t="s">
        <v>8224</v>
      </c>
    </row>
    <row r="5665" spans="29:37">
      <c r="AC5665" s="6" t="s">
        <v>5685</v>
      </c>
      <c r="AD5665" s="6" t="s">
        <v>5684</v>
      </c>
      <c r="AE5665" s="115" t="s">
        <v>2080</v>
      </c>
      <c r="AF5665" s="11" t="s">
        <v>8390</v>
      </c>
      <c r="AG5665" s="115"/>
      <c r="AH5665" s="11"/>
      <c r="AI5665" s="6" t="s">
        <v>5259</v>
      </c>
      <c r="AJ5665" t="s">
        <v>8224</v>
      </c>
      <c r="AK5665" t="s">
        <v>8224</v>
      </c>
    </row>
    <row r="5666" spans="29:37">
      <c r="AC5666" s="6" t="s">
        <v>5683</v>
      </c>
      <c r="AD5666" s="6" t="s">
        <v>5633</v>
      </c>
      <c r="AE5666" s="115" t="s">
        <v>1821</v>
      </c>
      <c r="AF5666" s="11" t="s">
        <v>8299</v>
      </c>
      <c r="AG5666" s="115"/>
      <c r="AH5666" s="11"/>
      <c r="AI5666" s="6" t="s">
        <v>5247</v>
      </c>
      <c r="AJ5666" t="s">
        <v>8224</v>
      </c>
      <c r="AK5666" t="s">
        <v>8224</v>
      </c>
    </row>
    <row r="5667" spans="29:37">
      <c r="AC5667" s="6" t="s">
        <v>5682</v>
      </c>
      <c r="AD5667" s="6" t="s">
        <v>5681</v>
      </c>
      <c r="AE5667" s="115" t="s">
        <v>1822</v>
      </c>
      <c r="AF5667" s="11" t="s">
        <v>8309</v>
      </c>
      <c r="AG5667" s="115"/>
      <c r="AH5667" s="11"/>
      <c r="AI5667" s="6" t="s">
        <v>1187</v>
      </c>
      <c r="AJ5667" t="s">
        <v>8202</v>
      </c>
      <c r="AK5667" t="s">
        <v>8202</v>
      </c>
    </row>
    <row r="5668" spans="29:37">
      <c r="AC5668" s="6" t="s">
        <v>5680</v>
      </c>
      <c r="AD5668" s="6" t="s">
        <v>5679</v>
      </c>
      <c r="AE5668" s="115" t="s">
        <v>1823</v>
      </c>
      <c r="AF5668" s="11" t="s">
        <v>8342</v>
      </c>
      <c r="AG5668" s="115"/>
      <c r="AH5668" s="11"/>
      <c r="AI5668" s="6" t="s">
        <v>5121</v>
      </c>
      <c r="AJ5668" t="s">
        <v>8216</v>
      </c>
      <c r="AK5668" t="s">
        <v>8216</v>
      </c>
    </row>
    <row r="5669" spans="29:37">
      <c r="AC5669" s="6" t="s">
        <v>5678</v>
      </c>
      <c r="AD5669" s="6" t="s">
        <v>5653</v>
      </c>
      <c r="AE5669" s="115" t="s">
        <v>1252</v>
      </c>
      <c r="AF5669" s="11" t="s">
        <v>8342</v>
      </c>
      <c r="AG5669" s="115"/>
      <c r="AH5669" s="11"/>
      <c r="AI5669" s="6" t="s">
        <v>5519</v>
      </c>
      <c r="AJ5669" t="s">
        <v>8216</v>
      </c>
      <c r="AK5669" t="s">
        <v>8216</v>
      </c>
    </row>
    <row r="5670" spans="29:37">
      <c r="AC5670" s="6" t="s">
        <v>5677</v>
      </c>
      <c r="AD5670" s="6" t="s">
        <v>5676</v>
      </c>
      <c r="AE5670" s="115" t="s">
        <v>1812</v>
      </c>
      <c r="AF5670" s="11" t="s">
        <v>8299</v>
      </c>
      <c r="AG5670" s="115"/>
      <c r="AH5670" s="11"/>
      <c r="AI5670" s="6" t="s">
        <v>5476</v>
      </c>
      <c r="AJ5670" t="s">
        <v>8219</v>
      </c>
      <c r="AK5670" t="s">
        <v>8219</v>
      </c>
    </row>
    <row r="5671" spans="29:37">
      <c r="AC5671" s="6" t="s">
        <v>5675</v>
      </c>
      <c r="AD5671" s="6" t="s">
        <v>5633</v>
      </c>
      <c r="AE5671" s="115" t="s">
        <v>1828</v>
      </c>
      <c r="AF5671" s="11" t="s">
        <v>8299</v>
      </c>
      <c r="AG5671" s="115"/>
      <c r="AH5671" s="11"/>
      <c r="AI5671" s="6" t="s">
        <v>4712</v>
      </c>
      <c r="AJ5671" t="s">
        <v>8198</v>
      </c>
      <c r="AK5671" t="s">
        <v>8198</v>
      </c>
    </row>
    <row r="5672" spans="29:37">
      <c r="AC5672" s="6" t="s">
        <v>5674</v>
      </c>
      <c r="AD5672" s="6" t="s">
        <v>5673</v>
      </c>
      <c r="AE5672" s="115" t="s">
        <v>1248</v>
      </c>
      <c r="AF5672" s="11" t="s">
        <v>8309</v>
      </c>
      <c r="AG5672" s="115"/>
      <c r="AH5672" s="11"/>
      <c r="AI5672" s="6" t="s">
        <v>5488</v>
      </c>
      <c r="AJ5672" t="s">
        <v>8198</v>
      </c>
      <c r="AK5672" t="s">
        <v>8198</v>
      </c>
    </row>
    <row r="5673" spans="29:37">
      <c r="AC5673" s="6" t="s">
        <v>5672</v>
      </c>
      <c r="AD5673" s="6" t="s">
        <v>5671</v>
      </c>
      <c r="AE5673" s="115" t="s">
        <v>1829</v>
      </c>
      <c r="AF5673" s="11" t="s">
        <v>8322</v>
      </c>
      <c r="AG5673" s="115"/>
      <c r="AH5673" s="11"/>
      <c r="AI5673" s="6">
        <v>14648</v>
      </c>
      <c r="AJ5673" t="s">
        <v>8207</v>
      </c>
      <c r="AK5673" t="s">
        <v>8207</v>
      </c>
    </row>
    <row r="5674" spans="29:37">
      <c r="AC5674" s="6" t="s">
        <v>5670</v>
      </c>
      <c r="AD5674" s="6" t="s">
        <v>5669</v>
      </c>
      <c r="AE5674" s="115" t="s">
        <v>1830</v>
      </c>
      <c r="AF5674" s="11" t="s">
        <v>8297</v>
      </c>
      <c r="AG5674" s="115"/>
      <c r="AH5674" s="11"/>
      <c r="AI5674" s="6">
        <v>21939</v>
      </c>
      <c r="AJ5674" t="s">
        <v>8216</v>
      </c>
      <c r="AK5674" t="s">
        <v>8216</v>
      </c>
    </row>
    <row r="5675" spans="29:37">
      <c r="AC5675" s="6" t="s">
        <v>5668</v>
      </c>
      <c r="AD5675" s="6" t="s">
        <v>5667</v>
      </c>
      <c r="AE5675" s="115" t="s">
        <v>2277</v>
      </c>
      <c r="AF5675" s="11" t="s">
        <v>8299</v>
      </c>
      <c r="AG5675" s="115"/>
      <c r="AH5675" s="11"/>
      <c r="AI5675" s="6">
        <v>75419</v>
      </c>
      <c r="AJ5675" t="s">
        <v>8216</v>
      </c>
      <c r="AK5675" t="s">
        <v>8216</v>
      </c>
    </row>
    <row r="5676" spans="29:37">
      <c r="AC5676" s="6" t="s">
        <v>5666</v>
      </c>
      <c r="AD5676" s="6" t="s">
        <v>5665</v>
      </c>
      <c r="AE5676" s="115" t="s">
        <v>1835</v>
      </c>
      <c r="AF5676" s="11" t="s">
        <v>8299</v>
      </c>
      <c r="AG5676" s="115"/>
      <c r="AH5676" s="11"/>
      <c r="AI5676" s="6">
        <v>115605</v>
      </c>
      <c r="AJ5676" t="s">
        <v>8212</v>
      </c>
      <c r="AK5676" t="s">
        <v>8212</v>
      </c>
    </row>
    <row r="5677" spans="29:37">
      <c r="AC5677" s="6" t="s">
        <v>5664</v>
      </c>
      <c r="AD5677" s="6" t="s">
        <v>5663</v>
      </c>
      <c r="AE5677" s="115" t="s">
        <v>1827</v>
      </c>
      <c r="AF5677" s="11" t="s">
        <v>8299</v>
      </c>
      <c r="AG5677" s="115"/>
      <c r="AH5677" s="11"/>
      <c r="AI5677" s="6" t="s">
        <v>16</v>
      </c>
      <c r="AJ5677" t="s">
        <v>8202</v>
      </c>
      <c r="AK5677" t="s">
        <v>8202</v>
      </c>
    </row>
    <row r="5678" spans="29:37">
      <c r="AC5678" s="6" t="s">
        <v>5662</v>
      </c>
      <c r="AD5678" s="6" t="s">
        <v>5640</v>
      </c>
      <c r="AE5678" s="115" t="s">
        <v>2091</v>
      </c>
      <c r="AF5678" s="11" t="s">
        <v>8309</v>
      </c>
      <c r="AG5678" s="115"/>
      <c r="AH5678" s="11"/>
      <c r="AI5678" s="6">
        <v>295245</v>
      </c>
      <c r="AJ5678" t="s">
        <v>8216</v>
      </c>
      <c r="AK5678" t="s">
        <v>8216</v>
      </c>
    </row>
    <row r="5679" spans="29:37">
      <c r="AC5679" s="6" t="s">
        <v>5661</v>
      </c>
      <c r="AD5679" s="6" t="s">
        <v>5660</v>
      </c>
      <c r="AE5679" s="115" t="s">
        <v>2092</v>
      </c>
      <c r="AF5679" s="11" t="s">
        <v>8299</v>
      </c>
      <c r="AG5679" s="115"/>
      <c r="AH5679" s="11"/>
      <c r="AI5679" s="6">
        <v>485351</v>
      </c>
      <c r="AJ5679" t="s">
        <v>8207</v>
      </c>
      <c r="AK5679" t="s">
        <v>8207</v>
      </c>
    </row>
    <row r="5680" spans="29:37">
      <c r="AC5680" s="6" t="s">
        <v>5659</v>
      </c>
      <c r="AD5680" s="6" t="s">
        <v>5658</v>
      </c>
      <c r="AE5680" s="115" t="s">
        <v>2093</v>
      </c>
      <c r="AF5680" s="11" t="s">
        <v>8299</v>
      </c>
      <c r="AG5680" s="115"/>
      <c r="AH5680" s="11"/>
      <c r="AI5680" s="6">
        <v>485352</v>
      </c>
      <c r="AJ5680" t="s">
        <v>8207</v>
      </c>
      <c r="AK5680" t="s">
        <v>8207</v>
      </c>
    </row>
    <row r="5681" spans="29:37">
      <c r="AC5681" s="6" t="s">
        <v>5657</v>
      </c>
      <c r="AD5681" s="6" t="s">
        <v>5656</v>
      </c>
      <c r="AE5681" s="115" t="s">
        <v>2264</v>
      </c>
      <c r="AF5681" s="11" t="s">
        <v>8299</v>
      </c>
      <c r="AG5681" s="115"/>
      <c r="AH5681" s="11"/>
      <c r="AI5681" s="6">
        <v>485353</v>
      </c>
      <c r="AJ5681" t="s">
        <v>8207</v>
      </c>
      <c r="AK5681" t="s">
        <v>8207</v>
      </c>
    </row>
    <row r="5682" spans="29:37">
      <c r="AC5682" s="6" t="s">
        <v>5655</v>
      </c>
      <c r="AD5682" s="6" t="s">
        <v>5653</v>
      </c>
      <c r="AE5682" s="115" t="s">
        <v>2094</v>
      </c>
      <c r="AF5682" s="11" t="s">
        <v>8375</v>
      </c>
      <c r="AG5682" s="115"/>
      <c r="AH5682" s="11"/>
      <c r="AI5682" s="6">
        <v>515361</v>
      </c>
      <c r="AJ5682" t="s">
        <v>8223</v>
      </c>
      <c r="AK5682" t="s">
        <v>8223</v>
      </c>
    </row>
    <row r="5683" spans="29:37">
      <c r="AC5683" s="6" t="s">
        <v>5654</v>
      </c>
      <c r="AD5683" s="6" t="s">
        <v>5653</v>
      </c>
      <c r="AE5683" s="115" t="s">
        <v>2095</v>
      </c>
      <c r="AF5683" s="11" t="s">
        <v>8342</v>
      </c>
      <c r="AG5683" s="115"/>
      <c r="AH5683" s="11"/>
      <c r="AI5683" s="6">
        <v>515363</v>
      </c>
      <c r="AJ5683" t="s">
        <v>8223</v>
      </c>
      <c r="AK5683" t="s">
        <v>8223</v>
      </c>
    </row>
    <row r="5684" spans="29:37">
      <c r="AC5684" s="6" t="s">
        <v>5652</v>
      </c>
      <c r="AD5684" s="6" t="s">
        <v>5651</v>
      </c>
      <c r="AE5684" s="115" t="s">
        <v>2096</v>
      </c>
      <c r="AF5684" s="11" t="s">
        <v>8342</v>
      </c>
      <c r="AG5684" s="115"/>
      <c r="AH5684" s="11"/>
      <c r="AI5684" s="6" t="s">
        <v>6648</v>
      </c>
      <c r="AJ5684" t="s">
        <v>8207</v>
      </c>
      <c r="AK5684" t="s">
        <v>8207</v>
      </c>
    </row>
    <row r="5685" spans="29:37">
      <c r="AC5685" s="6" t="s">
        <v>5650</v>
      </c>
      <c r="AD5685" s="6" t="s">
        <v>5649</v>
      </c>
      <c r="AE5685" s="115" t="s">
        <v>2097</v>
      </c>
      <c r="AF5685" s="11" t="s">
        <v>8299</v>
      </c>
      <c r="AG5685" s="115"/>
      <c r="AH5685" s="11"/>
      <c r="AI5685" s="6" t="s">
        <v>6649</v>
      </c>
      <c r="AJ5685" t="s">
        <v>8216</v>
      </c>
      <c r="AK5685" t="s">
        <v>8216</v>
      </c>
    </row>
    <row r="5686" spans="29:37">
      <c r="AC5686" s="6" t="s">
        <v>5648</v>
      </c>
      <c r="AD5686" s="6" t="s">
        <v>5647</v>
      </c>
      <c r="AE5686" s="115" t="s">
        <v>2098</v>
      </c>
      <c r="AF5686" s="11" t="s">
        <v>8342</v>
      </c>
      <c r="AG5686" s="115"/>
      <c r="AH5686" s="11"/>
      <c r="AI5686" s="6" t="s">
        <v>3540</v>
      </c>
      <c r="AJ5686" t="s">
        <v>8262</v>
      </c>
      <c r="AK5686" t="s">
        <v>8262</v>
      </c>
    </row>
    <row r="5687" spans="29:37">
      <c r="AC5687" s="6" t="s">
        <v>5646</v>
      </c>
      <c r="AD5687" s="6" t="s">
        <v>5645</v>
      </c>
      <c r="AE5687" s="115" t="s">
        <v>2099</v>
      </c>
      <c r="AF5687" s="11" t="s">
        <v>8342</v>
      </c>
      <c r="AG5687" s="115"/>
      <c r="AH5687" s="11"/>
      <c r="AI5687" s="6" t="s">
        <v>3541</v>
      </c>
      <c r="AJ5687" t="s">
        <v>8237</v>
      </c>
      <c r="AK5687" t="s">
        <v>8237</v>
      </c>
    </row>
    <row r="5688" spans="29:37">
      <c r="AC5688" s="6" t="s">
        <v>5644</v>
      </c>
      <c r="AD5688" s="6" t="s">
        <v>5640</v>
      </c>
      <c r="AE5688" s="115" t="s">
        <v>2100</v>
      </c>
      <c r="AF5688" s="11" t="s">
        <v>8299</v>
      </c>
      <c r="AG5688" s="115"/>
      <c r="AH5688" s="11"/>
      <c r="AI5688" s="6" t="s">
        <v>2604</v>
      </c>
      <c r="AJ5688" t="s">
        <v>8271</v>
      </c>
      <c r="AK5688" t="s">
        <v>8271</v>
      </c>
    </row>
    <row r="5689" spans="29:37">
      <c r="AC5689" s="6" t="s">
        <v>5643</v>
      </c>
      <c r="AD5689" s="6" t="s">
        <v>5642</v>
      </c>
      <c r="AE5689" s="115" t="s">
        <v>2122</v>
      </c>
      <c r="AF5689" s="11" t="s">
        <v>8320</v>
      </c>
      <c r="AG5689" s="115"/>
      <c r="AH5689" s="11"/>
      <c r="AI5689" s="6" t="s">
        <v>8645</v>
      </c>
      <c r="AJ5689" t="s">
        <v>8281</v>
      </c>
      <c r="AK5689" t="s">
        <v>8281</v>
      </c>
    </row>
    <row r="5690" spans="29:37">
      <c r="AC5690" s="6" t="s">
        <v>5641</v>
      </c>
      <c r="AD5690" s="6" t="s">
        <v>5640</v>
      </c>
      <c r="AE5690" s="115" t="s">
        <v>2123</v>
      </c>
      <c r="AF5690" s="11" t="s">
        <v>8315</v>
      </c>
      <c r="AG5690" s="115"/>
      <c r="AH5690" s="11"/>
      <c r="AI5690" s="6" t="s">
        <v>8646</v>
      </c>
      <c r="AJ5690" t="s">
        <v>8214</v>
      </c>
      <c r="AK5690" t="s">
        <v>8214</v>
      </c>
    </row>
    <row r="5691" spans="29:37">
      <c r="AC5691" s="6" t="s">
        <v>5639</v>
      </c>
      <c r="AD5691" s="6" t="s">
        <v>5633</v>
      </c>
      <c r="AE5691" s="115" t="s">
        <v>2126</v>
      </c>
      <c r="AF5691" s="11" t="s">
        <v>8309</v>
      </c>
      <c r="AG5691" s="115"/>
      <c r="AH5691" s="11"/>
      <c r="AI5691" s="6" t="s">
        <v>8647</v>
      </c>
      <c r="AJ5691" t="s">
        <v>8281</v>
      </c>
      <c r="AK5691" t="s">
        <v>8281</v>
      </c>
    </row>
    <row r="5692" spans="29:37">
      <c r="AC5692" s="6" t="s">
        <v>5638</v>
      </c>
      <c r="AD5692" s="6" t="s">
        <v>5637</v>
      </c>
      <c r="AE5692" s="115" t="s">
        <v>2127</v>
      </c>
      <c r="AF5692" s="11" t="s">
        <v>8327</v>
      </c>
      <c r="AG5692" s="115"/>
      <c r="AH5692" s="11"/>
      <c r="AI5692" s="6" t="s">
        <v>8648</v>
      </c>
      <c r="AJ5692" t="s">
        <v>8246</v>
      </c>
      <c r="AK5692" t="s">
        <v>8246</v>
      </c>
    </row>
    <row r="5693" spans="29:37">
      <c r="AC5693" s="6" t="s">
        <v>5636</v>
      </c>
      <c r="AD5693" s="6" t="s">
        <v>5635</v>
      </c>
      <c r="AE5693" s="115" t="s">
        <v>2128</v>
      </c>
      <c r="AF5693" s="11" t="s">
        <v>8336</v>
      </c>
      <c r="AG5693" s="115"/>
      <c r="AH5693" s="11"/>
      <c r="AI5693" s="6" t="s">
        <v>7969</v>
      </c>
      <c r="AJ5693" t="s">
        <v>8272</v>
      </c>
      <c r="AK5693" t="s">
        <v>8272</v>
      </c>
    </row>
    <row r="5694" spans="29:37">
      <c r="AC5694" s="6" t="s">
        <v>5634</v>
      </c>
      <c r="AD5694" s="6" t="s">
        <v>5633</v>
      </c>
      <c r="AE5694" s="115" t="s">
        <v>2304</v>
      </c>
      <c r="AF5694" s="11" t="s">
        <v>8300</v>
      </c>
      <c r="AG5694" s="115"/>
      <c r="AH5694" s="11"/>
      <c r="AI5694" s="6" t="s">
        <v>8649</v>
      </c>
      <c r="AJ5694" t="s">
        <v>8272</v>
      </c>
      <c r="AK5694" t="s">
        <v>8272</v>
      </c>
    </row>
    <row r="5695" spans="29:37">
      <c r="AE5695" s="115" t="s">
        <v>2297</v>
      </c>
      <c r="AF5695" s="11" t="s">
        <v>8618</v>
      </c>
      <c r="AG5695" s="115"/>
      <c r="AH5695" s="11"/>
      <c r="AI5695" s="11" t="s">
        <v>8650</v>
      </c>
      <c r="AJ5695" t="s">
        <v>8272</v>
      </c>
      <c r="AK5695" t="s">
        <v>8272</v>
      </c>
    </row>
    <row r="5696" spans="29:37">
      <c r="AE5696" s="115" t="s">
        <v>2298</v>
      </c>
      <c r="AF5696" s="11" t="s">
        <v>8519</v>
      </c>
      <c r="AG5696" s="115"/>
      <c r="AH5696" s="11"/>
      <c r="AI5696" s="11" t="s">
        <v>8651</v>
      </c>
      <c r="AJ5696" t="s">
        <v>8269</v>
      </c>
      <c r="AK5696" t="s">
        <v>8269</v>
      </c>
    </row>
    <row r="5697" spans="31:37">
      <c r="AE5697" s="115" t="s">
        <v>2290</v>
      </c>
      <c r="AF5697" s="11" t="s">
        <v>8619</v>
      </c>
      <c r="AG5697" s="115"/>
      <c r="AH5697" s="11"/>
      <c r="AI5697" s="11" t="s">
        <v>8652</v>
      </c>
      <c r="AJ5697" t="s">
        <v>8218</v>
      </c>
      <c r="AK5697" t="s">
        <v>8218</v>
      </c>
    </row>
    <row r="5698" spans="31:37">
      <c r="AE5698" s="115" t="s">
        <v>2291</v>
      </c>
      <c r="AF5698" s="11" t="s">
        <v>8620</v>
      </c>
      <c r="AG5698" s="115"/>
      <c r="AH5698" s="11"/>
      <c r="AI5698" s="11" t="s">
        <v>5153</v>
      </c>
      <c r="AJ5698" t="s">
        <v>8249</v>
      </c>
      <c r="AK5698" t="s">
        <v>8249</v>
      </c>
    </row>
    <row r="5699" spans="31:37">
      <c r="AE5699" s="115" t="s">
        <v>1203</v>
      </c>
      <c r="AF5699" s="11" t="s">
        <v>8620</v>
      </c>
      <c r="AG5699" s="115"/>
      <c r="AH5699" s="11"/>
      <c r="AI5699" s="11" t="s">
        <v>8653</v>
      </c>
      <c r="AJ5699" t="s">
        <v>8218</v>
      </c>
      <c r="AK5699" t="s">
        <v>8218</v>
      </c>
    </row>
    <row r="5700" spans="31:37">
      <c r="AE5700" s="115" t="s">
        <v>2278</v>
      </c>
      <c r="AF5700" s="11" t="s">
        <v>8299</v>
      </c>
      <c r="AG5700" s="115"/>
      <c r="AH5700" s="11"/>
      <c r="AI5700" s="11" t="s">
        <v>5077</v>
      </c>
      <c r="AJ5700" t="s">
        <v>8249</v>
      </c>
      <c r="AK5700" t="s">
        <v>8249</v>
      </c>
    </row>
    <row r="5701" spans="31:37">
      <c r="AE5701" s="115" t="s">
        <v>5540</v>
      </c>
      <c r="AF5701" s="11" t="s">
        <v>8300</v>
      </c>
      <c r="AG5701" s="115"/>
      <c r="AH5701" s="11"/>
      <c r="AI5701" s="11" t="s">
        <v>5066</v>
      </c>
      <c r="AJ5701" t="s">
        <v>8244</v>
      </c>
      <c r="AK5701" t="s">
        <v>8244</v>
      </c>
    </row>
    <row r="5702" spans="31:37">
      <c r="AE5702" s="115" t="s">
        <v>4498</v>
      </c>
      <c r="AF5702" s="11" t="s">
        <v>8300</v>
      </c>
      <c r="AG5702" s="115"/>
      <c r="AH5702" s="11"/>
      <c r="AI5702" s="11" t="s">
        <v>4380</v>
      </c>
      <c r="AJ5702" t="s">
        <v>8244</v>
      </c>
      <c r="AK5702" t="s">
        <v>8244</v>
      </c>
    </row>
    <row r="5703" spans="31:37">
      <c r="AE5703" s="115" t="s">
        <v>4496</v>
      </c>
      <c r="AF5703" s="11" t="s">
        <v>8300</v>
      </c>
      <c r="AG5703" s="115"/>
      <c r="AH5703" s="11"/>
      <c r="AI5703" s="11"/>
    </row>
    <row r="5704" spans="31:37">
      <c r="AE5704" s="115" t="s">
        <v>4502</v>
      </c>
      <c r="AF5704" s="11" t="s">
        <v>8299</v>
      </c>
      <c r="AG5704" s="115"/>
      <c r="AH5704" s="11"/>
      <c r="AI5704" s="11"/>
    </row>
    <row r="5705" spans="31:37">
      <c r="AE5705" s="115" t="s">
        <v>4809</v>
      </c>
      <c r="AF5705" s="11" t="s">
        <v>8299</v>
      </c>
      <c r="AG5705" s="115"/>
      <c r="AH5705" s="11"/>
      <c r="AI5705" s="11"/>
    </row>
    <row r="5706" spans="31:37">
      <c r="AE5706" s="115" t="s">
        <v>4808</v>
      </c>
      <c r="AF5706" s="11" t="s">
        <v>8299</v>
      </c>
      <c r="AG5706" s="115"/>
      <c r="AH5706" s="11"/>
      <c r="AI5706" s="11"/>
    </row>
    <row r="5707" spans="31:37">
      <c r="AE5707" s="115" t="s">
        <v>4497</v>
      </c>
      <c r="AF5707" s="11" t="s">
        <v>8300</v>
      </c>
      <c r="AG5707" s="115"/>
      <c r="AH5707" s="11"/>
      <c r="AI5707" s="11"/>
    </row>
    <row r="5708" spans="31:37">
      <c r="AE5708" s="115" t="s">
        <v>4493</v>
      </c>
      <c r="AF5708" s="11" t="s">
        <v>8300</v>
      </c>
      <c r="AG5708" s="115"/>
      <c r="AH5708" s="11"/>
      <c r="AI5708" s="11"/>
    </row>
    <row r="5709" spans="31:37">
      <c r="AE5709" s="115" t="s">
        <v>4495</v>
      </c>
      <c r="AF5709" s="11" t="s">
        <v>8299</v>
      </c>
      <c r="AG5709" s="115"/>
      <c r="AH5709" s="11"/>
      <c r="AI5709" s="11"/>
    </row>
    <row r="5710" spans="31:37">
      <c r="AE5710" s="115" t="s">
        <v>4494</v>
      </c>
      <c r="AF5710" s="11" t="s">
        <v>8342</v>
      </c>
      <c r="AG5710" s="115"/>
      <c r="AH5710" s="11"/>
      <c r="AI5710" s="11"/>
    </row>
    <row r="5711" spans="31:37">
      <c r="AE5711" s="115" t="s">
        <v>4500</v>
      </c>
      <c r="AF5711" s="11" t="s">
        <v>8299</v>
      </c>
      <c r="AG5711" s="115"/>
      <c r="AH5711" s="11"/>
      <c r="AI5711" s="11"/>
    </row>
    <row r="5712" spans="31:37">
      <c r="AE5712" s="115" t="s">
        <v>4501</v>
      </c>
      <c r="AF5712" s="11" t="s">
        <v>8299</v>
      </c>
      <c r="AG5712" s="115"/>
      <c r="AH5712" s="11"/>
      <c r="AI5712" s="11"/>
    </row>
    <row r="5713" spans="31:35">
      <c r="AE5713" s="115" t="s">
        <v>4414</v>
      </c>
      <c r="AF5713" s="11" t="s">
        <v>8300</v>
      </c>
      <c r="AG5713" s="115"/>
      <c r="AH5713" s="11"/>
      <c r="AI5713" s="11"/>
    </row>
    <row r="5714" spans="31:35">
      <c r="AE5714" s="115" t="s">
        <v>3858</v>
      </c>
      <c r="AF5714" s="11" t="s">
        <v>8541</v>
      </c>
      <c r="AG5714" s="115"/>
      <c r="AH5714" s="11"/>
      <c r="AI5714" s="11"/>
    </row>
    <row r="5715" spans="31:35">
      <c r="AE5715" s="115" t="s">
        <v>4492</v>
      </c>
      <c r="AF5715" s="11" t="s">
        <v>8299</v>
      </c>
      <c r="AG5715" s="115"/>
      <c r="AH5715" s="11"/>
      <c r="AI5715" s="11"/>
    </row>
    <row r="5716" spans="31:35">
      <c r="AE5716" s="115" t="s">
        <v>4491</v>
      </c>
      <c r="AF5716" s="11" t="s">
        <v>8299</v>
      </c>
      <c r="AG5716" s="115"/>
      <c r="AH5716" s="11"/>
      <c r="AI5716" s="11"/>
    </row>
    <row r="5717" spans="31:35">
      <c r="AE5717" s="115" t="s">
        <v>5541</v>
      </c>
      <c r="AF5717" s="11" t="s">
        <v>8309</v>
      </c>
      <c r="AG5717" s="115"/>
      <c r="AH5717" s="11"/>
      <c r="AI5717" s="11"/>
    </row>
    <row r="5718" spans="31:35">
      <c r="AE5718" s="115" t="s">
        <v>3856</v>
      </c>
      <c r="AF5718" s="11" t="s">
        <v>8339</v>
      </c>
      <c r="AG5718" s="115"/>
      <c r="AH5718" s="11"/>
      <c r="AI5718" s="11"/>
    </row>
    <row r="5719" spans="31:35">
      <c r="AE5719" s="115" t="s">
        <v>4503</v>
      </c>
      <c r="AF5719" s="11" t="s">
        <v>8320</v>
      </c>
      <c r="AG5719" s="115"/>
      <c r="AH5719" s="11"/>
      <c r="AI5719" s="11"/>
    </row>
    <row r="5720" spans="31:35">
      <c r="AE5720" s="115" t="s">
        <v>4504</v>
      </c>
      <c r="AF5720" s="11" t="s">
        <v>8339</v>
      </c>
      <c r="AG5720" s="115"/>
      <c r="AH5720" s="11"/>
      <c r="AI5720" s="11"/>
    </row>
    <row r="5721" spans="31:35">
      <c r="AE5721" s="115" t="s">
        <v>4505</v>
      </c>
      <c r="AF5721" s="11" t="s">
        <v>8339</v>
      </c>
      <c r="AG5721" s="115"/>
      <c r="AH5721" s="11"/>
      <c r="AI5721" s="11"/>
    </row>
    <row r="5722" spans="31:35">
      <c r="AE5722" s="115" t="s">
        <v>3857</v>
      </c>
      <c r="AF5722" s="11" t="s">
        <v>8342</v>
      </c>
      <c r="AG5722" s="115"/>
      <c r="AH5722" s="11"/>
      <c r="AI5722" s="11"/>
    </row>
    <row r="5723" spans="31:35">
      <c r="AE5723" s="115" t="s">
        <v>4506</v>
      </c>
      <c r="AF5723" s="11" t="s">
        <v>8339</v>
      </c>
      <c r="AG5723" s="115"/>
      <c r="AH5723" s="11"/>
      <c r="AI5723" s="11"/>
    </row>
    <row r="5724" spans="31:35">
      <c r="AE5724" s="115" t="s">
        <v>4725</v>
      </c>
      <c r="AF5724" s="11" t="s">
        <v>8299</v>
      </c>
      <c r="AG5724" s="115"/>
      <c r="AH5724" s="11"/>
      <c r="AI5724" s="11"/>
    </row>
    <row r="5725" spans="31:35">
      <c r="AE5725" s="115" t="s">
        <v>4788</v>
      </c>
      <c r="AF5725" s="11" t="s">
        <v>8320</v>
      </c>
      <c r="AG5725" s="115"/>
      <c r="AH5725" s="11"/>
      <c r="AI5725" s="11"/>
    </row>
    <row r="5726" spans="31:35">
      <c r="AE5726" s="115" t="s">
        <v>4787</v>
      </c>
      <c r="AF5726" s="11" t="s">
        <v>8309</v>
      </c>
      <c r="AG5726" s="115"/>
      <c r="AH5726" s="11"/>
      <c r="AI5726" s="11"/>
    </row>
    <row r="5727" spans="31:35">
      <c r="AE5727" s="115" t="s">
        <v>4786</v>
      </c>
      <c r="AF5727" s="11" t="s">
        <v>8299</v>
      </c>
      <c r="AG5727" s="115"/>
      <c r="AH5727" s="11"/>
      <c r="AI5727" s="11"/>
    </row>
    <row r="5728" spans="31:35">
      <c r="AE5728" s="115" t="s">
        <v>4708</v>
      </c>
      <c r="AF5728" s="11" t="s">
        <v>8299</v>
      </c>
      <c r="AG5728" s="115"/>
      <c r="AH5728" s="11"/>
      <c r="AI5728" s="11"/>
    </row>
    <row r="5729" spans="31:35">
      <c r="AE5729" s="115" t="s">
        <v>5542</v>
      </c>
      <c r="AF5729" s="11" t="s">
        <v>8299</v>
      </c>
      <c r="AG5729" s="115"/>
      <c r="AH5729" s="11"/>
      <c r="AI5729" s="11"/>
    </row>
    <row r="5730" spans="31:35">
      <c r="AE5730" s="115" t="s">
        <v>5543</v>
      </c>
      <c r="AF5730" s="11" t="s">
        <v>8299</v>
      </c>
      <c r="AG5730" s="115"/>
      <c r="AH5730" s="11"/>
      <c r="AI5730" s="11"/>
    </row>
    <row r="5731" spans="31:35">
      <c r="AE5731" s="115" t="s">
        <v>4769</v>
      </c>
      <c r="AF5731" s="11" t="s">
        <v>8300</v>
      </c>
      <c r="AG5731" s="115"/>
      <c r="AH5731" s="11"/>
      <c r="AI5731" s="11"/>
    </row>
    <row r="5732" spans="31:35">
      <c r="AE5732" s="115">
        <v>23462</v>
      </c>
      <c r="AF5732" s="11" t="s">
        <v>8300</v>
      </c>
      <c r="AG5732" s="115"/>
      <c r="AH5732" s="11"/>
      <c r="AI5732" s="11"/>
    </row>
    <row r="5733" spans="31:35">
      <c r="AE5733" s="115" t="s">
        <v>4774</v>
      </c>
      <c r="AF5733" s="11" t="s">
        <v>8300</v>
      </c>
      <c r="AG5733" s="115"/>
      <c r="AH5733" s="11"/>
      <c r="AI5733" s="11"/>
    </row>
    <row r="5734" spans="31:35">
      <c r="AE5734" s="115" t="s">
        <v>4765</v>
      </c>
      <c r="AF5734" s="11" t="s">
        <v>8339</v>
      </c>
      <c r="AG5734" s="115"/>
      <c r="AH5734" s="11"/>
      <c r="AI5734" s="11"/>
    </row>
    <row r="5735" spans="31:35">
      <c r="AE5735" s="115" t="s">
        <v>4702</v>
      </c>
      <c r="AF5735" s="11" t="s">
        <v>8342</v>
      </c>
      <c r="AG5735" s="115"/>
      <c r="AH5735" s="11"/>
      <c r="AI5735" s="11"/>
    </row>
    <row r="5736" spans="31:35">
      <c r="AE5736" s="115" t="s">
        <v>4773</v>
      </c>
      <c r="AF5736" s="11" t="s">
        <v>8299</v>
      </c>
      <c r="AG5736" s="115"/>
      <c r="AH5736" s="11"/>
      <c r="AI5736" s="11"/>
    </row>
    <row r="5737" spans="31:35">
      <c r="AE5737" s="115" t="s">
        <v>5312</v>
      </c>
      <c r="AF5737" s="11" t="s">
        <v>8300</v>
      </c>
      <c r="AG5737" s="115"/>
      <c r="AH5737" s="11"/>
      <c r="AI5737" s="11"/>
    </row>
    <row r="5738" spans="31:35">
      <c r="AE5738" s="115" t="s">
        <v>5544</v>
      </c>
      <c r="AF5738" s="11" t="s">
        <v>8299</v>
      </c>
      <c r="AG5738" s="115"/>
      <c r="AH5738" s="11"/>
      <c r="AI5738" s="11"/>
    </row>
    <row r="5739" spans="31:35">
      <c r="AE5739" s="115" t="s">
        <v>5318</v>
      </c>
      <c r="AF5739" s="11" t="s">
        <v>8299</v>
      </c>
      <c r="AG5739" s="115"/>
      <c r="AH5739" s="11"/>
      <c r="AI5739" s="11"/>
    </row>
    <row r="5740" spans="31:35">
      <c r="AE5740" s="115" t="s">
        <v>5243</v>
      </c>
      <c r="AF5740" s="11" t="s">
        <v>8300</v>
      </c>
      <c r="AG5740" s="115"/>
      <c r="AH5740" s="11"/>
      <c r="AI5740" s="11"/>
    </row>
    <row r="5741" spans="31:35">
      <c r="AE5741" s="115" t="s">
        <v>5160</v>
      </c>
      <c r="AF5741" s="11" t="s">
        <v>8300</v>
      </c>
      <c r="AG5741" s="115"/>
      <c r="AH5741" s="11"/>
      <c r="AI5741" s="11"/>
    </row>
    <row r="5742" spans="31:35">
      <c r="AE5742" s="115" t="s">
        <v>5545</v>
      </c>
      <c r="AF5742" s="11" t="s">
        <v>8299</v>
      </c>
      <c r="AG5742" s="115"/>
      <c r="AH5742" s="11"/>
      <c r="AI5742" s="11"/>
    </row>
    <row r="5743" spans="31:35">
      <c r="AE5743" s="115" t="s">
        <v>5102</v>
      </c>
      <c r="AF5743" s="11" t="s">
        <v>8299</v>
      </c>
      <c r="AG5743" s="115"/>
      <c r="AH5743" s="11"/>
      <c r="AI5743" s="11"/>
    </row>
    <row r="5744" spans="31:35">
      <c r="AE5744" s="115" t="s">
        <v>5071</v>
      </c>
      <c r="AF5744" s="11" t="s">
        <v>8299</v>
      </c>
      <c r="AG5744" s="115"/>
      <c r="AH5744" s="11"/>
      <c r="AI5744" s="11"/>
    </row>
    <row r="5745" spans="31:35">
      <c r="AE5745" s="115" t="s">
        <v>5735</v>
      </c>
      <c r="AF5745" s="11" t="s">
        <v>8309</v>
      </c>
      <c r="AG5745" s="115"/>
      <c r="AH5745" s="11"/>
      <c r="AI5745" s="11"/>
    </row>
    <row r="5746" spans="31:35">
      <c r="AE5746" s="115" t="s">
        <v>5101</v>
      </c>
      <c r="AF5746" s="11" t="s">
        <v>8300</v>
      </c>
      <c r="AG5746" s="115"/>
      <c r="AH5746" s="11"/>
      <c r="AI5746" s="11"/>
    </row>
    <row r="5747" spans="31:35">
      <c r="AE5747" s="115" t="s">
        <v>5163</v>
      </c>
      <c r="AF5747" s="11" t="s">
        <v>8299</v>
      </c>
      <c r="AG5747" s="115"/>
      <c r="AH5747" s="11"/>
      <c r="AI5747" s="11"/>
    </row>
    <row r="5748" spans="31:35">
      <c r="AE5748" s="115" t="s">
        <v>5098</v>
      </c>
      <c r="AF5748" s="11" t="s">
        <v>8299</v>
      </c>
      <c r="AG5748" s="115"/>
      <c r="AH5748" s="11"/>
      <c r="AI5748" s="11"/>
    </row>
    <row r="5749" spans="31:35">
      <c r="AE5749" s="115" t="s">
        <v>5159</v>
      </c>
      <c r="AF5749" s="11" t="s">
        <v>8299</v>
      </c>
      <c r="AG5749" s="115"/>
      <c r="AH5749" s="11"/>
      <c r="AI5749" s="11"/>
    </row>
    <row r="5750" spans="31:35">
      <c r="AE5750" s="115" t="s">
        <v>5095</v>
      </c>
      <c r="AF5750" s="11" t="s">
        <v>8300</v>
      </c>
      <c r="AG5750" s="115"/>
      <c r="AH5750" s="11"/>
      <c r="AI5750" s="11"/>
    </row>
    <row r="5751" spans="31:35">
      <c r="AE5751" s="115" t="s">
        <v>5173</v>
      </c>
      <c r="AF5751" s="11" t="s">
        <v>8300</v>
      </c>
      <c r="AG5751" s="115"/>
      <c r="AH5751" s="11"/>
      <c r="AI5751" s="11"/>
    </row>
    <row r="5752" spans="31:35">
      <c r="AE5752" s="115" t="s">
        <v>5261</v>
      </c>
      <c r="AF5752" s="11" t="s">
        <v>8299</v>
      </c>
      <c r="AG5752" s="115"/>
      <c r="AH5752" s="11"/>
      <c r="AI5752" s="11"/>
    </row>
    <row r="5753" spans="31:35">
      <c r="AE5753" s="115" t="s">
        <v>5263</v>
      </c>
      <c r="AF5753" s="11" t="s">
        <v>8299</v>
      </c>
      <c r="AG5753" s="115"/>
      <c r="AH5753" s="11"/>
      <c r="AI5753" s="11"/>
    </row>
    <row r="5754" spans="31:35">
      <c r="AE5754" s="115" t="s">
        <v>5100</v>
      </c>
      <c r="AF5754" s="11" t="s">
        <v>8300</v>
      </c>
      <c r="AG5754" s="115"/>
      <c r="AH5754" s="11"/>
      <c r="AI5754" s="11"/>
    </row>
    <row r="5755" spans="31:35">
      <c r="AE5755" s="115" t="s">
        <v>5337</v>
      </c>
      <c r="AF5755" s="11" t="s">
        <v>8299</v>
      </c>
      <c r="AG5755" s="115"/>
      <c r="AH5755" s="11"/>
      <c r="AI5755" s="11"/>
    </row>
    <row r="5756" spans="31:35">
      <c r="AE5756" s="115" t="s">
        <v>5252</v>
      </c>
      <c r="AF5756" s="11" t="s">
        <v>8299</v>
      </c>
      <c r="AG5756" s="115"/>
      <c r="AH5756" s="11"/>
      <c r="AI5756" s="11"/>
    </row>
    <row r="5757" spans="31:35">
      <c r="AE5757" s="115" t="s">
        <v>5033</v>
      </c>
      <c r="AF5757" s="11" t="s">
        <v>8299</v>
      </c>
      <c r="AG5757" s="115"/>
      <c r="AH5757" s="11"/>
      <c r="AI5757" s="11"/>
    </row>
    <row r="5758" spans="31:35">
      <c r="AE5758" s="115" t="s">
        <v>5138</v>
      </c>
      <c r="AF5758" s="11" t="s">
        <v>8299</v>
      </c>
      <c r="AG5758" s="115"/>
      <c r="AH5758" s="11"/>
      <c r="AI5758" s="11"/>
    </row>
    <row r="5759" spans="31:35">
      <c r="AE5759" s="115" t="s">
        <v>5036</v>
      </c>
      <c r="AF5759" s="11" t="s">
        <v>8299</v>
      </c>
      <c r="AG5759" s="115"/>
      <c r="AH5759" s="11"/>
      <c r="AI5759" s="11"/>
    </row>
    <row r="5760" spans="31:35">
      <c r="AE5760" s="115" t="s">
        <v>5032</v>
      </c>
      <c r="AF5760" s="11" t="s">
        <v>8299</v>
      </c>
      <c r="AG5760" s="115"/>
      <c r="AH5760" s="11"/>
      <c r="AI5760" s="11"/>
    </row>
    <row r="5761" spans="31:35">
      <c r="AE5761" s="115" t="s">
        <v>5141</v>
      </c>
      <c r="AF5761" s="11" t="s">
        <v>8299</v>
      </c>
      <c r="AG5761" s="115"/>
      <c r="AH5761" s="11"/>
      <c r="AI5761" s="11"/>
    </row>
    <row r="5762" spans="31:35">
      <c r="AE5762" s="115" t="s">
        <v>5266</v>
      </c>
      <c r="AF5762" s="11" t="s">
        <v>8299</v>
      </c>
      <c r="AG5762" s="115"/>
      <c r="AH5762" s="11"/>
      <c r="AI5762" s="11"/>
    </row>
    <row r="5763" spans="31:35">
      <c r="AE5763" s="115" t="s">
        <v>5307</v>
      </c>
      <c r="AF5763" s="11" t="s">
        <v>8300</v>
      </c>
      <c r="AG5763" s="115"/>
      <c r="AH5763" s="11"/>
      <c r="AI5763" s="11"/>
    </row>
    <row r="5764" spans="31:35">
      <c r="AE5764" s="115" t="s">
        <v>5220</v>
      </c>
      <c r="AF5764" s="11" t="s">
        <v>8300</v>
      </c>
      <c r="AG5764" s="115"/>
      <c r="AH5764" s="11"/>
      <c r="AI5764" s="11"/>
    </row>
    <row r="5765" spans="31:35">
      <c r="AE5765" s="115" t="s">
        <v>5187</v>
      </c>
      <c r="AF5765" s="11" t="s">
        <v>8300</v>
      </c>
      <c r="AG5765" s="115"/>
      <c r="AH5765" s="11"/>
      <c r="AI5765" s="11"/>
    </row>
    <row r="5766" spans="31:35">
      <c r="AE5766" s="115" t="s">
        <v>5251</v>
      </c>
      <c r="AF5766" s="11" t="s">
        <v>8300</v>
      </c>
      <c r="AG5766" s="115"/>
      <c r="AH5766" s="11"/>
      <c r="AI5766" s="11"/>
    </row>
    <row r="5767" spans="31:35">
      <c r="AE5767" s="115" t="s">
        <v>5167</v>
      </c>
      <c r="AF5767" s="11" t="s">
        <v>8300</v>
      </c>
      <c r="AG5767" s="115"/>
      <c r="AH5767" s="11"/>
      <c r="AI5767" s="11"/>
    </row>
    <row r="5768" spans="31:35">
      <c r="AE5768" s="115" t="s">
        <v>5273</v>
      </c>
      <c r="AF5768" s="11" t="s">
        <v>8309</v>
      </c>
      <c r="AG5768" s="115"/>
      <c r="AH5768" s="11"/>
      <c r="AI5768" s="11"/>
    </row>
    <row r="5769" spans="31:35">
      <c r="AE5769" s="115" t="s">
        <v>5260</v>
      </c>
      <c r="AF5769" s="11" t="s">
        <v>8300</v>
      </c>
      <c r="AG5769" s="115"/>
      <c r="AH5769" s="11"/>
      <c r="AI5769" s="11"/>
    </row>
    <row r="5770" spans="31:35">
      <c r="AE5770" s="115" t="s">
        <v>5109</v>
      </c>
      <c r="AF5770" s="11" t="s">
        <v>8299</v>
      </c>
      <c r="AG5770" s="115"/>
      <c r="AH5770" s="11"/>
      <c r="AI5770" s="11"/>
    </row>
    <row r="5771" spans="31:35">
      <c r="AE5771" s="115" t="s">
        <v>5256</v>
      </c>
      <c r="AF5771" s="11" t="s">
        <v>8299</v>
      </c>
      <c r="AG5771" s="115"/>
      <c r="AH5771" s="11"/>
      <c r="AI5771" s="11"/>
    </row>
    <row r="5772" spans="31:35">
      <c r="AE5772" s="115" t="s">
        <v>5378</v>
      </c>
      <c r="AF5772" s="11" t="s">
        <v>8342</v>
      </c>
      <c r="AG5772" s="115"/>
      <c r="AH5772" s="11"/>
      <c r="AI5772" s="11"/>
    </row>
    <row r="5773" spans="31:35">
      <c r="AE5773" s="115" t="s">
        <v>5309</v>
      </c>
      <c r="AF5773" s="11" t="s">
        <v>8339</v>
      </c>
      <c r="AG5773" s="115"/>
      <c r="AH5773" s="11"/>
      <c r="AI5773" s="11"/>
    </row>
    <row r="5774" spans="31:35">
      <c r="AE5774" s="115" t="s">
        <v>5305</v>
      </c>
      <c r="AF5774" s="11" t="s">
        <v>8339</v>
      </c>
      <c r="AG5774" s="115"/>
      <c r="AH5774" s="11"/>
      <c r="AI5774" s="11"/>
    </row>
    <row r="5775" spans="31:35">
      <c r="AE5775" s="115" t="s">
        <v>5297</v>
      </c>
      <c r="AF5775" s="11" t="s">
        <v>8339</v>
      </c>
      <c r="AG5775" s="115"/>
      <c r="AH5775" s="11"/>
      <c r="AI5775" s="11"/>
    </row>
    <row r="5776" spans="31:35">
      <c r="AE5776" s="115" t="s">
        <v>5099</v>
      </c>
      <c r="AF5776" s="11" t="s">
        <v>8300</v>
      </c>
      <c r="AG5776" s="115"/>
      <c r="AH5776" s="11"/>
      <c r="AI5776" s="11"/>
    </row>
    <row r="5777" spans="31:35">
      <c r="AE5777" s="115" t="s">
        <v>5546</v>
      </c>
      <c r="AF5777" s="11" t="s">
        <v>8299</v>
      </c>
      <c r="AG5777" s="115"/>
      <c r="AH5777" s="11"/>
      <c r="AI5777" s="11"/>
    </row>
    <row r="5778" spans="31:35">
      <c r="AE5778" s="115" t="s">
        <v>4358</v>
      </c>
      <c r="AF5778" s="11" t="s">
        <v>8299</v>
      </c>
      <c r="AG5778" s="115"/>
      <c r="AH5778" s="11"/>
      <c r="AI5778" s="11"/>
    </row>
    <row r="5779" spans="31:35">
      <c r="AE5779" s="115" t="s">
        <v>4359</v>
      </c>
      <c r="AF5779" s="11" t="s">
        <v>8299</v>
      </c>
      <c r="AG5779" s="115"/>
      <c r="AH5779" s="11"/>
      <c r="AI5779" s="11"/>
    </row>
    <row r="5780" spans="31:35">
      <c r="AE5780" s="115" t="s">
        <v>5547</v>
      </c>
      <c r="AF5780" s="11" t="s">
        <v>8299</v>
      </c>
      <c r="AG5780" s="115"/>
      <c r="AH5780" s="11"/>
      <c r="AI5780" s="11"/>
    </row>
    <row r="5781" spans="31:35">
      <c r="AE5781" s="115" t="s">
        <v>5338</v>
      </c>
      <c r="AF5781" s="11" t="s">
        <v>8311</v>
      </c>
      <c r="AG5781" s="115"/>
      <c r="AH5781" s="11"/>
      <c r="AI5781" s="11"/>
    </row>
    <row r="5782" spans="31:35">
      <c r="AE5782" s="115" t="s">
        <v>5339</v>
      </c>
      <c r="AF5782" s="11" t="s">
        <v>8299</v>
      </c>
      <c r="AG5782" s="115"/>
      <c r="AH5782" s="11"/>
      <c r="AI5782" s="11"/>
    </row>
    <row r="5783" spans="31:35">
      <c r="AE5783" s="115" t="s">
        <v>5215</v>
      </c>
      <c r="AF5783" s="11" t="s">
        <v>8309</v>
      </c>
      <c r="AG5783" s="115"/>
      <c r="AH5783" s="11"/>
      <c r="AI5783" s="11"/>
    </row>
    <row r="5784" spans="31:35">
      <c r="AE5784" s="115" t="s">
        <v>5222</v>
      </c>
      <c r="AF5784" s="11" t="s">
        <v>8299</v>
      </c>
      <c r="AG5784" s="115"/>
      <c r="AH5784" s="11"/>
      <c r="AI5784" s="11"/>
    </row>
    <row r="5785" spans="31:35">
      <c r="AE5785" s="115" t="s">
        <v>5229</v>
      </c>
      <c r="AF5785" s="11" t="s">
        <v>8299</v>
      </c>
      <c r="AG5785" s="115"/>
      <c r="AH5785" s="11"/>
      <c r="AI5785" s="11"/>
    </row>
    <row r="5786" spans="31:35">
      <c r="AE5786" s="115" t="s">
        <v>5232</v>
      </c>
      <c r="AF5786" s="11" t="s">
        <v>8299</v>
      </c>
      <c r="AG5786" s="115"/>
      <c r="AH5786" s="11"/>
      <c r="AI5786" s="11"/>
    </row>
    <row r="5787" spans="31:35">
      <c r="AE5787" s="115" t="s">
        <v>5145</v>
      </c>
      <c r="AF5787" s="11" t="s">
        <v>8299</v>
      </c>
      <c r="AG5787" s="115"/>
      <c r="AH5787" s="11"/>
      <c r="AI5787" s="11"/>
    </row>
    <row r="5788" spans="31:35">
      <c r="AE5788" s="115" t="s">
        <v>5322</v>
      </c>
      <c r="AF5788" s="11" t="s">
        <v>8299</v>
      </c>
      <c r="AG5788" s="115"/>
      <c r="AH5788" s="11"/>
      <c r="AI5788" s="11"/>
    </row>
    <row r="5789" spans="31:35">
      <c r="AE5789" s="115" t="s">
        <v>5314</v>
      </c>
      <c r="AF5789" s="11" t="s">
        <v>8320</v>
      </c>
      <c r="AG5789" s="115"/>
      <c r="AH5789" s="11"/>
      <c r="AI5789" s="11"/>
    </row>
    <row r="5790" spans="31:35">
      <c r="AE5790" s="115" t="s">
        <v>5274</v>
      </c>
      <c r="AF5790" s="11" t="s">
        <v>8309</v>
      </c>
      <c r="AG5790" s="115"/>
      <c r="AH5790" s="11"/>
      <c r="AI5790" s="11"/>
    </row>
    <row r="5791" spans="31:35">
      <c r="AE5791" s="115" t="s">
        <v>5375</v>
      </c>
      <c r="AF5791" s="11" t="s">
        <v>8339</v>
      </c>
      <c r="AG5791" s="115"/>
      <c r="AH5791" s="11"/>
      <c r="AI5791" s="11"/>
    </row>
    <row r="5792" spans="31:35">
      <c r="AE5792" s="115" t="s">
        <v>5374</v>
      </c>
      <c r="AF5792" s="11" t="s">
        <v>8300</v>
      </c>
      <c r="AG5792" s="115"/>
      <c r="AH5792" s="11"/>
      <c r="AI5792" s="11"/>
    </row>
    <row r="5793" spans="31:35">
      <c r="AE5793" s="115" t="s">
        <v>5372</v>
      </c>
      <c r="AF5793" s="11" t="s">
        <v>8339</v>
      </c>
      <c r="AG5793" s="115"/>
      <c r="AH5793" s="11"/>
      <c r="AI5793" s="11"/>
    </row>
    <row r="5794" spans="31:35">
      <c r="AE5794" s="115" t="s">
        <v>5376</v>
      </c>
      <c r="AF5794" s="11" t="s">
        <v>8300</v>
      </c>
      <c r="AG5794" s="115"/>
      <c r="AH5794" s="11"/>
      <c r="AI5794" s="11"/>
    </row>
    <row r="5795" spans="31:35">
      <c r="AE5795" s="115" t="s">
        <v>5463</v>
      </c>
      <c r="AF5795" s="11" t="s">
        <v>8299</v>
      </c>
      <c r="AG5795" s="115"/>
      <c r="AH5795" s="11"/>
      <c r="AI5795" s="11"/>
    </row>
    <row r="5796" spans="31:35">
      <c r="AE5796" s="115" t="s">
        <v>5462</v>
      </c>
      <c r="AF5796" s="11" t="s">
        <v>8299</v>
      </c>
      <c r="AG5796" s="115"/>
      <c r="AH5796" s="11"/>
      <c r="AI5796" s="11"/>
    </row>
    <row r="5797" spans="31:35">
      <c r="AE5797" s="115" t="s">
        <v>5409</v>
      </c>
      <c r="AF5797" s="11" t="s">
        <v>8300</v>
      </c>
      <c r="AG5797" s="115"/>
      <c r="AH5797" s="11"/>
      <c r="AI5797" s="11"/>
    </row>
    <row r="5798" spans="31:35">
      <c r="AE5798" s="115" t="s">
        <v>5408</v>
      </c>
      <c r="AF5798" s="11" t="s">
        <v>8300</v>
      </c>
      <c r="AG5798" s="115"/>
      <c r="AH5798" s="11"/>
      <c r="AI5798" s="11"/>
    </row>
    <row r="5799" spans="31:35">
      <c r="AE5799" s="115" t="s">
        <v>5253</v>
      </c>
      <c r="AF5799" s="11" t="s">
        <v>8300</v>
      </c>
      <c r="AG5799" s="115"/>
      <c r="AH5799" s="11"/>
      <c r="AI5799" s="11"/>
    </row>
    <row r="5800" spans="31:35">
      <c r="AE5800" s="115" t="s">
        <v>5037</v>
      </c>
      <c r="AF5800" s="11" t="s">
        <v>8300</v>
      </c>
      <c r="AG5800" s="115"/>
      <c r="AH5800" s="11"/>
      <c r="AI5800" s="11"/>
    </row>
    <row r="5801" spans="31:35">
      <c r="AE5801" s="115" t="s">
        <v>5236</v>
      </c>
      <c r="AF5801" s="11" t="s">
        <v>8300</v>
      </c>
      <c r="AG5801" s="115"/>
      <c r="AH5801" s="11"/>
      <c r="AI5801" s="11"/>
    </row>
    <row r="5802" spans="31:35">
      <c r="AE5802" s="115" t="s">
        <v>5548</v>
      </c>
      <c r="AF5802" s="11" t="s">
        <v>8300</v>
      </c>
      <c r="AG5802" s="115"/>
      <c r="AH5802" s="11"/>
      <c r="AI5802" s="11"/>
    </row>
    <row r="5803" spans="31:35">
      <c r="AE5803" s="115" t="s">
        <v>5267</v>
      </c>
      <c r="AF5803" s="11" t="s">
        <v>8300</v>
      </c>
      <c r="AG5803" s="115"/>
      <c r="AH5803" s="11"/>
      <c r="AI5803" s="11"/>
    </row>
    <row r="5804" spans="31:35">
      <c r="AE5804" s="115" t="s">
        <v>5199</v>
      </c>
      <c r="AF5804" s="11" t="s">
        <v>8342</v>
      </c>
      <c r="AG5804" s="115"/>
      <c r="AH5804" s="11"/>
      <c r="AI5804" s="11"/>
    </row>
    <row r="5805" spans="31:35">
      <c r="AE5805" s="115" t="s">
        <v>5221</v>
      </c>
      <c r="AF5805" s="11" t="s">
        <v>8342</v>
      </c>
      <c r="AG5805" s="115"/>
      <c r="AH5805" s="11"/>
      <c r="AI5805" s="11"/>
    </row>
    <row r="5806" spans="31:35">
      <c r="AE5806" s="115" t="s">
        <v>5249</v>
      </c>
      <c r="AF5806" s="11" t="s">
        <v>8300</v>
      </c>
      <c r="AG5806" s="115"/>
      <c r="AH5806" s="11"/>
      <c r="AI5806" s="11"/>
    </row>
    <row r="5807" spans="31:35">
      <c r="AE5807" s="115" t="s">
        <v>5210</v>
      </c>
      <c r="AF5807" s="11" t="s">
        <v>8299</v>
      </c>
      <c r="AG5807" s="115"/>
      <c r="AH5807" s="11"/>
      <c r="AI5807" s="11"/>
    </row>
    <row r="5808" spans="31:35">
      <c r="AE5808" s="115" t="s">
        <v>5230</v>
      </c>
      <c r="AF5808" s="11" t="s">
        <v>8299</v>
      </c>
      <c r="AG5808" s="115"/>
      <c r="AH5808" s="11"/>
      <c r="AI5808" s="11"/>
    </row>
    <row r="5809" spans="31:35">
      <c r="AE5809" s="115" t="s">
        <v>5446</v>
      </c>
      <c r="AF5809" s="11" t="s">
        <v>8300</v>
      </c>
      <c r="AG5809" s="115"/>
      <c r="AH5809" s="11"/>
      <c r="AI5809" s="11"/>
    </row>
    <row r="5810" spans="31:35">
      <c r="AE5810" s="115" t="s">
        <v>5445</v>
      </c>
      <c r="AF5810" s="11" t="s">
        <v>8300</v>
      </c>
      <c r="AG5810" s="115"/>
      <c r="AH5810" s="11"/>
      <c r="AI5810" s="11"/>
    </row>
    <row r="5811" spans="31:35">
      <c r="AE5811" s="115" t="s">
        <v>5485</v>
      </c>
      <c r="AF5811" s="11" t="s">
        <v>8300</v>
      </c>
      <c r="AG5811" s="115"/>
      <c r="AH5811" s="11"/>
      <c r="AI5811" s="11"/>
    </row>
    <row r="5812" spans="31:35">
      <c r="AE5812" s="115" t="s">
        <v>5484</v>
      </c>
      <c r="AF5812" s="11" t="s">
        <v>8300</v>
      </c>
      <c r="AG5812" s="115"/>
      <c r="AH5812" s="11"/>
      <c r="AI5812" s="11"/>
    </row>
    <row r="5813" spans="31:35">
      <c r="AE5813" s="115" t="s">
        <v>5148</v>
      </c>
      <c r="AF5813" s="11" t="s">
        <v>8300</v>
      </c>
      <c r="AG5813" s="115"/>
      <c r="AH5813" s="11"/>
      <c r="AI5813" s="11"/>
    </row>
    <row r="5814" spans="31:35">
      <c r="AE5814" s="115" t="s">
        <v>5377</v>
      </c>
      <c r="AF5814" s="11" t="s">
        <v>8339</v>
      </c>
      <c r="AG5814" s="115"/>
      <c r="AH5814" s="11"/>
      <c r="AI5814" s="11"/>
    </row>
    <row r="5815" spans="31:35">
      <c r="AE5815" s="115" t="s">
        <v>5270</v>
      </c>
      <c r="AF5815" s="11" t="s">
        <v>8299</v>
      </c>
      <c r="AG5815" s="115"/>
      <c r="AH5815" s="11"/>
      <c r="AI5815" s="11"/>
    </row>
    <row r="5816" spans="31:35">
      <c r="AE5816" s="115" t="s">
        <v>5336</v>
      </c>
      <c r="AF5816" s="11" t="s">
        <v>8299</v>
      </c>
      <c r="AG5816" s="115"/>
      <c r="AH5816" s="11"/>
      <c r="AI5816" s="11"/>
    </row>
    <row r="5817" spans="31:35">
      <c r="AE5817" s="115" t="s">
        <v>5158</v>
      </c>
      <c r="AF5817" s="11" t="s">
        <v>8299</v>
      </c>
      <c r="AG5817" s="115"/>
      <c r="AH5817" s="11"/>
      <c r="AI5817" s="11"/>
    </row>
    <row r="5818" spans="31:35">
      <c r="AE5818" s="115" t="s">
        <v>5333</v>
      </c>
      <c r="AF5818" s="11" t="s">
        <v>8359</v>
      </c>
      <c r="AG5818" s="115"/>
      <c r="AH5818" s="11"/>
      <c r="AI5818" s="11"/>
    </row>
    <row r="5819" spans="31:35">
      <c r="AE5819" s="115" t="s">
        <v>5271</v>
      </c>
      <c r="AF5819" s="11" t="s">
        <v>8621</v>
      </c>
      <c r="AG5819" s="115"/>
      <c r="AH5819" s="11"/>
      <c r="AI5819" s="11"/>
    </row>
    <row r="5820" spans="31:35">
      <c r="AE5820" s="115" t="s">
        <v>5044</v>
      </c>
      <c r="AF5820" s="11" t="s">
        <v>8299</v>
      </c>
      <c r="AG5820" s="115"/>
      <c r="AH5820" s="11"/>
      <c r="AI5820" s="11"/>
    </row>
    <row r="5821" spans="31:35">
      <c r="AE5821" s="115" t="s">
        <v>5361</v>
      </c>
      <c r="AF5821" s="11" t="s">
        <v>8299</v>
      </c>
      <c r="AG5821" s="115"/>
      <c r="AH5821" s="11"/>
      <c r="AI5821" s="11"/>
    </row>
    <row r="5822" spans="31:35">
      <c r="AE5822" s="115" t="s">
        <v>5191</v>
      </c>
      <c r="AF5822" s="11" t="s">
        <v>8299</v>
      </c>
      <c r="AG5822" s="115"/>
      <c r="AH5822" s="11"/>
      <c r="AI5822" s="11"/>
    </row>
    <row r="5823" spans="31:35">
      <c r="AE5823" s="115" t="s">
        <v>5334</v>
      </c>
      <c r="AF5823" s="11" t="s">
        <v>8342</v>
      </c>
      <c r="AG5823" s="115"/>
      <c r="AH5823" s="11"/>
      <c r="AI5823" s="11"/>
    </row>
    <row r="5824" spans="31:35">
      <c r="AE5824" s="115" t="s">
        <v>5340</v>
      </c>
      <c r="AF5824" s="11" t="s">
        <v>8299</v>
      </c>
      <c r="AG5824" s="115"/>
      <c r="AH5824" s="11"/>
      <c r="AI5824" s="11"/>
    </row>
    <row r="5825" spans="31:35">
      <c r="AE5825" s="115" t="s">
        <v>5358</v>
      </c>
      <c r="AF5825" s="11" t="s">
        <v>8340</v>
      </c>
      <c r="AG5825" s="115"/>
      <c r="AH5825" s="11"/>
      <c r="AI5825" s="11"/>
    </row>
    <row r="5826" spans="31:35">
      <c r="AE5826" s="115" t="s">
        <v>5359</v>
      </c>
      <c r="AF5826" s="11" t="s">
        <v>8299</v>
      </c>
      <c r="AG5826" s="115"/>
      <c r="AH5826" s="11"/>
      <c r="AI5826" s="11"/>
    </row>
    <row r="5827" spans="31:35">
      <c r="AE5827" s="115" t="s">
        <v>5335</v>
      </c>
      <c r="AF5827" s="11" t="s">
        <v>8320</v>
      </c>
      <c r="AG5827" s="115"/>
      <c r="AH5827" s="11"/>
      <c r="AI5827" s="11"/>
    </row>
    <row r="5828" spans="31:35">
      <c r="AE5828" s="115" t="s">
        <v>5272</v>
      </c>
      <c r="AF5828" s="11" t="s">
        <v>8299</v>
      </c>
      <c r="AG5828" s="115"/>
      <c r="AH5828" s="11"/>
      <c r="AI5828" s="11"/>
    </row>
    <row r="5829" spans="31:35">
      <c r="AE5829" s="115" t="s">
        <v>5549</v>
      </c>
      <c r="AF5829" s="11" t="s">
        <v>8339</v>
      </c>
      <c r="AG5829" s="115"/>
      <c r="AH5829" s="11"/>
      <c r="AI5829" s="11"/>
    </row>
    <row r="5830" spans="31:35">
      <c r="AE5830" s="115" t="s">
        <v>5373</v>
      </c>
      <c r="AF5830" s="11" t="s">
        <v>8300</v>
      </c>
      <c r="AG5830" s="115"/>
      <c r="AH5830" s="11"/>
      <c r="AI5830" s="11"/>
    </row>
    <row r="5831" spans="31:35">
      <c r="AE5831" s="115" t="s">
        <v>5550</v>
      </c>
      <c r="AF5831" s="11" t="s">
        <v>8299</v>
      </c>
      <c r="AG5831" s="115"/>
      <c r="AH5831" s="11"/>
      <c r="AI5831" s="11"/>
    </row>
    <row r="5832" spans="31:35">
      <c r="AE5832" s="115" t="s">
        <v>5551</v>
      </c>
      <c r="AF5832" s="11" t="s">
        <v>8339</v>
      </c>
      <c r="AG5832" s="115"/>
      <c r="AH5832" s="11"/>
      <c r="AI5832" s="11"/>
    </row>
    <row r="5833" spans="31:35">
      <c r="AE5833" s="115" t="s">
        <v>5552</v>
      </c>
      <c r="AF5833" s="11" t="s">
        <v>8299</v>
      </c>
      <c r="AG5833" s="115"/>
      <c r="AH5833" s="11"/>
      <c r="AI5833" s="11"/>
    </row>
    <row r="5834" spans="31:35">
      <c r="AE5834" s="115">
        <v>575387</v>
      </c>
      <c r="AF5834" s="11" t="s">
        <v>8299</v>
      </c>
      <c r="AG5834" s="115"/>
      <c r="AH5834" s="11"/>
      <c r="AI5834" s="11"/>
    </row>
    <row r="5835" spans="31:35">
      <c r="AE5835" s="115" t="s">
        <v>5357</v>
      </c>
      <c r="AF5835" s="11" t="s">
        <v>8299</v>
      </c>
      <c r="AG5835" s="115"/>
      <c r="AH5835" s="11"/>
      <c r="AI5835" s="11"/>
    </row>
    <row r="5836" spans="31:35">
      <c r="AE5836" s="115" t="s">
        <v>5332</v>
      </c>
      <c r="AF5836" s="11" t="s">
        <v>8300</v>
      </c>
      <c r="AG5836" s="115"/>
      <c r="AH5836" s="11"/>
      <c r="AI5836" s="11"/>
    </row>
    <row r="5837" spans="31:35">
      <c r="AE5837" s="115" t="s">
        <v>5341</v>
      </c>
      <c r="AF5837" s="11" t="s">
        <v>8300</v>
      </c>
      <c r="AG5837" s="115"/>
      <c r="AH5837" s="11"/>
      <c r="AI5837" s="11"/>
    </row>
    <row r="5838" spans="31:35">
      <c r="AE5838" s="115" t="s">
        <v>5553</v>
      </c>
      <c r="AF5838" s="11" t="s">
        <v>8299</v>
      </c>
      <c r="AG5838" s="115"/>
      <c r="AH5838" s="11"/>
      <c r="AI5838" s="11"/>
    </row>
    <row r="5839" spans="31:35">
      <c r="AE5839" s="115" t="s">
        <v>5554</v>
      </c>
      <c r="AF5839" s="11" t="s">
        <v>8299</v>
      </c>
      <c r="AG5839" s="115"/>
      <c r="AH5839" s="11"/>
      <c r="AI5839" s="11"/>
    </row>
    <row r="5840" spans="31:35">
      <c r="AE5840" s="115" t="s">
        <v>5555</v>
      </c>
      <c r="AF5840" s="11" t="s">
        <v>8309</v>
      </c>
      <c r="AG5840" s="115"/>
      <c r="AH5840" s="11"/>
      <c r="AI5840" s="11"/>
    </row>
    <row r="5841" spans="31:35">
      <c r="AE5841" s="115" t="s">
        <v>5556</v>
      </c>
      <c r="AF5841" s="11" t="s">
        <v>8339</v>
      </c>
      <c r="AG5841" s="115"/>
      <c r="AH5841" s="11"/>
      <c r="AI5841" s="11"/>
    </row>
    <row r="5842" spans="31:35">
      <c r="AE5842" s="115" t="s">
        <v>5557</v>
      </c>
      <c r="AF5842" s="11" t="s">
        <v>8299</v>
      </c>
      <c r="AG5842" s="115"/>
      <c r="AH5842" s="11"/>
      <c r="AI5842" s="11"/>
    </row>
    <row r="5843" spans="31:35">
      <c r="AE5843" s="115" t="s">
        <v>5558</v>
      </c>
      <c r="AF5843" s="11" t="s">
        <v>8300</v>
      </c>
      <c r="AG5843" s="115"/>
      <c r="AH5843" s="11"/>
      <c r="AI5843" s="11"/>
    </row>
    <row r="5844" spans="31:35">
      <c r="AE5844" s="115" t="s">
        <v>5559</v>
      </c>
      <c r="AF5844" s="11" t="s">
        <v>8300</v>
      </c>
      <c r="AG5844" s="115"/>
      <c r="AH5844" s="11"/>
      <c r="AI5844" s="11"/>
    </row>
    <row r="5845" spans="31:35">
      <c r="AE5845" s="115">
        <v>34540</v>
      </c>
      <c r="AF5845" s="11" t="s">
        <v>8300</v>
      </c>
      <c r="AG5845" s="115"/>
      <c r="AH5845" s="11"/>
      <c r="AI5845" s="11"/>
    </row>
    <row r="5846" spans="31:35">
      <c r="AE5846" s="115" t="s">
        <v>5560</v>
      </c>
      <c r="AF5846" s="11" t="s">
        <v>8300</v>
      </c>
      <c r="AG5846" s="115"/>
      <c r="AH5846" s="11"/>
      <c r="AI5846" s="11"/>
    </row>
    <row r="5847" spans="31:35">
      <c r="AE5847" s="115" t="s">
        <v>5561</v>
      </c>
      <c r="AF5847" s="11" t="s">
        <v>8346</v>
      </c>
      <c r="AG5847" s="115"/>
      <c r="AH5847" s="11"/>
      <c r="AI5847" s="11"/>
    </row>
    <row r="5848" spans="31:35">
      <c r="AE5848" s="115" t="s">
        <v>5562</v>
      </c>
      <c r="AF5848" s="11" t="s">
        <v>8300</v>
      </c>
      <c r="AG5848" s="115"/>
      <c r="AH5848" s="11"/>
      <c r="AI5848" s="11"/>
    </row>
    <row r="5849" spans="31:35">
      <c r="AE5849" s="115" t="s">
        <v>5563</v>
      </c>
      <c r="AF5849" s="11" t="s">
        <v>8309</v>
      </c>
      <c r="AG5849" s="115"/>
      <c r="AH5849" s="11"/>
      <c r="AI5849" s="11"/>
    </row>
    <row r="5850" spans="31:35">
      <c r="AE5850" s="115" t="s">
        <v>5564</v>
      </c>
      <c r="AF5850" s="11" t="s">
        <v>8320</v>
      </c>
      <c r="AG5850" s="115"/>
      <c r="AH5850" s="11"/>
      <c r="AI5850" s="11"/>
    </row>
    <row r="5851" spans="31:35">
      <c r="AE5851" s="115" t="s">
        <v>5362</v>
      </c>
      <c r="AF5851" s="11" t="s">
        <v>8299</v>
      </c>
      <c r="AG5851" s="115"/>
      <c r="AH5851" s="11"/>
      <c r="AI5851" s="11"/>
    </row>
    <row r="5852" spans="31:35">
      <c r="AE5852" s="115" t="s">
        <v>5360</v>
      </c>
      <c r="AF5852" s="11" t="s">
        <v>8311</v>
      </c>
      <c r="AG5852" s="115"/>
      <c r="AH5852" s="11"/>
      <c r="AI5852" s="11"/>
    </row>
    <row r="5853" spans="31:35">
      <c r="AE5853" s="115" t="s">
        <v>5565</v>
      </c>
      <c r="AF5853" s="11" t="s">
        <v>8309</v>
      </c>
      <c r="AG5853" s="115"/>
      <c r="AH5853" s="11"/>
      <c r="AI5853" s="11"/>
    </row>
    <row r="5854" spans="31:35">
      <c r="AE5854" s="115" t="s">
        <v>5566</v>
      </c>
      <c r="AF5854" s="11" t="s">
        <v>8299</v>
      </c>
      <c r="AG5854" s="115"/>
      <c r="AH5854" s="11"/>
      <c r="AI5854" s="11"/>
    </row>
    <row r="5855" spans="31:35">
      <c r="AE5855" s="115" t="s">
        <v>5567</v>
      </c>
      <c r="AF5855" s="11" t="s">
        <v>8299</v>
      </c>
      <c r="AG5855" s="115"/>
      <c r="AH5855" s="11"/>
      <c r="AI5855" s="11"/>
    </row>
    <row r="5856" spans="31:35">
      <c r="AE5856" s="115" t="s">
        <v>5211</v>
      </c>
      <c r="AF5856" s="11" t="s">
        <v>8299</v>
      </c>
      <c r="AG5856" s="115"/>
      <c r="AH5856" s="11"/>
      <c r="AI5856" s="11"/>
    </row>
    <row r="5857" spans="31:35">
      <c r="AE5857" s="115" t="s">
        <v>5568</v>
      </c>
      <c r="AF5857" s="11" t="s">
        <v>8309</v>
      </c>
      <c r="AG5857" s="115"/>
      <c r="AH5857" s="11"/>
      <c r="AI5857" s="11"/>
    </row>
    <row r="5858" spans="31:35">
      <c r="AE5858" s="115" t="s">
        <v>5569</v>
      </c>
      <c r="AF5858" s="11" t="s">
        <v>8299</v>
      </c>
      <c r="AG5858" s="115"/>
      <c r="AH5858" s="11"/>
      <c r="AI5858" s="11"/>
    </row>
    <row r="5859" spans="31:35">
      <c r="AE5859" s="115" t="s">
        <v>5570</v>
      </c>
      <c r="AF5859" s="11" t="s">
        <v>8299</v>
      </c>
      <c r="AG5859" s="115"/>
      <c r="AH5859" s="11"/>
      <c r="AI5859" s="11"/>
    </row>
    <row r="5860" spans="31:35">
      <c r="AE5860" s="115" t="s">
        <v>5571</v>
      </c>
      <c r="AF5860" s="11" t="s">
        <v>8299</v>
      </c>
      <c r="AG5860" s="115"/>
      <c r="AH5860" s="11"/>
      <c r="AI5860" s="11"/>
    </row>
    <row r="5861" spans="31:35">
      <c r="AE5861" s="115" t="s">
        <v>5572</v>
      </c>
      <c r="AF5861" s="11" t="s">
        <v>8320</v>
      </c>
      <c r="AG5861" s="115"/>
      <c r="AH5861" s="11"/>
      <c r="AI5861" s="11"/>
    </row>
    <row r="5862" spans="31:35">
      <c r="AE5862" s="115" t="s">
        <v>5492</v>
      </c>
      <c r="AF5862" s="11" t="s">
        <v>8299</v>
      </c>
      <c r="AG5862" s="115"/>
      <c r="AH5862" s="11"/>
      <c r="AI5862" s="11"/>
    </row>
    <row r="5863" spans="31:35">
      <c r="AE5863" s="115" t="s">
        <v>5573</v>
      </c>
      <c r="AF5863" s="11" t="s">
        <v>8297</v>
      </c>
      <c r="AG5863" s="115"/>
      <c r="AH5863" s="11"/>
      <c r="AI5863" s="11"/>
    </row>
    <row r="5864" spans="31:35">
      <c r="AE5864" s="115" t="s">
        <v>5574</v>
      </c>
      <c r="AF5864" s="11" t="s">
        <v>8299</v>
      </c>
      <c r="AG5864" s="115"/>
      <c r="AH5864" s="11"/>
      <c r="AI5864" s="11"/>
    </row>
    <row r="5865" spans="31:35">
      <c r="AE5865" s="115" t="s">
        <v>5736</v>
      </c>
      <c r="AF5865" s="11" t="s">
        <v>8299</v>
      </c>
      <c r="AG5865" s="115"/>
      <c r="AH5865" s="11"/>
      <c r="AI5865" s="11"/>
    </row>
    <row r="5866" spans="31:35">
      <c r="AE5866" s="115" t="s">
        <v>5737</v>
      </c>
      <c r="AF5866" s="11" t="s">
        <v>8299</v>
      </c>
      <c r="AG5866" s="115"/>
      <c r="AH5866" s="11"/>
      <c r="AI5866" s="11"/>
    </row>
    <row r="5867" spans="31:35">
      <c r="AE5867" s="115" t="s">
        <v>5738</v>
      </c>
      <c r="AF5867" s="11" t="s">
        <v>8339</v>
      </c>
      <c r="AG5867" s="115"/>
      <c r="AH5867" s="11"/>
      <c r="AI5867" s="11"/>
    </row>
    <row r="5868" spans="31:35">
      <c r="AE5868" s="115" t="s">
        <v>5739</v>
      </c>
      <c r="AF5868" s="11" t="s">
        <v>8299</v>
      </c>
      <c r="AG5868" s="115"/>
      <c r="AH5868" s="11"/>
      <c r="AI5868" s="11"/>
    </row>
    <row r="5869" spans="31:35">
      <c r="AE5869" s="115" t="s">
        <v>5729</v>
      </c>
      <c r="AF5869" s="11" t="s">
        <v>8299</v>
      </c>
      <c r="AG5869" s="115"/>
      <c r="AH5869" s="11"/>
      <c r="AI5869" s="11"/>
    </row>
    <row r="5870" spans="31:35">
      <c r="AE5870" s="115" t="s">
        <v>5740</v>
      </c>
      <c r="AF5870" s="11" t="s">
        <v>8299</v>
      </c>
      <c r="AG5870" s="115"/>
      <c r="AH5870" s="11"/>
      <c r="AI5870" s="11"/>
    </row>
    <row r="5871" spans="31:35">
      <c r="AE5871" s="115" t="s">
        <v>3538</v>
      </c>
      <c r="AF5871" s="11" t="s">
        <v>8320</v>
      </c>
      <c r="AG5871" s="115"/>
      <c r="AH5871" s="11"/>
      <c r="AI5871" s="11"/>
    </row>
    <row r="5872" spans="31:35">
      <c r="AE5872" s="115" t="s">
        <v>5741</v>
      </c>
      <c r="AF5872" s="11" t="s">
        <v>8300</v>
      </c>
      <c r="AG5872" s="115"/>
      <c r="AH5872" s="11"/>
      <c r="AI5872" s="11"/>
    </row>
    <row r="5873" spans="31:35">
      <c r="AE5873" s="115" t="s">
        <v>5742</v>
      </c>
      <c r="AF5873" s="11" t="s">
        <v>8339</v>
      </c>
      <c r="AG5873" s="115"/>
      <c r="AH5873" s="11"/>
      <c r="AI5873" s="11"/>
    </row>
    <row r="5874" spans="31:35">
      <c r="AE5874" s="115" t="s">
        <v>5743</v>
      </c>
      <c r="AF5874" s="11" t="s">
        <v>8339</v>
      </c>
      <c r="AG5874" s="115"/>
      <c r="AH5874" s="11"/>
      <c r="AI5874" s="11"/>
    </row>
    <row r="5875" spans="31:35">
      <c r="AE5875" s="115" t="s">
        <v>5744</v>
      </c>
      <c r="AF5875" s="11" t="s">
        <v>8299</v>
      </c>
      <c r="AG5875" s="115"/>
      <c r="AH5875" s="11"/>
      <c r="AI5875" s="11"/>
    </row>
    <row r="5876" spans="31:35">
      <c r="AE5876" s="115" t="s">
        <v>5745</v>
      </c>
      <c r="AF5876" s="11" t="s">
        <v>8299</v>
      </c>
      <c r="AG5876" s="115"/>
      <c r="AH5876" s="11"/>
      <c r="AI5876" s="11"/>
    </row>
    <row r="5877" spans="31:35">
      <c r="AE5877" s="115" t="s">
        <v>5746</v>
      </c>
      <c r="AF5877" s="11" t="s">
        <v>8339</v>
      </c>
      <c r="AG5877" s="115"/>
      <c r="AH5877" s="11"/>
      <c r="AI5877" s="11"/>
    </row>
    <row r="5878" spans="31:35">
      <c r="AE5878" s="115" t="s">
        <v>5747</v>
      </c>
      <c r="AF5878" s="11" t="s">
        <v>8339</v>
      </c>
      <c r="AG5878" s="115"/>
      <c r="AH5878" s="11"/>
      <c r="AI5878" s="11"/>
    </row>
    <row r="5879" spans="31:35">
      <c r="AE5879" s="115" t="s">
        <v>5748</v>
      </c>
      <c r="AF5879" s="11" t="s">
        <v>8339</v>
      </c>
      <c r="AG5879" s="115"/>
      <c r="AH5879" s="11"/>
      <c r="AI5879" s="11"/>
    </row>
    <row r="5880" spans="31:35">
      <c r="AE5880" s="115" t="s">
        <v>5749</v>
      </c>
      <c r="AF5880" s="11" t="s">
        <v>8339</v>
      </c>
      <c r="AG5880" s="115"/>
      <c r="AH5880" s="11"/>
      <c r="AI5880" s="11"/>
    </row>
    <row r="5881" spans="31:35">
      <c r="AE5881" s="115" t="s">
        <v>5750</v>
      </c>
      <c r="AF5881" s="11" t="s">
        <v>8300</v>
      </c>
      <c r="AG5881" s="115"/>
      <c r="AH5881" s="11"/>
      <c r="AI5881" s="11"/>
    </row>
    <row r="5882" spans="31:35">
      <c r="AE5882" s="115" t="s">
        <v>5751</v>
      </c>
      <c r="AF5882" s="11" t="s">
        <v>8300</v>
      </c>
      <c r="AG5882" s="115"/>
      <c r="AH5882" s="11"/>
      <c r="AI5882" s="11"/>
    </row>
    <row r="5883" spans="31:35">
      <c r="AE5883" s="115" t="s">
        <v>5752</v>
      </c>
      <c r="AF5883" s="11" t="s">
        <v>8309</v>
      </c>
      <c r="AG5883" s="115"/>
      <c r="AH5883" s="11"/>
      <c r="AI5883" s="11"/>
    </row>
    <row r="5884" spans="31:35">
      <c r="AE5884" s="115" t="s">
        <v>8622</v>
      </c>
      <c r="AF5884" s="11" t="s">
        <v>8613</v>
      </c>
      <c r="AG5884" s="115"/>
      <c r="AH5884" s="11"/>
      <c r="AI5884" s="11"/>
    </row>
    <row r="5885" spans="31:35">
      <c r="AE5885" s="115" t="s">
        <v>8623</v>
      </c>
      <c r="AF5885" s="11" t="s">
        <v>8613</v>
      </c>
      <c r="AG5885" s="115"/>
      <c r="AH5885" s="11"/>
      <c r="AI5885" s="11"/>
    </row>
    <row r="5886" spans="31:35">
      <c r="AE5886" s="115"/>
      <c r="AF5886" s="11"/>
      <c r="AG5886" s="115"/>
      <c r="AH5886" s="11"/>
      <c r="AI5886" s="11"/>
    </row>
  </sheetData>
  <sortState ref="O5:S200">
    <sortCondition ref="Q5:Q200"/>
  </sortState>
  <mergeCells count="17">
    <mergeCell ref="F3:F4"/>
    <mergeCell ref="E3:E4"/>
    <mergeCell ref="U3:U4"/>
    <mergeCell ref="Y3:Y4"/>
    <mergeCell ref="S2:T2"/>
    <mergeCell ref="A3:A4"/>
    <mergeCell ref="N3:N4"/>
    <mergeCell ref="B3:B4"/>
    <mergeCell ref="C3:C4"/>
    <mergeCell ref="D3:D4"/>
    <mergeCell ref="H3:H4"/>
    <mergeCell ref="I3:I4"/>
    <mergeCell ref="J3:J4"/>
    <mergeCell ref="K3:K4"/>
    <mergeCell ref="L3:L4"/>
    <mergeCell ref="M3:M4"/>
    <mergeCell ref="G3:G4"/>
  </mergeCells>
  <conditionalFormatting sqref="D5:F900">
    <cfRule type="containsText" dxfId="72" priority="6434" operator="containsText" text="P0">
      <formula>NOT(ISERROR(SEARCH("P0",D5)))</formula>
    </cfRule>
    <cfRule type="containsText" dxfId="71" priority="6435" operator="containsText" text="P2">
      <formula>NOT(ISERROR(SEARCH("P2",D5)))</formula>
    </cfRule>
    <cfRule type="containsText" dxfId="70" priority="6436" operator="containsText" text="P1">
      <formula>NOT(ISERROR(SEARCH("P1",D5)))</formula>
    </cfRule>
  </conditionalFormatting>
  <conditionalFormatting sqref="AE3745:AE3748 AE2673:AE3743">
    <cfRule type="duplicateValues" dxfId="69" priority="6433"/>
  </conditionalFormatting>
  <hyperlinks>
    <hyperlink ref="AM2" r:id="rId1" display="Muhammad.ejaz@waridtel.com"/>
  </hyperlinks>
  <pageMargins left="0.7" right="0.7" top="0.75" bottom="0.75" header="0.3" footer="0.3"/>
  <pageSetup orientation="portrait" r:id="rId2"/>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Sheet7!$K$2:$K$6</xm:f>
          </x14:formula1>
          <xm:sqref>D1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54"/>
  <sheetViews>
    <sheetView workbookViewId="0">
      <selection activeCell="I1" sqref="I1:N1048576"/>
    </sheetView>
  </sheetViews>
  <sheetFormatPr defaultRowHeight="12.75"/>
  <cols>
    <col min="1" max="1" width="12.42578125" style="12" customWidth="1"/>
    <col min="2" max="2" width="11.7109375" style="15" customWidth="1"/>
    <col min="3" max="3" width="10.85546875" style="15" customWidth="1"/>
    <col min="4" max="4" width="13.140625" style="108" customWidth="1"/>
    <col min="5" max="5" width="70.28515625" style="12" customWidth="1"/>
    <col min="8" max="8" width="9.5703125" customWidth="1"/>
    <col min="9" max="9" width="20.42578125" hidden="1" customWidth="1"/>
    <col min="10" max="10" width="38.42578125" style="6" hidden="1" customWidth="1"/>
    <col min="11" max="14" width="9.140625" hidden="1" customWidth="1"/>
    <col min="15" max="26" width="9.140625" customWidth="1"/>
  </cols>
  <sheetData>
    <row r="1" spans="1:14" ht="21" customHeight="1">
      <c r="A1" s="93" t="s">
        <v>4509</v>
      </c>
      <c r="B1" s="93" t="s">
        <v>0</v>
      </c>
      <c r="C1" s="93" t="s">
        <v>3550</v>
      </c>
      <c r="D1" s="107" t="s">
        <v>4413</v>
      </c>
      <c r="E1" s="93" t="s">
        <v>4510</v>
      </c>
      <c r="F1" s="92"/>
      <c r="H1" s="93" t="s">
        <v>4412</v>
      </c>
      <c r="I1" s="88" t="s">
        <v>4507</v>
      </c>
      <c r="J1" s="7"/>
      <c r="K1" s="132" t="str">
        <f>Ericsson!D1</f>
        <v>Central</v>
      </c>
      <c r="L1" s="89" t="s">
        <v>6624</v>
      </c>
    </row>
    <row r="2" spans="1:14" ht="15.75" customHeight="1">
      <c r="A2" s="91" t="str">
        <f>IF(Ericsson!Q5="","",IF(H2="up",Ericsson!Q5,""))</f>
        <v/>
      </c>
      <c r="B2" s="15" t="str">
        <f>IF(Ericsson!R5="","",IF(H2="up",Ericsson!R5,""))</f>
        <v/>
      </c>
      <c r="C2" s="15" t="str">
        <f>IF(Ericsson!S5="","",IF(H2="up",Ericsson!S5,""))</f>
        <v/>
      </c>
      <c r="D2" s="108" t="str">
        <f>IF(H2="up",Ericsson!U5,"")</f>
        <v/>
      </c>
      <c r="E2" s="12" t="str">
        <f>IF(H2="Up","???","")</f>
        <v/>
      </c>
      <c r="H2" s="12" t="str">
        <f>Ericsson!T5</f>
        <v/>
      </c>
      <c r="J2" s="7" t="str">
        <f>IF(H2="up",IF(D2="",0,1),"")</f>
        <v/>
      </c>
      <c r="K2" s="132" t="s">
        <v>7943</v>
      </c>
      <c r="L2" s="89" t="s">
        <v>6610</v>
      </c>
    </row>
    <row r="3" spans="1:14" ht="27" customHeight="1">
      <c r="A3" s="91" t="str">
        <f>IF(Ericsson!Q6="","",IF(H3="up",Ericsson!Q6,""))</f>
        <v/>
      </c>
      <c r="B3" s="15" t="str">
        <f>IF(Ericsson!R6="","",IF(H3="up",Ericsson!R6,""))</f>
        <v/>
      </c>
      <c r="C3" s="15" t="str">
        <f>IF(Ericsson!S6="","",IF(H3="up",Ericsson!S6,""))</f>
        <v/>
      </c>
      <c r="D3" s="108" t="str">
        <f>IF(H3="up",Ericsson!U6,"")</f>
        <v/>
      </c>
      <c r="E3" s="12" t="str">
        <f t="shared" ref="E3:E66" si="0">IF(H3="Up","???","")</f>
        <v/>
      </c>
      <c r="H3" s="12" t="str">
        <f>Ericsson!T6</f>
        <v/>
      </c>
      <c r="J3" s="7" t="str">
        <f t="shared" ref="J3:J66" si="1">IF(H3="up",IF(D3="",0,1),"")</f>
        <v/>
      </c>
      <c r="K3" s="132" t="s">
        <v>7941</v>
      </c>
    </row>
    <row r="4" spans="1:14">
      <c r="A4" s="91" t="str">
        <f>IF(Ericsson!Q7="","",IF(H4="up",Ericsson!Q7,""))</f>
        <v>02/03-11:29</v>
      </c>
      <c r="B4" s="15" t="str">
        <f>IF(Ericsson!R7="","",IF(H4="up",Ericsson!R7,""))</f>
        <v>BSC37</v>
      </c>
      <c r="C4" s="15" t="str">
        <f>IF(Ericsson!S7="","",IF(H4="up",Ericsson!S7,""))</f>
        <v>LH1077</v>
      </c>
      <c r="D4" s="108">
        <f>IF(H4="up",Ericsson!U7,"")</f>
        <v>0.66597222222222219</v>
      </c>
      <c r="E4" s="12" t="str">
        <f t="shared" si="0"/>
        <v>???</v>
      </c>
      <c r="H4" s="12" t="str">
        <f>Ericsson!T7</f>
        <v>up</v>
      </c>
      <c r="J4" s="7">
        <f t="shared" si="1"/>
        <v>1</v>
      </c>
      <c r="K4" s="132" t="s">
        <v>7942</v>
      </c>
      <c r="N4" s="6"/>
    </row>
    <row r="5" spans="1:14">
      <c r="A5" s="91" t="str">
        <f>IF(Ericsson!Q8="","",IF(H5="up",Ericsson!Q8,""))</f>
        <v>02/03-12:48</v>
      </c>
      <c r="B5" s="15" t="str">
        <f>IF(Ericsson!R8="","",IF(H5="up",Ericsson!R8,""))</f>
        <v>BSC25</v>
      </c>
      <c r="C5" s="15" t="str">
        <f>IF(Ericsson!S8="","",IF(H5="up",Ericsson!S8,""))</f>
        <v>GU4169</v>
      </c>
      <c r="D5" s="108">
        <f>IF(H5="up",Ericsson!U8,"")</f>
        <v>0.65902777777777777</v>
      </c>
      <c r="E5" s="12" t="str">
        <f t="shared" si="0"/>
        <v>???</v>
      </c>
      <c r="H5" s="12" t="str">
        <f>Ericsson!T8</f>
        <v>up</v>
      </c>
      <c r="J5" s="7">
        <f t="shared" si="1"/>
        <v>1</v>
      </c>
      <c r="K5" s="132" t="s">
        <v>7939</v>
      </c>
      <c r="N5" s="6"/>
    </row>
    <row r="6" spans="1:14">
      <c r="A6" s="91" t="str">
        <f>IF(Ericsson!Q9="","",IF(H6="up",Ericsson!Q9,""))</f>
        <v/>
      </c>
      <c r="B6" s="15" t="str">
        <f>IF(Ericsson!R9="","",IF(H6="up",Ericsson!R9,""))</f>
        <v/>
      </c>
      <c r="C6" s="15" t="str">
        <f>IF(Ericsson!S9="","",IF(H6="up",Ericsson!S9,""))</f>
        <v/>
      </c>
      <c r="D6" s="108" t="str">
        <f>IF(H6="up",Ericsson!U9,"")</f>
        <v/>
      </c>
      <c r="E6" s="12" t="str">
        <f t="shared" si="0"/>
        <v/>
      </c>
      <c r="H6" s="12" t="str">
        <f>Ericsson!T9</f>
        <v/>
      </c>
      <c r="J6" s="7" t="str">
        <f t="shared" si="1"/>
        <v/>
      </c>
      <c r="K6" s="132" t="s">
        <v>7940</v>
      </c>
      <c r="N6" s="6"/>
    </row>
    <row r="7" spans="1:14">
      <c r="A7" s="91" t="str">
        <f>IF(Ericsson!Q10="","",IF(H7="up",Ericsson!Q10,""))</f>
        <v/>
      </c>
      <c r="B7" s="15" t="str">
        <f>IF(Ericsson!R10="","",IF(H7="up",Ericsson!R10,""))</f>
        <v/>
      </c>
      <c r="C7" s="15" t="str">
        <f>IF(Ericsson!S10="","",IF(H7="up",Ericsson!S10,""))</f>
        <v/>
      </c>
      <c r="D7" s="108" t="str">
        <f>IF(H7="up",Ericsson!U10,"")</f>
        <v/>
      </c>
      <c r="E7" s="12" t="str">
        <f t="shared" si="0"/>
        <v/>
      </c>
      <c r="H7" s="12" t="str">
        <f>Ericsson!T10</f>
        <v/>
      </c>
      <c r="J7" s="7" t="str">
        <f t="shared" si="1"/>
        <v/>
      </c>
      <c r="K7" s="88"/>
      <c r="L7" s="89" t="s">
        <v>6625</v>
      </c>
    </row>
    <row r="8" spans="1:14">
      <c r="A8" s="91" t="str">
        <f>IF(Ericsson!Q11="","",IF(H8="up",Ericsson!Q11,""))</f>
        <v>02/03-13:25</v>
      </c>
      <c r="B8" s="15" t="str">
        <f>IF(Ericsson!R11="","",IF(H8="up",Ericsson!R11,""))</f>
        <v>BSC31</v>
      </c>
      <c r="C8" s="15" t="str">
        <f>IF(Ericsson!S11="","",IF(H8="up",Ericsson!S11,""))</f>
        <v>SH7568</v>
      </c>
      <c r="D8" s="108">
        <f>IF(H8="up",Ericsson!U11,"")</f>
        <v>0.66180555555555554</v>
      </c>
      <c r="E8" s="12" t="str">
        <f t="shared" si="0"/>
        <v>???</v>
      </c>
      <c r="H8" s="12" t="str">
        <f>Ericsson!T11</f>
        <v>up</v>
      </c>
      <c r="J8" s="7">
        <f t="shared" si="1"/>
        <v>1</v>
      </c>
      <c r="K8" s="88"/>
      <c r="L8" s="89" t="s">
        <v>7953</v>
      </c>
    </row>
    <row r="9" spans="1:14">
      <c r="A9" s="91" t="str">
        <f>IF(Ericsson!Q12="","",IF(H9="up",Ericsson!Q12,""))</f>
        <v/>
      </c>
      <c r="B9" s="15" t="str">
        <f>IF(Ericsson!R12="","",IF(H9="up",Ericsson!R12,""))</f>
        <v/>
      </c>
      <c r="C9" s="15" t="str">
        <f>IF(Ericsson!S12="","",IF(H9="up",Ericsson!S12,""))</f>
        <v/>
      </c>
      <c r="D9" s="108" t="str">
        <f>IF(H9="up",Ericsson!U12,"")</f>
        <v/>
      </c>
      <c r="E9" s="12" t="str">
        <f t="shared" si="0"/>
        <v/>
      </c>
      <c r="H9" s="12" t="str">
        <f>Ericsson!T12</f>
        <v/>
      </c>
      <c r="J9" s="7" t="str">
        <f t="shared" si="1"/>
        <v/>
      </c>
    </row>
    <row r="10" spans="1:14">
      <c r="A10" s="91" t="str">
        <f>IF(Ericsson!Q13="","",IF(H10="up",Ericsson!Q13,""))</f>
        <v>02/03-15:31</v>
      </c>
      <c r="B10" s="15" t="str">
        <f>IF(Ericsson!R13="","",IF(H10="up",Ericsson!R13,""))</f>
        <v>BSC23</v>
      </c>
      <c r="C10" s="15" t="str">
        <f>IF(Ericsson!S13="","",IF(H10="up",Ericsson!S13,""))</f>
        <v>SK4187</v>
      </c>
      <c r="D10" s="108">
        <f>IF(H10="up",Ericsson!U13,"")</f>
        <v>0.68263888888888891</v>
      </c>
      <c r="E10" s="12" t="str">
        <f t="shared" si="0"/>
        <v>???</v>
      </c>
      <c r="H10" s="12" t="str">
        <f>Ericsson!T13</f>
        <v>up</v>
      </c>
      <c r="J10" s="7">
        <f t="shared" si="1"/>
        <v>1</v>
      </c>
    </row>
    <row r="11" spans="1:14">
      <c r="A11" s="91" t="str">
        <f>IF(Ericsson!Q14="","",IF(H11="up",Ericsson!Q14,""))</f>
        <v>02/03-15:34</v>
      </c>
      <c r="B11" s="15" t="str">
        <f>IF(Ericsson!R14="","",IF(H11="up",Ericsson!R14,""))</f>
        <v>BSC13</v>
      </c>
      <c r="C11" s="15" t="str">
        <f>IF(Ericsson!S14="","",IF(H11="up",Ericsson!S14,""))</f>
        <v>LH1381</v>
      </c>
      <c r="D11" s="108">
        <f>IF(H11="up",Ericsson!U14,"")</f>
        <v>0.68333333333333324</v>
      </c>
      <c r="E11" s="12" t="str">
        <f t="shared" si="0"/>
        <v>???</v>
      </c>
      <c r="H11" s="12" t="str">
        <f>Ericsson!T14</f>
        <v>up</v>
      </c>
      <c r="J11" s="7">
        <f t="shared" si="1"/>
        <v>1</v>
      </c>
    </row>
    <row r="12" spans="1:14">
      <c r="A12" s="91" t="str">
        <f>IF(Ericsson!Q15="","",IF(H12="up",Ericsson!Q15,""))</f>
        <v/>
      </c>
      <c r="B12" s="15" t="str">
        <f>IF(Ericsson!R15="","",IF(H12="up",Ericsson!R15,""))</f>
        <v/>
      </c>
      <c r="C12" s="15" t="str">
        <f>IF(Ericsson!S15="","",IF(H12="up",Ericsson!S15,""))</f>
        <v/>
      </c>
      <c r="D12" s="108" t="str">
        <f>IF(H12="up",Ericsson!U15,"")</f>
        <v/>
      </c>
      <c r="E12" s="12" t="str">
        <f t="shared" si="0"/>
        <v/>
      </c>
      <c r="H12" s="12" t="str">
        <f>Ericsson!T15</f>
        <v/>
      </c>
      <c r="J12" s="7" t="str">
        <f t="shared" si="1"/>
        <v/>
      </c>
    </row>
    <row r="13" spans="1:14">
      <c r="A13" s="91" t="str">
        <f>IF(Ericsson!Q16="","",IF(H13="up",Ericsson!Q16,""))</f>
        <v/>
      </c>
      <c r="B13" s="15" t="str">
        <f>IF(Ericsson!R16="","",IF(H13="up",Ericsson!R16,""))</f>
        <v/>
      </c>
      <c r="C13" s="15" t="str">
        <f>IF(Ericsson!S16="","",IF(H13="up",Ericsson!S16,""))</f>
        <v/>
      </c>
      <c r="D13" s="108" t="str">
        <f>IF(H13="up",Ericsson!U16,"")</f>
        <v/>
      </c>
      <c r="E13" s="12" t="str">
        <f t="shared" si="0"/>
        <v/>
      </c>
      <c r="H13" s="12" t="str">
        <f>Ericsson!T16</f>
        <v/>
      </c>
      <c r="J13" s="7" t="str">
        <f t="shared" si="1"/>
        <v/>
      </c>
      <c r="K13" s="88"/>
      <c r="L13" s="89" t="s">
        <v>6626</v>
      </c>
    </row>
    <row r="14" spans="1:14">
      <c r="A14" s="91" t="str">
        <f>IF(Ericsson!Q17="","",IF(H14="up",Ericsson!Q17,""))</f>
        <v/>
      </c>
      <c r="B14" s="15" t="str">
        <f>IF(Ericsson!R17="","",IF(H14="up",Ericsson!R17,""))</f>
        <v/>
      </c>
      <c r="C14" s="15" t="str">
        <f>IF(Ericsson!S17="","",IF(H14="up",Ericsson!S17,""))</f>
        <v/>
      </c>
      <c r="D14" s="108" t="str">
        <f>IF(H14="up",Ericsson!U17,"")</f>
        <v/>
      </c>
      <c r="E14" s="12" t="str">
        <f t="shared" si="0"/>
        <v/>
      </c>
      <c r="H14" s="12" t="str">
        <f>Ericsson!T17</f>
        <v/>
      </c>
      <c r="J14" s="7" t="str">
        <f t="shared" si="1"/>
        <v/>
      </c>
      <c r="K14" s="88"/>
      <c r="L14" s="89" t="s">
        <v>8665</v>
      </c>
    </row>
    <row r="15" spans="1:14">
      <c r="A15" s="91" t="str">
        <f>IF(Ericsson!Q18="","",IF(H15="up",Ericsson!Q18,""))</f>
        <v/>
      </c>
      <c r="B15" s="15" t="str">
        <f>IF(Ericsson!R18="","",IF(H15="up",Ericsson!R18,""))</f>
        <v/>
      </c>
      <c r="C15" s="15" t="str">
        <f>IF(Ericsson!S18="","",IF(H15="up",Ericsson!S18,""))</f>
        <v/>
      </c>
      <c r="D15" s="108" t="str">
        <f>IF(H15="up",Ericsson!U18,"")</f>
        <v/>
      </c>
      <c r="E15" s="12" t="str">
        <f t="shared" si="0"/>
        <v/>
      </c>
      <c r="H15" s="12" t="str">
        <f>Ericsson!T18</f>
        <v/>
      </c>
      <c r="J15" s="7" t="str">
        <f t="shared" si="1"/>
        <v/>
      </c>
    </row>
    <row r="16" spans="1:14">
      <c r="A16" s="91" t="str">
        <f>IF(Ericsson!Q19="","",IF(H16="up",Ericsson!Q19,""))</f>
        <v/>
      </c>
      <c r="B16" s="15" t="str">
        <f>IF(Ericsson!R19="","",IF(H16="up",Ericsson!R19,""))</f>
        <v/>
      </c>
      <c r="C16" s="15" t="str">
        <f>IF(Ericsson!S19="","",IF(H16="up",Ericsson!S19,""))</f>
        <v/>
      </c>
      <c r="D16" s="108" t="str">
        <f>IF(H16="up",Ericsson!U19,"")</f>
        <v/>
      </c>
      <c r="E16" s="12" t="str">
        <f t="shared" si="0"/>
        <v/>
      </c>
      <c r="H16" s="12" t="str">
        <f>Ericsson!T19</f>
        <v/>
      </c>
      <c r="J16" s="7" t="str">
        <f t="shared" si="1"/>
        <v/>
      </c>
    </row>
    <row r="17" spans="1:12">
      <c r="A17" s="91" t="str">
        <f>IF(Ericsson!Q20="","",IF(H17="up",Ericsson!Q20,""))</f>
        <v/>
      </c>
      <c r="B17" s="15" t="str">
        <f>IF(Ericsson!R20="","",IF(H17="up",Ericsson!R20,""))</f>
        <v/>
      </c>
      <c r="C17" s="15" t="str">
        <f>IF(Ericsson!S20="","",IF(H17="up",Ericsson!S20,""))</f>
        <v/>
      </c>
      <c r="D17" s="108" t="str">
        <f>IF(H17="up",Ericsson!U20,"")</f>
        <v/>
      </c>
      <c r="E17" s="12" t="str">
        <f t="shared" si="0"/>
        <v/>
      </c>
      <c r="H17" s="12" t="str">
        <f>Ericsson!T20</f>
        <v/>
      </c>
      <c r="J17" s="7" t="str">
        <f t="shared" si="1"/>
        <v/>
      </c>
    </row>
    <row r="18" spans="1:12">
      <c r="A18" s="91" t="str">
        <f>IF(Ericsson!Q21="","",IF(H18="up",Ericsson!Q21,""))</f>
        <v/>
      </c>
      <c r="B18" s="15" t="str">
        <f>IF(Ericsson!R21="","",IF(H18="up",Ericsson!R21,""))</f>
        <v/>
      </c>
      <c r="C18" s="15" t="str">
        <f>IF(Ericsson!S21="","",IF(H18="up",Ericsson!S21,""))</f>
        <v/>
      </c>
      <c r="D18" s="108" t="str">
        <f>IF(H18="up",Ericsson!U21,"")</f>
        <v/>
      </c>
      <c r="E18" s="12" t="str">
        <f t="shared" si="0"/>
        <v/>
      </c>
      <c r="H18" s="12" t="str">
        <f>Ericsson!T21</f>
        <v/>
      </c>
      <c r="J18" s="7" t="str">
        <f t="shared" si="1"/>
        <v/>
      </c>
    </row>
    <row r="19" spans="1:12">
      <c r="A19" s="91" t="str">
        <f>IF(Ericsson!Q22="","",IF(H19="up",Ericsson!Q22,""))</f>
        <v/>
      </c>
      <c r="B19" s="15" t="str">
        <f>IF(Ericsson!R22="","",IF(H19="up",Ericsson!R22,""))</f>
        <v/>
      </c>
      <c r="C19" s="15" t="str">
        <f>IF(Ericsson!S22="","",IF(H19="up",Ericsson!S22,""))</f>
        <v/>
      </c>
      <c r="D19" s="108" t="str">
        <f>IF(H19="up",Ericsson!U22,"")</f>
        <v/>
      </c>
      <c r="E19" s="12" t="str">
        <f t="shared" si="0"/>
        <v/>
      </c>
      <c r="H19" s="12" t="str">
        <f>Ericsson!T22</f>
        <v/>
      </c>
      <c r="J19" s="7" t="str">
        <f t="shared" si="1"/>
        <v/>
      </c>
      <c r="L19" s="89"/>
    </row>
    <row r="20" spans="1:12">
      <c r="A20" s="91" t="str">
        <f>IF(Ericsson!Q23="","",IF(H20="up",Ericsson!Q23,""))</f>
        <v/>
      </c>
      <c r="B20" s="15" t="str">
        <f>IF(Ericsson!R23="","",IF(H20="up",Ericsson!R23,""))</f>
        <v/>
      </c>
      <c r="C20" s="15" t="str">
        <f>IF(Ericsson!S23="","",IF(H20="up",Ericsson!S23,""))</f>
        <v/>
      </c>
      <c r="D20" s="108" t="str">
        <f>IF(H20="up",Ericsson!U23,"")</f>
        <v/>
      </c>
      <c r="E20" s="12" t="str">
        <f t="shared" si="0"/>
        <v/>
      </c>
      <c r="H20" s="12" t="str">
        <f>Ericsson!T23</f>
        <v/>
      </c>
      <c r="J20" s="7" t="str">
        <f t="shared" si="1"/>
        <v/>
      </c>
      <c r="L20" s="89"/>
    </row>
    <row r="21" spans="1:12">
      <c r="A21" s="91" t="str">
        <f>IF(Ericsson!Q24="","",IF(H21="up",Ericsson!Q24,""))</f>
        <v/>
      </c>
      <c r="B21" s="15" t="str">
        <f>IF(Ericsson!R24="","",IF(H21="up",Ericsson!R24,""))</f>
        <v/>
      </c>
      <c r="C21" s="15" t="str">
        <f>IF(Ericsson!S24="","",IF(H21="up",Ericsson!S24,""))</f>
        <v/>
      </c>
      <c r="D21" s="108" t="str">
        <f>IF(H21="up",Ericsson!U24,"")</f>
        <v/>
      </c>
      <c r="E21" s="12" t="str">
        <f t="shared" si="0"/>
        <v/>
      </c>
      <c r="H21" s="12" t="str">
        <f>Ericsson!T24</f>
        <v/>
      </c>
      <c r="J21" s="7" t="str">
        <f t="shared" si="1"/>
        <v/>
      </c>
    </row>
    <row r="22" spans="1:12">
      <c r="A22" s="91" t="str">
        <f>IF(Ericsson!Q25="","",IF(H22="up",Ericsson!Q25,""))</f>
        <v/>
      </c>
      <c r="B22" s="15" t="str">
        <f>IF(Ericsson!R25="","",IF(H22="up",Ericsson!R25,""))</f>
        <v/>
      </c>
      <c r="C22" s="15" t="str">
        <f>IF(Ericsson!S25="","",IF(H22="up",Ericsson!S25,""))</f>
        <v/>
      </c>
      <c r="D22" s="108" t="str">
        <f>IF(H22="up",Ericsson!U25,"")</f>
        <v/>
      </c>
      <c r="E22" s="12" t="str">
        <f t="shared" si="0"/>
        <v/>
      </c>
      <c r="H22" s="12" t="str">
        <f>Ericsson!T25</f>
        <v/>
      </c>
      <c r="J22" s="7" t="str">
        <f t="shared" si="1"/>
        <v/>
      </c>
    </row>
    <row r="23" spans="1:12">
      <c r="A23" s="91" t="str">
        <f>IF(Ericsson!Q26="","",IF(H23="up",Ericsson!Q26,""))</f>
        <v/>
      </c>
      <c r="B23" s="15" t="str">
        <f>IF(Ericsson!R26="","",IF(H23="up",Ericsson!R26,""))</f>
        <v/>
      </c>
      <c r="C23" s="15" t="str">
        <f>IF(Ericsson!S26="","",IF(H23="up",Ericsson!S26,""))</f>
        <v/>
      </c>
      <c r="D23" s="108" t="str">
        <f>IF(H23="up",Ericsson!U26,"")</f>
        <v/>
      </c>
      <c r="E23" s="12" t="str">
        <f t="shared" ref="E23:E34" si="2">IF(H23="Up","???","")</f>
        <v/>
      </c>
      <c r="H23" s="12" t="str">
        <f>Ericsson!T26</f>
        <v/>
      </c>
      <c r="J23" s="7" t="str">
        <f t="shared" si="1"/>
        <v/>
      </c>
      <c r="L23" s="132"/>
    </row>
    <row r="24" spans="1:12">
      <c r="A24" s="91" t="str">
        <f>IF(Ericsson!Q27="","",IF(H24="up",Ericsson!Q27,""))</f>
        <v/>
      </c>
      <c r="B24" s="15" t="str">
        <f>IF(Ericsson!R27="","",IF(H24="up",Ericsson!R27,""))</f>
        <v/>
      </c>
      <c r="C24" s="15" t="str">
        <f>IF(Ericsson!S27="","",IF(H24="up",Ericsson!S27,""))</f>
        <v/>
      </c>
      <c r="D24" s="108" t="str">
        <f>IF(H24="up",Ericsson!U27,"")</f>
        <v/>
      </c>
      <c r="E24" s="12" t="str">
        <f t="shared" si="2"/>
        <v/>
      </c>
      <c r="H24" s="12" t="str">
        <f>Ericsson!T27</f>
        <v/>
      </c>
      <c r="J24" s="7" t="str">
        <f t="shared" si="1"/>
        <v/>
      </c>
      <c r="L24" s="211"/>
    </row>
    <row r="25" spans="1:12">
      <c r="A25" s="91" t="str">
        <f>IF(Ericsson!Q28="","",IF(H25="up",Ericsson!Q28,""))</f>
        <v/>
      </c>
      <c r="B25" s="15" t="str">
        <f>IF(Ericsson!R28="","",IF(H25="up",Ericsson!R28,""))</f>
        <v/>
      </c>
      <c r="C25" s="15" t="str">
        <f>IF(Ericsson!S28="","",IF(H25="up",Ericsson!S28,""))</f>
        <v/>
      </c>
      <c r="D25" s="108" t="str">
        <f>IF(H25="up",Ericsson!U28,"")</f>
        <v/>
      </c>
      <c r="E25" s="12" t="str">
        <f t="shared" si="2"/>
        <v/>
      </c>
      <c r="H25" s="12" t="str">
        <f>Ericsson!T28</f>
        <v/>
      </c>
      <c r="J25" s="7" t="str">
        <f t="shared" si="1"/>
        <v/>
      </c>
    </row>
    <row r="26" spans="1:12">
      <c r="A26" s="91" t="str">
        <f>IF(Ericsson!Q29="","",IF(H26="up",Ericsson!Q29,""))</f>
        <v/>
      </c>
      <c r="B26" s="15" t="str">
        <f>IF(Ericsson!R29="","",IF(H26="up",Ericsson!R29,""))</f>
        <v/>
      </c>
      <c r="C26" s="15" t="str">
        <f>IF(Ericsson!S29="","",IF(H26="up",Ericsson!S29,""))</f>
        <v/>
      </c>
      <c r="D26" s="108" t="str">
        <f>IF(H26="up",Ericsson!U29,"")</f>
        <v/>
      </c>
      <c r="E26" s="12" t="str">
        <f t="shared" si="2"/>
        <v/>
      </c>
      <c r="H26" s="12" t="str">
        <f>Ericsson!T29</f>
        <v/>
      </c>
      <c r="J26" s="7" t="str">
        <f t="shared" si="1"/>
        <v/>
      </c>
      <c r="L26" s="132"/>
    </row>
    <row r="27" spans="1:12">
      <c r="A27" s="91" t="str">
        <f>IF(Ericsson!Q30="","",IF(H27="up",Ericsson!Q30,""))</f>
        <v/>
      </c>
      <c r="B27" s="15" t="str">
        <f>IF(Ericsson!R30="","",IF(H27="up",Ericsson!R30,""))</f>
        <v/>
      </c>
      <c r="C27" s="15" t="str">
        <f>IF(Ericsson!S30="","",IF(H27="up",Ericsson!S30,""))</f>
        <v/>
      </c>
      <c r="D27" s="108" t="str">
        <f>IF(H27="up",Ericsson!U30,"")</f>
        <v/>
      </c>
      <c r="E27" s="12" t="str">
        <f t="shared" si="2"/>
        <v/>
      </c>
      <c r="H27" s="12" t="str">
        <f>Ericsson!T30</f>
        <v/>
      </c>
      <c r="J27" s="7" t="str">
        <f t="shared" si="1"/>
        <v/>
      </c>
      <c r="L27" s="211"/>
    </row>
    <row r="28" spans="1:12">
      <c r="A28" s="91" t="str">
        <f>IF(Ericsson!Q31="","",IF(H28="up",Ericsson!Q31,""))</f>
        <v/>
      </c>
      <c r="B28" s="15" t="str">
        <f>IF(Ericsson!R31="","",IF(H28="up",Ericsson!R31,""))</f>
        <v/>
      </c>
      <c r="C28" s="15" t="str">
        <f>IF(Ericsson!S31="","",IF(H28="up",Ericsson!S31,""))</f>
        <v/>
      </c>
      <c r="D28" s="108" t="str">
        <f>IF(H28="up",Ericsson!U31,"")</f>
        <v/>
      </c>
      <c r="E28" s="12" t="str">
        <f t="shared" si="2"/>
        <v/>
      </c>
      <c r="H28" s="12" t="str">
        <f>Ericsson!T31</f>
        <v/>
      </c>
      <c r="J28" s="7" t="str">
        <f t="shared" si="1"/>
        <v/>
      </c>
    </row>
    <row r="29" spans="1:12">
      <c r="A29" s="91" t="str">
        <f>IF(Ericsson!Q32="","",IF(H29="up",Ericsson!Q32,""))</f>
        <v/>
      </c>
      <c r="B29" s="15" t="str">
        <f>IF(Ericsson!R32="","",IF(H29="up",Ericsson!R32,""))</f>
        <v/>
      </c>
      <c r="C29" s="15" t="str">
        <f>IF(Ericsson!S32="","",IF(H29="up",Ericsson!S32,""))</f>
        <v/>
      </c>
      <c r="D29" s="108" t="str">
        <f>IF(H29="up",Ericsson!U32,"")</f>
        <v/>
      </c>
      <c r="E29" s="12" t="str">
        <f t="shared" si="2"/>
        <v/>
      </c>
      <c r="H29" s="12" t="str">
        <f>Ericsson!T32</f>
        <v/>
      </c>
      <c r="J29" s="7" t="str">
        <f t="shared" si="1"/>
        <v/>
      </c>
    </row>
    <row r="30" spans="1:12">
      <c r="A30" s="91" t="str">
        <f>IF(Ericsson!Q33="","",IF(H30="up",Ericsson!Q33,""))</f>
        <v/>
      </c>
      <c r="B30" s="15" t="str">
        <f>IF(Ericsson!R33="","",IF(H30="up",Ericsson!R33,""))</f>
        <v/>
      </c>
      <c r="C30" s="15" t="str">
        <f>IF(Ericsson!S33="","",IF(H30="up",Ericsson!S33,""))</f>
        <v/>
      </c>
      <c r="D30" s="108" t="str">
        <f>IF(H30="up",Ericsson!U33,"")</f>
        <v/>
      </c>
      <c r="E30" s="12" t="str">
        <f t="shared" si="2"/>
        <v/>
      </c>
      <c r="H30" s="12" t="str">
        <f>Ericsson!T33</f>
        <v/>
      </c>
      <c r="J30" s="7" t="str">
        <f t="shared" si="1"/>
        <v/>
      </c>
      <c r="L30" s="132"/>
    </row>
    <row r="31" spans="1:12">
      <c r="A31" s="91" t="str">
        <f>IF(Ericsson!Q34="","",IF(H31="up",Ericsson!Q34,""))</f>
        <v/>
      </c>
      <c r="B31" s="15" t="str">
        <f>IF(Ericsson!R34="","",IF(H31="up",Ericsson!R34,""))</f>
        <v/>
      </c>
      <c r="C31" s="15" t="str">
        <f>IF(Ericsson!S34="","",IF(H31="up",Ericsson!S34,""))</f>
        <v/>
      </c>
      <c r="D31" s="108" t="str">
        <f>IF(H31="up",Ericsson!U34,"")</f>
        <v/>
      </c>
      <c r="E31" s="12" t="str">
        <f t="shared" si="2"/>
        <v/>
      </c>
      <c r="H31" s="12" t="str">
        <f>Ericsson!T34</f>
        <v/>
      </c>
      <c r="J31" s="7" t="str">
        <f t="shared" si="1"/>
        <v/>
      </c>
      <c r="L31" s="211"/>
    </row>
    <row r="32" spans="1:12">
      <c r="A32" s="91" t="str">
        <f>IF(Ericsson!Q35="","",IF(H32="up",Ericsson!Q35,""))</f>
        <v/>
      </c>
      <c r="B32" s="15" t="str">
        <f>IF(Ericsson!R35="","",IF(H32="up",Ericsson!R35,""))</f>
        <v/>
      </c>
      <c r="C32" s="15" t="str">
        <f>IF(Ericsson!S35="","",IF(H32="up",Ericsson!S35,""))</f>
        <v/>
      </c>
      <c r="D32" s="108" t="str">
        <f>IF(H32="up",Ericsson!U35,"")</f>
        <v/>
      </c>
      <c r="E32" s="12" t="str">
        <f t="shared" si="2"/>
        <v/>
      </c>
      <c r="H32" s="12" t="str">
        <f>Ericsson!T35</f>
        <v/>
      </c>
      <c r="J32" s="7" t="str">
        <f t="shared" si="1"/>
        <v/>
      </c>
    </row>
    <row r="33" spans="1:12">
      <c r="A33" s="91" t="str">
        <f>IF(Ericsson!Q36="","",IF(H33="up",Ericsson!Q36,""))</f>
        <v/>
      </c>
      <c r="B33" s="15" t="str">
        <f>IF(Ericsson!R36="","",IF(H33="up",Ericsson!R36,""))</f>
        <v/>
      </c>
      <c r="C33" s="15" t="str">
        <f>IF(Ericsson!S36="","",IF(H33="up",Ericsson!S36,""))</f>
        <v/>
      </c>
      <c r="D33" s="108" t="str">
        <f>IF(H33="up",Ericsson!U36,"")</f>
        <v/>
      </c>
      <c r="E33" s="12" t="str">
        <f t="shared" si="2"/>
        <v/>
      </c>
      <c r="H33" s="12" t="str">
        <f>Ericsson!T36</f>
        <v/>
      </c>
      <c r="J33" s="7" t="str">
        <f t="shared" si="1"/>
        <v/>
      </c>
    </row>
    <row r="34" spans="1:12">
      <c r="A34" s="91" t="str">
        <f>IF(Ericsson!Q37="","",IF(H34="up",Ericsson!Q37,""))</f>
        <v/>
      </c>
      <c r="B34" s="15" t="str">
        <f>IF(Ericsson!R37="","",IF(H34="up",Ericsson!R37,""))</f>
        <v/>
      </c>
      <c r="C34" s="15" t="str">
        <f>IF(Ericsson!S37="","",IF(H34="up",Ericsson!S37,""))</f>
        <v/>
      </c>
      <c r="D34" s="108" t="str">
        <f>IF(H34="up",Ericsson!U37,"")</f>
        <v/>
      </c>
      <c r="E34" s="12" t="str">
        <f t="shared" si="2"/>
        <v/>
      </c>
      <c r="H34" s="12" t="str">
        <f>Ericsson!T37</f>
        <v/>
      </c>
      <c r="J34" s="7" t="str">
        <f t="shared" si="1"/>
        <v/>
      </c>
      <c r="L34" s="132"/>
    </row>
    <row r="35" spans="1:12">
      <c r="A35" s="91" t="str">
        <f>IF(Ericsson!Q38="","",IF(H35="up",Ericsson!Q38,""))</f>
        <v/>
      </c>
      <c r="B35" s="15" t="str">
        <f>IF(Ericsson!R38="","",IF(H35="up",Ericsson!R38,""))</f>
        <v/>
      </c>
      <c r="C35" s="15" t="str">
        <f>IF(Ericsson!S38="","",IF(H35="up",Ericsson!S38,""))</f>
        <v/>
      </c>
      <c r="D35" s="108" t="str">
        <f>IF(H35="up",Ericsson!U38,"")</f>
        <v/>
      </c>
      <c r="E35" s="12" t="str">
        <f t="shared" si="0"/>
        <v/>
      </c>
      <c r="H35" s="12" t="str">
        <f>Ericsson!T38</f>
        <v/>
      </c>
      <c r="J35" s="7" t="str">
        <f t="shared" si="1"/>
        <v/>
      </c>
      <c r="L35" s="89"/>
    </row>
    <row r="36" spans="1:12">
      <c r="A36" s="91" t="str">
        <f>IF(Ericsson!Q39="","",IF(H36="up",Ericsson!Q39,""))</f>
        <v/>
      </c>
      <c r="B36" s="15" t="str">
        <f>IF(Ericsson!R39="","",IF(H36="up",Ericsson!R39,""))</f>
        <v/>
      </c>
      <c r="C36" s="15" t="str">
        <f>IF(Ericsson!S39="","",IF(H36="up",Ericsson!S39,""))</f>
        <v/>
      </c>
      <c r="D36" s="108" t="str">
        <f>IF(H36="up",Ericsson!U39,"")</f>
        <v/>
      </c>
      <c r="E36" s="12" t="str">
        <f t="shared" si="0"/>
        <v/>
      </c>
      <c r="H36" s="12" t="str">
        <f>Ericsson!T39</f>
        <v/>
      </c>
      <c r="J36" s="7" t="str">
        <f t="shared" si="1"/>
        <v/>
      </c>
    </row>
    <row r="37" spans="1:12">
      <c r="A37" s="91" t="str">
        <f>IF(Ericsson!Q40="","",IF(H37="up",Ericsson!Q40,""))</f>
        <v/>
      </c>
      <c r="B37" s="15" t="str">
        <f>IF(Ericsson!R40="","",IF(H37="up",Ericsson!R40,""))</f>
        <v/>
      </c>
      <c r="C37" s="15" t="str">
        <f>IF(Ericsson!S40="","",IF(H37="up",Ericsson!S40,""))</f>
        <v/>
      </c>
      <c r="D37" s="108" t="str">
        <f>IF(H37="up",Ericsson!U40,"")</f>
        <v/>
      </c>
      <c r="E37" s="12" t="str">
        <f t="shared" si="0"/>
        <v/>
      </c>
      <c r="H37" s="12" t="str">
        <f>Ericsson!T40</f>
        <v/>
      </c>
      <c r="J37" s="7" t="str">
        <f t="shared" si="1"/>
        <v/>
      </c>
    </row>
    <row r="38" spans="1:12">
      <c r="A38" s="91" t="e">
        <f>IF(Ericsson!#REF!="","",IF(H38="up",Ericsson!#REF!,""))</f>
        <v>#REF!</v>
      </c>
      <c r="B38" s="15" t="e">
        <f>IF(Ericsson!#REF!="","",IF(H38="up",Ericsson!#REF!,""))</f>
        <v>#REF!</v>
      </c>
      <c r="C38" s="15" t="e">
        <f>IF(Ericsson!#REF!="","",IF(H38="up",Ericsson!#REF!,""))</f>
        <v>#REF!</v>
      </c>
      <c r="D38" s="108" t="str">
        <f>IF(H38="up",Ericsson!U41,"")</f>
        <v/>
      </c>
      <c r="E38" s="12" t="str">
        <f t="shared" si="0"/>
        <v/>
      </c>
      <c r="H38" s="12" t="str">
        <f>Ericsson!T41</f>
        <v/>
      </c>
      <c r="J38" s="7" t="str">
        <f t="shared" si="1"/>
        <v/>
      </c>
    </row>
    <row r="39" spans="1:12">
      <c r="A39" s="91" t="str">
        <f>IF(Ericsson!Q42="","",IF(H39="up",Ericsson!Q42,""))</f>
        <v/>
      </c>
      <c r="B39" s="15" t="str">
        <f>IF(Ericsson!R42="","",IF(H39="up",Ericsson!R42,""))</f>
        <v/>
      </c>
      <c r="C39" s="15" t="str">
        <f>IF(Ericsson!S42="","",IF(H39="up",Ericsson!S42,""))</f>
        <v/>
      </c>
      <c r="D39" s="108" t="str">
        <f>IF(H39="up",Ericsson!U42,"")</f>
        <v/>
      </c>
      <c r="E39" s="12" t="str">
        <f t="shared" si="0"/>
        <v/>
      </c>
      <c r="H39" s="12" t="str">
        <f>Ericsson!T42</f>
        <v/>
      </c>
      <c r="J39" s="7" t="str">
        <f t="shared" si="1"/>
        <v/>
      </c>
    </row>
    <row r="40" spans="1:12">
      <c r="A40" s="91" t="str">
        <f>IF(Ericsson!Q43="","",IF(H40="up",Ericsson!Q43,""))</f>
        <v/>
      </c>
      <c r="B40" s="15" t="str">
        <f>IF(Ericsson!R43="","",IF(H40="up",Ericsson!R43,""))</f>
        <v/>
      </c>
      <c r="C40" s="15" t="str">
        <f>IF(Ericsson!S43="","",IF(H40="up",Ericsson!S43,""))</f>
        <v/>
      </c>
      <c r="D40" s="108" t="str">
        <f>IF(H40="up",Ericsson!U43,"")</f>
        <v/>
      </c>
      <c r="E40" s="12" t="str">
        <f t="shared" si="0"/>
        <v/>
      </c>
      <c r="H40" s="12" t="str">
        <f>Ericsson!T43</f>
        <v/>
      </c>
      <c r="J40" s="7" t="str">
        <f t="shared" si="1"/>
        <v/>
      </c>
    </row>
    <row r="41" spans="1:12">
      <c r="A41" s="91" t="str">
        <f>IF(Ericsson!Q44="","",IF(H41="up",Ericsson!Q44,""))</f>
        <v/>
      </c>
      <c r="B41" s="15" t="str">
        <f>IF(Ericsson!R44="","",IF(H41="up",Ericsson!R44,""))</f>
        <v/>
      </c>
      <c r="C41" s="15" t="str">
        <f>IF(Ericsson!S44="","",IF(H41="up",Ericsson!S44,""))</f>
        <v/>
      </c>
      <c r="D41" s="108" t="str">
        <f>IF(H41="up",Ericsson!U44,"")</f>
        <v/>
      </c>
      <c r="E41" s="12" t="str">
        <f t="shared" si="0"/>
        <v/>
      </c>
      <c r="H41" s="12" t="str">
        <f>Ericsson!T44</f>
        <v/>
      </c>
      <c r="J41" s="7" t="str">
        <f t="shared" si="1"/>
        <v/>
      </c>
    </row>
    <row r="42" spans="1:12">
      <c r="A42" s="91" t="str">
        <f>IF(Ericsson!Q45="","",IF(H42="up",Ericsson!Q45,""))</f>
        <v/>
      </c>
      <c r="B42" s="15" t="str">
        <f>IF(Ericsson!R45="","",IF(H42="up",Ericsson!R45,""))</f>
        <v/>
      </c>
      <c r="C42" s="15" t="str">
        <f>IF(Ericsson!S45="","",IF(H42="up",Ericsson!S45,""))</f>
        <v/>
      </c>
      <c r="D42" s="108" t="str">
        <f>IF(H42="up",Ericsson!U45,"")</f>
        <v/>
      </c>
      <c r="E42" s="12" t="str">
        <f t="shared" si="0"/>
        <v/>
      </c>
      <c r="H42" s="12" t="str">
        <f>Ericsson!T45</f>
        <v/>
      </c>
      <c r="J42" s="7" t="str">
        <f t="shared" si="1"/>
        <v/>
      </c>
    </row>
    <row r="43" spans="1:12">
      <c r="A43" s="91" t="str">
        <f>IF(Ericsson!Q27="","",IF(H43="up",Ericsson!Q27,""))</f>
        <v/>
      </c>
      <c r="B43" s="15" t="str">
        <f>IF(Ericsson!R27="","",IF(H43="up",Ericsson!R27,""))</f>
        <v/>
      </c>
      <c r="C43" s="15" t="str">
        <f>IF(Ericsson!S46="","",IF(H43="up",Ericsson!S46,""))</f>
        <v/>
      </c>
      <c r="D43" s="108" t="str">
        <f>IF(H43="up",Ericsson!U46,"")</f>
        <v/>
      </c>
      <c r="E43" s="12" t="str">
        <f t="shared" si="0"/>
        <v/>
      </c>
      <c r="H43" s="12" t="str">
        <f>Ericsson!T46</f>
        <v/>
      </c>
      <c r="J43" s="7" t="str">
        <f t="shared" si="1"/>
        <v/>
      </c>
    </row>
    <row r="44" spans="1:12">
      <c r="A44" s="91" t="str">
        <f>IF(Ericsson!Q47="","",IF(H44="up",Ericsson!Q47,""))</f>
        <v/>
      </c>
      <c r="B44" s="15" t="str">
        <f>IF(Ericsson!R47="","",IF(H44="up",Ericsson!R47,""))</f>
        <v/>
      </c>
      <c r="C44" s="15" t="str">
        <f>IF(Ericsson!S47="","",IF(H44="up",Ericsson!S47,""))</f>
        <v/>
      </c>
      <c r="D44" s="108" t="str">
        <f>IF(H44="up",Ericsson!U47,"")</f>
        <v/>
      </c>
      <c r="E44" s="12" t="str">
        <f t="shared" si="0"/>
        <v/>
      </c>
      <c r="H44" s="12" t="str">
        <f>Ericsson!T47</f>
        <v/>
      </c>
      <c r="J44" s="7" t="str">
        <f t="shared" si="1"/>
        <v/>
      </c>
    </row>
    <row r="45" spans="1:12">
      <c r="A45" s="91" t="str">
        <f>IF(Ericsson!Q48="","",IF(H45="up",Ericsson!Q48,""))</f>
        <v/>
      </c>
      <c r="B45" s="15" t="str">
        <f>IF(Ericsson!R48="","",IF(H45="up",Ericsson!R48,""))</f>
        <v/>
      </c>
      <c r="C45" s="15" t="str">
        <f>IF(Ericsson!S48="","",IF(H45="up",Ericsson!S48,""))</f>
        <v/>
      </c>
      <c r="D45" s="108" t="str">
        <f>IF(H45="up",Ericsson!U48,"")</f>
        <v/>
      </c>
      <c r="E45" s="12" t="str">
        <f t="shared" si="0"/>
        <v/>
      </c>
      <c r="H45" s="12" t="str">
        <f>Ericsson!T48</f>
        <v/>
      </c>
      <c r="J45" s="7" t="str">
        <f t="shared" si="1"/>
        <v/>
      </c>
    </row>
    <row r="46" spans="1:12">
      <c r="A46" s="91" t="str">
        <f>IF(Ericsson!Q49="","",IF(H46="up",Ericsson!Q49,""))</f>
        <v/>
      </c>
      <c r="B46" s="15" t="str">
        <f>IF(Ericsson!R49="","",IF(H46="up",Ericsson!R49,""))</f>
        <v/>
      </c>
      <c r="C46" s="15" t="str">
        <f>IF(Ericsson!S49="","",IF(H46="up",Ericsson!S49,""))</f>
        <v/>
      </c>
      <c r="D46" s="108" t="str">
        <f>IF(H46="up",Ericsson!U49,"")</f>
        <v/>
      </c>
      <c r="E46" s="12" t="str">
        <f t="shared" si="0"/>
        <v/>
      </c>
      <c r="H46" s="12" t="str">
        <f>Ericsson!T49</f>
        <v/>
      </c>
      <c r="J46" s="7" t="str">
        <f t="shared" si="1"/>
        <v/>
      </c>
    </row>
    <row r="47" spans="1:12">
      <c r="A47" s="91" t="str">
        <f>IF(Ericsson!Q50="","",IF(H47="up",Ericsson!Q50,""))</f>
        <v/>
      </c>
      <c r="B47" s="15" t="str">
        <f>IF(Ericsson!R50="","",IF(H47="up",Ericsson!R50,""))</f>
        <v/>
      </c>
      <c r="C47" s="15" t="str">
        <f>IF(Ericsson!S50="","",IF(H47="up",Ericsson!S50,""))</f>
        <v/>
      </c>
      <c r="D47" s="108" t="str">
        <f>IF(H47="up",Ericsson!U50,"")</f>
        <v/>
      </c>
      <c r="E47" s="12" t="str">
        <f t="shared" si="0"/>
        <v/>
      </c>
      <c r="H47" s="12" t="str">
        <f>Ericsson!T50</f>
        <v/>
      </c>
      <c r="J47" s="7" t="str">
        <f t="shared" si="1"/>
        <v/>
      </c>
    </row>
    <row r="48" spans="1:12">
      <c r="A48" s="91" t="str">
        <f>IF(Ericsson!Q51="","",IF(H48="up",Ericsson!Q51,""))</f>
        <v/>
      </c>
      <c r="B48" s="15" t="str">
        <f>IF(Ericsson!R51="","",IF(H48="up",Ericsson!R51,""))</f>
        <v/>
      </c>
      <c r="C48" s="15" t="str">
        <f>IF(Ericsson!S51="","",IF(H48="up",Ericsson!S51,""))</f>
        <v/>
      </c>
      <c r="D48" s="108" t="str">
        <f>IF(H48="up",Ericsson!U51,"")</f>
        <v/>
      </c>
      <c r="E48" s="12" t="str">
        <f t="shared" si="0"/>
        <v/>
      </c>
      <c r="H48" s="12" t="str">
        <f>Ericsson!T51</f>
        <v/>
      </c>
      <c r="J48" s="7" t="str">
        <f t="shared" si="1"/>
        <v/>
      </c>
    </row>
    <row r="49" spans="1:10">
      <c r="A49" s="91" t="str">
        <f>IF(Ericsson!Q52="","",IF(H49="up",Ericsson!Q52,""))</f>
        <v/>
      </c>
      <c r="B49" s="15" t="str">
        <f>IF(Ericsson!R52="","",IF(H49="up",Ericsson!R52,""))</f>
        <v/>
      </c>
      <c r="C49" s="15" t="str">
        <f>IF(Ericsson!S52="","",IF(H49="up",Ericsson!S52,""))</f>
        <v/>
      </c>
      <c r="D49" s="108" t="str">
        <f>IF(H49="up",Ericsson!U52,"")</f>
        <v/>
      </c>
      <c r="E49" s="12" t="str">
        <f t="shared" si="0"/>
        <v/>
      </c>
      <c r="H49" s="12" t="str">
        <f>Ericsson!T52</f>
        <v/>
      </c>
      <c r="J49" s="7" t="str">
        <f t="shared" si="1"/>
        <v/>
      </c>
    </row>
    <row r="50" spans="1:10">
      <c r="A50" s="91" t="str">
        <f>IF(Ericsson!Q53="","",IF(H50="up",Ericsson!Q53,""))</f>
        <v/>
      </c>
      <c r="B50" s="15" t="str">
        <f>IF(Ericsson!R53="","",IF(H50="up",Ericsson!R53,""))</f>
        <v/>
      </c>
      <c r="C50" s="15" t="str">
        <f>IF(Ericsson!S53="","",IF(H50="up",Ericsson!S53,""))</f>
        <v/>
      </c>
      <c r="D50" s="108" t="str">
        <f>IF(H50="up",Ericsson!U53,"")</f>
        <v/>
      </c>
      <c r="E50" s="12" t="str">
        <f t="shared" si="0"/>
        <v/>
      </c>
      <c r="H50" s="12" t="str">
        <f>Ericsson!T53</f>
        <v/>
      </c>
      <c r="J50" s="7" t="str">
        <f t="shared" si="1"/>
        <v/>
      </c>
    </row>
    <row r="51" spans="1:10">
      <c r="A51" s="91" t="str">
        <f>IF(Ericsson!Q54="","",IF(H51="up",Ericsson!Q54,""))</f>
        <v/>
      </c>
      <c r="B51" s="15" t="str">
        <f>IF(Ericsson!R54="","",IF(H51="up",Ericsson!R54,""))</f>
        <v/>
      </c>
      <c r="C51" s="15" t="str">
        <f>IF(Ericsson!S54="","",IF(H51="up",Ericsson!S54,""))</f>
        <v/>
      </c>
      <c r="D51" s="108" t="str">
        <f>IF(H51="up",Ericsson!U54,"")</f>
        <v/>
      </c>
      <c r="E51" s="12" t="str">
        <f t="shared" si="0"/>
        <v/>
      </c>
      <c r="H51" s="12" t="str">
        <f>Ericsson!T54</f>
        <v/>
      </c>
      <c r="J51" s="7" t="str">
        <f t="shared" si="1"/>
        <v/>
      </c>
    </row>
    <row r="52" spans="1:10">
      <c r="A52" s="91" t="str">
        <f>IF(Ericsson!Q55="","",IF(H52="up",Ericsson!Q55,""))</f>
        <v/>
      </c>
      <c r="B52" s="15" t="str">
        <f>IF(Ericsson!R55="","",IF(H52="up",Ericsson!R55,""))</f>
        <v/>
      </c>
      <c r="C52" s="15" t="str">
        <f>IF(Ericsson!S55="","",IF(H52="up",Ericsson!S55,""))</f>
        <v/>
      </c>
      <c r="D52" s="108" t="str">
        <f>IF(H52="up",Ericsson!U55,"")</f>
        <v/>
      </c>
      <c r="E52" s="12" t="str">
        <f t="shared" si="0"/>
        <v/>
      </c>
      <c r="H52" s="12" t="str">
        <f>Ericsson!T55</f>
        <v/>
      </c>
      <c r="J52" s="7" t="str">
        <f t="shared" si="1"/>
        <v/>
      </c>
    </row>
    <row r="53" spans="1:10">
      <c r="A53" s="91" t="str">
        <f>IF(Ericsson!Q56="","",IF(H53="up",Ericsson!Q56,""))</f>
        <v/>
      </c>
      <c r="B53" s="15" t="str">
        <f>IF(Ericsson!R56="","",IF(H53="up",Ericsson!R56,""))</f>
        <v/>
      </c>
      <c r="C53" s="15" t="str">
        <f>IF(Ericsson!S56="","",IF(H53="up",Ericsson!S56,""))</f>
        <v/>
      </c>
      <c r="D53" s="108" t="str">
        <f>IF(H53="up",Ericsson!U56,"")</f>
        <v/>
      </c>
      <c r="E53" s="12" t="str">
        <f t="shared" si="0"/>
        <v/>
      </c>
      <c r="H53" s="12" t="str">
        <f>Ericsson!T56</f>
        <v/>
      </c>
      <c r="J53" s="7" t="str">
        <f t="shared" si="1"/>
        <v/>
      </c>
    </row>
    <row r="54" spans="1:10">
      <c r="A54" s="91" t="str">
        <f>IF(Ericsson!Q57="","",IF(H54="up",Ericsson!Q57,""))</f>
        <v/>
      </c>
      <c r="B54" s="15" t="str">
        <f>IF(Ericsson!R57="","",IF(H54="up",Ericsson!R57,""))</f>
        <v/>
      </c>
      <c r="C54" s="15" t="str">
        <f>IF(Ericsson!S57="","",IF(H54="up",Ericsson!S57,""))</f>
        <v/>
      </c>
      <c r="D54" s="108" t="str">
        <f>IF(H54="up",Ericsson!U57,"")</f>
        <v/>
      </c>
      <c r="E54" s="12" t="str">
        <f t="shared" si="0"/>
        <v/>
      </c>
      <c r="H54" s="12" t="str">
        <f>Ericsson!T57</f>
        <v/>
      </c>
      <c r="J54" s="7" t="str">
        <f t="shared" si="1"/>
        <v/>
      </c>
    </row>
    <row r="55" spans="1:10">
      <c r="A55" s="91" t="str">
        <f>IF(Ericsson!Q58="","",IF(H55="up",Ericsson!Q58,""))</f>
        <v/>
      </c>
      <c r="B55" s="15" t="str">
        <f>IF(Ericsson!R58="","",IF(H55="up",Ericsson!R58,""))</f>
        <v/>
      </c>
      <c r="C55" s="15" t="str">
        <f>IF(Ericsson!S58="","",IF(H55="up",Ericsson!S58,""))</f>
        <v/>
      </c>
      <c r="D55" s="108" t="str">
        <f>IF(H55="up",Ericsson!U58,"")</f>
        <v/>
      </c>
      <c r="E55" s="12" t="str">
        <f t="shared" si="0"/>
        <v/>
      </c>
      <c r="H55" s="12" t="str">
        <f>Ericsson!T58</f>
        <v/>
      </c>
      <c r="J55" s="7" t="str">
        <f t="shared" si="1"/>
        <v/>
      </c>
    </row>
    <row r="56" spans="1:10">
      <c r="A56" s="91" t="str">
        <f>IF(Ericsson!Q59="","",IF(H56="up",Ericsson!Q59,""))</f>
        <v/>
      </c>
      <c r="B56" s="15" t="str">
        <f>IF(Ericsson!R59="","",IF(H56="up",Ericsson!R59,""))</f>
        <v/>
      </c>
      <c r="C56" s="15" t="str">
        <f>IF(Ericsson!S59="","",IF(H56="up",Ericsson!S59,""))</f>
        <v/>
      </c>
      <c r="D56" s="108" t="str">
        <f>IF(H56="up",Ericsson!U59,"")</f>
        <v/>
      </c>
      <c r="E56" s="12" t="str">
        <f t="shared" si="0"/>
        <v/>
      </c>
      <c r="H56" s="12" t="str">
        <f>Ericsson!T59</f>
        <v/>
      </c>
      <c r="J56" s="7" t="str">
        <f t="shared" si="1"/>
        <v/>
      </c>
    </row>
    <row r="57" spans="1:10">
      <c r="A57" s="91" t="str">
        <f>IF(Ericsson!Q60="","",IF(H57="up",Ericsson!Q60,""))</f>
        <v/>
      </c>
      <c r="B57" s="15" t="str">
        <f>IF(Ericsson!R60="","",IF(H57="up",Ericsson!R60,""))</f>
        <v/>
      </c>
      <c r="C57" s="15" t="str">
        <f>IF(Ericsson!S60="","",IF(H57="up",Ericsson!S60,""))</f>
        <v/>
      </c>
      <c r="D57" s="108" t="str">
        <f>IF(H57="up",Ericsson!U60,"")</f>
        <v/>
      </c>
      <c r="E57" s="12" t="str">
        <f t="shared" si="0"/>
        <v/>
      </c>
      <c r="H57" s="12" t="str">
        <f>Ericsson!T60</f>
        <v/>
      </c>
      <c r="J57" s="7" t="str">
        <f t="shared" si="1"/>
        <v/>
      </c>
    </row>
    <row r="58" spans="1:10">
      <c r="A58" s="91" t="str">
        <f>IF(Ericsson!Q61="","",IF(H58="up",Ericsson!Q61,""))</f>
        <v/>
      </c>
      <c r="B58" s="15" t="str">
        <f>IF(Ericsson!R61="","",IF(H58="up",Ericsson!R61,""))</f>
        <v/>
      </c>
      <c r="C58" s="15" t="str">
        <f>IF(Ericsson!S61="","",IF(H58="up",Ericsson!S61,""))</f>
        <v/>
      </c>
      <c r="D58" s="108" t="str">
        <f>IF(H58="up",Ericsson!U61,"")</f>
        <v/>
      </c>
      <c r="E58" s="12" t="str">
        <f t="shared" si="0"/>
        <v/>
      </c>
      <c r="H58" s="12" t="str">
        <f>Ericsson!T61</f>
        <v/>
      </c>
      <c r="J58" s="7" t="str">
        <f t="shared" si="1"/>
        <v/>
      </c>
    </row>
    <row r="59" spans="1:10">
      <c r="A59" s="91" t="str">
        <f>IF(Ericsson!Q62="","",IF(H59="up",Ericsson!Q62,""))</f>
        <v/>
      </c>
      <c r="B59" s="15" t="str">
        <f>IF(Ericsson!R62="","",IF(H59="up",Ericsson!R62,""))</f>
        <v/>
      </c>
      <c r="C59" s="15" t="str">
        <f>IF(Ericsson!S62="","",IF(H59="up",Ericsson!S62,""))</f>
        <v/>
      </c>
      <c r="D59" s="108" t="str">
        <f>IF(H59="up",Ericsson!U62,"")</f>
        <v/>
      </c>
      <c r="E59" s="12" t="str">
        <f t="shared" si="0"/>
        <v/>
      </c>
      <c r="H59" s="12" t="str">
        <f>Ericsson!T62</f>
        <v/>
      </c>
      <c r="J59" s="7" t="str">
        <f t="shared" si="1"/>
        <v/>
      </c>
    </row>
    <row r="60" spans="1:10">
      <c r="A60" s="91" t="str">
        <f>IF(Ericsson!Q63="","",IF(H60="up",Ericsson!Q63,""))</f>
        <v/>
      </c>
      <c r="B60" s="15" t="str">
        <f>IF(Ericsson!R63="","",IF(H60="up",Ericsson!R63,""))</f>
        <v/>
      </c>
      <c r="C60" s="15" t="str">
        <f>IF(Ericsson!S63="","",IF(H60="up",Ericsson!S63,""))</f>
        <v/>
      </c>
      <c r="D60" s="108" t="str">
        <f>IF(H60="up",Ericsson!U63,"")</f>
        <v/>
      </c>
      <c r="E60" s="12" t="str">
        <f t="shared" si="0"/>
        <v/>
      </c>
      <c r="H60" s="12" t="str">
        <f>Ericsson!T63</f>
        <v/>
      </c>
      <c r="J60" s="7" t="str">
        <f t="shared" si="1"/>
        <v/>
      </c>
    </row>
    <row r="61" spans="1:10">
      <c r="A61" s="91" t="str">
        <f>IF(Ericsson!Q64="","",IF(H61="up",Ericsson!Q64,""))</f>
        <v/>
      </c>
      <c r="B61" s="15" t="str">
        <f>IF(Ericsson!R64="","",IF(H61="up",Ericsson!R64,""))</f>
        <v/>
      </c>
      <c r="C61" s="15" t="str">
        <f>IF(Ericsson!S64="","",IF(H61="up",Ericsson!S64,""))</f>
        <v/>
      </c>
      <c r="D61" s="108" t="str">
        <f>IF(H61="up",Ericsson!U64,"")</f>
        <v/>
      </c>
      <c r="E61" s="12" t="str">
        <f t="shared" si="0"/>
        <v/>
      </c>
      <c r="H61" s="12" t="str">
        <f>Ericsson!T64</f>
        <v/>
      </c>
      <c r="J61" s="7" t="str">
        <f t="shared" si="1"/>
        <v/>
      </c>
    </row>
    <row r="62" spans="1:10">
      <c r="A62" s="91" t="str">
        <f>IF(Ericsson!Q65="","",IF(H62="up",Ericsson!Q65,""))</f>
        <v/>
      </c>
      <c r="B62" s="15" t="str">
        <f>IF(Ericsson!R65="","",IF(H62="up",Ericsson!R65,""))</f>
        <v/>
      </c>
      <c r="C62" s="15" t="str">
        <f>IF(Ericsson!S65="","",IF(H62="up",Ericsson!S65,""))</f>
        <v/>
      </c>
      <c r="D62" s="108" t="str">
        <f>IF(H62="up",Ericsson!U65,"")</f>
        <v/>
      </c>
      <c r="E62" s="12" t="str">
        <f t="shared" si="0"/>
        <v/>
      </c>
      <c r="H62" s="12" t="str">
        <f>Ericsson!T65</f>
        <v/>
      </c>
      <c r="J62" s="7" t="str">
        <f t="shared" si="1"/>
        <v/>
      </c>
    </row>
    <row r="63" spans="1:10">
      <c r="A63" s="91" t="str">
        <f>IF(Ericsson!Q66="","",IF(H63="up",Ericsson!Q66,""))</f>
        <v/>
      </c>
      <c r="B63" s="15" t="str">
        <f>IF(Ericsson!R66="","",IF(H63="up",Ericsson!R66,""))</f>
        <v/>
      </c>
      <c r="C63" s="15" t="str">
        <f>IF(Ericsson!S66="","",IF(H63="up",Ericsson!S66,""))</f>
        <v/>
      </c>
      <c r="D63" s="108" t="str">
        <f>IF(H63="up",Ericsson!U66,"")</f>
        <v/>
      </c>
      <c r="E63" s="12" t="str">
        <f t="shared" si="0"/>
        <v/>
      </c>
      <c r="H63" s="12" t="str">
        <f>Ericsson!T66</f>
        <v/>
      </c>
      <c r="J63" s="7" t="str">
        <f t="shared" si="1"/>
        <v/>
      </c>
    </row>
    <row r="64" spans="1:10">
      <c r="A64" s="91" t="str">
        <f>IF(Ericsson!Q67="","",IF(H64="up",Ericsson!Q67,""))</f>
        <v/>
      </c>
      <c r="B64" s="15" t="str">
        <f>IF(Ericsson!R67="","",IF(H64="up",Ericsson!R67,""))</f>
        <v/>
      </c>
      <c r="C64" s="15" t="str">
        <f>IF(Ericsson!S67="","",IF(H64="up",Ericsson!S67,""))</f>
        <v/>
      </c>
      <c r="D64" s="108" t="str">
        <f>IF(H64="up",Ericsson!U67,"")</f>
        <v/>
      </c>
      <c r="E64" s="12" t="str">
        <f t="shared" si="0"/>
        <v/>
      </c>
      <c r="H64" s="12" t="str">
        <f>Ericsson!T67</f>
        <v/>
      </c>
      <c r="J64" s="7" t="str">
        <f t="shared" si="1"/>
        <v/>
      </c>
    </row>
    <row r="65" spans="1:10">
      <c r="A65" s="91" t="str">
        <f>IF(Ericsson!Q68="","",IF(H65="up",Ericsson!Q68,""))</f>
        <v/>
      </c>
      <c r="B65" s="15" t="str">
        <f>IF(Ericsson!R68="","",IF(H65="up",Ericsson!R68,""))</f>
        <v/>
      </c>
      <c r="C65" s="15" t="str">
        <f>IF(Ericsson!S68="","",IF(H65="up",Ericsson!S68,""))</f>
        <v/>
      </c>
      <c r="D65" s="108" t="str">
        <f>IF(H65="up",Ericsson!U68,"")</f>
        <v/>
      </c>
      <c r="E65" s="12" t="str">
        <f t="shared" si="0"/>
        <v/>
      </c>
      <c r="H65" s="12" t="str">
        <f>Ericsson!T68</f>
        <v/>
      </c>
      <c r="J65" s="7" t="str">
        <f t="shared" si="1"/>
        <v/>
      </c>
    </row>
    <row r="66" spans="1:10">
      <c r="A66" s="91" t="str">
        <f>IF(Ericsson!Q69="","",IF(H66="up",Ericsson!Q69,""))</f>
        <v/>
      </c>
      <c r="B66" s="15" t="str">
        <f>IF(Ericsson!R69="","",IF(H66="up",Ericsson!R69,""))</f>
        <v/>
      </c>
      <c r="C66" s="15" t="str">
        <f>IF(Ericsson!S69="","",IF(H66="up",Ericsson!S69,""))</f>
        <v/>
      </c>
      <c r="D66" s="108" t="str">
        <f>IF(H66="up",Ericsson!U69,"")</f>
        <v/>
      </c>
      <c r="E66" s="12" t="str">
        <f t="shared" si="0"/>
        <v/>
      </c>
      <c r="H66" s="12" t="str">
        <f>Ericsson!T69</f>
        <v/>
      </c>
      <c r="J66" s="7" t="str">
        <f t="shared" si="1"/>
        <v/>
      </c>
    </row>
    <row r="67" spans="1:10">
      <c r="A67" s="91" t="str">
        <f>IF(Ericsson!Q70="","",IF(H67="up",Ericsson!Q70,""))</f>
        <v/>
      </c>
      <c r="B67" s="15" t="str">
        <f>IF(Ericsson!R70="","",IF(H67="up",Ericsson!R70,""))</f>
        <v/>
      </c>
      <c r="C67" s="15" t="str">
        <f>IF(Ericsson!S70="","",IF(H67="up",Ericsson!S70,""))</f>
        <v/>
      </c>
      <c r="D67" s="108" t="str">
        <f>IF(H67="up",Ericsson!U70,"")</f>
        <v/>
      </c>
      <c r="E67" s="12" t="str">
        <f t="shared" ref="E67:E130" si="3">IF(H67="Up","???","")</f>
        <v/>
      </c>
      <c r="H67" s="12" t="str">
        <f>Ericsson!T70</f>
        <v/>
      </c>
      <c r="J67" s="7" t="str">
        <f t="shared" ref="J67:J130" si="4">IF(H67="up",IF(D67="",0,1),"")</f>
        <v/>
      </c>
    </row>
    <row r="68" spans="1:10">
      <c r="A68" s="91" t="str">
        <f>IF(Ericsson!Q71="","",IF(H68="up",Ericsson!Q71,""))</f>
        <v/>
      </c>
      <c r="B68" s="15" t="str">
        <f>IF(Ericsson!R71="","",IF(H68="up",Ericsson!R71,""))</f>
        <v/>
      </c>
      <c r="C68" s="15" t="str">
        <f>IF(Ericsson!S71="","",IF(H68="up",Ericsson!S71,""))</f>
        <v/>
      </c>
      <c r="D68" s="108" t="str">
        <f>IF(H68="up",Ericsson!U71,"")</f>
        <v/>
      </c>
      <c r="E68" s="12" t="str">
        <f t="shared" si="3"/>
        <v/>
      </c>
      <c r="H68" s="12" t="str">
        <f>Ericsson!T71</f>
        <v/>
      </c>
      <c r="J68" s="7" t="str">
        <f t="shared" si="4"/>
        <v/>
      </c>
    </row>
    <row r="69" spans="1:10">
      <c r="A69" s="91" t="str">
        <f>IF(Ericsson!Q72="","",IF(H69="up",Ericsson!Q72,""))</f>
        <v/>
      </c>
      <c r="B69" s="15" t="str">
        <f>IF(Ericsson!R72="","",IF(H69="up",Ericsson!R72,""))</f>
        <v/>
      </c>
      <c r="C69" s="15" t="str">
        <f>IF(Ericsson!S72="","",IF(H69="up",Ericsson!S72,""))</f>
        <v/>
      </c>
      <c r="D69" s="108" t="str">
        <f>IF(H69="up",Ericsson!U72,"")</f>
        <v/>
      </c>
      <c r="E69" s="12" t="str">
        <f t="shared" si="3"/>
        <v/>
      </c>
      <c r="H69" s="12" t="str">
        <f>Ericsson!T72</f>
        <v/>
      </c>
      <c r="J69" s="7" t="str">
        <f t="shared" si="4"/>
        <v/>
      </c>
    </row>
    <row r="70" spans="1:10">
      <c r="A70" s="91" t="str">
        <f>IF(Ericsson!Q73="","",IF(H70="up",Ericsson!Q73,""))</f>
        <v/>
      </c>
      <c r="B70" s="15" t="str">
        <f>IF(Ericsson!R73="","",IF(H70="up",Ericsson!R73,""))</f>
        <v/>
      </c>
      <c r="C70" s="15" t="str">
        <f>IF(Ericsson!S73="","",IF(H70="up",Ericsson!S73,""))</f>
        <v/>
      </c>
      <c r="D70" s="108" t="str">
        <f>IF(H70="up",Ericsson!U73,"")</f>
        <v/>
      </c>
      <c r="E70" s="12" t="str">
        <f t="shared" si="3"/>
        <v/>
      </c>
      <c r="H70" s="12" t="str">
        <f>Ericsson!T73</f>
        <v/>
      </c>
      <c r="J70" s="7" t="str">
        <f t="shared" si="4"/>
        <v/>
      </c>
    </row>
    <row r="71" spans="1:10">
      <c r="A71" s="91" t="str">
        <f>IF(Ericsson!Q74="","",IF(H71="up",Ericsson!Q74,""))</f>
        <v/>
      </c>
      <c r="B71" s="15" t="str">
        <f>IF(Ericsson!R74="","",IF(H71="up",Ericsson!R74,""))</f>
        <v/>
      </c>
      <c r="C71" s="15" t="str">
        <f>IF(Ericsson!S74="","",IF(H71="up",Ericsson!S74,""))</f>
        <v/>
      </c>
      <c r="D71" s="108" t="str">
        <f>IF(H71="up",Ericsson!U74,"")</f>
        <v/>
      </c>
      <c r="E71" s="12" t="str">
        <f t="shared" si="3"/>
        <v/>
      </c>
      <c r="H71" s="12" t="str">
        <f>Ericsson!T74</f>
        <v/>
      </c>
      <c r="J71" s="7" t="str">
        <f t="shared" si="4"/>
        <v/>
      </c>
    </row>
    <row r="72" spans="1:10">
      <c r="A72" s="91" t="str">
        <f>IF(Ericsson!Q75="","",IF(H72="up",Ericsson!Q75,""))</f>
        <v/>
      </c>
      <c r="B72" s="15" t="str">
        <f>IF(Ericsson!R75="","",IF(H72="up",Ericsson!R75,""))</f>
        <v/>
      </c>
      <c r="C72" s="15" t="str">
        <f>IF(Ericsson!S75="","",IF(H72="up",Ericsson!S75,""))</f>
        <v/>
      </c>
      <c r="D72" s="108" t="str">
        <f>IF(H72="up",Ericsson!U75,"")</f>
        <v/>
      </c>
      <c r="E72" s="12" t="str">
        <f t="shared" si="3"/>
        <v/>
      </c>
      <c r="H72" s="12" t="str">
        <f>Ericsson!T75</f>
        <v/>
      </c>
      <c r="J72" s="7" t="str">
        <f t="shared" si="4"/>
        <v/>
      </c>
    </row>
    <row r="73" spans="1:10">
      <c r="A73" s="91" t="str">
        <f>IF(Ericsson!Q76="","",IF(H73="up",Ericsson!Q76,""))</f>
        <v/>
      </c>
      <c r="B73" s="15" t="str">
        <f>IF(Ericsson!R76="","",IF(H73="up",Ericsson!R76,""))</f>
        <v/>
      </c>
      <c r="C73" s="15" t="str">
        <f>IF(Ericsson!S76="","",IF(H73="up",Ericsson!S76,""))</f>
        <v/>
      </c>
      <c r="D73" s="108" t="str">
        <f>IF(H73="up",Ericsson!U76,"")</f>
        <v/>
      </c>
      <c r="E73" s="12" t="str">
        <f t="shared" si="3"/>
        <v/>
      </c>
      <c r="H73" s="12" t="str">
        <f>Ericsson!T76</f>
        <v/>
      </c>
      <c r="J73" s="7" t="str">
        <f t="shared" si="4"/>
        <v/>
      </c>
    </row>
    <row r="74" spans="1:10">
      <c r="A74" s="91" t="str">
        <f>IF(Ericsson!Q77="","",IF(H74="up",Ericsson!Q77,""))</f>
        <v/>
      </c>
      <c r="B74" s="15" t="str">
        <f>IF(Ericsson!R77="","",IF(H74="up",Ericsson!R77,""))</f>
        <v/>
      </c>
      <c r="C74" s="15" t="str">
        <f>IF(Ericsson!S77="","",IF(H74="up",Ericsson!S77,""))</f>
        <v/>
      </c>
      <c r="D74" s="108" t="str">
        <f>IF(H74="up",Ericsson!U77,"")</f>
        <v/>
      </c>
      <c r="E74" s="12" t="str">
        <f t="shared" si="3"/>
        <v/>
      </c>
      <c r="H74" s="12" t="str">
        <f>Ericsson!T77</f>
        <v/>
      </c>
      <c r="J74" s="7" t="str">
        <f t="shared" si="4"/>
        <v/>
      </c>
    </row>
    <row r="75" spans="1:10">
      <c r="A75" s="91" t="str">
        <f>IF(Ericsson!Q78="","",IF(H75="up",Ericsson!Q78,""))</f>
        <v/>
      </c>
      <c r="B75" s="15" t="str">
        <f>IF(Ericsson!R78="","",IF(H75="up",Ericsson!R78,""))</f>
        <v/>
      </c>
      <c r="C75" s="15" t="str">
        <f>IF(Ericsson!S78="","",IF(H75="up",Ericsson!S78,""))</f>
        <v/>
      </c>
      <c r="D75" s="108" t="str">
        <f>IF(H75="up",Ericsson!U78,"")</f>
        <v/>
      </c>
      <c r="E75" s="12" t="str">
        <f t="shared" si="3"/>
        <v/>
      </c>
      <c r="H75" s="12" t="str">
        <f>Ericsson!T78</f>
        <v/>
      </c>
      <c r="J75" s="7" t="str">
        <f t="shared" si="4"/>
        <v/>
      </c>
    </row>
    <row r="76" spans="1:10">
      <c r="A76" s="91" t="str">
        <f>IF(Ericsson!Q79="","",IF(H76="up",Ericsson!Q79,""))</f>
        <v/>
      </c>
      <c r="B76" s="15" t="str">
        <f>IF(Ericsson!R79="","",IF(H76="up",Ericsson!R79,""))</f>
        <v/>
      </c>
      <c r="C76" s="15" t="str">
        <f>IF(Ericsson!S79="","",IF(H76="up",Ericsson!S79,""))</f>
        <v/>
      </c>
      <c r="D76" s="108" t="str">
        <f>IF(H76="up",Ericsson!U79,"")</f>
        <v/>
      </c>
      <c r="E76" s="12" t="str">
        <f t="shared" si="3"/>
        <v/>
      </c>
      <c r="H76" s="12" t="str">
        <f>Ericsson!T79</f>
        <v/>
      </c>
      <c r="J76" s="7" t="str">
        <f t="shared" si="4"/>
        <v/>
      </c>
    </row>
    <row r="77" spans="1:10">
      <c r="A77" s="91" t="str">
        <f>IF(Ericsson!Q80="","",IF(H77="up",Ericsson!Q80,""))</f>
        <v/>
      </c>
      <c r="B77" s="15" t="str">
        <f>IF(Ericsson!R80="","",IF(H77="up",Ericsson!R80,""))</f>
        <v/>
      </c>
      <c r="C77" s="15" t="str">
        <f>IF(Ericsson!S80="","",IF(H77="up",Ericsson!S80,""))</f>
        <v/>
      </c>
      <c r="D77" s="108" t="str">
        <f>IF(H77="up",Ericsson!U80,"")</f>
        <v/>
      </c>
      <c r="E77" s="12" t="str">
        <f t="shared" si="3"/>
        <v/>
      </c>
      <c r="H77" s="12" t="str">
        <f>Ericsson!T80</f>
        <v/>
      </c>
      <c r="J77" s="7" t="str">
        <f t="shared" si="4"/>
        <v/>
      </c>
    </row>
    <row r="78" spans="1:10">
      <c r="A78" s="91" t="str">
        <f>IF(Ericsson!Q81="","",IF(H78="up",Ericsson!Q81,""))</f>
        <v/>
      </c>
      <c r="B78" s="15" t="str">
        <f>IF(Ericsson!R81="","",IF(H78="up",Ericsson!R81,""))</f>
        <v/>
      </c>
      <c r="C78" s="15" t="str">
        <f>IF(Ericsson!S81="","",IF(H78="up",Ericsson!S81,""))</f>
        <v/>
      </c>
      <c r="D78" s="108" t="str">
        <f>IF(H78="up",Ericsson!U81,"")</f>
        <v/>
      </c>
      <c r="E78" s="12" t="str">
        <f t="shared" si="3"/>
        <v/>
      </c>
      <c r="H78" s="12" t="str">
        <f>Ericsson!T81</f>
        <v/>
      </c>
      <c r="J78" s="7" t="str">
        <f t="shared" si="4"/>
        <v/>
      </c>
    </row>
    <row r="79" spans="1:10">
      <c r="A79" s="91" t="str">
        <f>IF(Ericsson!Q82="","",IF(H79="up",Ericsson!Q82,""))</f>
        <v/>
      </c>
      <c r="B79" s="15" t="str">
        <f>IF(Ericsson!R82="","",IF(H79="up",Ericsson!R82,""))</f>
        <v/>
      </c>
      <c r="C79" s="15" t="str">
        <f>IF(Ericsson!S82="","",IF(H79="up",Ericsson!S82,""))</f>
        <v/>
      </c>
      <c r="D79" s="108" t="str">
        <f>IF(H79="up",Ericsson!U82,"")</f>
        <v/>
      </c>
      <c r="E79" s="12" t="str">
        <f t="shared" si="3"/>
        <v/>
      </c>
      <c r="H79" s="12" t="str">
        <f>Ericsson!T82</f>
        <v/>
      </c>
      <c r="J79" s="7" t="str">
        <f t="shared" si="4"/>
        <v/>
      </c>
    </row>
    <row r="80" spans="1:10">
      <c r="A80" s="91" t="str">
        <f>IF(Ericsson!Q83="","",IF(H80="up",Ericsson!Q83,""))</f>
        <v/>
      </c>
      <c r="B80" s="15" t="str">
        <f>IF(Ericsson!R83="","",IF(H80="up",Ericsson!R83,""))</f>
        <v/>
      </c>
      <c r="C80" s="15" t="str">
        <f>IF(Ericsson!S83="","",IF(H80="up",Ericsson!S83,""))</f>
        <v/>
      </c>
      <c r="D80" s="108" t="str">
        <f>IF(H80="up",Ericsson!U83,"")</f>
        <v/>
      </c>
      <c r="E80" s="12" t="str">
        <f t="shared" si="3"/>
        <v/>
      </c>
      <c r="H80" s="12" t="str">
        <f>Ericsson!T83</f>
        <v/>
      </c>
      <c r="J80" s="7" t="str">
        <f t="shared" si="4"/>
        <v/>
      </c>
    </row>
    <row r="81" spans="1:10">
      <c r="A81" s="91" t="str">
        <f>IF(Ericsson!Q84="","",IF(H81="up",Ericsson!Q84,""))</f>
        <v/>
      </c>
      <c r="B81" s="15" t="str">
        <f>IF(Ericsson!R84="","",IF(H81="up",Ericsson!R84,""))</f>
        <v/>
      </c>
      <c r="C81" s="15" t="str">
        <f>IF(Ericsson!S84="","",IF(H81="up",Ericsson!S84,""))</f>
        <v/>
      </c>
      <c r="D81" s="108" t="str">
        <f>IF(H81="up",Ericsson!U84,"")</f>
        <v/>
      </c>
      <c r="E81" s="12" t="str">
        <f t="shared" si="3"/>
        <v/>
      </c>
      <c r="H81" s="12" t="str">
        <f>Ericsson!T84</f>
        <v/>
      </c>
      <c r="J81" s="7" t="str">
        <f t="shared" si="4"/>
        <v/>
      </c>
    </row>
    <row r="82" spans="1:10">
      <c r="A82" s="91" t="str">
        <f>IF(Ericsson!Q85="","",IF(H82="up",Ericsson!Q85,""))</f>
        <v/>
      </c>
      <c r="B82" s="15" t="str">
        <f>IF(Ericsson!R85="","",IF(H82="up",Ericsson!R85,""))</f>
        <v/>
      </c>
      <c r="C82" s="15" t="str">
        <f>IF(Ericsson!S85="","",IF(H82="up",Ericsson!S85,""))</f>
        <v/>
      </c>
      <c r="D82" s="108" t="str">
        <f>IF(H82="up",Ericsson!U85,"")</f>
        <v/>
      </c>
      <c r="E82" s="12" t="str">
        <f t="shared" si="3"/>
        <v/>
      </c>
      <c r="H82" s="12" t="str">
        <f>Ericsson!T85</f>
        <v/>
      </c>
      <c r="J82" s="7" t="str">
        <f t="shared" si="4"/>
        <v/>
      </c>
    </row>
    <row r="83" spans="1:10">
      <c r="A83" s="91" t="str">
        <f>IF(Ericsson!Q86="","",IF(H83="up",Ericsson!Q86,""))</f>
        <v/>
      </c>
      <c r="B83" s="15" t="str">
        <f>IF(Ericsson!R86="","",IF(H83="up",Ericsson!R86,""))</f>
        <v/>
      </c>
      <c r="C83" s="15" t="str">
        <f>IF(Ericsson!S86="","",IF(H83="up",Ericsson!S86,""))</f>
        <v/>
      </c>
      <c r="D83" s="108" t="str">
        <f>IF(H83="up",Ericsson!U86,"")</f>
        <v/>
      </c>
      <c r="E83" s="12" t="str">
        <f t="shared" si="3"/>
        <v/>
      </c>
      <c r="H83" s="12" t="str">
        <f>Ericsson!T86</f>
        <v/>
      </c>
      <c r="J83" s="7" t="str">
        <f t="shared" si="4"/>
        <v/>
      </c>
    </row>
    <row r="84" spans="1:10">
      <c r="A84" s="91" t="str">
        <f>IF(Ericsson!Q87="","",IF(H84="up",Ericsson!Q87,""))</f>
        <v/>
      </c>
      <c r="B84" s="15" t="str">
        <f>IF(Ericsson!R87="","",IF(H84="up",Ericsson!R87,""))</f>
        <v/>
      </c>
      <c r="C84" s="15" t="str">
        <f>IF(Ericsson!S87="","",IF(H84="up",Ericsson!S87,""))</f>
        <v/>
      </c>
      <c r="D84" s="108" t="str">
        <f>IF(H84="up",Ericsson!U87,"")</f>
        <v/>
      </c>
      <c r="E84" s="12" t="str">
        <f t="shared" si="3"/>
        <v/>
      </c>
      <c r="H84" s="12" t="str">
        <f>Ericsson!T87</f>
        <v/>
      </c>
      <c r="J84" s="7" t="str">
        <f t="shared" si="4"/>
        <v/>
      </c>
    </row>
    <row r="85" spans="1:10">
      <c r="A85" s="91" t="str">
        <f>IF(Ericsson!Q88="","",IF(H85="up",Ericsson!Q88,""))</f>
        <v/>
      </c>
      <c r="B85" s="15" t="str">
        <f>IF(Ericsson!R88="","",IF(H85="up",Ericsson!R88,""))</f>
        <v/>
      </c>
      <c r="C85" s="15" t="str">
        <f>IF(Ericsson!S88="","",IF(H85="up",Ericsson!S88,""))</f>
        <v/>
      </c>
      <c r="D85" s="108" t="str">
        <f>IF(H85="up",Ericsson!U88,"")</f>
        <v/>
      </c>
      <c r="E85" s="12" t="str">
        <f t="shared" si="3"/>
        <v/>
      </c>
      <c r="H85" s="12" t="str">
        <f>Ericsson!T88</f>
        <v/>
      </c>
      <c r="J85" s="7" t="str">
        <f t="shared" si="4"/>
        <v/>
      </c>
    </row>
    <row r="86" spans="1:10">
      <c r="A86" s="91" t="str">
        <f>IF(Ericsson!Q89="","",IF(H86="up",Ericsson!Q89,""))</f>
        <v/>
      </c>
      <c r="B86" s="15" t="str">
        <f>IF(Ericsson!R89="","",IF(H86="up",Ericsson!R89,""))</f>
        <v/>
      </c>
      <c r="C86" s="15" t="str">
        <f>IF(Ericsson!S89="","",IF(H86="up",Ericsson!S89,""))</f>
        <v/>
      </c>
      <c r="D86" s="108" t="str">
        <f>IF(H86="up",Ericsson!U89,"")</f>
        <v/>
      </c>
      <c r="E86" s="12" t="str">
        <f t="shared" si="3"/>
        <v/>
      </c>
      <c r="H86" s="12" t="str">
        <f>Ericsson!T89</f>
        <v/>
      </c>
      <c r="J86" s="7" t="str">
        <f t="shared" si="4"/>
        <v/>
      </c>
    </row>
    <row r="87" spans="1:10">
      <c r="A87" s="91" t="str">
        <f>IF(Ericsson!Q90="","",IF(H87="up",Ericsson!Q90,""))</f>
        <v/>
      </c>
      <c r="B87" s="15" t="str">
        <f>IF(Ericsson!R90="","",IF(H87="up",Ericsson!R90,""))</f>
        <v/>
      </c>
      <c r="C87" s="15" t="str">
        <f>IF(Ericsson!S90="","",IF(H87="up",Ericsson!S90,""))</f>
        <v/>
      </c>
      <c r="D87" s="108" t="str">
        <f>IF(H87="up",Ericsson!U90,"")</f>
        <v/>
      </c>
      <c r="E87" s="12" t="str">
        <f t="shared" si="3"/>
        <v/>
      </c>
      <c r="H87" s="12" t="str">
        <f>Ericsson!T90</f>
        <v/>
      </c>
      <c r="J87" s="7" t="str">
        <f t="shared" si="4"/>
        <v/>
      </c>
    </row>
    <row r="88" spans="1:10">
      <c r="A88" s="91" t="str">
        <f>IF(Ericsson!Q91="","",IF(H88="up",Ericsson!Q91,""))</f>
        <v/>
      </c>
      <c r="B88" s="15" t="str">
        <f>IF(Ericsson!R91="","",IF(H88="up",Ericsson!R91,""))</f>
        <v/>
      </c>
      <c r="C88" s="15" t="str">
        <f>IF(Ericsson!S91="","",IF(H88="up",Ericsson!S91,""))</f>
        <v/>
      </c>
      <c r="D88" s="108" t="str">
        <f>IF(H88="up",Ericsson!U91,"")</f>
        <v/>
      </c>
      <c r="E88" s="12" t="str">
        <f t="shared" si="3"/>
        <v/>
      </c>
      <c r="H88" s="12" t="str">
        <f>Ericsson!T91</f>
        <v/>
      </c>
      <c r="J88" s="7" t="str">
        <f t="shared" si="4"/>
        <v/>
      </c>
    </row>
    <row r="89" spans="1:10">
      <c r="A89" s="91" t="str">
        <f>IF(Ericsson!Q92="","",IF(H89="up",Ericsson!Q92,""))</f>
        <v/>
      </c>
      <c r="B89" s="15" t="str">
        <f>IF(Ericsson!R92="","",IF(H89="up",Ericsson!R92,""))</f>
        <v/>
      </c>
      <c r="C89" s="15" t="str">
        <f>IF(Ericsson!S92="","",IF(H89="up",Ericsson!S92,""))</f>
        <v/>
      </c>
      <c r="D89" s="108" t="str">
        <f>IF(H89="up",Ericsson!U92,"")</f>
        <v/>
      </c>
      <c r="E89" s="12" t="str">
        <f t="shared" si="3"/>
        <v/>
      </c>
      <c r="H89" s="12" t="str">
        <f>Ericsson!T92</f>
        <v/>
      </c>
      <c r="J89" s="7" t="str">
        <f t="shared" si="4"/>
        <v/>
      </c>
    </row>
    <row r="90" spans="1:10">
      <c r="A90" s="91" t="str">
        <f>IF(Ericsson!Q93="","",IF(H90="up",Ericsson!Q93,""))</f>
        <v/>
      </c>
      <c r="B90" s="15" t="str">
        <f>IF(Ericsson!R93="","",IF(H90="up",Ericsson!R93,""))</f>
        <v/>
      </c>
      <c r="C90" s="15" t="str">
        <f>IF(Ericsson!S93="","",IF(H90="up",Ericsson!S93,""))</f>
        <v/>
      </c>
      <c r="D90" s="108" t="str">
        <f>IF(H90="up",Ericsson!U93,"")</f>
        <v/>
      </c>
      <c r="E90" s="12" t="str">
        <f t="shared" si="3"/>
        <v/>
      </c>
      <c r="H90" s="12" t="str">
        <f>Ericsson!T93</f>
        <v/>
      </c>
      <c r="J90" s="7" t="str">
        <f t="shared" si="4"/>
        <v/>
      </c>
    </row>
    <row r="91" spans="1:10">
      <c r="A91" s="91" t="str">
        <f>IF(Ericsson!Q94="","",IF(H91="up",Ericsson!Q94,""))</f>
        <v/>
      </c>
      <c r="B91" s="15" t="str">
        <f>IF(Ericsson!R94="","",IF(H91="up",Ericsson!R94,""))</f>
        <v/>
      </c>
      <c r="C91" s="15" t="str">
        <f>IF(Ericsson!S94="","",IF(H91="up",Ericsson!S94,""))</f>
        <v/>
      </c>
      <c r="D91" s="108" t="str">
        <f>IF(H91="up",Ericsson!U94,"")</f>
        <v/>
      </c>
      <c r="E91" s="12" t="str">
        <f t="shared" si="3"/>
        <v/>
      </c>
      <c r="H91" s="12" t="str">
        <f>Ericsson!T94</f>
        <v/>
      </c>
      <c r="J91" s="7" t="str">
        <f t="shared" si="4"/>
        <v/>
      </c>
    </row>
    <row r="92" spans="1:10">
      <c r="A92" s="91" t="str">
        <f>IF(Ericsson!Q95="","",IF(H92="up",Ericsson!Q95,""))</f>
        <v/>
      </c>
      <c r="B92" s="15" t="str">
        <f>IF(Ericsson!R95="","",IF(H92="up",Ericsson!R95,""))</f>
        <v/>
      </c>
      <c r="C92" s="15" t="str">
        <f>IF(Ericsson!S95="","",IF(H92="up",Ericsson!S95,""))</f>
        <v/>
      </c>
      <c r="D92" s="108" t="str">
        <f>IF(H92="up",Ericsson!U95,"")</f>
        <v/>
      </c>
      <c r="E92" s="12" t="str">
        <f t="shared" si="3"/>
        <v/>
      </c>
      <c r="H92" s="12" t="str">
        <f>Ericsson!T95</f>
        <v/>
      </c>
      <c r="J92" s="7" t="str">
        <f t="shared" si="4"/>
        <v/>
      </c>
    </row>
    <row r="93" spans="1:10">
      <c r="A93" s="91" t="str">
        <f>IF(Ericsson!Q96="","",IF(H93="up",Ericsson!Q96,""))</f>
        <v/>
      </c>
      <c r="B93" s="15" t="str">
        <f>IF(Ericsson!R96="","",IF(H93="up",Ericsson!R96,""))</f>
        <v/>
      </c>
      <c r="C93" s="15" t="str">
        <f>IF(Ericsson!S96="","",IF(H93="up",Ericsson!S96,""))</f>
        <v/>
      </c>
      <c r="D93" s="108" t="str">
        <f>IF(H93="up",Ericsson!U96,"")</f>
        <v/>
      </c>
      <c r="E93" s="12" t="str">
        <f t="shared" si="3"/>
        <v/>
      </c>
      <c r="H93" s="12" t="str">
        <f>Ericsson!T96</f>
        <v/>
      </c>
      <c r="J93" s="7" t="str">
        <f t="shared" si="4"/>
        <v/>
      </c>
    </row>
    <row r="94" spans="1:10">
      <c r="A94" s="91" t="str">
        <f>IF(Ericsson!Q97="","",IF(H94="up",Ericsson!Q97,""))</f>
        <v/>
      </c>
      <c r="B94" s="15" t="str">
        <f>IF(Ericsson!R97="","",IF(H94="up",Ericsson!R97,""))</f>
        <v/>
      </c>
      <c r="C94" s="15" t="str">
        <f>IF(Ericsson!S97="","",IF(H94="up",Ericsson!S97,""))</f>
        <v/>
      </c>
      <c r="D94" s="108" t="str">
        <f>IF(H94="up",Ericsson!U97,"")</f>
        <v/>
      </c>
      <c r="E94" s="12" t="str">
        <f t="shared" si="3"/>
        <v/>
      </c>
      <c r="H94" s="12" t="str">
        <f>Ericsson!T97</f>
        <v/>
      </c>
      <c r="J94" s="7" t="str">
        <f t="shared" si="4"/>
        <v/>
      </c>
    </row>
    <row r="95" spans="1:10">
      <c r="A95" s="91" t="str">
        <f>IF(Ericsson!Q98="","",IF(H95="up",Ericsson!Q98,""))</f>
        <v/>
      </c>
      <c r="B95" s="15" t="str">
        <f>IF(Ericsson!R98="","",IF(H95="up",Ericsson!R98,""))</f>
        <v/>
      </c>
      <c r="C95" s="15" t="str">
        <f>IF(Ericsson!S98="","",IF(H95="up",Ericsson!S98,""))</f>
        <v/>
      </c>
      <c r="D95" s="108" t="str">
        <f>IF(H95="up",Ericsson!U98,"")</f>
        <v/>
      </c>
      <c r="E95" s="12" t="str">
        <f t="shared" si="3"/>
        <v/>
      </c>
      <c r="H95" s="12" t="str">
        <f>Ericsson!T98</f>
        <v/>
      </c>
      <c r="J95" s="7" t="str">
        <f t="shared" si="4"/>
        <v/>
      </c>
    </row>
    <row r="96" spans="1:10">
      <c r="A96" s="91" t="str">
        <f>IF(Ericsson!Q99="","",IF(H96="up",Ericsson!Q99,""))</f>
        <v/>
      </c>
      <c r="B96" s="15" t="str">
        <f>IF(Ericsson!R99="","",IF(H96="up",Ericsson!R99,""))</f>
        <v/>
      </c>
      <c r="C96" s="15" t="str">
        <f>IF(Ericsson!S99="","",IF(H96="up",Ericsson!S99,""))</f>
        <v/>
      </c>
      <c r="D96" s="108" t="str">
        <f>IF(H96="up",Ericsson!U99,"")</f>
        <v/>
      </c>
      <c r="E96" s="12" t="str">
        <f t="shared" si="3"/>
        <v/>
      </c>
      <c r="H96" s="12" t="str">
        <f>Ericsson!T99</f>
        <v/>
      </c>
      <c r="J96" s="7" t="str">
        <f t="shared" si="4"/>
        <v/>
      </c>
    </row>
    <row r="97" spans="1:10">
      <c r="A97" s="91" t="str">
        <f>IF(Ericsson!Q100="","",IF(H97="up",Ericsson!Q100,""))</f>
        <v/>
      </c>
      <c r="B97" s="15" t="str">
        <f>IF(Ericsson!R100="","",IF(H97="up",Ericsson!R100,""))</f>
        <v/>
      </c>
      <c r="C97" s="15" t="str">
        <f>IF(Ericsson!S100="","",IF(H97="up",Ericsson!S100,""))</f>
        <v/>
      </c>
      <c r="D97" s="108" t="str">
        <f>IF(H97="up",Ericsson!U100,"")</f>
        <v/>
      </c>
      <c r="E97" s="12" t="str">
        <f t="shared" si="3"/>
        <v/>
      </c>
      <c r="H97" s="12" t="str">
        <f>Ericsson!T100</f>
        <v/>
      </c>
      <c r="J97" s="7" t="str">
        <f t="shared" si="4"/>
        <v/>
      </c>
    </row>
    <row r="98" spans="1:10">
      <c r="A98" s="91" t="str">
        <f>IF(Ericsson!Q101="","",IF(H98="up",Ericsson!Q101,""))</f>
        <v/>
      </c>
      <c r="B98" s="15" t="str">
        <f>IF(Ericsson!R101="","",IF(H98="up",Ericsson!R101,""))</f>
        <v/>
      </c>
      <c r="C98" s="15" t="str">
        <f>IF(Ericsson!S101="","",IF(H98="up",Ericsson!S101,""))</f>
        <v/>
      </c>
      <c r="D98" s="108" t="str">
        <f>IF(H98="up",Ericsson!U101,"")</f>
        <v/>
      </c>
      <c r="E98" s="12" t="str">
        <f t="shared" si="3"/>
        <v/>
      </c>
      <c r="H98" s="12" t="str">
        <f>Ericsson!T101</f>
        <v/>
      </c>
      <c r="J98" s="7" t="str">
        <f t="shared" si="4"/>
        <v/>
      </c>
    </row>
    <row r="99" spans="1:10">
      <c r="A99" s="91" t="str">
        <f>IF(Ericsson!Q102="","",IF(H99="up",Ericsson!Q102,""))</f>
        <v/>
      </c>
      <c r="B99" s="15" t="str">
        <f>IF(Ericsson!R102="","",IF(H99="up",Ericsson!R102,""))</f>
        <v/>
      </c>
      <c r="C99" s="15" t="str">
        <f>IF(Ericsson!S102="","",IF(H99="up",Ericsson!S102,""))</f>
        <v/>
      </c>
      <c r="D99" s="108" t="str">
        <f>IF(H99="up",Ericsson!U102,"")</f>
        <v/>
      </c>
      <c r="E99" s="12" t="str">
        <f t="shared" si="3"/>
        <v/>
      </c>
      <c r="H99" s="12" t="str">
        <f>Ericsson!T102</f>
        <v/>
      </c>
      <c r="J99" s="7" t="str">
        <f t="shared" si="4"/>
        <v/>
      </c>
    </row>
    <row r="100" spans="1:10">
      <c r="A100" s="91" t="str">
        <f>IF(Ericsson!Q103="","",IF(H100="up",Ericsson!Q103,""))</f>
        <v/>
      </c>
      <c r="B100" s="15" t="str">
        <f>IF(Ericsson!R103="","",IF(H100="up",Ericsson!R103,""))</f>
        <v/>
      </c>
      <c r="C100" s="15" t="str">
        <f>IF(Ericsson!S103="","",IF(H100="up",Ericsson!S103,""))</f>
        <v/>
      </c>
      <c r="D100" s="108" t="str">
        <f>IF(H100="up",Ericsson!U103,"")</f>
        <v/>
      </c>
      <c r="E100" s="12" t="str">
        <f t="shared" si="3"/>
        <v/>
      </c>
      <c r="H100" s="12" t="str">
        <f>Ericsson!T103</f>
        <v/>
      </c>
      <c r="J100" s="7" t="str">
        <f t="shared" si="4"/>
        <v/>
      </c>
    </row>
    <row r="101" spans="1:10">
      <c r="A101" s="91" t="str">
        <f>IF(Ericsson!Q104="","",IF(H101="up",Ericsson!Q104,""))</f>
        <v/>
      </c>
      <c r="B101" s="15" t="str">
        <f>IF(Ericsson!R104="","",IF(H101="up",Ericsson!R104,""))</f>
        <v/>
      </c>
      <c r="C101" s="15" t="str">
        <f>IF(Ericsson!S104="","",IF(H101="up",Ericsson!S104,""))</f>
        <v/>
      </c>
      <c r="D101" s="108" t="str">
        <f>IF(H101="up",Ericsson!U104,"")</f>
        <v/>
      </c>
      <c r="E101" s="12" t="str">
        <f t="shared" si="3"/>
        <v/>
      </c>
      <c r="H101" s="12" t="str">
        <f>Ericsson!T104</f>
        <v/>
      </c>
      <c r="J101" s="7" t="str">
        <f t="shared" si="4"/>
        <v/>
      </c>
    </row>
    <row r="102" spans="1:10">
      <c r="A102" s="91" t="str">
        <f>IF(Ericsson!Q105="","",IF(H102="up",Ericsson!Q105,""))</f>
        <v/>
      </c>
      <c r="B102" s="15" t="str">
        <f>IF(Ericsson!R105="","",IF(H102="up",Ericsson!R105,""))</f>
        <v/>
      </c>
      <c r="C102" s="15" t="str">
        <f>IF(Ericsson!S105="","",IF(H102="up",Ericsson!S105,""))</f>
        <v/>
      </c>
      <c r="D102" s="108" t="str">
        <f>IF(H102="up",Ericsson!U105,"")</f>
        <v/>
      </c>
      <c r="E102" s="12" t="str">
        <f t="shared" si="3"/>
        <v/>
      </c>
      <c r="H102" s="12" t="str">
        <f>Ericsson!T105</f>
        <v/>
      </c>
      <c r="J102" s="7" t="str">
        <f t="shared" si="4"/>
        <v/>
      </c>
    </row>
    <row r="103" spans="1:10">
      <c r="A103" s="91" t="str">
        <f>IF(Ericsson!Q106="","",IF(H103="up",Ericsson!Q106,""))</f>
        <v/>
      </c>
      <c r="B103" s="15" t="str">
        <f>IF(Ericsson!R106="","",IF(H103="up",Ericsson!R106,""))</f>
        <v/>
      </c>
      <c r="C103" s="15" t="str">
        <f>IF(Ericsson!S106="","",IF(H103="up",Ericsson!S106,""))</f>
        <v/>
      </c>
      <c r="D103" s="108" t="str">
        <f>IF(H103="up",Ericsson!U106,"")</f>
        <v/>
      </c>
      <c r="E103" s="12" t="str">
        <f t="shared" si="3"/>
        <v/>
      </c>
      <c r="H103" s="12" t="str">
        <f>Ericsson!T106</f>
        <v/>
      </c>
      <c r="J103" s="7" t="str">
        <f t="shared" si="4"/>
        <v/>
      </c>
    </row>
    <row r="104" spans="1:10">
      <c r="A104" s="91" t="str">
        <f>IF(Ericsson!Q107="","",IF(H104="up",Ericsson!Q107,""))</f>
        <v/>
      </c>
      <c r="B104" s="15" t="str">
        <f>IF(Ericsson!R107="","",IF(H104="up",Ericsson!R107,""))</f>
        <v/>
      </c>
      <c r="C104" s="15" t="str">
        <f>IF(Ericsson!S107="","",IF(H104="up",Ericsson!S107,""))</f>
        <v/>
      </c>
      <c r="D104" s="108" t="str">
        <f>IF(H104="up",Ericsson!U107,"")</f>
        <v/>
      </c>
      <c r="E104" s="12" t="str">
        <f t="shared" si="3"/>
        <v/>
      </c>
      <c r="H104" s="12" t="str">
        <f>Ericsson!T107</f>
        <v/>
      </c>
      <c r="J104" s="7" t="str">
        <f t="shared" si="4"/>
        <v/>
      </c>
    </row>
    <row r="105" spans="1:10">
      <c r="A105" s="91" t="str">
        <f>IF(Ericsson!Q108="","",IF(H105="up",Ericsson!Q108,""))</f>
        <v/>
      </c>
      <c r="B105" s="15" t="str">
        <f>IF(Ericsson!R108="","",IF(H105="up",Ericsson!R108,""))</f>
        <v/>
      </c>
      <c r="C105" s="15" t="str">
        <f>IF(Ericsson!S108="","",IF(H105="up",Ericsson!S108,""))</f>
        <v/>
      </c>
      <c r="D105" s="108" t="str">
        <f>IF(H105="up",Ericsson!U108,"")</f>
        <v/>
      </c>
      <c r="E105" s="12" t="str">
        <f t="shared" si="3"/>
        <v/>
      </c>
      <c r="H105" s="12" t="str">
        <f>Ericsson!T108</f>
        <v/>
      </c>
      <c r="J105" s="7" t="str">
        <f t="shared" si="4"/>
        <v/>
      </c>
    </row>
    <row r="106" spans="1:10">
      <c r="A106" s="91" t="str">
        <f>IF(Ericsson!Q109="","",IF(H106="up",Ericsson!Q109,""))</f>
        <v/>
      </c>
      <c r="B106" s="15" t="str">
        <f>IF(Ericsson!R109="","",IF(H106="up",Ericsson!R109,""))</f>
        <v/>
      </c>
      <c r="C106" s="15" t="str">
        <f>IF(Ericsson!S109="","",IF(H106="up",Ericsson!S109,""))</f>
        <v/>
      </c>
      <c r="D106" s="108" t="str">
        <f>IF(H106="up",Ericsson!U109,"")</f>
        <v/>
      </c>
      <c r="E106" s="12" t="str">
        <f t="shared" si="3"/>
        <v/>
      </c>
      <c r="H106" s="12" t="str">
        <f>Ericsson!T109</f>
        <v/>
      </c>
      <c r="J106" s="7" t="str">
        <f t="shared" si="4"/>
        <v/>
      </c>
    </row>
    <row r="107" spans="1:10">
      <c r="A107" s="91" t="str">
        <f>IF(Ericsson!Q110="","",IF(H107="up",Ericsson!Q110,""))</f>
        <v/>
      </c>
      <c r="B107" s="15" t="str">
        <f>IF(Ericsson!R110="","",IF(H107="up",Ericsson!R110,""))</f>
        <v/>
      </c>
      <c r="C107" s="15" t="str">
        <f>IF(Ericsson!S110="","",IF(H107="up",Ericsson!S110,""))</f>
        <v/>
      </c>
      <c r="D107" s="108" t="str">
        <f>IF(H107="up",Ericsson!U110,"")</f>
        <v/>
      </c>
      <c r="E107" s="12" t="str">
        <f t="shared" si="3"/>
        <v/>
      </c>
      <c r="H107" s="12" t="str">
        <f>Ericsson!T110</f>
        <v/>
      </c>
      <c r="J107" s="7" t="str">
        <f t="shared" si="4"/>
        <v/>
      </c>
    </row>
    <row r="108" spans="1:10">
      <c r="A108" s="91" t="str">
        <f>IF(Ericsson!Q111="","",IF(H108="up",Ericsson!Q111,""))</f>
        <v/>
      </c>
      <c r="B108" s="15" t="str">
        <f>IF(Ericsson!R111="","",IF(H108="up",Ericsson!R111,""))</f>
        <v/>
      </c>
      <c r="C108" s="15" t="str">
        <f>IF(Ericsson!S111="","",IF(H108="up",Ericsson!S111,""))</f>
        <v/>
      </c>
      <c r="D108" s="108" t="str">
        <f>IF(H108="up",Ericsson!U111,"")</f>
        <v/>
      </c>
      <c r="E108" s="12" t="str">
        <f t="shared" si="3"/>
        <v/>
      </c>
      <c r="H108" s="12" t="str">
        <f>Ericsson!T111</f>
        <v/>
      </c>
      <c r="J108" s="7" t="str">
        <f t="shared" si="4"/>
        <v/>
      </c>
    </row>
    <row r="109" spans="1:10">
      <c r="A109" s="91" t="str">
        <f>IF(Ericsson!Q112="","",IF(H109="up",Ericsson!Q112,""))</f>
        <v/>
      </c>
      <c r="B109" s="15" t="str">
        <f>IF(Ericsson!R112="","",IF(H109="up",Ericsson!R112,""))</f>
        <v/>
      </c>
      <c r="C109" s="15" t="str">
        <f>IF(Ericsson!S112="","",IF(H109="up",Ericsson!S112,""))</f>
        <v/>
      </c>
      <c r="D109" s="108" t="str">
        <f>IF(H109="up",Ericsson!U112,"")</f>
        <v/>
      </c>
      <c r="E109" s="12" t="str">
        <f t="shared" si="3"/>
        <v/>
      </c>
      <c r="H109" s="12" t="str">
        <f>Ericsson!T112</f>
        <v/>
      </c>
      <c r="J109" s="7" t="str">
        <f t="shared" si="4"/>
        <v/>
      </c>
    </row>
    <row r="110" spans="1:10">
      <c r="A110" s="91" t="str">
        <f>IF(Ericsson!Q113="","",IF(H110="up",Ericsson!Q113,""))</f>
        <v/>
      </c>
      <c r="B110" s="15" t="str">
        <f>IF(Ericsson!R113="","",IF(H110="up",Ericsson!R113,""))</f>
        <v/>
      </c>
      <c r="C110" s="15" t="str">
        <f>IF(Ericsson!S113="","",IF(H110="up",Ericsson!S113,""))</f>
        <v/>
      </c>
      <c r="D110" s="108" t="str">
        <f>IF(H110="up",Ericsson!U113,"")</f>
        <v/>
      </c>
      <c r="E110" s="12" t="str">
        <f t="shared" si="3"/>
        <v/>
      </c>
      <c r="H110" s="12" t="str">
        <f>Ericsson!T113</f>
        <v/>
      </c>
      <c r="J110" s="7" t="str">
        <f t="shared" si="4"/>
        <v/>
      </c>
    </row>
    <row r="111" spans="1:10">
      <c r="A111" s="91" t="str">
        <f>IF(Ericsson!Q114="","",IF(H111="up",Ericsson!Q114,""))</f>
        <v/>
      </c>
      <c r="B111" s="15" t="str">
        <f>IF(Ericsson!R114="","",IF(H111="up",Ericsson!R114,""))</f>
        <v/>
      </c>
      <c r="C111" s="15" t="str">
        <f>IF(Ericsson!S114="","",IF(H111="up",Ericsson!S114,""))</f>
        <v/>
      </c>
      <c r="D111" s="108" t="str">
        <f>IF(H111="up",Ericsson!U114,"")</f>
        <v/>
      </c>
      <c r="E111" s="12" t="str">
        <f t="shared" si="3"/>
        <v/>
      </c>
      <c r="H111" s="12" t="str">
        <f>Ericsson!T114</f>
        <v/>
      </c>
      <c r="J111" s="7" t="str">
        <f t="shared" si="4"/>
        <v/>
      </c>
    </row>
    <row r="112" spans="1:10">
      <c r="A112" s="91" t="str">
        <f>IF(Ericsson!Q115="","",IF(H112="up",Ericsson!Q115,""))</f>
        <v/>
      </c>
      <c r="B112" s="15" t="str">
        <f>IF(Ericsson!R115="","",IF(H112="up",Ericsson!R115,""))</f>
        <v/>
      </c>
      <c r="C112" s="15" t="str">
        <f>IF(Ericsson!S115="","",IF(H112="up",Ericsson!S115,""))</f>
        <v/>
      </c>
      <c r="D112" s="108" t="str">
        <f>IF(H112="up",Ericsson!U115,"")</f>
        <v/>
      </c>
      <c r="E112" s="12" t="str">
        <f t="shared" si="3"/>
        <v/>
      </c>
      <c r="H112" s="12" t="str">
        <f>Ericsson!T115</f>
        <v/>
      </c>
      <c r="J112" s="7" t="str">
        <f t="shared" si="4"/>
        <v/>
      </c>
    </row>
    <row r="113" spans="1:10">
      <c r="A113" s="91" t="str">
        <f>IF(Ericsson!Q116="","",IF(H113="up",Ericsson!Q116,""))</f>
        <v/>
      </c>
      <c r="B113" s="15" t="str">
        <f>IF(Ericsson!R116="","",IF(H113="up",Ericsson!R116,""))</f>
        <v/>
      </c>
      <c r="C113" s="15" t="str">
        <f>IF(Ericsson!S116="","",IF(H113="up",Ericsson!S116,""))</f>
        <v/>
      </c>
      <c r="D113" s="108" t="str">
        <f>IF(H113="up",Ericsson!U116,"")</f>
        <v/>
      </c>
      <c r="E113" s="12" t="str">
        <f t="shared" si="3"/>
        <v/>
      </c>
      <c r="H113" s="12" t="str">
        <f>Ericsson!T116</f>
        <v/>
      </c>
      <c r="J113" s="7" t="str">
        <f t="shared" si="4"/>
        <v/>
      </c>
    </row>
    <row r="114" spans="1:10">
      <c r="A114" s="91" t="str">
        <f>IF(Ericsson!Q117="","",IF(H114="up",Ericsson!Q117,""))</f>
        <v/>
      </c>
      <c r="B114" s="15" t="str">
        <f>IF(Ericsson!R117="","",IF(H114="up",Ericsson!R117,""))</f>
        <v/>
      </c>
      <c r="C114" s="15" t="str">
        <f>IF(Ericsson!S117="","",IF(H114="up",Ericsson!S117,""))</f>
        <v/>
      </c>
      <c r="D114" s="108" t="str">
        <f>IF(H114="up",Ericsson!U117,"")</f>
        <v/>
      </c>
      <c r="E114" s="12" t="str">
        <f t="shared" si="3"/>
        <v/>
      </c>
      <c r="H114" s="12" t="str">
        <f>Ericsson!T117</f>
        <v/>
      </c>
      <c r="J114" s="7" t="str">
        <f t="shared" si="4"/>
        <v/>
      </c>
    </row>
    <row r="115" spans="1:10">
      <c r="A115" s="91" t="str">
        <f>IF(Ericsson!Q118="","",IF(H115="up",Ericsson!Q118,""))</f>
        <v/>
      </c>
      <c r="B115" s="15" t="str">
        <f>IF(Ericsson!R118="","",IF(H115="up",Ericsson!R118,""))</f>
        <v/>
      </c>
      <c r="C115" s="15" t="str">
        <f>IF(Ericsson!S118="","",IF(H115="up",Ericsson!S118,""))</f>
        <v/>
      </c>
      <c r="D115" s="108" t="str">
        <f>IF(H115="up",Ericsson!U118,"")</f>
        <v/>
      </c>
      <c r="E115" s="12" t="str">
        <f t="shared" si="3"/>
        <v/>
      </c>
      <c r="H115" s="12" t="str">
        <f>Ericsson!T118</f>
        <v/>
      </c>
      <c r="J115" s="7" t="str">
        <f t="shared" si="4"/>
        <v/>
      </c>
    </row>
    <row r="116" spans="1:10">
      <c r="A116" s="91" t="str">
        <f>IF(Ericsson!Q119="","",IF(H116="up",Ericsson!Q119,""))</f>
        <v/>
      </c>
      <c r="B116" s="15" t="str">
        <f>IF(Ericsson!R119="","",IF(H116="up",Ericsson!R119,""))</f>
        <v/>
      </c>
      <c r="C116" s="15" t="str">
        <f>IF(Ericsson!S119="","",IF(H116="up",Ericsson!S119,""))</f>
        <v/>
      </c>
      <c r="D116" s="108" t="str">
        <f>IF(H116="up",Ericsson!U119,"")</f>
        <v/>
      </c>
      <c r="E116" s="12" t="str">
        <f t="shared" si="3"/>
        <v/>
      </c>
      <c r="H116" s="12" t="str">
        <f>Ericsson!T119</f>
        <v/>
      </c>
      <c r="J116" s="7" t="str">
        <f t="shared" si="4"/>
        <v/>
      </c>
    </row>
    <row r="117" spans="1:10">
      <c r="A117" s="91" t="str">
        <f>IF(Ericsson!Q120="","",IF(H117="up",Ericsson!Q120,""))</f>
        <v/>
      </c>
      <c r="B117" s="15" t="str">
        <f>IF(Ericsson!R120="","",IF(H117="up",Ericsson!R120,""))</f>
        <v/>
      </c>
      <c r="C117" s="15" t="str">
        <f>IF(Ericsson!S120="","",IF(H117="up",Ericsson!S120,""))</f>
        <v/>
      </c>
      <c r="D117" s="108" t="str">
        <f>IF(H117="up",Ericsson!U120,"")</f>
        <v/>
      </c>
      <c r="E117" s="12" t="str">
        <f t="shared" si="3"/>
        <v/>
      </c>
      <c r="H117" s="12" t="str">
        <f>Ericsson!T120</f>
        <v/>
      </c>
      <c r="J117" s="7" t="str">
        <f t="shared" si="4"/>
        <v/>
      </c>
    </row>
    <row r="118" spans="1:10">
      <c r="A118" s="91" t="str">
        <f>IF(Ericsson!Q121="","",IF(H118="up",Ericsson!Q121,""))</f>
        <v/>
      </c>
      <c r="B118" s="15" t="str">
        <f>IF(Ericsson!R121="","",IF(H118="up",Ericsson!R121,""))</f>
        <v/>
      </c>
      <c r="C118" s="15" t="str">
        <f>IF(Ericsson!S121="","",IF(H118="up",Ericsson!S121,""))</f>
        <v/>
      </c>
      <c r="D118" s="108" t="str">
        <f>IF(H118="up",Ericsson!U121,"")</f>
        <v/>
      </c>
      <c r="E118" s="12" t="str">
        <f t="shared" si="3"/>
        <v/>
      </c>
      <c r="H118" s="12" t="str">
        <f>Ericsson!T121</f>
        <v/>
      </c>
      <c r="J118" s="7" t="str">
        <f t="shared" si="4"/>
        <v/>
      </c>
    </row>
    <row r="119" spans="1:10">
      <c r="A119" s="91" t="str">
        <f>IF(Ericsson!Q122="","",IF(H119="up",Ericsson!Q122,""))</f>
        <v/>
      </c>
      <c r="B119" s="15" t="str">
        <f>IF(Ericsson!R122="","",IF(H119="up",Ericsson!R122,""))</f>
        <v/>
      </c>
      <c r="C119" s="15" t="str">
        <f>IF(Ericsson!S122="","",IF(H119="up",Ericsson!S122,""))</f>
        <v/>
      </c>
      <c r="D119" s="108" t="str">
        <f>IF(H119="up",Ericsson!U122,"")</f>
        <v/>
      </c>
      <c r="E119" s="12" t="str">
        <f t="shared" si="3"/>
        <v/>
      </c>
      <c r="H119" s="12" t="str">
        <f>Ericsson!T122</f>
        <v/>
      </c>
      <c r="J119" s="7" t="str">
        <f t="shared" si="4"/>
        <v/>
      </c>
    </row>
    <row r="120" spans="1:10">
      <c r="A120" s="91" t="str">
        <f>IF(Ericsson!Q123="","",IF(H120="up",Ericsson!Q123,""))</f>
        <v/>
      </c>
      <c r="B120" s="15" t="str">
        <f>IF(Ericsson!R123="","",IF(H120="up",Ericsson!R123,""))</f>
        <v/>
      </c>
      <c r="C120" s="15" t="str">
        <f>IF(Ericsson!S123="","",IF(H120="up",Ericsson!S123,""))</f>
        <v/>
      </c>
      <c r="D120" s="108" t="str">
        <f>IF(H120="up",Ericsson!U123,"")</f>
        <v/>
      </c>
      <c r="E120" s="12" t="str">
        <f t="shared" si="3"/>
        <v/>
      </c>
      <c r="H120" s="12" t="str">
        <f>Ericsson!T123</f>
        <v/>
      </c>
      <c r="J120" s="7" t="str">
        <f t="shared" si="4"/>
        <v/>
      </c>
    </row>
    <row r="121" spans="1:10">
      <c r="A121" s="91" t="str">
        <f>IF(Ericsson!Q124="","",IF(H121="up",Ericsson!Q124,""))</f>
        <v/>
      </c>
      <c r="B121" s="15" t="str">
        <f>IF(Ericsson!R124="","",IF(H121="up",Ericsson!R124,""))</f>
        <v/>
      </c>
      <c r="C121" s="15" t="str">
        <f>IF(Ericsson!S124="","",IF(H121="up",Ericsson!S124,""))</f>
        <v/>
      </c>
      <c r="D121" s="108" t="str">
        <f>IF(H121="up",Ericsson!U124,"")</f>
        <v/>
      </c>
      <c r="E121" s="12" t="str">
        <f t="shared" si="3"/>
        <v/>
      </c>
      <c r="H121" s="12" t="str">
        <f>Ericsson!T124</f>
        <v/>
      </c>
      <c r="J121" s="7" t="str">
        <f t="shared" si="4"/>
        <v/>
      </c>
    </row>
    <row r="122" spans="1:10">
      <c r="A122" s="91" t="str">
        <f>IF(Ericsson!Q125="","",IF(H122="up",Ericsson!Q125,""))</f>
        <v/>
      </c>
      <c r="B122" s="15" t="str">
        <f>IF(Ericsson!R125="","",IF(H122="up",Ericsson!R125,""))</f>
        <v/>
      </c>
      <c r="C122" s="15" t="str">
        <f>IF(Ericsson!S125="","",IF(H122="up",Ericsson!S125,""))</f>
        <v/>
      </c>
      <c r="D122" s="108" t="str">
        <f>IF(H122="up",Ericsson!U125,"")</f>
        <v/>
      </c>
      <c r="E122" s="12" t="str">
        <f t="shared" si="3"/>
        <v/>
      </c>
      <c r="H122" s="12" t="str">
        <f>Ericsson!T125</f>
        <v/>
      </c>
      <c r="J122" s="7" t="str">
        <f t="shared" si="4"/>
        <v/>
      </c>
    </row>
    <row r="123" spans="1:10">
      <c r="A123" s="91" t="str">
        <f>IF(Ericsson!Q126="","",IF(H123="up",Ericsson!Q126,""))</f>
        <v/>
      </c>
      <c r="B123" s="15" t="str">
        <f>IF(Ericsson!R126="","",IF(H123="up",Ericsson!R126,""))</f>
        <v/>
      </c>
      <c r="C123" s="15" t="str">
        <f>IF(Ericsson!S126="","",IF(H123="up",Ericsson!S126,""))</f>
        <v/>
      </c>
      <c r="D123" s="108" t="str">
        <f>IF(H123="up",Ericsson!U126,"")</f>
        <v/>
      </c>
      <c r="E123" s="12" t="str">
        <f t="shared" si="3"/>
        <v/>
      </c>
      <c r="H123" s="12" t="str">
        <f>Ericsson!T126</f>
        <v/>
      </c>
      <c r="J123" s="7" t="str">
        <f t="shared" si="4"/>
        <v/>
      </c>
    </row>
    <row r="124" spans="1:10">
      <c r="A124" s="91" t="str">
        <f>IF(Ericsson!Q127="","",IF(H124="up",Ericsson!Q127,""))</f>
        <v/>
      </c>
      <c r="B124" s="15" t="str">
        <f>IF(Ericsson!R127="","",IF(H124="up",Ericsson!R127,""))</f>
        <v/>
      </c>
      <c r="C124" s="15" t="str">
        <f>IF(Ericsson!S127="","",IF(H124="up",Ericsson!S127,""))</f>
        <v/>
      </c>
      <c r="D124" s="108" t="str">
        <f>IF(H124="up",Ericsson!U127,"")</f>
        <v/>
      </c>
      <c r="E124" s="12" t="str">
        <f t="shared" si="3"/>
        <v/>
      </c>
      <c r="H124" s="12" t="str">
        <f>Ericsson!T127</f>
        <v/>
      </c>
      <c r="J124" s="7" t="str">
        <f t="shared" si="4"/>
        <v/>
      </c>
    </row>
    <row r="125" spans="1:10">
      <c r="A125" s="91" t="str">
        <f>IF(Ericsson!Q128="","",IF(H125="up",Ericsson!Q128,""))</f>
        <v/>
      </c>
      <c r="B125" s="15" t="str">
        <f>IF(Ericsson!R128="","",IF(H125="up",Ericsson!R128,""))</f>
        <v/>
      </c>
      <c r="C125" s="15" t="str">
        <f>IF(Ericsson!S128="","",IF(H125="up",Ericsson!S128,""))</f>
        <v/>
      </c>
      <c r="D125" s="108" t="str">
        <f>IF(H125="up",Ericsson!U128,"")</f>
        <v/>
      </c>
      <c r="E125" s="12" t="str">
        <f t="shared" si="3"/>
        <v/>
      </c>
      <c r="H125" s="12" t="str">
        <f>Ericsson!T128</f>
        <v/>
      </c>
      <c r="J125" s="7" t="str">
        <f t="shared" si="4"/>
        <v/>
      </c>
    </row>
    <row r="126" spans="1:10">
      <c r="A126" s="91" t="str">
        <f>IF(Ericsson!Q129="","",IF(H126="up",Ericsson!Q129,""))</f>
        <v/>
      </c>
      <c r="B126" s="15" t="str">
        <f>IF(Ericsson!R129="","",IF(H126="up",Ericsson!R129,""))</f>
        <v/>
      </c>
      <c r="C126" s="15" t="str">
        <f>IF(Ericsson!S129="","",IF(H126="up",Ericsson!S129,""))</f>
        <v/>
      </c>
      <c r="D126" s="108" t="str">
        <f>IF(H126="up",Ericsson!U129,"")</f>
        <v/>
      </c>
      <c r="E126" s="12" t="str">
        <f t="shared" si="3"/>
        <v/>
      </c>
      <c r="H126" s="12" t="str">
        <f>Ericsson!T129</f>
        <v/>
      </c>
      <c r="J126" s="7" t="str">
        <f t="shared" si="4"/>
        <v/>
      </c>
    </row>
    <row r="127" spans="1:10">
      <c r="A127" s="91" t="str">
        <f>IF(Ericsson!Q130="","",IF(H127="up",Ericsson!Q130,""))</f>
        <v/>
      </c>
      <c r="B127" s="15" t="str">
        <f>IF(Ericsson!R130="","",IF(H127="up",Ericsson!R130,""))</f>
        <v/>
      </c>
      <c r="C127" s="15" t="str">
        <f>IF(Ericsson!S130="","",IF(H127="up",Ericsson!S130,""))</f>
        <v/>
      </c>
      <c r="D127" s="108" t="str">
        <f>IF(H127="up",Ericsson!U130,"")</f>
        <v/>
      </c>
      <c r="E127" s="12" t="str">
        <f t="shared" si="3"/>
        <v/>
      </c>
      <c r="H127" s="12" t="str">
        <f>Ericsson!T130</f>
        <v/>
      </c>
      <c r="J127" s="7" t="str">
        <f t="shared" si="4"/>
        <v/>
      </c>
    </row>
    <row r="128" spans="1:10">
      <c r="A128" s="91" t="str">
        <f>IF(Ericsson!Q131="","",IF(H128="up",Ericsson!Q131,""))</f>
        <v/>
      </c>
      <c r="B128" s="15" t="str">
        <f>IF(Ericsson!R131="","",IF(H128="up",Ericsson!R131,""))</f>
        <v/>
      </c>
      <c r="C128" s="15" t="str">
        <f>IF(Ericsson!S131="","",IF(H128="up",Ericsson!S131,""))</f>
        <v/>
      </c>
      <c r="D128" s="108" t="str">
        <f>IF(H128="up",Ericsson!U131,"")</f>
        <v/>
      </c>
      <c r="E128" s="12" t="str">
        <f t="shared" si="3"/>
        <v/>
      </c>
      <c r="H128" s="12" t="str">
        <f>Ericsson!T131</f>
        <v/>
      </c>
      <c r="J128" s="7" t="str">
        <f t="shared" si="4"/>
        <v/>
      </c>
    </row>
    <row r="129" spans="1:10">
      <c r="A129" s="91" t="str">
        <f>IF(Ericsson!Q132="","",IF(H129="up",Ericsson!Q132,""))</f>
        <v/>
      </c>
      <c r="B129" s="15" t="str">
        <f>IF(Ericsson!R132="","",IF(H129="up",Ericsson!R132,""))</f>
        <v/>
      </c>
      <c r="C129" s="15" t="str">
        <f>IF(Ericsson!S132="","",IF(H129="up",Ericsson!S132,""))</f>
        <v/>
      </c>
      <c r="D129" s="108" t="str">
        <f>IF(H129="up",Ericsson!U132,"")</f>
        <v/>
      </c>
      <c r="E129" s="12" t="str">
        <f t="shared" si="3"/>
        <v/>
      </c>
      <c r="H129" s="12" t="str">
        <f>Ericsson!T132</f>
        <v/>
      </c>
      <c r="J129" s="7" t="str">
        <f t="shared" si="4"/>
        <v/>
      </c>
    </row>
    <row r="130" spans="1:10">
      <c r="A130" s="91" t="str">
        <f>IF(Ericsson!Q133="","",IF(H130="up",Ericsson!Q133,""))</f>
        <v/>
      </c>
      <c r="B130" s="15" t="str">
        <f>IF(Ericsson!R133="","",IF(H130="up",Ericsson!R133,""))</f>
        <v/>
      </c>
      <c r="C130" s="15" t="str">
        <f>IF(Ericsson!S133="","",IF(H130="up",Ericsson!S133,""))</f>
        <v/>
      </c>
      <c r="D130" s="108" t="str">
        <f>IF(H130="up",Ericsson!U133,"")</f>
        <v/>
      </c>
      <c r="E130" s="12" t="str">
        <f t="shared" si="3"/>
        <v/>
      </c>
      <c r="H130" s="12" t="str">
        <f>Ericsson!T133</f>
        <v/>
      </c>
      <c r="J130" s="7" t="str">
        <f t="shared" si="4"/>
        <v/>
      </c>
    </row>
    <row r="131" spans="1:10">
      <c r="A131" s="91" t="str">
        <f>IF(Ericsson!Q134="","",IF(H131="up",Ericsson!Q134,""))</f>
        <v/>
      </c>
      <c r="B131" s="15" t="str">
        <f>IF(Ericsson!R134="","",IF(H131="up",Ericsson!R134,""))</f>
        <v/>
      </c>
      <c r="C131" s="15" t="str">
        <f>IF(Ericsson!S134="","",IF(H131="up",Ericsson!S134,""))</f>
        <v/>
      </c>
      <c r="D131" s="108" t="str">
        <f>IF(H131="up",Ericsson!U134,"")</f>
        <v/>
      </c>
      <c r="E131" s="12" t="str">
        <f t="shared" ref="E131:E194" si="5">IF(H131="Up","???","")</f>
        <v/>
      </c>
      <c r="H131" s="12" t="str">
        <f>Ericsson!T134</f>
        <v/>
      </c>
      <c r="J131" s="7" t="str">
        <f t="shared" ref="J131:J194" si="6">IF(H131="up",IF(D131="",0,1),"")</f>
        <v/>
      </c>
    </row>
    <row r="132" spans="1:10">
      <c r="A132" s="91" t="str">
        <f>IF(Ericsson!Q135="","",IF(H132="up",Ericsson!Q135,""))</f>
        <v/>
      </c>
      <c r="B132" s="15" t="str">
        <f>IF(Ericsson!R135="","",IF(H132="up",Ericsson!R135,""))</f>
        <v/>
      </c>
      <c r="C132" s="15" t="str">
        <f>IF(Ericsson!S135="","",IF(H132="up",Ericsson!S135,""))</f>
        <v/>
      </c>
      <c r="D132" s="108" t="str">
        <f>IF(H132="up",Ericsson!U135,"")</f>
        <v/>
      </c>
      <c r="E132" s="12" t="str">
        <f t="shared" si="5"/>
        <v/>
      </c>
      <c r="H132" s="12" t="str">
        <f>Ericsson!T135</f>
        <v/>
      </c>
      <c r="J132" s="7" t="str">
        <f t="shared" si="6"/>
        <v/>
      </c>
    </row>
    <row r="133" spans="1:10">
      <c r="A133" s="91" t="str">
        <f>IF(Ericsson!Q136="","",IF(H133="up",Ericsson!Q136,""))</f>
        <v/>
      </c>
      <c r="B133" s="15" t="str">
        <f>IF(Ericsson!R136="","",IF(H133="up",Ericsson!R136,""))</f>
        <v/>
      </c>
      <c r="C133" s="15" t="str">
        <f>IF(Ericsson!S136="","",IF(H133="up",Ericsson!S136,""))</f>
        <v/>
      </c>
      <c r="D133" s="108" t="str">
        <f>IF(H133="up",Ericsson!U136,"")</f>
        <v/>
      </c>
      <c r="E133" s="12" t="str">
        <f t="shared" si="5"/>
        <v/>
      </c>
      <c r="H133" s="12" t="str">
        <f>Ericsson!T136</f>
        <v/>
      </c>
      <c r="J133" s="7" t="str">
        <f t="shared" si="6"/>
        <v/>
      </c>
    </row>
    <row r="134" spans="1:10">
      <c r="A134" s="91" t="str">
        <f>IF(Ericsson!Q137="","",IF(H134="up",Ericsson!Q137,""))</f>
        <v/>
      </c>
      <c r="B134" s="15" t="str">
        <f>IF(Ericsson!R137="","",IF(H134="up",Ericsson!R137,""))</f>
        <v/>
      </c>
      <c r="C134" s="15" t="str">
        <f>IF(Ericsson!S137="","",IF(H134="up",Ericsson!S137,""))</f>
        <v/>
      </c>
      <c r="D134" s="108" t="str">
        <f>IF(H134="up",Ericsson!U137,"")</f>
        <v/>
      </c>
      <c r="E134" s="12" t="str">
        <f t="shared" si="5"/>
        <v/>
      </c>
      <c r="H134" s="12" t="str">
        <f>Ericsson!T137</f>
        <v/>
      </c>
      <c r="J134" s="7" t="str">
        <f t="shared" si="6"/>
        <v/>
      </c>
    </row>
    <row r="135" spans="1:10">
      <c r="A135" s="91" t="str">
        <f>IF(Ericsson!Q138="","",IF(H135="up",Ericsson!Q138,""))</f>
        <v/>
      </c>
      <c r="B135" s="15" t="str">
        <f>IF(Ericsson!R138="","",IF(H135="up",Ericsson!R138,""))</f>
        <v/>
      </c>
      <c r="C135" s="15" t="str">
        <f>IF(Ericsson!S138="","",IF(H135="up",Ericsson!S138,""))</f>
        <v/>
      </c>
      <c r="D135" s="108" t="str">
        <f>IF(H135="up",Ericsson!U138,"")</f>
        <v/>
      </c>
      <c r="E135" s="12" t="str">
        <f t="shared" si="5"/>
        <v/>
      </c>
      <c r="H135" s="12" t="str">
        <f>Ericsson!T138</f>
        <v/>
      </c>
      <c r="J135" s="7" t="str">
        <f t="shared" si="6"/>
        <v/>
      </c>
    </row>
    <row r="136" spans="1:10">
      <c r="A136" s="91" t="str">
        <f>IF(Ericsson!Q139="","",IF(H136="up",Ericsson!Q139,""))</f>
        <v/>
      </c>
      <c r="B136" s="15" t="str">
        <f>IF(Ericsson!R139="","",IF(H136="up",Ericsson!R139,""))</f>
        <v/>
      </c>
      <c r="C136" s="15" t="str">
        <f>IF(Ericsson!S139="","",IF(H136="up",Ericsson!S139,""))</f>
        <v/>
      </c>
      <c r="D136" s="108" t="str">
        <f>IF(H136="up",Ericsson!U139,"")</f>
        <v/>
      </c>
      <c r="E136" s="12" t="str">
        <f t="shared" si="5"/>
        <v/>
      </c>
      <c r="H136" s="12" t="str">
        <f>Ericsson!T139</f>
        <v/>
      </c>
      <c r="J136" s="7" t="str">
        <f t="shared" si="6"/>
        <v/>
      </c>
    </row>
    <row r="137" spans="1:10">
      <c r="A137" s="91" t="str">
        <f>IF(Ericsson!Q140="","",IF(H137="up",Ericsson!Q140,""))</f>
        <v/>
      </c>
      <c r="B137" s="15" t="str">
        <f>IF(Ericsson!R140="","",IF(H137="up",Ericsson!R140,""))</f>
        <v/>
      </c>
      <c r="C137" s="15" t="str">
        <f>IF(Ericsson!S140="","",IF(H137="up",Ericsson!S140,""))</f>
        <v/>
      </c>
      <c r="D137" s="108" t="str">
        <f>IF(H137="up",Ericsson!U140,"")</f>
        <v/>
      </c>
      <c r="E137" s="12" t="str">
        <f t="shared" si="5"/>
        <v/>
      </c>
      <c r="H137" s="12" t="str">
        <f>Ericsson!T140</f>
        <v/>
      </c>
      <c r="J137" s="7" t="str">
        <f t="shared" si="6"/>
        <v/>
      </c>
    </row>
    <row r="138" spans="1:10">
      <c r="A138" s="91" t="str">
        <f>IF(Ericsson!Q141="","",IF(H138="up",Ericsson!Q141,""))</f>
        <v/>
      </c>
      <c r="B138" s="15" t="str">
        <f>IF(Ericsson!R141="","",IF(H138="up",Ericsson!R141,""))</f>
        <v/>
      </c>
      <c r="C138" s="15" t="str">
        <f>IF(Ericsson!S141="","",IF(H138="up",Ericsson!S141,""))</f>
        <v/>
      </c>
      <c r="D138" s="108" t="str">
        <f>IF(H138="up",Ericsson!U141,"")</f>
        <v/>
      </c>
      <c r="E138" s="12" t="str">
        <f t="shared" si="5"/>
        <v/>
      </c>
      <c r="H138" s="12" t="str">
        <f>Ericsson!T141</f>
        <v/>
      </c>
      <c r="J138" s="7" t="str">
        <f t="shared" si="6"/>
        <v/>
      </c>
    </row>
    <row r="139" spans="1:10">
      <c r="A139" s="91" t="str">
        <f>IF(Ericsson!Q142="","",IF(H139="up",Ericsson!Q142,""))</f>
        <v/>
      </c>
      <c r="B139" s="15" t="str">
        <f>IF(Ericsson!R142="","",IF(H139="up",Ericsson!R142,""))</f>
        <v/>
      </c>
      <c r="C139" s="15" t="str">
        <f>IF(Ericsson!S142="","",IF(H139="up",Ericsson!S142,""))</f>
        <v/>
      </c>
      <c r="D139" s="108" t="str">
        <f>IF(H139="up",Ericsson!U142,"")</f>
        <v/>
      </c>
      <c r="E139" s="12" t="str">
        <f t="shared" si="5"/>
        <v/>
      </c>
      <c r="H139" s="12" t="str">
        <f>Ericsson!T142</f>
        <v/>
      </c>
      <c r="J139" s="7" t="str">
        <f t="shared" si="6"/>
        <v/>
      </c>
    </row>
    <row r="140" spans="1:10">
      <c r="A140" s="91" t="str">
        <f>IF(Ericsson!Q143="","",IF(H140="up",Ericsson!Q143,""))</f>
        <v/>
      </c>
      <c r="B140" s="15" t="str">
        <f>IF(Ericsson!R143="","",IF(H140="up",Ericsson!R143,""))</f>
        <v/>
      </c>
      <c r="C140" s="15" t="str">
        <f>IF(Ericsson!S143="","",IF(H140="up",Ericsson!S143,""))</f>
        <v/>
      </c>
      <c r="D140" s="108" t="str">
        <f>IF(H140="up",Ericsson!U143,"")</f>
        <v/>
      </c>
      <c r="E140" s="12" t="str">
        <f t="shared" si="5"/>
        <v/>
      </c>
      <c r="H140" s="12" t="str">
        <f>Ericsson!T143</f>
        <v/>
      </c>
      <c r="J140" s="7" t="str">
        <f t="shared" si="6"/>
        <v/>
      </c>
    </row>
    <row r="141" spans="1:10">
      <c r="A141" s="91" t="str">
        <f>IF(Ericsson!Q144="","",IF(H141="up",Ericsson!Q144,""))</f>
        <v/>
      </c>
      <c r="B141" s="15" t="str">
        <f>IF(Ericsson!R144="","",IF(H141="up",Ericsson!R144,""))</f>
        <v/>
      </c>
      <c r="C141" s="15" t="str">
        <f>IF(Ericsson!S144="","",IF(H141="up",Ericsson!S144,""))</f>
        <v/>
      </c>
      <c r="D141" s="108" t="str">
        <f>IF(H141="up",Ericsson!U144,"")</f>
        <v/>
      </c>
      <c r="E141" s="12" t="str">
        <f t="shared" si="5"/>
        <v/>
      </c>
      <c r="H141" s="12" t="str">
        <f>Ericsson!T144</f>
        <v/>
      </c>
      <c r="J141" s="7" t="str">
        <f t="shared" si="6"/>
        <v/>
      </c>
    </row>
    <row r="142" spans="1:10">
      <c r="A142" s="91" t="str">
        <f>IF(Ericsson!Q145="","",IF(H142="up",Ericsson!Q145,""))</f>
        <v/>
      </c>
      <c r="B142" s="15" t="str">
        <f>IF(Ericsson!R145="","",IF(H142="up",Ericsson!R145,""))</f>
        <v/>
      </c>
      <c r="C142" s="15" t="str">
        <f>IF(Ericsson!S145="","",IF(H142="up",Ericsson!S145,""))</f>
        <v/>
      </c>
      <c r="D142" s="108" t="str">
        <f>IF(H142="up",Ericsson!U145,"")</f>
        <v/>
      </c>
      <c r="E142" s="12" t="str">
        <f t="shared" si="5"/>
        <v/>
      </c>
      <c r="H142" s="12" t="str">
        <f>Ericsson!T145</f>
        <v/>
      </c>
      <c r="J142" s="7" t="str">
        <f t="shared" si="6"/>
        <v/>
      </c>
    </row>
    <row r="143" spans="1:10">
      <c r="A143" s="91" t="str">
        <f>IF(Ericsson!Q146="","",IF(H143="up",Ericsson!Q146,""))</f>
        <v/>
      </c>
      <c r="B143" s="15" t="str">
        <f>IF(Ericsson!R146="","",IF(H143="up",Ericsson!R146,""))</f>
        <v/>
      </c>
      <c r="C143" s="15" t="str">
        <f>IF(Ericsson!S146="","",IF(H143="up",Ericsson!S146,""))</f>
        <v/>
      </c>
      <c r="D143" s="108" t="str">
        <f>IF(H143="up",Ericsson!U146,"")</f>
        <v/>
      </c>
      <c r="E143" s="12" t="str">
        <f t="shared" si="5"/>
        <v/>
      </c>
      <c r="H143" s="12" t="str">
        <f>Ericsson!T146</f>
        <v/>
      </c>
      <c r="J143" s="7" t="str">
        <f t="shared" si="6"/>
        <v/>
      </c>
    </row>
    <row r="144" spans="1:10">
      <c r="A144" s="91" t="str">
        <f>IF(Ericsson!Q147="","",IF(H144="up",Ericsson!Q147,""))</f>
        <v/>
      </c>
      <c r="B144" s="15" t="str">
        <f>IF(Ericsson!R147="","",IF(H144="up",Ericsson!R147,""))</f>
        <v/>
      </c>
      <c r="C144" s="15" t="str">
        <f>IF(Ericsson!S147="","",IF(H144="up",Ericsson!S147,""))</f>
        <v/>
      </c>
      <c r="D144" s="108" t="str">
        <f>IF(H144="up",Ericsson!U147,"")</f>
        <v/>
      </c>
      <c r="E144" s="12" t="str">
        <f t="shared" si="5"/>
        <v/>
      </c>
      <c r="H144" s="12" t="str">
        <f>Ericsson!T147</f>
        <v/>
      </c>
      <c r="J144" s="7" t="str">
        <f t="shared" si="6"/>
        <v/>
      </c>
    </row>
    <row r="145" spans="1:10">
      <c r="A145" s="91" t="str">
        <f>IF(Ericsson!Q148="","",IF(H145="up",Ericsson!Q148,""))</f>
        <v/>
      </c>
      <c r="B145" s="15" t="str">
        <f>IF(Ericsson!R148="","",IF(H145="up",Ericsson!R148,""))</f>
        <v/>
      </c>
      <c r="C145" s="15" t="str">
        <f>IF(Ericsson!S148="","",IF(H145="up",Ericsson!S148,""))</f>
        <v/>
      </c>
      <c r="D145" s="108" t="str">
        <f>IF(H145="up",Ericsson!U148,"")</f>
        <v/>
      </c>
      <c r="E145" s="12" t="str">
        <f t="shared" si="5"/>
        <v/>
      </c>
      <c r="H145" s="12" t="str">
        <f>Ericsson!T148</f>
        <v/>
      </c>
      <c r="J145" s="7" t="str">
        <f t="shared" si="6"/>
        <v/>
      </c>
    </row>
    <row r="146" spans="1:10">
      <c r="A146" s="91" t="str">
        <f>IF(Ericsson!Q149="","",IF(H146="up",Ericsson!Q149,""))</f>
        <v/>
      </c>
      <c r="B146" s="15" t="str">
        <f>IF(Ericsson!R149="","",IF(H146="up",Ericsson!R149,""))</f>
        <v/>
      </c>
      <c r="C146" s="15" t="str">
        <f>IF(Ericsson!S149="","",IF(H146="up",Ericsson!S149,""))</f>
        <v/>
      </c>
      <c r="D146" s="108" t="str">
        <f>IF(H146="up",Ericsson!U149,"")</f>
        <v/>
      </c>
      <c r="E146" s="12" t="str">
        <f t="shared" si="5"/>
        <v/>
      </c>
      <c r="H146" s="12" t="str">
        <f>Ericsson!T149</f>
        <v/>
      </c>
      <c r="J146" s="7" t="str">
        <f t="shared" si="6"/>
        <v/>
      </c>
    </row>
    <row r="147" spans="1:10">
      <c r="A147" s="91" t="str">
        <f>IF(Ericsson!Q150="","",IF(H147="up",Ericsson!Q150,""))</f>
        <v/>
      </c>
      <c r="B147" s="15" t="str">
        <f>IF(Ericsson!R150="","",IF(H147="up",Ericsson!R150,""))</f>
        <v/>
      </c>
      <c r="C147" s="15" t="str">
        <f>IF(Ericsson!S150="","",IF(H147="up",Ericsson!S150,""))</f>
        <v/>
      </c>
      <c r="D147" s="108" t="str">
        <f>IF(H147="up",Ericsson!U150,"")</f>
        <v/>
      </c>
      <c r="E147" s="12" t="str">
        <f t="shared" si="5"/>
        <v/>
      </c>
      <c r="H147" s="12" t="str">
        <f>Ericsson!T150</f>
        <v/>
      </c>
      <c r="J147" s="7" t="str">
        <f t="shared" si="6"/>
        <v/>
      </c>
    </row>
    <row r="148" spans="1:10">
      <c r="A148" s="91" t="str">
        <f>IF(Ericsson!Q151="","",IF(H148="up",Ericsson!Q151,""))</f>
        <v/>
      </c>
      <c r="B148" s="15" t="str">
        <f>IF(Ericsson!R151="","",IF(H148="up",Ericsson!R151,""))</f>
        <v/>
      </c>
      <c r="C148" s="15" t="str">
        <f>IF(Ericsson!S151="","",IF(H148="up",Ericsson!S151,""))</f>
        <v/>
      </c>
      <c r="D148" s="108" t="str">
        <f>IF(H148="up",Ericsson!U151,"")</f>
        <v/>
      </c>
      <c r="E148" s="12" t="str">
        <f t="shared" si="5"/>
        <v/>
      </c>
      <c r="H148" s="12" t="str">
        <f>Ericsson!T151</f>
        <v/>
      </c>
      <c r="J148" s="7" t="str">
        <f t="shared" si="6"/>
        <v/>
      </c>
    </row>
    <row r="149" spans="1:10">
      <c r="A149" s="91" t="str">
        <f>IF(Ericsson!Q152="","",IF(H149="up",Ericsson!Q152,""))</f>
        <v/>
      </c>
      <c r="B149" s="15" t="str">
        <f>IF(Ericsson!R152="","",IF(H149="up",Ericsson!R152,""))</f>
        <v/>
      </c>
      <c r="C149" s="15" t="str">
        <f>IF(Ericsson!S152="","",IF(H149="up",Ericsson!S152,""))</f>
        <v/>
      </c>
      <c r="D149" s="108" t="str">
        <f>IF(H149="up",Ericsson!U152,"")</f>
        <v/>
      </c>
      <c r="E149" s="12" t="str">
        <f t="shared" si="5"/>
        <v/>
      </c>
      <c r="H149" s="12" t="str">
        <f>Ericsson!T152</f>
        <v/>
      </c>
      <c r="J149" s="7" t="str">
        <f t="shared" si="6"/>
        <v/>
      </c>
    </row>
    <row r="150" spans="1:10">
      <c r="A150" s="91" t="str">
        <f>IF(Ericsson!Q153="","",IF(H150="up",Ericsson!Q153,""))</f>
        <v/>
      </c>
      <c r="B150" s="15" t="str">
        <f>IF(Ericsson!R153="","",IF(H150="up",Ericsson!R153,""))</f>
        <v/>
      </c>
      <c r="C150" s="15" t="str">
        <f>IF(Ericsson!S153="","",IF(H150="up",Ericsson!S153,""))</f>
        <v/>
      </c>
      <c r="D150" s="108" t="str">
        <f>IF(H150="up",Ericsson!U153,"")</f>
        <v/>
      </c>
      <c r="E150" s="12" t="str">
        <f t="shared" si="5"/>
        <v/>
      </c>
      <c r="H150" s="12" t="str">
        <f>Ericsson!T153</f>
        <v/>
      </c>
      <c r="J150" s="7" t="str">
        <f t="shared" si="6"/>
        <v/>
      </c>
    </row>
    <row r="151" spans="1:10">
      <c r="A151" s="91" t="str">
        <f>IF(Ericsson!Q154="","",IF(H151="up",Ericsson!Q154,""))</f>
        <v/>
      </c>
      <c r="B151" s="15" t="str">
        <f>IF(Ericsson!R154="","",IF(H151="up",Ericsson!R154,""))</f>
        <v/>
      </c>
      <c r="C151" s="15" t="str">
        <f>IF(Ericsson!S154="","",IF(H151="up",Ericsson!S154,""))</f>
        <v/>
      </c>
      <c r="D151" s="108" t="str">
        <f>IF(H151="up",Ericsson!U154,"")</f>
        <v/>
      </c>
      <c r="E151" s="12" t="str">
        <f t="shared" si="5"/>
        <v/>
      </c>
      <c r="H151" s="12" t="str">
        <f>Ericsson!T154</f>
        <v/>
      </c>
      <c r="J151" s="7" t="str">
        <f t="shared" si="6"/>
        <v/>
      </c>
    </row>
    <row r="152" spans="1:10">
      <c r="A152" s="91" t="str">
        <f>IF(Ericsson!Q155="","",IF(H152="up",Ericsson!Q155,""))</f>
        <v/>
      </c>
      <c r="B152" s="15" t="str">
        <f>IF(Ericsson!R155="","",IF(H152="up",Ericsson!R155,""))</f>
        <v/>
      </c>
      <c r="C152" s="15" t="str">
        <f>IF(Ericsson!S155="","",IF(H152="up",Ericsson!S155,""))</f>
        <v/>
      </c>
      <c r="D152" s="108" t="str">
        <f>IF(H152="up",Ericsson!U155,"")</f>
        <v/>
      </c>
      <c r="E152" s="12" t="str">
        <f t="shared" si="5"/>
        <v/>
      </c>
      <c r="H152" s="12" t="str">
        <f>Ericsson!T155</f>
        <v/>
      </c>
      <c r="J152" s="7" t="str">
        <f t="shared" si="6"/>
        <v/>
      </c>
    </row>
    <row r="153" spans="1:10">
      <c r="A153" s="91" t="str">
        <f>IF(Ericsson!Q156="","",IF(H153="up",Ericsson!Q156,""))</f>
        <v/>
      </c>
      <c r="B153" s="15" t="str">
        <f>IF(Ericsson!R156="","",IF(H153="up",Ericsson!R156,""))</f>
        <v/>
      </c>
      <c r="C153" s="15" t="str">
        <f>IF(Ericsson!S156="","",IF(H153="up",Ericsson!S156,""))</f>
        <v/>
      </c>
      <c r="D153" s="108" t="str">
        <f>IF(H153="up",Ericsson!U156,"")</f>
        <v/>
      </c>
      <c r="E153" s="12" t="str">
        <f t="shared" si="5"/>
        <v/>
      </c>
      <c r="H153" s="12" t="str">
        <f>Ericsson!T156</f>
        <v/>
      </c>
      <c r="J153" s="7" t="str">
        <f t="shared" si="6"/>
        <v/>
      </c>
    </row>
    <row r="154" spans="1:10">
      <c r="A154" s="91" t="str">
        <f>IF(Ericsson!Q157="","",IF(H154="up",Ericsson!Q157,""))</f>
        <v/>
      </c>
      <c r="B154" s="15" t="str">
        <f>IF(Ericsson!R157="","",IF(H154="up",Ericsson!R157,""))</f>
        <v/>
      </c>
      <c r="C154" s="15" t="str">
        <f>IF(Ericsson!S157="","",IF(H154="up",Ericsson!S157,""))</f>
        <v/>
      </c>
      <c r="D154" s="108" t="str">
        <f>IF(H154="up",Ericsson!U157,"")</f>
        <v/>
      </c>
      <c r="E154" s="12" t="str">
        <f t="shared" si="5"/>
        <v/>
      </c>
      <c r="H154" s="12" t="str">
        <f>Ericsson!T157</f>
        <v/>
      </c>
      <c r="J154" s="7" t="str">
        <f t="shared" si="6"/>
        <v/>
      </c>
    </row>
    <row r="155" spans="1:10">
      <c r="A155" s="91" t="str">
        <f>IF(Ericsson!Q158="","",IF(H155="up",Ericsson!Q158,""))</f>
        <v/>
      </c>
      <c r="B155" s="15" t="str">
        <f>IF(Ericsson!R158="","",IF(H155="up",Ericsson!R158,""))</f>
        <v/>
      </c>
      <c r="C155" s="15" t="str">
        <f>IF(Ericsson!S158="","",IF(H155="up",Ericsson!S158,""))</f>
        <v/>
      </c>
      <c r="D155" s="108" t="str">
        <f>IF(H155="up",Ericsson!U158,"")</f>
        <v/>
      </c>
      <c r="E155" s="12" t="str">
        <f t="shared" si="5"/>
        <v/>
      </c>
      <c r="H155" s="12" t="str">
        <f>Ericsson!T158</f>
        <v/>
      </c>
      <c r="J155" s="7" t="str">
        <f t="shared" si="6"/>
        <v/>
      </c>
    </row>
    <row r="156" spans="1:10">
      <c r="A156" s="91" t="str">
        <f>IF(Ericsson!Q159="","",IF(H156="up",Ericsson!Q159,""))</f>
        <v/>
      </c>
      <c r="B156" s="15" t="str">
        <f>IF(Ericsson!R159="","",IF(H156="up",Ericsson!R159,""))</f>
        <v/>
      </c>
      <c r="C156" s="15" t="str">
        <f>IF(Ericsson!S159="","",IF(H156="up",Ericsson!S159,""))</f>
        <v/>
      </c>
      <c r="D156" s="108" t="str">
        <f>IF(H156="up",Ericsson!U159,"")</f>
        <v/>
      </c>
      <c r="E156" s="12" t="str">
        <f t="shared" si="5"/>
        <v/>
      </c>
      <c r="H156" s="12" t="str">
        <f>Ericsson!T159</f>
        <v/>
      </c>
      <c r="J156" s="7" t="str">
        <f t="shared" si="6"/>
        <v/>
      </c>
    </row>
    <row r="157" spans="1:10">
      <c r="A157" s="91" t="str">
        <f>IF(Ericsson!Q160="","",IF(H157="up",Ericsson!Q160,""))</f>
        <v/>
      </c>
      <c r="B157" s="15" t="str">
        <f>IF(Ericsson!R160="","",IF(H157="up",Ericsson!R160,""))</f>
        <v/>
      </c>
      <c r="C157" s="15" t="str">
        <f>IF(Ericsson!S160="","",IF(H157="up",Ericsson!S160,""))</f>
        <v/>
      </c>
      <c r="D157" s="108" t="str">
        <f>IF(H157="up",Ericsson!U160,"")</f>
        <v/>
      </c>
      <c r="E157" s="12" t="str">
        <f t="shared" si="5"/>
        <v/>
      </c>
      <c r="H157" s="12" t="str">
        <f>Ericsson!T160</f>
        <v/>
      </c>
      <c r="J157" s="7" t="str">
        <f t="shared" si="6"/>
        <v/>
      </c>
    </row>
    <row r="158" spans="1:10">
      <c r="A158" s="91" t="str">
        <f>IF(Ericsson!Q161="","",IF(H158="up",Ericsson!Q161,""))</f>
        <v/>
      </c>
      <c r="B158" s="15" t="str">
        <f>IF(Ericsson!R161="","",IF(H158="up",Ericsson!R161,""))</f>
        <v/>
      </c>
      <c r="C158" s="15" t="str">
        <f>IF(Ericsson!S161="","",IF(H158="up",Ericsson!S161,""))</f>
        <v/>
      </c>
      <c r="D158" s="108" t="str">
        <f>IF(H158="up",Ericsson!U161,"")</f>
        <v/>
      </c>
      <c r="E158" s="12" t="str">
        <f t="shared" si="5"/>
        <v/>
      </c>
      <c r="H158" s="12" t="str">
        <f>Ericsson!T161</f>
        <v/>
      </c>
      <c r="J158" s="7" t="str">
        <f t="shared" si="6"/>
        <v/>
      </c>
    </row>
    <row r="159" spans="1:10">
      <c r="A159" s="91" t="str">
        <f>IF(Ericsson!Q162="","",IF(H159="up",Ericsson!Q162,""))</f>
        <v/>
      </c>
      <c r="B159" s="15" t="str">
        <f>IF(Ericsson!R162="","",IF(H159="up",Ericsson!R162,""))</f>
        <v/>
      </c>
      <c r="C159" s="15" t="str">
        <f>IF(Ericsson!S162="","",IF(H159="up",Ericsson!S162,""))</f>
        <v/>
      </c>
      <c r="D159" s="108" t="str">
        <f>IF(H159="up",Ericsson!U162,"")</f>
        <v/>
      </c>
      <c r="E159" s="12" t="str">
        <f t="shared" si="5"/>
        <v/>
      </c>
      <c r="H159" s="12" t="str">
        <f>Ericsson!T162</f>
        <v/>
      </c>
      <c r="J159" s="7" t="str">
        <f t="shared" si="6"/>
        <v/>
      </c>
    </row>
    <row r="160" spans="1:10">
      <c r="A160" s="91" t="str">
        <f>IF(Ericsson!Q163="","",IF(H160="up",Ericsson!Q163,""))</f>
        <v/>
      </c>
      <c r="B160" s="15" t="str">
        <f>IF(Ericsson!R163="","",IF(H160="up",Ericsson!R163,""))</f>
        <v/>
      </c>
      <c r="C160" s="15" t="str">
        <f>IF(Ericsson!S163="","",IF(H160="up",Ericsson!S163,""))</f>
        <v/>
      </c>
      <c r="D160" s="108" t="str">
        <f>IF(H160="up",Ericsson!U163,"")</f>
        <v/>
      </c>
      <c r="E160" s="12" t="str">
        <f t="shared" si="5"/>
        <v/>
      </c>
      <c r="H160" s="12" t="str">
        <f>Ericsson!T163</f>
        <v/>
      </c>
      <c r="J160" s="7" t="str">
        <f t="shared" si="6"/>
        <v/>
      </c>
    </row>
    <row r="161" spans="1:10">
      <c r="A161" s="91" t="str">
        <f>IF(Ericsson!Q164="","",IF(H161="up",Ericsson!Q164,""))</f>
        <v/>
      </c>
      <c r="B161" s="15" t="str">
        <f>IF(Ericsson!R164="","",IF(H161="up",Ericsson!R164,""))</f>
        <v/>
      </c>
      <c r="C161" s="15" t="str">
        <f>IF(Ericsson!S164="","",IF(H161="up",Ericsson!S164,""))</f>
        <v/>
      </c>
      <c r="D161" s="108" t="str">
        <f>IF(H161="up",Ericsson!U164,"")</f>
        <v/>
      </c>
      <c r="E161" s="12" t="str">
        <f t="shared" si="5"/>
        <v/>
      </c>
      <c r="H161" s="12" t="str">
        <f>Ericsson!T164</f>
        <v/>
      </c>
      <c r="J161" s="7" t="str">
        <f t="shared" si="6"/>
        <v/>
      </c>
    </row>
    <row r="162" spans="1:10">
      <c r="A162" s="91" t="str">
        <f>IF(Ericsson!Q165="","",IF(H162="up",Ericsson!Q165,""))</f>
        <v/>
      </c>
      <c r="B162" s="15" t="str">
        <f>IF(Ericsson!R165="","",IF(H162="up",Ericsson!R165,""))</f>
        <v/>
      </c>
      <c r="C162" s="15" t="str">
        <f>IF(Ericsson!S165="","",IF(H162="up",Ericsson!S165,""))</f>
        <v/>
      </c>
      <c r="D162" s="108" t="str">
        <f>IF(H162="up",Ericsson!U165,"")</f>
        <v/>
      </c>
      <c r="E162" s="12" t="str">
        <f t="shared" si="5"/>
        <v/>
      </c>
      <c r="H162" s="12" t="str">
        <f>Ericsson!T165</f>
        <v/>
      </c>
      <c r="J162" s="7" t="str">
        <f t="shared" si="6"/>
        <v/>
      </c>
    </row>
    <row r="163" spans="1:10">
      <c r="A163" s="91" t="str">
        <f>IF(Ericsson!Q166="","",IF(H163="up",Ericsson!Q166,""))</f>
        <v/>
      </c>
      <c r="B163" s="15" t="str">
        <f>IF(Ericsson!R166="","",IF(H163="up",Ericsson!R166,""))</f>
        <v/>
      </c>
      <c r="C163" s="15" t="str">
        <f>IF(Ericsson!S166="","",IF(H163="up",Ericsson!S166,""))</f>
        <v/>
      </c>
      <c r="D163" s="108" t="str">
        <f>IF(H163="up",Ericsson!U166,"")</f>
        <v/>
      </c>
      <c r="E163" s="12" t="str">
        <f t="shared" si="5"/>
        <v/>
      </c>
      <c r="H163" s="12" t="str">
        <f>Ericsson!T166</f>
        <v/>
      </c>
      <c r="J163" s="7" t="str">
        <f t="shared" si="6"/>
        <v/>
      </c>
    </row>
    <row r="164" spans="1:10">
      <c r="A164" s="91" t="str">
        <f>IF(Ericsson!Q167="","",IF(H164="up",Ericsson!Q167,""))</f>
        <v/>
      </c>
      <c r="B164" s="15" t="str">
        <f>IF(Ericsson!R167="","",IF(H164="up",Ericsson!R167,""))</f>
        <v/>
      </c>
      <c r="C164" s="15" t="str">
        <f>IF(Ericsson!S167="","",IF(H164="up",Ericsson!S167,""))</f>
        <v/>
      </c>
      <c r="D164" s="108" t="str">
        <f>IF(H164="up",Ericsson!U167,"")</f>
        <v/>
      </c>
      <c r="E164" s="12" t="str">
        <f t="shared" si="5"/>
        <v/>
      </c>
      <c r="H164" s="12" t="str">
        <f>Ericsson!T167</f>
        <v/>
      </c>
      <c r="J164" s="7" t="str">
        <f t="shared" si="6"/>
        <v/>
      </c>
    </row>
    <row r="165" spans="1:10">
      <c r="A165" s="91" t="str">
        <f>IF(Ericsson!Q168="","",IF(H165="up",Ericsson!Q168,""))</f>
        <v/>
      </c>
      <c r="B165" s="15" t="str">
        <f>IF(Ericsson!R168="","",IF(H165="up",Ericsson!R168,""))</f>
        <v/>
      </c>
      <c r="C165" s="15" t="str">
        <f>IF(Ericsson!S168="","",IF(H165="up",Ericsson!S168,""))</f>
        <v/>
      </c>
      <c r="D165" s="108" t="str">
        <f>IF(H165="up",Ericsson!U168,"")</f>
        <v/>
      </c>
      <c r="E165" s="12" t="str">
        <f t="shared" si="5"/>
        <v/>
      </c>
      <c r="H165" s="12" t="str">
        <f>Ericsson!T168</f>
        <v/>
      </c>
      <c r="J165" s="7" t="str">
        <f t="shared" si="6"/>
        <v/>
      </c>
    </row>
    <row r="166" spans="1:10">
      <c r="A166" s="91" t="str">
        <f>IF(Ericsson!Q169="","",IF(H166="up",Ericsson!Q169,""))</f>
        <v/>
      </c>
      <c r="B166" s="15" t="str">
        <f>IF(Ericsson!R169="","",IF(H166="up",Ericsson!R169,""))</f>
        <v/>
      </c>
      <c r="C166" s="15" t="str">
        <f>IF(Ericsson!S169="","",IF(H166="up",Ericsson!S169,""))</f>
        <v/>
      </c>
      <c r="D166" s="108" t="str">
        <f>IF(H166="up",Ericsson!U169,"")</f>
        <v/>
      </c>
      <c r="E166" s="12" t="str">
        <f t="shared" si="5"/>
        <v/>
      </c>
      <c r="H166" s="12" t="str">
        <f>Ericsson!T169</f>
        <v/>
      </c>
      <c r="J166" s="7" t="str">
        <f t="shared" si="6"/>
        <v/>
      </c>
    </row>
    <row r="167" spans="1:10">
      <c r="A167" s="91" t="str">
        <f>IF(Ericsson!Q170="","",IF(H167="up",Ericsson!Q170,""))</f>
        <v/>
      </c>
      <c r="B167" s="15" t="str">
        <f>IF(Ericsson!R170="","",IF(H167="up",Ericsson!R170,""))</f>
        <v/>
      </c>
      <c r="C167" s="15" t="str">
        <f>IF(Ericsson!S170="","",IF(H167="up",Ericsson!S170,""))</f>
        <v/>
      </c>
      <c r="D167" s="108" t="str">
        <f>IF(H167="up",Ericsson!U170,"")</f>
        <v/>
      </c>
      <c r="E167" s="12" t="str">
        <f t="shared" si="5"/>
        <v/>
      </c>
      <c r="H167" s="12" t="str">
        <f>Ericsson!T170</f>
        <v/>
      </c>
      <c r="J167" s="7" t="str">
        <f t="shared" si="6"/>
        <v/>
      </c>
    </row>
    <row r="168" spans="1:10">
      <c r="A168" s="91" t="str">
        <f>IF(Ericsson!Q171="","",IF(H168="up",Ericsson!Q171,""))</f>
        <v/>
      </c>
      <c r="B168" s="15" t="str">
        <f>IF(Ericsson!R171="","",IF(H168="up",Ericsson!R171,""))</f>
        <v/>
      </c>
      <c r="C168" s="15" t="str">
        <f>IF(Ericsson!S171="","",IF(H168="up",Ericsson!S171,""))</f>
        <v/>
      </c>
      <c r="D168" s="108" t="str">
        <f>IF(H168="up",Ericsson!U171,"")</f>
        <v/>
      </c>
      <c r="E168" s="12" t="str">
        <f t="shared" si="5"/>
        <v/>
      </c>
      <c r="H168" s="12" t="str">
        <f>Ericsson!T171</f>
        <v/>
      </c>
      <c r="J168" s="7" t="str">
        <f t="shared" si="6"/>
        <v/>
      </c>
    </row>
    <row r="169" spans="1:10">
      <c r="A169" s="91" t="str">
        <f>IF(Ericsson!Q172="","",IF(H169="up",Ericsson!Q172,""))</f>
        <v/>
      </c>
      <c r="B169" s="15" t="str">
        <f>IF(Ericsson!R172="","",IF(H169="up",Ericsson!R172,""))</f>
        <v/>
      </c>
      <c r="C169" s="15" t="str">
        <f>IF(Ericsson!S172="","",IF(H169="up",Ericsson!S172,""))</f>
        <v/>
      </c>
      <c r="D169" s="108" t="str">
        <f>IF(H169="up",Ericsson!U172,"")</f>
        <v/>
      </c>
      <c r="E169" s="12" t="str">
        <f t="shared" si="5"/>
        <v/>
      </c>
      <c r="H169" s="12" t="str">
        <f>Ericsson!T172</f>
        <v/>
      </c>
      <c r="J169" s="7" t="str">
        <f t="shared" si="6"/>
        <v/>
      </c>
    </row>
    <row r="170" spans="1:10">
      <c r="A170" s="91" t="str">
        <f>IF(Ericsson!Q173="","",IF(H170="up",Ericsson!Q173,""))</f>
        <v/>
      </c>
      <c r="B170" s="15" t="str">
        <f>IF(Ericsson!R173="","",IF(H170="up",Ericsson!R173,""))</f>
        <v/>
      </c>
      <c r="C170" s="15" t="str">
        <f>IF(Ericsson!S173="","",IF(H170="up",Ericsson!S173,""))</f>
        <v/>
      </c>
      <c r="D170" s="108" t="str">
        <f>IF(H170="up",Ericsson!U173,"")</f>
        <v/>
      </c>
      <c r="E170" s="12" t="str">
        <f t="shared" si="5"/>
        <v/>
      </c>
      <c r="H170" s="12" t="str">
        <f>Ericsson!T173</f>
        <v/>
      </c>
      <c r="J170" s="7" t="str">
        <f t="shared" si="6"/>
        <v/>
      </c>
    </row>
    <row r="171" spans="1:10">
      <c r="A171" s="91" t="str">
        <f>IF(Ericsson!Q174="","",IF(H171="up",Ericsson!Q174,""))</f>
        <v/>
      </c>
      <c r="B171" s="15" t="str">
        <f>IF(Ericsson!R174="","",IF(H171="up",Ericsson!R174,""))</f>
        <v/>
      </c>
      <c r="C171" s="15" t="str">
        <f>IF(Ericsson!S174="","",IF(H171="up",Ericsson!S174,""))</f>
        <v/>
      </c>
      <c r="D171" s="108" t="str">
        <f>IF(H171="up",Ericsson!U174,"")</f>
        <v/>
      </c>
      <c r="E171" s="12" t="str">
        <f t="shared" si="5"/>
        <v/>
      </c>
      <c r="H171" s="12" t="str">
        <f>Ericsson!T174</f>
        <v/>
      </c>
      <c r="J171" s="7" t="str">
        <f t="shared" si="6"/>
        <v/>
      </c>
    </row>
    <row r="172" spans="1:10">
      <c r="A172" s="91" t="str">
        <f>IF(Ericsson!Q175="","",IF(H172="up",Ericsson!Q175,""))</f>
        <v/>
      </c>
      <c r="B172" s="15" t="str">
        <f>IF(Ericsson!R175="","",IF(H172="up",Ericsson!R175,""))</f>
        <v/>
      </c>
      <c r="C172" s="15" t="str">
        <f>IF(Ericsson!S175="","",IF(H172="up",Ericsson!S175,""))</f>
        <v/>
      </c>
      <c r="D172" s="108" t="str">
        <f>IF(H172="up",Ericsson!U175,"")</f>
        <v/>
      </c>
      <c r="E172" s="12" t="str">
        <f t="shared" si="5"/>
        <v/>
      </c>
      <c r="H172" s="12" t="str">
        <f>Ericsson!T175</f>
        <v/>
      </c>
      <c r="J172" s="7" t="str">
        <f t="shared" si="6"/>
        <v/>
      </c>
    </row>
    <row r="173" spans="1:10">
      <c r="A173" s="91" t="str">
        <f>IF(Ericsson!Q176="","",IF(H173="up",Ericsson!Q176,""))</f>
        <v/>
      </c>
      <c r="B173" s="15" t="str">
        <f>IF(Ericsson!R176="","",IF(H173="up",Ericsson!R176,""))</f>
        <v/>
      </c>
      <c r="C173" s="15" t="str">
        <f>IF(Ericsson!S176="","",IF(H173="up",Ericsson!S176,""))</f>
        <v/>
      </c>
      <c r="D173" s="108" t="str">
        <f>IF(H173="up",Ericsson!U176,"")</f>
        <v/>
      </c>
      <c r="E173" s="12" t="str">
        <f t="shared" si="5"/>
        <v/>
      </c>
      <c r="H173" s="12" t="str">
        <f>Ericsson!T176</f>
        <v/>
      </c>
      <c r="J173" s="7" t="str">
        <f t="shared" si="6"/>
        <v/>
      </c>
    </row>
    <row r="174" spans="1:10">
      <c r="A174" s="91" t="str">
        <f>IF(Ericsson!Q177="","",IF(H174="up",Ericsson!Q177,""))</f>
        <v/>
      </c>
      <c r="B174" s="15" t="str">
        <f>IF(Ericsson!R177="","",IF(H174="up",Ericsson!R177,""))</f>
        <v/>
      </c>
      <c r="C174" s="15" t="str">
        <f>IF(Ericsson!S177="","",IF(H174="up",Ericsson!S177,""))</f>
        <v/>
      </c>
      <c r="D174" s="108" t="str">
        <f>IF(H174="up",Ericsson!U177,"")</f>
        <v/>
      </c>
      <c r="E174" s="12" t="str">
        <f t="shared" si="5"/>
        <v/>
      </c>
      <c r="H174" s="12" t="str">
        <f>Ericsson!T177</f>
        <v/>
      </c>
      <c r="J174" s="7" t="str">
        <f t="shared" si="6"/>
        <v/>
      </c>
    </row>
    <row r="175" spans="1:10">
      <c r="A175" s="91" t="str">
        <f>IF(Ericsson!Q178="","",IF(H175="up",Ericsson!Q178,""))</f>
        <v/>
      </c>
      <c r="B175" s="15" t="str">
        <f>IF(Ericsson!R178="","",IF(H175="up",Ericsson!R178,""))</f>
        <v/>
      </c>
      <c r="C175" s="15" t="str">
        <f>IF(Ericsson!S178="","",IF(H175="up",Ericsson!S178,""))</f>
        <v/>
      </c>
      <c r="D175" s="108" t="str">
        <f>IF(H175="up",Ericsson!U178,"")</f>
        <v/>
      </c>
      <c r="E175" s="12" t="str">
        <f t="shared" si="5"/>
        <v/>
      </c>
      <c r="H175" s="12" t="str">
        <f>Ericsson!T178</f>
        <v/>
      </c>
      <c r="J175" s="7" t="str">
        <f t="shared" si="6"/>
        <v/>
      </c>
    </row>
    <row r="176" spans="1:10">
      <c r="A176" s="91" t="str">
        <f>IF(Ericsson!Q179="","",IF(H176="up",Ericsson!Q179,""))</f>
        <v/>
      </c>
      <c r="B176" s="15" t="str">
        <f>IF(Ericsson!R179="","",IF(H176="up",Ericsson!R179,""))</f>
        <v/>
      </c>
      <c r="C176" s="15" t="str">
        <f>IF(Ericsson!S179="","",IF(H176="up",Ericsson!S179,""))</f>
        <v/>
      </c>
      <c r="D176" s="108" t="str">
        <f>IF(H176="up",Ericsson!U179,"")</f>
        <v/>
      </c>
      <c r="E176" s="12" t="str">
        <f t="shared" si="5"/>
        <v/>
      </c>
      <c r="H176" s="12" t="str">
        <f>Ericsson!T179</f>
        <v/>
      </c>
      <c r="J176" s="7" t="str">
        <f t="shared" si="6"/>
        <v/>
      </c>
    </row>
    <row r="177" spans="1:10">
      <c r="A177" s="91" t="str">
        <f>IF(Ericsson!Q180="","",IF(H177="up",Ericsson!Q180,""))</f>
        <v/>
      </c>
      <c r="B177" s="15" t="str">
        <f>IF(Ericsson!R180="","",IF(H177="up",Ericsson!R180,""))</f>
        <v/>
      </c>
      <c r="C177" s="15" t="str">
        <f>IF(Ericsson!S180="","",IF(H177="up",Ericsson!S180,""))</f>
        <v/>
      </c>
      <c r="D177" s="108" t="str">
        <f>IF(H177="up",Ericsson!U180,"")</f>
        <v/>
      </c>
      <c r="E177" s="12" t="str">
        <f t="shared" si="5"/>
        <v/>
      </c>
      <c r="H177" s="12" t="str">
        <f>Ericsson!T180</f>
        <v/>
      </c>
      <c r="J177" s="7" t="str">
        <f t="shared" si="6"/>
        <v/>
      </c>
    </row>
    <row r="178" spans="1:10">
      <c r="A178" s="91" t="str">
        <f>IF(Ericsson!Q181="","",IF(H178="up",Ericsson!Q181,""))</f>
        <v/>
      </c>
      <c r="B178" s="15" t="str">
        <f>IF(Ericsson!R181="","",IF(H178="up",Ericsson!R181,""))</f>
        <v/>
      </c>
      <c r="C178" s="15" t="str">
        <f>IF(Ericsson!S181="","",IF(H178="up",Ericsson!S181,""))</f>
        <v/>
      </c>
      <c r="D178" s="108" t="str">
        <f>IF(H178="up",Ericsson!U181,"")</f>
        <v/>
      </c>
      <c r="E178" s="12" t="str">
        <f t="shared" si="5"/>
        <v/>
      </c>
      <c r="H178" s="12" t="str">
        <f>Ericsson!T181</f>
        <v/>
      </c>
      <c r="J178" s="7" t="str">
        <f t="shared" si="6"/>
        <v/>
      </c>
    </row>
    <row r="179" spans="1:10">
      <c r="A179" s="91" t="str">
        <f>IF(Ericsson!Q182="","",IF(H179="up",Ericsson!Q182,""))</f>
        <v/>
      </c>
      <c r="B179" s="15" t="str">
        <f>IF(Ericsson!R182="","",IF(H179="up",Ericsson!R182,""))</f>
        <v/>
      </c>
      <c r="C179" s="15" t="str">
        <f>IF(Ericsson!S182="","",IF(H179="up",Ericsson!S182,""))</f>
        <v/>
      </c>
      <c r="D179" s="108" t="str">
        <f>IF(H179="up",Ericsson!U182,"")</f>
        <v/>
      </c>
      <c r="E179" s="12" t="str">
        <f t="shared" si="5"/>
        <v/>
      </c>
      <c r="H179" s="12" t="str">
        <f>Ericsson!T182</f>
        <v/>
      </c>
      <c r="J179" s="7" t="str">
        <f t="shared" si="6"/>
        <v/>
      </c>
    </row>
    <row r="180" spans="1:10">
      <c r="A180" s="91" t="str">
        <f>IF(Ericsson!Q183="","",IF(H180="up",Ericsson!Q183,""))</f>
        <v/>
      </c>
      <c r="B180" s="15" t="str">
        <f>IF(Ericsson!R183="","",IF(H180="up",Ericsson!R183,""))</f>
        <v/>
      </c>
      <c r="C180" s="15" t="str">
        <f>IF(Ericsson!S183="","",IF(H180="up",Ericsson!S183,""))</f>
        <v/>
      </c>
      <c r="D180" s="108" t="str">
        <f>IF(H180="up",Ericsson!U183,"")</f>
        <v/>
      </c>
      <c r="E180" s="12" t="str">
        <f t="shared" si="5"/>
        <v/>
      </c>
      <c r="H180" s="12" t="str">
        <f>Ericsson!T183</f>
        <v/>
      </c>
      <c r="J180" s="7" t="str">
        <f t="shared" si="6"/>
        <v/>
      </c>
    </row>
    <row r="181" spans="1:10">
      <c r="A181" s="91" t="str">
        <f>IF(Ericsson!Q184="","",IF(H181="up",Ericsson!Q184,""))</f>
        <v/>
      </c>
      <c r="B181" s="15" t="str">
        <f>IF(Ericsson!R184="","",IF(H181="up",Ericsson!R184,""))</f>
        <v/>
      </c>
      <c r="C181" s="15" t="str">
        <f>IF(Ericsson!S184="","",IF(H181="up",Ericsson!S184,""))</f>
        <v/>
      </c>
      <c r="D181" s="108" t="str">
        <f>IF(H181="up",Ericsson!U184,"")</f>
        <v/>
      </c>
      <c r="E181" s="12" t="str">
        <f t="shared" si="5"/>
        <v/>
      </c>
      <c r="H181" s="12" t="str">
        <f>Ericsson!T184</f>
        <v/>
      </c>
      <c r="J181" s="7" t="str">
        <f t="shared" si="6"/>
        <v/>
      </c>
    </row>
    <row r="182" spans="1:10">
      <c r="A182" s="91" t="str">
        <f>IF(Ericsson!Q185="","",IF(H182="up",Ericsson!Q185,""))</f>
        <v/>
      </c>
      <c r="B182" s="15" t="str">
        <f>IF(Ericsson!R185="","",IF(H182="up",Ericsson!R185,""))</f>
        <v/>
      </c>
      <c r="C182" s="15" t="str">
        <f>IF(Ericsson!S185="","",IF(H182="up",Ericsson!S185,""))</f>
        <v/>
      </c>
      <c r="D182" s="108" t="str">
        <f>IF(H182="up",Ericsson!U185,"")</f>
        <v/>
      </c>
      <c r="E182" s="12" t="str">
        <f t="shared" si="5"/>
        <v/>
      </c>
      <c r="H182" s="12" t="str">
        <f>Ericsson!T185</f>
        <v/>
      </c>
      <c r="J182" s="7" t="str">
        <f t="shared" si="6"/>
        <v/>
      </c>
    </row>
    <row r="183" spans="1:10">
      <c r="A183" s="91" t="str">
        <f>IF(Ericsson!Q186="","",IF(H183="up",Ericsson!Q186,""))</f>
        <v/>
      </c>
      <c r="B183" s="15" t="str">
        <f>IF(Ericsson!R186="","",IF(H183="up",Ericsson!R186,""))</f>
        <v/>
      </c>
      <c r="C183" s="15" t="str">
        <f>IF(Ericsson!S186="","",IF(H183="up",Ericsson!S186,""))</f>
        <v/>
      </c>
      <c r="D183" s="108" t="str">
        <f>IF(H183="up",Ericsson!U186,"")</f>
        <v/>
      </c>
      <c r="E183" s="12" t="str">
        <f t="shared" si="5"/>
        <v/>
      </c>
      <c r="H183" s="12" t="str">
        <f>Ericsson!T186</f>
        <v/>
      </c>
      <c r="J183" s="7" t="str">
        <f t="shared" si="6"/>
        <v/>
      </c>
    </row>
    <row r="184" spans="1:10">
      <c r="A184" s="91" t="str">
        <f>IF(Ericsson!Q187="","",IF(H184="up",Ericsson!Q187,""))</f>
        <v/>
      </c>
      <c r="B184" s="15" t="str">
        <f>IF(Ericsson!R187="","",IF(H184="up",Ericsson!R187,""))</f>
        <v/>
      </c>
      <c r="C184" s="15" t="str">
        <f>IF(Ericsson!S187="","",IF(H184="up",Ericsson!S187,""))</f>
        <v/>
      </c>
      <c r="D184" s="108" t="str">
        <f>IF(H184="up",Ericsson!U187,"")</f>
        <v/>
      </c>
      <c r="E184" s="12" t="str">
        <f t="shared" si="5"/>
        <v/>
      </c>
      <c r="H184" s="12" t="str">
        <f>Ericsson!T187</f>
        <v/>
      </c>
      <c r="J184" s="7" t="str">
        <f t="shared" si="6"/>
        <v/>
      </c>
    </row>
    <row r="185" spans="1:10">
      <c r="A185" s="91" t="str">
        <f>IF(Ericsson!Q188="","",IF(H185="up",Ericsson!Q188,""))</f>
        <v/>
      </c>
      <c r="B185" s="15" t="str">
        <f>IF(Ericsson!R188="","",IF(H185="up",Ericsson!R188,""))</f>
        <v/>
      </c>
      <c r="C185" s="15" t="str">
        <f>IF(Ericsson!S188="","",IF(H185="up",Ericsson!S188,""))</f>
        <v/>
      </c>
      <c r="D185" s="108" t="str">
        <f>IF(H185="up",Ericsson!U188,"")</f>
        <v/>
      </c>
      <c r="E185" s="12" t="str">
        <f t="shared" si="5"/>
        <v/>
      </c>
      <c r="H185" s="12" t="str">
        <f>Ericsson!T188</f>
        <v/>
      </c>
      <c r="J185" s="7" t="str">
        <f t="shared" si="6"/>
        <v/>
      </c>
    </row>
    <row r="186" spans="1:10">
      <c r="A186" s="91" t="str">
        <f>IF(Ericsson!Q189="","",IF(H186="up",Ericsson!Q189,""))</f>
        <v/>
      </c>
      <c r="B186" s="15" t="str">
        <f>IF(Ericsson!R189="","",IF(H186="up",Ericsson!R189,""))</f>
        <v/>
      </c>
      <c r="C186" s="15" t="str">
        <f>IF(Ericsson!S189="","",IF(H186="up",Ericsson!S189,""))</f>
        <v/>
      </c>
      <c r="D186" s="108" t="str">
        <f>IF(H186="up",Ericsson!U189,"")</f>
        <v/>
      </c>
      <c r="E186" s="12" t="str">
        <f t="shared" si="5"/>
        <v/>
      </c>
      <c r="H186" s="12" t="str">
        <f>Ericsson!T189</f>
        <v/>
      </c>
      <c r="J186" s="7" t="str">
        <f t="shared" si="6"/>
        <v/>
      </c>
    </row>
    <row r="187" spans="1:10">
      <c r="A187" s="91" t="str">
        <f>IF(Ericsson!Q190="","",IF(H187="up",Ericsson!Q190,""))</f>
        <v/>
      </c>
      <c r="B187" s="15" t="str">
        <f>IF(Ericsson!R190="","",IF(H187="up",Ericsson!R190,""))</f>
        <v/>
      </c>
      <c r="C187" s="15" t="str">
        <f>IF(Ericsson!S190="","",IF(H187="up",Ericsson!S190,""))</f>
        <v/>
      </c>
      <c r="D187" s="108" t="str">
        <f>IF(H187="up",Ericsson!U190,"")</f>
        <v/>
      </c>
      <c r="E187" s="12" t="str">
        <f t="shared" si="5"/>
        <v/>
      </c>
      <c r="H187" s="12" t="str">
        <f>Ericsson!T190</f>
        <v/>
      </c>
      <c r="J187" s="7" t="str">
        <f t="shared" si="6"/>
        <v/>
      </c>
    </row>
    <row r="188" spans="1:10">
      <c r="A188" s="91" t="str">
        <f>IF(Ericsson!Q191="","",IF(H188="up",Ericsson!Q191,""))</f>
        <v/>
      </c>
      <c r="B188" s="15" t="str">
        <f>IF(Ericsson!R191="","",IF(H188="up",Ericsson!R191,""))</f>
        <v/>
      </c>
      <c r="C188" s="15" t="str">
        <f>IF(Ericsson!S191="","",IF(H188="up",Ericsson!S191,""))</f>
        <v/>
      </c>
      <c r="D188" s="108" t="str">
        <f>IF(H188="up",Ericsson!U191,"")</f>
        <v/>
      </c>
      <c r="E188" s="12" t="str">
        <f t="shared" si="5"/>
        <v/>
      </c>
      <c r="H188" s="12" t="str">
        <f>Ericsson!T191</f>
        <v/>
      </c>
      <c r="J188" s="7" t="str">
        <f t="shared" si="6"/>
        <v/>
      </c>
    </row>
    <row r="189" spans="1:10">
      <c r="A189" s="91" t="str">
        <f>IF(Ericsson!Q192="","",IF(H189="up",Ericsson!Q192,""))</f>
        <v/>
      </c>
      <c r="B189" s="15" t="str">
        <f>IF(Ericsson!R192="","",IF(H189="up",Ericsson!R192,""))</f>
        <v/>
      </c>
      <c r="C189" s="15" t="str">
        <f>IF(Ericsson!S192="","",IF(H189="up",Ericsson!S192,""))</f>
        <v/>
      </c>
      <c r="D189" s="108" t="str">
        <f>IF(H189="up",Ericsson!U192,"")</f>
        <v/>
      </c>
      <c r="E189" s="12" t="str">
        <f t="shared" si="5"/>
        <v/>
      </c>
      <c r="H189" s="12" t="str">
        <f>Ericsson!T192</f>
        <v/>
      </c>
      <c r="J189" s="7" t="str">
        <f t="shared" si="6"/>
        <v/>
      </c>
    </row>
    <row r="190" spans="1:10">
      <c r="A190" s="91" t="str">
        <f>IF(Ericsson!Q193="","",IF(H190="up",Ericsson!Q193,""))</f>
        <v/>
      </c>
      <c r="B190" s="15" t="str">
        <f>IF(Ericsson!R193="","",IF(H190="up",Ericsson!R193,""))</f>
        <v/>
      </c>
      <c r="C190" s="15" t="str">
        <f>IF(Ericsson!S193="","",IF(H190="up",Ericsson!S193,""))</f>
        <v/>
      </c>
      <c r="D190" s="108" t="str">
        <f>IF(H190="up",Ericsson!U193,"")</f>
        <v/>
      </c>
      <c r="E190" s="12" t="str">
        <f t="shared" si="5"/>
        <v/>
      </c>
      <c r="H190" s="12" t="str">
        <f>Ericsson!T193</f>
        <v/>
      </c>
      <c r="J190" s="7" t="str">
        <f t="shared" si="6"/>
        <v/>
      </c>
    </row>
    <row r="191" spans="1:10">
      <c r="A191" s="91" t="str">
        <f>IF(Ericsson!Q194="","",IF(H191="up",Ericsson!Q194,""))</f>
        <v/>
      </c>
      <c r="B191" s="15" t="str">
        <f>IF(Ericsson!R194="","",IF(H191="up",Ericsson!R194,""))</f>
        <v/>
      </c>
      <c r="C191" s="15" t="str">
        <f>IF(Ericsson!S194="","",IF(H191="up",Ericsson!S194,""))</f>
        <v/>
      </c>
      <c r="D191" s="108" t="str">
        <f>IF(H191="up",Ericsson!U194,"")</f>
        <v/>
      </c>
      <c r="E191" s="12" t="str">
        <f t="shared" si="5"/>
        <v/>
      </c>
      <c r="H191" s="12" t="str">
        <f>Ericsson!T194</f>
        <v/>
      </c>
      <c r="J191" s="7" t="str">
        <f t="shared" si="6"/>
        <v/>
      </c>
    </row>
    <row r="192" spans="1:10">
      <c r="A192" s="91" t="str">
        <f>IF(Ericsson!Q195="","",IF(H192="up",Ericsson!Q195,""))</f>
        <v/>
      </c>
      <c r="B192" s="15" t="str">
        <f>IF(Ericsson!R195="","",IF(H192="up",Ericsson!R195,""))</f>
        <v/>
      </c>
      <c r="C192" s="15" t="str">
        <f>IF(Ericsson!S195="","",IF(H192="up",Ericsson!S195,""))</f>
        <v/>
      </c>
      <c r="D192" s="108" t="str">
        <f>IF(H192="up",Ericsson!U195,"")</f>
        <v/>
      </c>
      <c r="E192" s="12" t="str">
        <f t="shared" si="5"/>
        <v/>
      </c>
      <c r="H192" s="12" t="str">
        <f>Ericsson!T195</f>
        <v/>
      </c>
      <c r="J192" s="7" t="str">
        <f t="shared" si="6"/>
        <v/>
      </c>
    </row>
    <row r="193" spans="1:10">
      <c r="A193" s="91" t="str">
        <f>IF(Ericsson!Q196="","",IF(H193="up",Ericsson!Q196,""))</f>
        <v/>
      </c>
      <c r="B193" s="15" t="str">
        <f>IF(Ericsson!R196="","",IF(H193="up",Ericsson!R196,""))</f>
        <v/>
      </c>
      <c r="C193" s="15" t="str">
        <f>IF(Ericsson!S196="","",IF(H193="up",Ericsson!S196,""))</f>
        <v/>
      </c>
      <c r="D193" s="108" t="str">
        <f>IF(H193="up",Ericsson!U196,"")</f>
        <v/>
      </c>
      <c r="E193" s="12" t="str">
        <f t="shared" si="5"/>
        <v/>
      </c>
      <c r="H193" s="12" t="str">
        <f>Ericsson!T196</f>
        <v/>
      </c>
      <c r="J193" s="7" t="str">
        <f t="shared" si="6"/>
        <v/>
      </c>
    </row>
    <row r="194" spans="1:10">
      <c r="A194" s="91" t="str">
        <f>IF(Ericsson!Q197="","",IF(H194="up",Ericsson!Q197,""))</f>
        <v/>
      </c>
      <c r="B194" s="15" t="str">
        <f>IF(Ericsson!R197="","",IF(H194="up",Ericsson!R197,""))</f>
        <v/>
      </c>
      <c r="C194" s="15" t="str">
        <f>IF(Ericsson!S197="","",IF(H194="up",Ericsson!S197,""))</f>
        <v/>
      </c>
      <c r="D194" s="108" t="str">
        <f>IF(H194="up",Ericsson!U197,"")</f>
        <v/>
      </c>
      <c r="E194" s="12" t="str">
        <f t="shared" si="5"/>
        <v/>
      </c>
      <c r="H194" s="12" t="str">
        <f>Ericsson!T197</f>
        <v/>
      </c>
      <c r="J194" s="7" t="str">
        <f t="shared" si="6"/>
        <v/>
      </c>
    </row>
    <row r="195" spans="1:10">
      <c r="A195" s="91" t="str">
        <f>IF(Ericsson!Q198="","",IF(H195="up",Ericsson!Q198,""))</f>
        <v/>
      </c>
      <c r="B195" s="15" t="str">
        <f>IF(Ericsson!R198="","",IF(H195="up",Ericsson!R198,""))</f>
        <v/>
      </c>
      <c r="C195" s="15" t="str">
        <f>IF(Ericsson!S198="","",IF(H195="up",Ericsson!S198,""))</f>
        <v/>
      </c>
      <c r="D195" s="108" t="str">
        <f>IF(H195="up",Ericsson!U198,"")</f>
        <v/>
      </c>
      <c r="E195" s="12" t="str">
        <f t="shared" ref="E195:E250" si="7">IF(H195="Up","???","")</f>
        <v/>
      </c>
      <c r="H195" s="12" t="str">
        <f>Ericsson!T198</f>
        <v/>
      </c>
      <c r="J195" s="7" t="str">
        <f t="shared" ref="J195:J250" si="8">IF(H195="up",IF(D195="",0,1),"")</f>
        <v/>
      </c>
    </row>
    <row r="196" spans="1:10">
      <c r="A196" s="91" t="str">
        <f>IF(Ericsson!Q199="","",IF(H196="up",Ericsson!Q199,""))</f>
        <v/>
      </c>
      <c r="B196" s="15" t="str">
        <f>IF(Ericsson!R199="","",IF(H196="up",Ericsson!R199,""))</f>
        <v/>
      </c>
      <c r="C196" s="15" t="str">
        <f>IF(Ericsson!S199="","",IF(H196="up",Ericsson!S199,""))</f>
        <v/>
      </c>
      <c r="D196" s="108" t="str">
        <f>IF(H196="up",Ericsson!U199,"")</f>
        <v/>
      </c>
      <c r="E196" s="12" t="str">
        <f t="shared" si="7"/>
        <v/>
      </c>
      <c r="H196" s="12" t="str">
        <f>Ericsson!T199</f>
        <v/>
      </c>
      <c r="J196" s="7" t="str">
        <f t="shared" si="8"/>
        <v/>
      </c>
    </row>
    <row r="197" spans="1:10">
      <c r="A197" s="91" t="str">
        <f>IF(Ericsson!Q200="","",IF(H197="up",Ericsson!Q200,""))</f>
        <v/>
      </c>
      <c r="B197" s="15" t="str">
        <f>IF(Ericsson!R200="","",IF(H197="up",Ericsson!R200,""))</f>
        <v/>
      </c>
      <c r="C197" s="15" t="str">
        <f>IF(Ericsson!S200="","",IF(H197="up",Ericsson!S200,""))</f>
        <v/>
      </c>
      <c r="D197" s="108" t="str">
        <f>IF(H197="up",Ericsson!U200,"")</f>
        <v/>
      </c>
      <c r="E197" s="12" t="str">
        <f t="shared" si="7"/>
        <v/>
      </c>
      <c r="H197" s="12" t="str">
        <f>Ericsson!T200</f>
        <v/>
      </c>
      <c r="J197" s="7" t="str">
        <f t="shared" si="8"/>
        <v/>
      </c>
    </row>
    <row r="198" spans="1:10">
      <c r="A198" s="91" t="str">
        <f>IF(Ericsson!Q201="","",IF(H198="up",Ericsson!Q201,""))</f>
        <v/>
      </c>
      <c r="B198" s="15" t="str">
        <f>IF(Ericsson!R201="","",IF(H198="up",Ericsson!R201,""))</f>
        <v/>
      </c>
      <c r="C198" s="15" t="str">
        <f>IF(Ericsson!S201="","",IF(H198="up",Ericsson!S201,""))</f>
        <v/>
      </c>
      <c r="D198" s="108" t="str">
        <f>IF(H198="up",Ericsson!U201,"")</f>
        <v/>
      </c>
      <c r="E198" s="12" t="str">
        <f t="shared" si="7"/>
        <v/>
      </c>
      <c r="H198" s="12" t="str">
        <f>Ericsson!T201</f>
        <v/>
      </c>
      <c r="J198" s="7" t="str">
        <f t="shared" si="8"/>
        <v/>
      </c>
    </row>
    <row r="199" spans="1:10">
      <c r="A199" s="91" t="str">
        <f>IF(Ericsson!Q202="","",IF(H199="up",Ericsson!Q202,""))</f>
        <v/>
      </c>
      <c r="B199" s="15" t="str">
        <f>IF(Ericsson!R202="","",IF(H199="up",Ericsson!R202,""))</f>
        <v/>
      </c>
      <c r="C199" s="15" t="str">
        <f>IF(Ericsson!S202="","",IF(H199="up",Ericsson!S202,""))</f>
        <v/>
      </c>
      <c r="D199" s="108" t="str">
        <f>IF(H199="up",Ericsson!U202,"")</f>
        <v/>
      </c>
      <c r="E199" s="12" t="str">
        <f t="shared" si="7"/>
        <v/>
      </c>
      <c r="H199" s="12" t="str">
        <f>Ericsson!T202</f>
        <v/>
      </c>
      <c r="J199" s="7" t="str">
        <f t="shared" si="8"/>
        <v/>
      </c>
    </row>
    <row r="200" spans="1:10">
      <c r="A200" s="91" t="str">
        <f>IF(Ericsson!Q203="","",IF(H200="up",Ericsson!Q203,""))</f>
        <v/>
      </c>
      <c r="B200" s="15" t="str">
        <f>IF(Ericsson!R203="","",IF(H200="up",Ericsson!R203,""))</f>
        <v/>
      </c>
      <c r="C200" s="15" t="str">
        <f>IF(Ericsson!S203="","",IF(H200="up",Ericsson!S203,""))</f>
        <v/>
      </c>
      <c r="D200" s="108" t="str">
        <f>IF(H200="up",Ericsson!U203,"")</f>
        <v/>
      </c>
      <c r="E200" s="12" t="str">
        <f t="shared" si="7"/>
        <v/>
      </c>
      <c r="H200" s="12" t="str">
        <f>Ericsson!T203</f>
        <v/>
      </c>
      <c r="J200" s="7" t="str">
        <f t="shared" si="8"/>
        <v/>
      </c>
    </row>
    <row r="201" spans="1:10">
      <c r="A201" s="91" t="str">
        <f>IF(Ericsson!Q204="","",IF(H201="up",Ericsson!Q204,""))</f>
        <v/>
      </c>
      <c r="B201" s="15" t="str">
        <f>IF(Ericsson!R204="","",IF(H201="up",Ericsson!R204,""))</f>
        <v/>
      </c>
      <c r="C201" s="15" t="str">
        <f>IF(Ericsson!S204="","",IF(H201="up",Ericsson!S204,""))</f>
        <v/>
      </c>
      <c r="D201" s="108" t="str">
        <f>IF(H201="up",Ericsson!U204,"")</f>
        <v/>
      </c>
      <c r="E201" s="12" t="str">
        <f t="shared" si="7"/>
        <v/>
      </c>
      <c r="H201" s="12" t="str">
        <f>Ericsson!T204</f>
        <v/>
      </c>
      <c r="J201" s="7" t="str">
        <f t="shared" si="8"/>
        <v/>
      </c>
    </row>
    <row r="202" spans="1:10">
      <c r="A202" s="91" t="str">
        <f>IF(Ericsson!Q205="","",IF(H202="up",Ericsson!Q205,""))</f>
        <v/>
      </c>
      <c r="B202" s="15" t="str">
        <f>IF(Ericsson!R205="","",IF(H202="up",Ericsson!R205,""))</f>
        <v/>
      </c>
      <c r="C202" s="15" t="str">
        <f>IF(Ericsson!S205="","",IF(H202="up",Ericsson!S205,""))</f>
        <v/>
      </c>
      <c r="D202" s="108" t="str">
        <f>IF(H202="up",Ericsson!U205,"")</f>
        <v/>
      </c>
      <c r="E202" s="12" t="str">
        <f t="shared" si="7"/>
        <v/>
      </c>
      <c r="H202" s="12" t="str">
        <f>Ericsson!T205</f>
        <v/>
      </c>
      <c r="J202" s="7" t="str">
        <f t="shared" si="8"/>
        <v/>
      </c>
    </row>
    <row r="203" spans="1:10">
      <c r="A203" s="91" t="str">
        <f>IF(Ericsson!Q206="","",IF(H203="up",Ericsson!Q206,""))</f>
        <v/>
      </c>
      <c r="B203" s="15" t="str">
        <f>IF(Ericsson!R206="","",IF(H203="up",Ericsson!R206,""))</f>
        <v/>
      </c>
      <c r="C203" s="15" t="str">
        <f>IF(Ericsson!S206="","",IF(H203="up",Ericsson!S206,""))</f>
        <v/>
      </c>
      <c r="D203" s="108" t="str">
        <f>IF(H203="up",Ericsson!U206,"")</f>
        <v/>
      </c>
      <c r="E203" s="12" t="str">
        <f t="shared" si="7"/>
        <v/>
      </c>
      <c r="H203" s="12" t="str">
        <f>Ericsson!T206</f>
        <v/>
      </c>
      <c r="J203" s="7" t="str">
        <f t="shared" si="8"/>
        <v/>
      </c>
    </row>
    <row r="204" spans="1:10">
      <c r="A204" s="91" t="str">
        <f>IF(Ericsson!Q207="","",IF(H204="up",Ericsson!Q207,""))</f>
        <v/>
      </c>
      <c r="B204" s="15" t="str">
        <f>IF(Ericsson!R207="","",IF(H204="up",Ericsson!R207,""))</f>
        <v/>
      </c>
      <c r="C204" s="15" t="str">
        <f>IF(Ericsson!S207="","",IF(H204="up",Ericsson!S207,""))</f>
        <v/>
      </c>
      <c r="D204" s="108" t="str">
        <f>IF(H204="up",Ericsson!U207,"")</f>
        <v/>
      </c>
      <c r="E204" s="12" t="str">
        <f t="shared" si="7"/>
        <v/>
      </c>
      <c r="H204" s="12" t="str">
        <f>Ericsson!T207</f>
        <v/>
      </c>
      <c r="J204" s="7" t="str">
        <f t="shared" si="8"/>
        <v/>
      </c>
    </row>
    <row r="205" spans="1:10">
      <c r="A205" s="91" t="str">
        <f>IF(Ericsson!Q208="","",IF(H205="up",Ericsson!Q208,""))</f>
        <v/>
      </c>
      <c r="B205" s="15" t="str">
        <f>IF(Ericsson!R208="","",IF(H205="up",Ericsson!R208,""))</f>
        <v/>
      </c>
      <c r="C205" s="15" t="str">
        <f>IF(Ericsson!S208="","",IF(H205="up",Ericsson!S208,""))</f>
        <v/>
      </c>
      <c r="D205" s="108" t="str">
        <f>IF(H205="up",Ericsson!U208,"")</f>
        <v/>
      </c>
      <c r="E205" s="12" t="str">
        <f t="shared" si="7"/>
        <v/>
      </c>
      <c r="H205" s="12" t="str">
        <f>Ericsson!T208</f>
        <v/>
      </c>
      <c r="J205" s="7" t="str">
        <f t="shared" si="8"/>
        <v/>
      </c>
    </row>
    <row r="206" spans="1:10">
      <c r="A206" s="91" t="str">
        <f>IF(Ericsson!Q209="","",IF(H206="up",Ericsson!Q209,""))</f>
        <v/>
      </c>
      <c r="B206" s="15" t="str">
        <f>IF(Ericsson!R209="","",IF(H206="up",Ericsson!R209,""))</f>
        <v/>
      </c>
      <c r="C206" s="15" t="str">
        <f>IF(Ericsson!S209="","",IF(H206="up",Ericsson!S209,""))</f>
        <v/>
      </c>
      <c r="D206" s="108" t="str">
        <f>IF(H206="up",Ericsson!U209,"")</f>
        <v/>
      </c>
      <c r="E206" s="12" t="str">
        <f t="shared" si="7"/>
        <v/>
      </c>
      <c r="H206" s="12" t="str">
        <f>Ericsson!T209</f>
        <v/>
      </c>
      <c r="J206" s="7" t="str">
        <f t="shared" si="8"/>
        <v/>
      </c>
    </row>
    <row r="207" spans="1:10">
      <c r="A207" s="91" t="str">
        <f>IF(Ericsson!Q210="","",IF(H207="up",Ericsson!Q210,""))</f>
        <v/>
      </c>
      <c r="B207" s="15" t="str">
        <f>IF(Ericsson!R210="","",IF(H207="up",Ericsson!R210,""))</f>
        <v/>
      </c>
      <c r="C207" s="15" t="str">
        <f>IF(Ericsson!S210="","",IF(H207="up",Ericsson!S210,""))</f>
        <v/>
      </c>
      <c r="D207" s="108" t="str">
        <f>IF(H207="up",Ericsson!U210,"")</f>
        <v/>
      </c>
      <c r="E207" s="12" t="str">
        <f t="shared" si="7"/>
        <v/>
      </c>
      <c r="H207" s="12" t="str">
        <f>Ericsson!T210</f>
        <v/>
      </c>
      <c r="J207" s="7" t="str">
        <f t="shared" si="8"/>
        <v/>
      </c>
    </row>
    <row r="208" spans="1:10">
      <c r="A208" s="91" t="str">
        <f>IF(Ericsson!Q211="","",IF(H208="up",Ericsson!Q211,""))</f>
        <v/>
      </c>
      <c r="B208" s="15" t="str">
        <f>IF(Ericsson!R211="","",IF(H208="up",Ericsson!R211,""))</f>
        <v/>
      </c>
      <c r="C208" s="15" t="str">
        <f>IF(Ericsson!S211="","",IF(H208="up",Ericsson!S211,""))</f>
        <v/>
      </c>
      <c r="D208" s="108" t="str">
        <f>IF(H208="up",Ericsson!U211,"")</f>
        <v/>
      </c>
      <c r="E208" s="12" t="str">
        <f t="shared" si="7"/>
        <v/>
      </c>
      <c r="H208" s="12" t="str">
        <f>Ericsson!T211</f>
        <v/>
      </c>
      <c r="J208" s="7" t="str">
        <f t="shared" si="8"/>
        <v/>
      </c>
    </row>
    <row r="209" spans="1:10">
      <c r="A209" s="91" t="str">
        <f>IF(Ericsson!Q212="","",IF(H209="up",Ericsson!Q212,""))</f>
        <v/>
      </c>
      <c r="B209" s="15" t="str">
        <f>IF(Ericsson!R212="","",IF(H209="up",Ericsson!R212,""))</f>
        <v/>
      </c>
      <c r="C209" s="15" t="str">
        <f>IF(Ericsson!S212="","",IF(H209="up",Ericsson!S212,""))</f>
        <v/>
      </c>
      <c r="D209" s="108" t="str">
        <f>IF(H209="up",Ericsson!U212,"")</f>
        <v/>
      </c>
      <c r="E209" s="12" t="str">
        <f t="shared" si="7"/>
        <v/>
      </c>
      <c r="H209" s="12" t="str">
        <f>Ericsson!T212</f>
        <v/>
      </c>
      <c r="J209" s="7" t="str">
        <f t="shared" si="8"/>
        <v/>
      </c>
    </row>
    <row r="210" spans="1:10">
      <c r="A210" s="91" t="str">
        <f>IF(Ericsson!Q213="","",IF(H210="up",Ericsson!Q213,""))</f>
        <v/>
      </c>
      <c r="B210" s="15" t="str">
        <f>IF(Ericsson!R213="","",IF(H210="up",Ericsson!R213,""))</f>
        <v/>
      </c>
      <c r="C210" s="15" t="str">
        <f>IF(Ericsson!S213="","",IF(H210="up",Ericsson!S213,""))</f>
        <v/>
      </c>
      <c r="D210" s="108" t="str">
        <f>IF(H210="up",Ericsson!U213,"")</f>
        <v/>
      </c>
      <c r="E210" s="12" t="str">
        <f t="shared" si="7"/>
        <v/>
      </c>
      <c r="H210" s="12" t="str">
        <f>Ericsson!T213</f>
        <v/>
      </c>
      <c r="J210" s="7" t="str">
        <f t="shared" si="8"/>
        <v/>
      </c>
    </row>
    <row r="211" spans="1:10">
      <c r="A211" s="91" t="str">
        <f>IF(Ericsson!Q214="","",IF(H211="up",Ericsson!Q214,""))</f>
        <v/>
      </c>
      <c r="B211" s="15" t="str">
        <f>IF(Ericsson!R214="","",IF(H211="up",Ericsson!R214,""))</f>
        <v/>
      </c>
      <c r="C211" s="15" t="str">
        <f>IF(Ericsson!S214="","",IF(H211="up",Ericsson!S214,""))</f>
        <v/>
      </c>
      <c r="D211" s="108" t="str">
        <f>IF(H211="up",Ericsson!U214,"")</f>
        <v/>
      </c>
      <c r="E211" s="12" t="str">
        <f t="shared" si="7"/>
        <v/>
      </c>
      <c r="H211" s="12" t="str">
        <f>Ericsson!T214</f>
        <v/>
      </c>
      <c r="J211" s="7" t="str">
        <f t="shared" si="8"/>
        <v/>
      </c>
    </row>
    <row r="212" spans="1:10">
      <c r="A212" s="91" t="str">
        <f>IF(Ericsson!Q215="","",IF(H212="up",Ericsson!Q215,""))</f>
        <v/>
      </c>
      <c r="B212" s="15" t="str">
        <f>IF(Ericsson!R215="","",IF(H212="up",Ericsson!R215,""))</f>
        <v/>
      </c>
      <c r="C212" s="15" t="str">
        <f>IF(Ericsson!S215="","",IF(H212="up",Ericsson!S215,""))</f>
        <v/>
      </c>
      <c r="D212" s="108" t="str">
        <f>IF(H212="up",Ericsson!U215,"")</f>
        <v/>
      </c>
      <c r="E212" s="12" t="str">
        <f t="shared" si="7"/>
        <v/>
      </c>
      <c r="H212" s="12" t="str">
        <f>Ericsson!T215</f>
        <v/>
      </c>
      <c r="J212" s="7" t="str">
        <f t="shared" si="8"/>
        <v/>
      </c>
    </row>
    <row r="213" spans="1:10">
      <c r="A213" s="91" t="str">
        <f>IF(Ericsson!Q216="","",IF(H213="up",Ericsson!Q216,""))</f>
        <v/>
      </c>
      <c r="B213" s="15" t="str">
        <f>IF(Ericsson!R216="","",IF(H213="up",Ericsson!R216,""))</f>
        <v/>
      </c>
      <c r="C213" s="15" t="str">
        <f>IF(Ericsson!S216="","",IF(H213="up",Ericsson!S216,""))</f>
        <v/>
      </c>
      <c r="D213" s="108" t="str">
        <f>IF(H213="up",Ericsson!U216,"")</f>
        <v/>
      </c>
      <c r="E213" s="12" t="str">
        <f t="shared" si="7"/>
        <v/>
      </c>
      <c r="H213" s="12" t="str">
        <f>Ericsson!T216</f>
        <v/>
      </c>
      <c r="J213" s="7" t="str">
        <f t="shared" si="8"/>
        <v/>
      </c>
    </row>
    <row r="214" spans="1:10">
      <c r="A214" s="91" t="str">
        <f>IF(Ericsson!Q217="","",IF(H214="up",Ericsson!Q217,""))</f>
        <v/>
      </c>
      <c r="B214" s="15" t="str">
        <f>IF(Ericsson!R217="","",IF(H214="up",Ericsson!R217,""))</f>
        <v/>
      </c>
      <c r="C214" s="15" t="str">
        <f>IF(Ericsson!S217="","",IF(H214="up",Ericsson!S217,""))</f>
        <v/>
      </c>
      <c r="D214" s="108" t="str">
        <f>IF(H214="up",Ericsson!U217,"")</f>
        <v/>
      </c>
      <c r="E214" s="12" t="str">
        <f t="shared" si="7"/>
        <v/>
      </c>
      <c r="H214" s="12" t="str">
        <f>Ericsson!T217</f>
        <v/>
      </c>
      <c r="J214" s="7" t="str">
        <f t="shared" si="8"/>
        <v/>
      </c>
    </row>
    <row r="215" spans="1:10">
      <c r="A215" s="91" t="str">
        <f>IF(Ericsson!Q218="","",IF(H215="up",Ericsson!Q218,""))</f>
        <v/>
      </c>
      <c r="B215" s="15" t="str">
        <f>IF(Ericsson!R218="","",IF(H215="up",Ericsson!R218,""))</f>
        <v/>
      </c>
      <c r="C215" s="15" t="str">
        <f>IF(Ericsson!S218="","",IF(H215="up",Ericsson!S218,""))</f>
        <v/>
      </c>
      <c r="D215" s="108" t="str">
        <f>IF(H215="up",Ericsson!U218,"")</f>
        <v/>
      </c>
      <c r="E215" s="12" t="str">
        <f t="shared" si="7"/>
        <v/>
      </c>
      <c r="H215" s="12" t="str">
        <f>Ericsson!T218</f>
        <v/>
      </c>
      <c r="J215" s="7" t="str">
        <f t="shared" si="8"/>
        <v/>
      </c>
    </row>
    <row r="216" spans="1:10">
      <c r="A216" s="91" t="str">
        <f>IF(Ericsson!Q219="","",IF(H216="up",Ericsson!Q219,""))</f>
        <v/>
      </c>
      <c r="B216" s="15" t="str">
        <f>IF(Ericsson!R219="","",IF(H216="up",Ericsson!R219,""))</f>
        <v/>
      </c>
      <c r="C216" s="15" t="str">
        <f>IF(Ericsson!S219="","",IF(H216="up",Ericsson!S219,""))</f>
        <v/>
      </c>
      <c r="D216" s="108" t="str">
        <f>IF(H216="up",Ericsson!U219,"")</f>
        <v/>
      </c>
      <c r="E216" s="12" t="str">
        <f t="shared" si="7"/>
        <v/>
      </c>
      <c r="H216" s="12" t="str">
        <f>Ericsson!T219</f>
        <v/>
      </c>
      <c r="J216" s="7" t="str">
        <f t="shared" si="8"/>
        <v/>
      </c>
    </row>
    <row r="217" spans="1:10">
      <c r="A217" s="91" t="str">
        <f>IF(Ericsson!Q220="","",IF(H217="up",Ericsson!Q220,""))</f>
        <v/>
      </c>
      <c r="B217" s="15" t="str">
        <f>IF(Ericsson!R220="","",IF(H217="up",Ericsson!R220,""))</f>
        <v/>
      </c>
      <c r="C217" s="15" t="str">
        <f>IF(Ericsson!S220="","",IF(H217="up",Ericsson!S220,""))</f>
        <v/>
      </c>
      <c r="D217" s="108" t="str">
        <f>IF(H217="up",Ericsson!U220,"")</f>
        <v/>
      </c>
      <c r="E217" s="12" t="str">
        <f t="shared" si="7"/>
        <v/>
      </c>
      <c r="H217" s="12" t="str">
        <f>Ericsson!T220</f>
        <v/>
      </c>
      <c r="J217" s="7" t="str">
        <f t="shared" si="8"/>
        <v/>
      </c>
    </row>
    <row r="218" spans="1:10">
      <c r="A218" s="91" t="str">
        <f>IF(Ericsson!Q221="","",IF(H218="up",Ericsson!Q221,""))</f>
        <v/>
      </c>
      <c r="B218" s="15" t="str">
        <f>IF(Ericsson!R221="","",IF(H218="up",Ericsson!R221,""))</f>
        <v/>
      </c>
      <c r="C218" s="15" t="str">
        <f>IF(Ericsson!S221="","",IF(H218="up",Ericsson!S221,""))</f>
        <v/>
      </c>
      <c r="D218" s="108" t="str">
        <f>IF(H218="up",Ericsson!U221,"")</f>
        <v/>
      </c>
      <c r="E218" s="12" t="str">
        <f t="shared" si="7"/>
        <v/>
      </c>
      <c r="H218" s="12" t="str">
        <f>Ericsson!T221</f>
        <v/>
      </c>
      <c r="J218" s="7" t="str">
        <f t="shared" si="8"/>
        <v/>
      </c>
    </row>
    <row r="219" spans="1:10">
      <c r="A219" s="91" t="str">
        <f>IF(Ericsson!Q222="","",IF(H219="up",Ericsson!Q222,""))</f>
        <v/>
      </c>
      <c r="B219" s="15" t="str">
        <f>IF(Ericsson!R222="","",IF(H219="up",Ericsson!R222,""))</f>
        <v/>
      </c>
      <c r="C219" s="15" t="str">
        <f>IF(Ericsson!S222="","",IF(H219="up",Ericsson!S222,""))</f>
        <v/>
      </c>
      <c r="D219" s="108" t="str">
        <f>IF(H219="up",Ericsson!U222,"")</f>
        <v/>
      </c>
      <c r="E219" s="12" t="str">
        <f t="shared" si="7"/>
        <v/>
      </c>
      <c r="H219" s="12" t="str">
        <f>Ericsson!T222</f>
        <v/>
      </c>
      <c r="J219" s="7" t="str">
        <f t="shared" si="8"/>
        <v/>
      </c>
    </row>
    <row r="220" spans="1:10">
      <c r="A220" s="91" t="str">
        <f>IF(Ericsson!Q223="","",IF(H220="up",Ericsson!Q223,""))</f>
        <v/>
      </c>
      <c r="B220" s="15" t="str">
        <f>IF(Ericsson!R223="","",IF(H220="up",Ericsson!R223,""))</f>
        <v/>
      </c>
      <c r="C220" s="15" t="str">
        <f>IF(Ericsson!S223="","",IF(H220="up",Ericsson!S223,""))</f>
        <v/>
      </c>
      <c r="D220" s="108" t="str">
        <f>IF(H220="up",Ericsson!U223,"")</f>
        <v/>
      </c>
      <c r="E220" s="12" t="str">
        <f t="shared" si="7"/>
        <v/>
      </c>
      <c r="H220" s="12" t="str">
        <f>Ericsson!T223</f>
        <v/>
      </c>
      <c r="J220" s="7" t="str">
        <f t="shared" si="8"/>
        <v/>
      </c>
    </row>
    <row r="221" spans="1:10">
      <c r="A221" s="91" t="str">
        <f>IF(Ericsson!Q224="","",IF(H221="up",Ericsson!Q224,""))</f>
        <v/>
      </c>
      <c r="B221" s="15" t="str">
        <f>IF(Ericsson!R224="","",IF(H221="up",Ericsson!R224,""))</f>
        <v/>
      </c>
      <c r="C221" s="15" t="str">
        <f>IF(Ericsson!S224="","",IF(H221="up",Ericsson!S224,""))</f>
        <v/>
      </c>
      <c r="D221" s="108" t="str">
        <f>IF(H221="up",Ericsson!U224,"")</f>
        <v/>
      </c>
      <c r="E221" s="12" t="str">
        <f t="shared" si="7"/>
        <v/>
      </c>
      <c r="H221" s="12" t="str">
        <f>Ericsson!T224</f>
        <v/>
      </c>
      <c r="J221" s="7" t="str">
        <f t="shared" si="8"/>
        <v/>
      </c>
    </row>
    <row r="222" spans="1:10">
      <c r="A222" s="91" t="str">
        <f>IF(Ericsson!Q225="","",IF(H222="up",Ericsson!Q225,""))</f>
        <v/>
      </c>
      <c r="B222" s="15" t="str">
        <f>IF(Ericsson!R225="","",IF(H222="up",Ericsson!R225,""))</f>
        <v/>
      </c>
      <c r="C222" s="15" t="str">
        <f>IF(Ericsson!S225="","",IF(H222="up",Ericsson!S225,""))</f>
        <v/>
      </c>
      <c r="D222" s="108" t="str">
        <f>IF(H222="up",Ericsson!U225,"")</f>
        <v/>
      </c>
      <c r="E222" s="12" t="str">
        <f t="shared" si="7"/>
        <v/>
      </c>
      <c r="H222" s="12" t="str">
        <f>Ericsson!T225</f>
        <v/>
      </c>
      <c r="J222" s="7" t="str">
        <f t="shared" si="8"/>
        <v/>
      </c>
    </row>
    <row r="223" spans="1:10">
      <c r="A223" s="91" t="str">
        <f>IF(Ericsson!Q226="","",IF(H223="up",Ericsson!Q226,""))</f>
        <v/>
      </c>
      <c r="B223" s="15" t="str">
        <f>IF(Ericsson!R226="","",IF(H223="up",Ericsson!R226,""))</f>
        <v/>
      </c>
      <c r="C223" s="15" t="str">
        <f>IF(Ericsson!S226="","",IF(H223="up",Ericsson!S226,""))</f>
        <v/>
      </c>
      <c r="D223" s="108" t="str">
        <f>IF(H223="up",Ericsson!U226,"")</f>
        <v/>
      </c>
      <c r="E223" s="12" t="str">
        <f t="shared" si="7"/>
        <v/>
      </c>
      <c r="H223" s="12" t="str">
        <f>Ericsson!T226</f>
        <v/>
      </c>
      <c r="J223" s="7" t="str">
        <f t="shared" si="8"/>
        <v/>
      </c>
    </row>
    <row r="224" spans="1:10">
      <c r="A224" s="91" t="str">
        <f>IF(Ericsson!Q227="","",IF(H224="up",Ericsson!Q227,""))</f>
        <v/>
      </c>
      <c r="B224" s="15" t="str">
        <f>IF(Ericsson!R227="","",IF(H224="up",Ericsson!R227,""))</f>
        <v/>
      </c>
      <c r="C224" s="15" t="str">
        <f>IF(Ericsson!S227="","",IF(H224="up",Ericsson!S227,""))</f>
        <v/>
      </c>
      <c r="D224" s="108" t="str">
        <f>IF(H224="up",Ericsson!U227,"")</f>
        <v/>
      </c>
      <c r="E224" s="12" t="str">
        <f t="shared" si="7"/>
        <v/>
      </c>
      <c r="H224" s="12" t="str">
        <f>Ericsson!T227</f>
        <v/>
      </c>
      <c r="J224" s="7" t="str">
        <f t="shared" si="8"/>
        <v/>
      </c>
    </row>
    <row r="225" spans="1:10">
      <c r="A225" s="91" t="str">
        <f>IF(Ericsson!Q228="","",IF(H225="up",Ericsson!Q228,""))</f>
        <v/>
      </c>
      <c r="B225" s="15" t="str">
        <f>IF(Ericsson!R228="","",IF(H225="up",Ericsson!R228,""))</f>
        <v/>
      </c>
      <c r="C225" s="15" t="str">
        <f>IF(Ericsson!S228="","",IF(H225="up",Ericsson!S228,""))</f>
        <v/>
      </c>
      <c r="D225" s="108" t="str">
        <f>IF(H225="up",Ericsson!U228,"")</f>
        <v/>
      </c>
      <c r="E225" s="12" t="str">
        <f t="shared" si="7"/>
        <v/>
      </c>
      <c r="H225" s="12" t="str">
        <f>Ericsson!T228</f>
        <v/>
      </c>
      <c r="J225" s="7" t="str">
        <f t="shared" si="8"/>
        <v/>
      </c>
    </row>
    <row r="226" spans="1:10">
      <c r="A226" s="91" t="str">
        <f>IF(Ericsson!Q229="","",IF(H226="up",Ericsson!Q229,""))</f>
        <v/>
      </c>
      <c r="B226" s="15" t="str">
        <f>IF(Ericsson!R229="","",IF(H226="up",Ericsson!R229,""))</f>
        <v/>
      </c>
      <c r="C226" s="15" t="str">
        <f>IF(Ericsson!S229="","",IF(H226="up",Ericsson!S229,""))</f>
        <v/>
      </c>
      <c r="D226" s="108" t="str">
        <f>IF(H226="up",Ericsson!U229,"")</f>
        <v/>
      </c>
      <c r="E226" s="12" t="str">
        <f t="shared" si="7"/>
        <v/>
      </c>
      <c r="H226" s="12" t="str">
        <f>Ericsson!T229</f>
        <v/>
      </c>
      <c r="J226" s="7" t="str">
        <f t="shared" si="8"/>
        <v/>
      </c>
    </row>
    <row r="227" spans="1:10">
      <c r="A227" s="91" t="str">
        <f>IF(Ericsson!Q230="","",IF(H227="up",Ericsson!Q230,""))</f>
        <v/>
      </c>
      <c r="B227" s="15" t="str">
        <f>IF(Ericsson!R230="","",IF(H227="up",Ericsson!R230,""))</f>
        <v/>
      </c>
      <c r="C227" s="15" t="str">
        <f>IF(Ericsson!S230="","",IF(H227="up",Ericsson!S230,""))</f>
        <v/>
      </c>
      <c r="D227" s="108" t="str">
        <f>IF(H227="up",Ericsson!U230,"")</f>
        <v/>
      </c>
      <c r="E227" s="12" t="str">
        <f t="shared" si="7"/>
        <v/>
      </c>
      <c r="H227" s="12" t="str">
        <f>Ericsson!T230</f>
        <v/>
      </c>
      <c r="J227" s="7" t="str">
        <f t="shared" si="8"/>
        <v/>
      </c>
    </row>
    <row r="228" spans="1:10">
      <c r="A228" s="91" t="str">
        <f>IF(Ericsson!Q231="","",IF(H228="up",Ericsson!Q231,""))</f>
        <v/>
      </c>
      <c r="B228" s="15" t="str">
        <f>IF(Ericsson!R231="","",IF(H228="up",Ericsson!R231,""))</f>
        <v/>
      </c>
      <c r="C228" s="15" t="str">
        <f>IF(Ericsson!S231="","",IF(H228="up",Ericsson!S231,""))</f>
        <v/>
      </c>
      <c r="D228" s="108" t="str">
        <f>IF(H228="up",Ericsson!U231,"")</f>
        <v/>
      </c>
      <c r="E228" s="12" t="str">
        <f t="shared" si="7"/>
        <v/>
      </c>
      <c r="H228" s="12" t="str">
        <f>Ericsson!T231</f>
        <v/>
      </c>
      <c r="J228" s="7" t="str">
        <f t="shared" si="8"/>
        <v/>
      </c>
    </row>
    <row r="229" spans="1:10">
      <c r="A229" s="91" t="str">
        <f>IF(Ericsson!Q232="","",IF(H229="up",Ericsson!Q232,""))</f>
        <v/>
      </c>
      <c r="B229" s="15" t="str">
        <f>IF(Ericsson!R232="","",IF(H229="up",Ericsson!R232,""))</f>
        <v/>
      </c>
      <c r="C229" s="15" t="str">
        <f>IF(Ericsson!S232="","",IF(H229="up",Ericsson!S232,""))</f>
        <v/>
      </c>
      <c r="D229" s="108" t="str">
        <f>IF(H229="up",Ericsson!U232,"")</f>
        <v/>
      </c>
      <c r="E229" s="12" t="str">
        <f t="shared" si="7"/>
        <v/>
      </c>
      <c r="H229" s="12" t="str">
        <f>Ericsson!T232</f>
        <v/>
      </c>
      <c r="J229" s="7" t="str">
        <f t="shared" si="8"/>
        <v/>
      </c>
    </row>
    <row r="230" spans="1:10">
      <c r="A230" s="91" t="str">
        <f>IF(Ericsson!Q233="","",IF(H230="up",Ericsson!Q233,""))</f>
        <v/>
      </c>
      <c r="B230" s="15" t="str">
        <f>IF(Ericsson!R233="","",IF(H230="up",Ericsson!R233,""))</f>
        <v/>
      </c>
      <c r="C230" s="15" t="str">
        <f>IF(Ericsson!S233="","",IF(H230="up",Ericsson!S233,""))</f>
        <v/>
      </c>
      <c r="D230" s="108" t="str">
        <f>IF(H230="up",Ericsson!U233,"")</f>
        <v/>
      </c>
      <c r="E230" s="12" t="str">
        <f t="shared" si="7"/>
        <v/>
      </c>
      <c r="H230" s="12" t="str">
        <f>Ericsson!T233</f>
        <v/>
      </c>
      <c r="J230" s="7" t="str">
        <f t="shared" si="8"/>
        <v/>
      </c>
    </row>
    <row r="231" spans="1:10">
      <c r="A231" s="91" t="str">
        <f>IF(Ericsson!Q234="","",IF(H231="up",Ericsson!Q234,""))</f>
        <v/>
      </c>
      <c r="B231" s="15" t="str">
        <f>IF(Ericsson!R234="","",IF(H231="up",Ericsson!R234,""))</f>
        <v/>
      </c>
      <c r="C231" s="15" t="str">
        <f>IF(Ericsson!S234="","",IF(H231="up",Ericsson!S234,""))</f>
        <v/>
      </c>
      <c r="D231" s="108" t="str">
        <f>IF(H231="up",Ericsson!U234,"")</f>
        <v/>
      </c>
      <c r="E231" s="12" t="str">
        <f t="shared" si="7"/>
        <v/>
      </c>
      <c r="H231" s="12" t="str">
        <f>Ericsson!T234</f>
        <v/>
      </c>
      <c r="J231" s="7" t="str">
        <f t="shared" si="8"/>
        <v/>
      </c>
    </row>
    <row r="232" spans="1:10">
      <c r="A232" s="91" t="str">
        <f>IF(Ericsson!Q235="","",IF(H232="up",Ericsson!Q235,""))</f>
        <v/>
      </c>
      <c r="B232" s="15" t="str">
        <f>IF(Ericsson!R235="","",IF(H232="up",Ericsson!R235,""))</f>
        <v/>
      </c>
      <c r="C232" s="15" t="str">
        <f>IF(Ericsson!S235="","",IF(H232="up",Ericsson!S235,""))</f>
        <v/>
      </c>
      <c r="D232" s="108" t="str">
        <f>IF(H232="up",Ericsson!U235,"")</f>
        <v/>
      </c>
      <c r="E232" s="12" t="str">
        <f t="shared" si="7"/>
        <v/>
      </c>
      <c r="H232" s="12" t="str">
        <f>Ericsson!T235</f>
        <v/>
      </c>
      <c r="J232" s="7" t="str">
        <f t="shared" si="8"/>
        <v/>
      </c>
    </row>
    <row r="233" spans="1:10">
      <c r="A233" s="91" t="str">
        <f>IF(Ericsson!Q236="","",IF(H233="up",Ericsson!Q236,""))</f>
        <v/>
      </c>
      <c r="B233" s="15" t="str">
        <f>IF(Ericsson!R236="","",IF(H233="up",Ericsson!R236,""))</f>
        <v/>
      </c>
      <c r="C233" s="15" t="str">
        <f>IF(Ericsson!S236="","",IF(H233="up",Ericsson!S236,""))</f>
        <v/>
      </c>
      <c r="D233" s="108" t="str">
        <f>IF(H233="up",Ericsson!U236,"")</f>
        <v/>
      </c>
      <c r="E233" s="12" t="str">
        <f t="shared" si="7"/>
        <v/>
      </c>
      <c r="H233" s="12" t="str">
        <f>Ericsson!T236</f>
        <v/>
      </c>
      <c r="J233" s="7" t="str">
        <f t="shared" si="8"/>
        <v/>
      </c>
    </row>
    <row r="234" spans="1:10">
      <c r="A234" s="91" t="str">
        <f>IF(Ericsson!Q237="","",IF(H234="up",Ericsson!Q237,""))</f>
        <v/>
      </c>
      <c r="B234" s="15" t="str">
        <f>IF(Ericsson!R237="","",IF(H234="up",Ericsson!R237,""))</f>
        <v/>
      </c>
      <c r="C234" s="15" t="str">
        <f>IF(Ericsson!S237="","",IF(H234="up",Ericsson!S237,""))</f>
        <v/>
      </c>
      <c r="D234" s="108" t="str">
        <f>IF(H234="up",Ericsson!U237,"")</f>
        <v/>
      </c>
      <c r="E234" s="12" t="str">
        <f t="shared" si="7"/>
        <v/>
      </c>
      <c r="H234" s="12" t="str">
        <f>Ericsson!T237</f>
        <v/>
      </c>
      <c r="J234" s="7" t="str">
        <f t="shared" si="8"/>
        <v/>
      </c>
    </row>
    <row r="235" spans="1:10">
      <c r="A235" s="91" t="str">
        <f>IF(Ericsson!Q238="","",IF(H235="up",Ericsson!Q238,""))</f>
        <v/>
      </c>
      <c r="B235" s="15" t="str">
        <f>IF(Ericsson!R238="","",IF(H235="up",Ericsson!R238,""))</f>
        <v/>
      </c>
      <c r="C235" s="15" t="str">
        <f>IF(Ericsson!S238="","",IF(H235="up",Ericsson!S238,""))</f>
        <v/>
      </c>
      <c r="D235" s="108" t="str">
        <f>IF(H235="up",Ericsson!U238,"")</f>
        <v/>
      </c>
      <c r="E235" s="12" t="str">
        <f t="shared" si="7"/>
        <v/>
      </c>
      <c r="H235" s="12" t="str">
        <f>Ericsson!T238</f>
        <v/>
      </c>
      <c r="J235" s="7" t="str">
        <f t="shared" si="8"/>
        <v/>
      </c>
    </row>
    <row r="236" spans="1:10">
      <c r="A236" s="91" t="str">
        <f>IF(Ericsson!Q239="","",IF(H236="up",Ericsson!Q239,""))</f>
        <v/>
      </c>
      <c r="B236" s="15" t="str">
        <f>IF(Ericsson!R239="","",IF(H236="up",Ericsson!R239,""))</f>
        <v/>
      </c>
      <c r="C236" s="15" t="str">
        <f>IF(Ericsson!S239="","",IF(H236="up",Ericsson!S239,""))</f>
        <v/>
      </c>
      <c r="D236" s="108" t="str">
        <f>IF(H236="up",Ericsson!U239,"")</f>
        <v/>
      </c>
      <c r="E236" s="12" t="str">
        <f t="shared" si="7"/>
        <v/>
      </c>
      <c r="H236" s="12" t="str">
        <f>Ericsson!T239</f>
        <v/>
      </c>
      <c r="J236" s="7" t="str">
        <f t="shared" si="8"/>
        <v/>
      </c>
    </row>
    <row r="237" spans="1:10">
      <c r="A237" s="91" t="str">
        <f>IF(Ericsson!Q240="","",IF(H237="up",Ericsson!Q240,""))</f>
        <v/>
      </c>
      <c r="B237" s="15" t="str">
        <f>IF(Ericsson!R240="","",IF(H237="up",Ericsson!R240,""))</f>
        <v/>
      </c>
      <c r="C237" s="15" t="str">
        <f>IF(Ericsson!S240="","",IF(H237="up",Ericsson!S240,""))</f>
        <v/>
      </c>
      <c r="D237" s="108" t="str">
        <f>IF(H237="up",Ericsson!U240,"")</f>
        <v/>
      </c>
      <c r="E237" s="12" t="str">
        <f t="shared" si="7"/>
        <v/>
      </c>
      <c r="H237" s="12" t="str">
        <f>Ericsson!T240</f>
        <v/>
      </c>
      <c r="J237" s="7" t="str">
        <f t="shared" si="8"/>
        <v/>
      </c>
    </row>
    <row r="238" spans="1:10">
      <c r="A238" s="91" t="str">
        <f>IF(Ericsson!Q241="","",IF(H238="up",Ericsson!Q241,""))</f>
        <v/>
      </c>
      <c r="B238" s="15" t="str">
        <f>IF(Ericsson!R241="","",IF(H238="up",Ericsson!R241,""))</f>
        <v/>
      </c>
      <c r="C238" s="15" t="str">
        <f>IF(Ericsson!S241="","",IF(H238="up",Ericsson!S241,""))</f>
        <v/>
      </c>
      <c r="D238" s="108" t="str">
        <f>IF(H238="up",Ericsson!U241,"")</f>
        <v/>
      </c>
      <c r="E238" s="12" t="str">
        <f t="shared" si="7"/>
        <v/>
      </c>
      <c r="H238" s="12" t="str">
        <f>Ericsson!T241</f>
        <v/>
      </c>
      <c r="J238" s="7" t="str">
        <f t="shared" si="8"/>
        <v/>
      </c>
    </row>
    <row r="239" spans="1:10">
      <c r="A239" s="91" t="str">
        <f>IF(Ericsson!Q242="","",IF(H239="up",Ericsson!Q242,""))</f>
        <v/>
      </c>
      <c r="B239" s="15" t="str">
        <f>IF(Ericsson!R242="","",IF(H239="up",Ericsson!R242,""))</f>
        <v/>
      </c>
      <c r="C239" s="15" t="str">
        <f>IF(Ericsson!S242="","",IF(H239="up",Ericsson!S242,""))</f>
        <v/>
      </c>
      <c r="D239" s="108" t="str">
        <f>IF(H239="up",Ericsson!U242,"")</f>
        <v/>
      </c>
      <c r="E239" s="12" t="str">
        <f t="shared" si="7"/>
        <v/>
      </c>
      <c r="H239" s="12" t="str">
        <f>Ericsson!T242</f>
        <v/>
      </c>
      <c r="J239" s="7" t="str">
        <f t="shared" si="8"/>
        <v/>
      </c>
    </row>
    <row r="240" spans="1:10">
      <c r="A240" s="91" t="str">
        <f>IF(Ericsson!Q243="","",IF(H240="up",Ericsson!Q243,""))</f>
        <v/>
      </c>
      <c r="B240" s="15" t="str">
        <f>IF(Ericsson!R243="","",IF(H240="up",Ericsson!R243,""))</f>
        <v/>
      </c>
      <c r="C240" s="15" t="str">
        <f>IF(Ericsson!S243="","",IF(H240="up",Ericsson!S243,""))</f>
        <v/>
      </c>
      <c r="D240" s="108" t="str">
        <f>IF(H240="up",Ericsson!U243,"")</f>
        <v/>
      </c>
      <c r="E240" s="12" t="str">
        <f t="shared" si="7"/>
        <v/>
      </c>
      <c r="H240" s="12" t="str">
        <f>Ericsson!T243</f>
        <v/>
      </c>
      <c r="J240" s="7" t="str">
        <f t="shared" si="8"/>
        <v/>
      </c>
    </row>
    <row r="241" spans="1:10">
      <c r="A241" s="91" t="str">
        <f>IF(Ericsson!Q244="","",IF(H241="up",Ericsson!Q244,""))</f>
        <v/>
      </c>
      <c r="B241" s="15" t="str">
        <f>IF(Ericsson!R244="","",IF(H241="up",Ericsson!R244,""))</f>
        <v/>
      </c>
      <c r="C241" s="15" t="str">
        <f>IF(Ericsson!S244="","",IF(H241="up",Ericsson!S244,""))</f>
        <v/>
      </c>
      <c r="D241" s="108" t="str">
        <f>IF(H241="up",Ericsson!U244,"")</f>
        <v/>
      </c>
      <c r="E241" s="12" t="str">
        <f t="shared" si="7"/>
        <v/>
      </c>
      <c r="H241" s="12" t="str">
        <f>Ericsson!T244</f>
        <v/>
      </c>
      <c r="J241" s="7" t="str">
        <f t="shared" si="8"/>
        <v/>
      </c>
    </row>
    <row r="242" spans="1:10">
      <c r="A242" s="91" t="str">
        <f>IF(Ericsson!Q245="","",IF(H242="up",Ericsson!Q245,""))</f>
        <v/>
      </c>
      <c r="B242" s="15" t="str">
        <f>IF(Ericsson!R245="","",IF(H242="up",Ericsson!R245,""))</f>
        <v/>
      </c>
      <c r="C242" s="15" t="str">
        <f>IF(Ericsson!S245="","",IF(H242="up",Ericsson!S245,""))</f>
        <v/>
      </c>
      <c r="D242" s="108" t="str">
        <f>IF(H242="up",Ericsson!U245,"")</f>
        <v/>
      </c>
      <c r="E242" s="12" t="str">
        <f t="shared" si="7"/>
        <v/>
      </c>
      <c r="H242" s="12" t="str">
        <f>Ericsson!T245</f>
        <v/>
      </c>
      <c r="J242" s="7" t="str">
        <f t="shared" si="8"/>
        <v/>
      </c>
    </row>
    <row r="243" spans="1:10">
      <c r="A243" s="91" t="str">
        <f>IF(Ericsson!Q246="","",IF(H243="up",Ericsson!Q246,""))</f>
        <v/>
      </c>
      <c r="B243" s="15" t="str">
        <f>IF(Ericsson!R246="","",IF(H243="up",Ericsson!R246,""))</f>
        <v/>
      </c>
      <c r="C243" s="15" t="str">
        <f>IF(Ericsson!S246="","",IF(H243="up",Ericsson!S246,""))</f>
        <v/>
      </c>
      <c r="D243" s="108" t="str">
        <f>IF(H243="up",Ericsson!U246,"")</f>
        <v/>
      </c>
      <c r="E243" s="12" t="str">
        <f t="shared" si="7"/>
        <v/>
      </c>
      <c r="H243" s="12" t="str">
        <f>Ericsson!T246</f>
        <v/>
      </c>
      <c r="J243" s="7" t="str">
        <f t="shared" si="8"/>
        <v/>
      </c>
    </row>
    <row r="244" spans="1:10">
      <c r="A244" s="91" t="str">
        <f>IF(Ericsson!Q247="","",IF(H244="up",Ericsson!Q247,""))</f>
        <v/>
      </c>
      <c r="B244" s="15" t="str">
        <f>IF(Ericsson!R247="","",IF(H244="up",Ericsson!R247,""))</f>
        <v/>
      </c>
      <c r="C244" s="15" t="str">
        <f>IF(Ericsson!S247="","",IF(H244="up",Ericsson!S247,""))</f>
        <v/>
      </c>
      <c r="D244" s="108" t="str">
        <f>IF(H244="up",Ericsson!U247,"")</f>
        <v/>
      </c>
      <c r="E244" s="12" t="str">
        <f t="shared" si="7"/>
        <v/>
      </c>
      <c r="H244" s="12" t="str">
        <f>Ericsson!T247</f>
        <v/>
      </c>
      <c r="J244" s="7" t="str">
        <f t="shared" si="8"/>
        <v/>
      </c>
    </row>
    <row r="245" spans="1:10">
      <c r="A245" s="91" t="str">
        <f>IF(Ericsson!Q248="","",IF(H245="up",Ericsson!Q248,""))</f>
        <v/>
      </c>
      <c r="B245" s="15" t="str">
        <f>IF(Ericsson!R248="","",IF(H245="up",Ericsson!R248,""))</f>
        <v/>
      </c>
      <c r="C245" s="15" t="str">
        <f>IF(Ericsson!S248="","",IF(H245="up",Ericsson!S248,""))</f>
        <v/>
      </c>
      <c r="D245" s="108" t="str">
        <f>IF(H245="up",Ericsson!U248,"")</f>
        <v/>
      </c>
      <c r="E245" s="12" t="str">
        <f t="shared" si="7"/>
        <v/>
      </c>
      <c r="H245" s="12" t="str">
        <f>Ericsson!T248</f>
        <v/>
      </c>
      <c r="J245" s="7" t="str">
        <f t="shared" si="8"/>
        <v/>
      </c>
    </row>
    <row r="246" spans="1:10">
      <c r="A246" s="91" t="str">
        <f>IF(Ericsson!Q249="","",IF(H246="up",Ericsson!Q249,""))</f>
        <v/>
      </c>
      <c r="B246" s="15" t="str">
        <f>IF(Ericsson!R249="","",IF(H246="up",Ericsson!R249,""))</f>
        <v/>
      </c>
      <c r="C246" s="15" t="str">
        <f>IF(Ericsson!S249="","",IF(H246="up",Ericsson!S249,""))</f>
        <v/>
      </c>
      <c r="D246" s="108" t="str">
        <f>IF(H246="up",Ericsson!U249,"")</f>
        <v/>
      </c>
      <c r="E246" s="12" t="str">
        <f t="shared" si="7"/>
        <v/>
      </c>
      <c r="H246" s="12" t="str">
        <f>Ericsson!T249</f>
        <v/>
      </c>
      <c r="J246" s="7" t="str">
        <f t="shared" si="8"/>
        <v/>
      </c>
    </row>
    <row r="247" spans="1:10">
      <c r="A247" s="91" t="str">
        <f>IF(Ericsson!Q250="","",IF(H247="up",Ericsson!Q250,""))</f>
        <v/>
      </c>
      <c r="B247" s="15" t="str">
        <f>IF(Ericsson!R250="","",IF(H247="up",Ericsson!R250,""))</f>
        <v/>
      </c>
      <c r="C247" s="15" t="str">
        <f>IF(Ericsson!S250="","",IF(H247="up",Ericsson!S250,""))</f>
        <v/>
      </c>
      <c r="D247" s="108" t="str">
        <f>IF(H247="up",Ericsson!U250,"")</f>
        <v/>
      </c>
      <c r="E247" s="12" t="str">
        <f t="shared" si="7"/>
        <v/>
      </c>
      <c r="H247" s="12" t="str">
        <f>Ericsson!T250</f>
        <v/>
      </c>
      <c r="J247" s="7" t="str">
        <f t="shared" si="8"/>
        <v/>
      </c>
    </row>
    <row r="248" spans="1:10">
      <c r="A248" s="91" t="str">
        <f>IF(Ericsson!Q251="","",IF(H248="up",Ericsson!Q251,""))</f>
        <v/>
      </c>
      <c r="B248" s="15" t="str">
        <f>IF(Ericsson!R251="","",IF(H248="up",Ericsson!R251,""))</f>
        <v/>
      </c>
      <c r="C248" s="15" t="str">
        <f>IF(Ericsson!S251="","",IF(H248="up",Ericsson!S251,""))</f>
        <v/>
      </c>
      <c r="D248" s="108" t="str">
        <f>IF(H248="up",Ericsson!U251,"")</f>
        <v/>
      </c>
      <c r="E248" s="12" t="str">
        <f t="shared" si="7"/>
        <v/>
      </c>
      <c r="H248" s="12" t="str">
        <f>Ericsson!T251</f>
        <v/>
      </c>
      <c r="J248" s="7" t="str">
        <f t="shared" si="8"/>
        <v/>
      </c>
    </row>
    <row r="249" spans="1:10">
      <c r="A249" s="91" t="str">
        <f>IF(Ericsson!Q252="","",IF(H249="up",Ericsson!Q252,""))</f>
        <v/>
      </c>
      <c r="B249" s="15" t="str">
        <f>IF(Ericsson!R252="","",IF(H249="up",Ericsson!R252,""))</f>
        <v/>
      </c>
      <c r="C249" s="15" t="str">
        <f>IF(Ericsson!S252="","",IF(H249="up",Ericsson!S252,""))</f>
        <v/>
      </c>
      <c r="D249" s="108" t="str">
        <f>IF(H249="up",Ericsson!U252,"")</f>
        <v/>
      </c>
      <c r="E249" s="12" t="str">
        <f t="shared" si="7"/>
        <v/>
      </c>
      <c r="H249" s="12" t="str">
        <f>Ericsson!T252</f>
        <v/>
      </c>
      <c r="J249" s="7" t="str">
        <f t="shared" si="8"/>
        <v/>
      </c>
    </row>
    <row r="250" spans="1:10">
      <c r="A250" s="91" t="str">
        <f>IF(Ericsson!Q253="","",IF(H250="up",Ericsson!Q253,""))</f>
        <v/>
      </c>
      <c r="B250" s="15" t="str">
        <f>IF(Ericsson!R253="","",IF(H250="up",Ericsson!R253,""))</f>
        <v/>
      </c>
      <c r="C250" s="15" t="str">
        <f>IF(Ericsson!S253="","",IF(H250="up",Ericsson!S253,""))</f>
        <v/>
      </c>
      <c r="D250" s="108" t="str">
        <f>IF(H250="up",Ericsson!U253,"")</f>
        <v/>
      </c>
      <c r="E250" s="12" t="str">
        <f t="shared" si="7"/>
        <v/>
      </c>
      <c r="H250" s="12" t="str">
        <f>Ericsson!T253</f>
        <v/>
      </c>
      <c r="J250" s="7" t="str">
        <f t="shared" si="8"/>
        <v/>
      </c>
    </row>
    <row r="251" spans="1:10">
      <c r="A251" s="98"/>
      <c r="B251" s="98"/>
      <c r="C251" s="98"/>
      <c r="D251" s="109"/>
      <c r="E251" s="98"/>
      <c r="H251" s="96"/>
      <c r="J251" s="7">
        <f>PRODUCT(J3:J51)</f>
        <v>1</v>
      </c>
    </row>
    <row r="252" spans="1:10">
      <c r="A252" s="98"/>
    </row>
    <row r="253" spans="1:10">
      <c r="A253" s="98"/>
    </row>
    <row r="254" spans="1:10">
      <c r="A254" s="98"/>
    </row>
  </sheetData>
  <sortState ref="A5:H194">
    <sortCondition ref="D5:D194"/>
    <sortCondition descending="1" ref="H5:H194"/>
  </sortState>
  <hyperlinks>
    <hyperlink ref="L8" r:id="rId1"/>
    <hyperlink ref="L1" display="NOSSHotlineSouth@waridtel.com;WICC.NOC@waridtel.com;wind@waridtel.com;syed.burhanulhaq@yahoo.com;south1.hd@gmail.com;south3.hd@gmail.com;yousuf.t@hotmail.com;jawad.ali.alu@gmail.com;muhammad.saqib.huawei@gmail.com;shahid.saleem@huawei.com;shoaib.khan1@hua"/>
    <hyperlink ref="L2" r:id="rId2"/>
    <hyperlink ref="L7" r:id="rId3"/>
    <hyperlink ref="L13" r:id="rId4"/>
    <hyperlink ref="L14" r:id="rId5"/>
  </hyperlinks>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58"/>
  <sheetViews>
    <sheetView workbookViewId="0">
      <selection activeCell="C1" sqref="C1"/>
    </sheetView>
  </sheetViews>
  <sheetFormatPr defaultRowHeight="12.75"/>
  <cols>
    <col min="1" max="1" width="10.140625" customWidth="1"/>
    <col min="2" max="2" width="13" customWidth="1"/>
    <col min="3" max="3" width="127.85546875" customWidth="1"/>
    <col min="5" max="5" width="10.140625" bestFit="1" customWidth="1"/>
    <col min="6" max="6" width="17.28515625" customWidth="1"/>
  </cols>
  <sheetData>
    <row r="1" spans="1:23" ht="31.5" customHeight="1">
      <c r="A1" s="9" t="s">
        <v>8126</v>
      </c>
      <c r="B1" s="113" t="s">
        <v>4977</v>
      </c>
      <c r="C1" s="114" t="str">
        <f>J1</f>
        <v xml:space="preserve">
Following sites are down for more than 3 hours
1.MU7720 ()
Start Time:  03/02/2017 07:36
Current Reason: 
Intimated Timeline: (No Timeline)
2.GJ7654 (P2)
Start Time:  03/02/2017 10:16
Current Reason: 
Intimated Timeline: (No Timeline)
3.LH1077 (P1)
Start Time:  03/02/2017 11:29
Current Reason: 
Intimated Timeline: (No Timeline)
</v>
      </c>
      <c r="D1" s="115"/>
      <c r="E1" s="116"/>
      <c r="F1" s="115"/>
      <c r="G1" s="115"/>
      <c r="H1" s="115"/>
      <c r="I1" s="115"/>
      <c r="J1" s="115" t="str">
        <f>K1&amp;CHAR(10)&amp;L1&amp;CHAR(10)&amp;M1&amp;CHAR(10)&amp;N1</f>
        <v xml:space="preserve">
Following sites are down for more than 3 hours
1.MU7720 ()
Start Time:  03/02/2017 07:36
Current Reason: 
Intimated Timeline: (No Timeline)
2.GJ7654 (P2)
Start Time:  03/02/2017 10:16
Current Reason: 
Intimated Timeline: (No Timeline)
3.LH1077 (P1)
Start Time:  03/02/2017 11:29
Current Reason: 
Intimated Timeline: (No Timeline)
</v>
      </c>
      <c r="K1" s="115" t="str">
        <f>IF(K2="","",CHAR(10))&amp;K2&amp;CHAR(10)&amp;IF(K3="","",CHAR(10))&amp;K3&amp;CHAR(10)&amp;IF(K4="","",CHAR(10))&amp;K4&amp;CHAR(10)&amp;IF(K5="","",CHAR(10))&amp;K5&amp;CHAR(10)&amp;IF(K6="","",CHAR(10))&amp;K6&amp;CHAR(10)&amp;IF(K7="","",CHAR(10))&amp;K7&amp;CHAR(10)&amp;IF(K8="","",CHAR(10))&amp;K8&amp;CHAR(10)&amp;IF(K9="","",CHAR(10))&amp;K9&amp;CHAR(10)&amp;IF(K10="","",CHAR(10))&amp;K10&amp;CHAR(10)&amp;IF(K11="","",CHAR(10))&amp;K11&amp;CHAR(10)&amp;IF(K12="","",CHAR(10))&amp;K12&amp;CHAR(10)&amp;IF(K13="","",CHAR(10))&amp;K13&amp;CHAR(10)&amp;IF(K14="","",CHAR(10))&amp;K14&amp;CHAR(10)&amp;IF(K15="","",CHAR(10))&amp;K15&amp;CHAR(10)&amp;IF(K16="","",CHAR(10))&amp;K16&amp;CHAR(10)&amp;IF(K17="","",CHAR(10))&amp;K17&amp;CHAR(10)&amp;IF(K18="","",CHAR(10))&amp;K18&amp;CHAR(10)&amp;IF(K19="","",CHAR(10))&amp;K19&amp;CHAR(10)&amp;IF(K20="","",CHAR(10))&amp;K20&amp;CHAR(10)&amp;IF(K21="","",CHAR(10))&amp;K21&amp;CHAR(10)&amp;IF(K22="","",CHAR(10))&amp;K22&amp;CHAR(10)&amp;IF(K23="","",CHAR(10))&amp;K23&amp;CHAR(10)&amp;IF(K24="","",CHAR(10))&amp;K24&amp;CHAR(10)&amp;IF(K25="","",CHAR(10))&amp;K25&amp;CHAR(10)&amp;IF(K26="","",CHAR(10))&amp;K26</f>
        <v xml:space="preserve">
Following sites are down for more than 3 hours
1.MU7720 ()
Start Time:  03/02/2017 07:36
Current Reason: 
Intimated Timeline: (No Timeline)
2.GJ7654 (P2)
Start Time:  03/02/2017 10:16
Current Reason: 
Intimated Timeline: (No Timeline)
3.LH1077 (P1)
Start Time:  03/02/2017 11:29
Current Reason: 
Intimated Timeline: (No Timeline)
</v>
      </c>
      <c r="L1" s="115" t="str">
        <f>IF(K27="","",CHAR(10))&amp;K27&amp;CHAR(10)&amp;IF(K28="","",CHAR(10))&amp;K28&amp;CHAR(10)&amp;IF(K29="","",CHAR(10))&amp;K29&amp;CHAR(10)&amp;IF(K30="","",CHAR(10))&amp;K30&amp;CHAR(10)&amp;IF(K31="","",CHAR(10))&amp;K31&amp;CHAR(10)&amp;IF(K32="","",CHAR(10))&amp;K32&amp;CHAR(10)&amp;IF(K33="","",CHAR(10))&amp;K33&amp;CHAR(10)&amp;IF(K34="","",CHAR(10))&amp;K34&amp;CHAR(10)&amp;IF(K35="","",CHAR(10))&amp;K35&amp;CHAR(10)&amp;IF(K36="","",CHAR(10))&amp;K36&amp;CHAR(10)&amp;IF(K37="","",CHAR(10))&amp;K37&amp;CHAR(10)&amp;IF(K38="","",CHAR(10))&amp;K38&amp;CHAR(10)&amp;IF(K39="","",CHAR(10))&amp;K39&amp;CHAR(10)&amp;IF(K40="","",CHAR(10))&amp;K40&amp;CHAR(10)&amp;IF(K41="","",CHAR(10))&amp;K41&amp;CHAR(10)&amp;IF(K42="","",CHAR(10))&amp;K42&amp;CHAR(10)&amp;IF(K43="","",CHAR(10))&amp;K43&amp;CHAR(10)&amp;IF(K44="","",CHAR(10))&amp;K44&amp;CHAR(10)&amp;IF(K45="","",CHAR(10))&amp;K45&amp;CHAR(10)&amp;IF(K46="","",CHAR(10))&amp;K46&amp;CHAR(10)&amp;IF(K47="","",CHAR(10))&amp;K47&amp;CHAR(10)&amp;IF(K48="","",CHAR(10))&amp;K48&amp;CHAR(10)&amp;IF(K49="","",CHAR(10))&amp;K49&amp;CHAR(10)&amp;IF(K50="","",CHAR(10))&amp;K50&amp;CHAR(10)&amp;IF(K51="","",CHAR(10))&amp;K51</f>
        <v xml:space="preserve">
</v>
      </c>
      <c r="M1" s="115" t="str">
        <f>IF(K51="","",CHAR(10))&amp;K51&amp;IF(K52="","",CHAR(10))&amp;K52&amp;IF(K53="","",CHAR(10))&amp;K53&amp;IF(K54="","",CHAR(10))&amp;K54&amp;IF(K55="","",CHAR(10))&amp;K55&amp;IF(K56="","",CHAR(10))&amp;K56&amp;IF(K57="","",CHAR(10))&amp;K57&amp;IF(K58="","",CHAR(10))&amp;K58&amp;IF(K59="","",CHAR(10))&amp;K59&amp;IF(K60="","",CHAR(10))&amp;K60&amp;IF(K61="","",CHAR(10))&amp;K61&amp;IF(K62="","",CHAR(10))&amp;K62&amp;IF(K63="","",CHAR(10))&amp;K63&amp;IF(K64="","",CHAR(10))&amp;K64&amp;IF(K65="","",CHAR(10))&amp;K65&amp;IF(K66="","",CHAR(10))&amp;K66&amp;IF(K67="","",CHAR(10))&amp;K67&amp;IF(K68="","",CHAR(10))&amp;K68&amp;IF(K69="","",CHAR(10))&amp;K69&amp;IF(K70="","",CHAR(10))&amp;K70&amp;IF(K71="","",CHAR(10))&amp;K71&amp;IF(K72="","",CHAR(10))&amp;K72&amp;IF(K73="","",CHAR(10))&amp;K73&amp;IF(K74="","",CHAR(10))&amp;K74&amp;IF(K75="","",CHAR(10))&amp;K75</f>
        <v/>
      </c>
      <c r="N1" s="115" t="str">
        <f>IF(K76="","",CHAR(10))&amp;K76&amp;IF(K77="","",CHAR(10))&amp;K77&amp;IF(K78="","",CHAR(10))&amp;K78&amp;IF(K79="","",CHAR(10))&amp;K79&amp;IF(K80="","",CHAR(10))&amp;K80&amp;IF(K81="","",CHAR(10))&amp;K81&amp;IF(K82="","",CHAR(10))&amp;K82&amp;IF(K83="","",CHAR(10))&amp;K83&amp;IF(K84="","",CHAR(10))&amp;K84&amp;IF(K85="","",CHAR(10))&amp;K85&amp;IF(K86="","",CHAR(10))&amp;K86&amp;IF(K87="","",CHAR(10))&amp;K87&amp;IF(K88="","",CHAR(10))&amp;K88&amp;IF(K89="","",CHAR(10))&amp;K89&amp;IF(K90="","",CHAR(10))&amp;K90&amp;IF(K91="","",CHAR(10))&amp;K91&amp;IF(K92="","",CHAR(10))&amp;K92&amp;IF(K93="","",CHAR(10))&amp;K93&amp;IF(K94="","",CHAR(10))&amp;K94&amp;IF(K95="","",CHAR(10))&amp;K95&amp;IF(K96="","",CHAR(10))&amp;K96&amp;IF(K97="","",CHAR(10))&amp;K97&amp;IF(K98="","",CHAR(10))&amp;K98&amp;IF(K99="","",CHAR(10))&amp;K99&amp;IF(K100="","",CHAR(10))&amp;K100</f>
        <v/>
      </c>
    </row>
    <row r="2" spans="1:23">
      <c r="A2" s="6"/>
      <c r="B2" s="113"/>
      <c r="C2" s="117"/>
      <c r="D2" s="117"/>
      <c r="E2" s="117"/>
      <c r="F2" s="117"/>
      <c r="G2" s="117"/>
      <c r="H2" s="6"/>
      <c r="I2" s="6"/>
      <c r="J2" s="6"/>
      <c r="K2" s="113" t="s">
        <v>4977</v>
      </c>
      <c r="L2" s="118"/>
      <c r="M2" s="6"/>
      <c r="N2" s="6"/>
    </row>
    <row r="3" spans="1:23">
      <c r="A3" s="6"/>
      <c r="B3" s="117"/>
      <c r="C3" s="119"/>
      <c r="D3" s="117"/>
      <c r="E3" s="117"/>
      <c r="F3" s="117"/>
      <c r="G3" s="117"/>
      <c r="H3" s="6"/>
      <c r="I3" s="6"/>
      <c r="J3" s="6"/>
      <c r="K3" s="113"/>
      <c r="L3" s="120"/>
      <c r="M3" s="6"/>
      <c r="N3" s="6"/>
    </row>
    <row r="4" spans="1:23">
      <c r="A4" s="6"/>
      <c r="B4" s="118"/>
      <c r="C4" s="117"/>
      <c r="D4" s="117"/>
      <c r="E4" s="117"/>
      <c r="F4" s="117"/>
      <c r="G4" s="117"/>
      <c r="H4" s="6"/>
      <c r="I4" s="6"/>
      <c r="J4" s="6"/>
      <c r="K4" s="6"/>
      <c r="L4" s="120"/>
      <c r="M4" s="6"/>
      <c r="N4" s="6"/>
    </row>
    <row r="5" spans="1:23" ht="15.75">
      <c r="A5" s="121" t="s">
        <v>4978</v>
      </c>
      <c r="B5" s="223" t="s">
        <v>7967</v>
      </c>
      <c r="C5" s="223" t="s">
        <v>7968</v>
      </c>
      <c r="D5" s="223" t="s">
        <v>7969</v>
      </c>
      <c r="E5" s="116" t="str">
        <f>IF(ISNA(VLOOKUP(D5,Ericsson!AG:AH,2,FALSE)),"",VLOOKUP(D5,Ericsson!AG:AH,2,FALSE))</f>
        <v/>
      </c>
      <c r="F5" s="122" t="str">
        <f>IF(B5="","",((TEXT(REPLACE(B5,6,1,"/2017 "),"dd/mm/yyyy hh:mm"))))</f>
        <v>03/02/2017 07:36</v>
      </c>
      <c r="G5" s="3"/>
      <c r="H5" s="101"/>
      <c r="I5" s="101"/>
      <c r="J5" s="101"/>
      <c r="K5" s="3" t="str">
        <f t="shared" ref="K5:K55" si="0">IF(D5="","",(IF(A5="","",A5)&amp;IF(D5="","",D5&amp;" "&amp;"("&amp;E5&amp;")"&amp;CHAR(10)&amp;"Start Time:  "&amp;F5&amp;CHAR(10)&amp;"Current Reason: "&amp;CHAR(10)&amp;"Intimated Timeline: "&amp;"(No Timeline)")))</f>
        <v>1.MU7720 ()
Start Time:  03/02/2017 07:36
Current Reason: 
Intimated Timeline: (No Timeline)</v>
      </c>
      <c r="L5" s="123"/>
      <c r="M5" s="6"/>
      <c r="N5" s="6"/>
      <c r="S5" s="223"/>
      <c r="T5" s="223"/>
      <c r="U5" s="223"/>
      <c r="V5" s="221"/>
      <c r="W5" s="221" t="s">
        <v>5082</v>
      </c>
    </row>
    <row r="6" spans="1:23" ht="15.75">
      <c r="A6" s="121" t="s">
        <v>4979</v>
      </c>
      <c r="B6" s="223" t="s">
        <v>8022</v>
      </c>
      <c r="C6" s="223" t="s">
        <v>7980</v>
      </c>
      <c r="D6" s="223" t="s">
        <v>5353</v>
      </c>
      <c r="E6" s="116" t="str">
        <f>IF(ISNA(VLOOKUP(D6,Ericsson!AG:AH,2,FALSE)),"",VLOOKUP(D6,Ericsson!AG:AH,2,FALSE))</f>
        <v>P2</v>
      </c>
      <c r="F6" s="122" t="str">
        <f t="shared" ref="F6:F55" si="1">IF(B6="","",((TEXT(REPLACE(B6,6,1,"/2017 "),"dd/mm/yyyy hh:mm"))))</f>
        <v>03/02/2017 10:16</v>
      </c>
      <c r="G6" s="3"/>
      <c r="H6" s="101"/>
      <c r="I6" s="101"/>
      <c r="J6" s="101"/>
      <c r="K6" s="3" t="str">
        <f t="shared" si="0"/>
        <v>2.GJ7654 (P2)
Start Time:  03/02/2017 10:16
Current Reason: 
Intimated Timeline: (No Timeline)</v>
      </c>
      <c r="L6" s="6"/>
      <c r="M6" s="6"/>
      <c r="N6" s="6"/>
      <c r="S6" s="223"/>
      <c r="T6" s="223"/>
      <c r="U6" s="223"/>
      <c r="V6" s="101"/>
    </row>
    <row r="7" spans="1:23" ht="15.75">
      <c r="A7" s="121" t="s">
        <v>4980</v>
      </c>
      <c r="B7" s="226" t="s">
        <v>8044</v>
      </c>
      <c r="C7" s="226" t="s">
        <v>7973</v>
      </c>
      <c r="D7" s="226" t="s">
        <v>284</v>
      </c>
      <c r="E7" s="116" t="str">
        <f>IF(ISNA(VLOOKUP(D7,Ericsson!AG:AH,2,FALSE)),"",VLOOKUP(D7,Ericsson!AG:AH,2,FALSE))</f>
        <v>P1</v>
      </c>
      <c r="F7" s="122" t="str">
        <f t="shared" si="1"/>
        <v>03/02/2017 11:29</v>
      </c>
      <c r="G7" s="3"/>
      <c r="H7" s="101"/>
      <c r="I7" s="101"/>
      <c r="J7" s="101"/>
      <c r="K7" s="3" t="str">
        <f t="shared" si="0"/>
        <v>3.LH1077 (P1)
Start Time:  03/02/2017 11:29
Current Reason: 
Intimated Timeline: (No Timeline)</v>
      </c>
      <c r="L7" s="6"/>
      <c r="M7" s="6"/>
      <c r="N7" s="6"/>
      <c r="S7" s="226"/>
      <c r="T7" s="226"/>
      <c r="U7" s="226"/>
      <c r="V7" s="101"/>
    </row>
    <row r="8" spans="1:23" ht="15.75">
      <c r="A8" s="121" t="s">
        <v>4981</v>
      </c>
      <c r="B8" s="139"/>
      <c r="C8" s="139"/>
      <c r="D8" s="141"/>
      <c r="E8" s="116" t="str">
        <f>IF(ISNA(VLOOKUP(D8,Ericsson!AG:AH,2,FALSE)),"",VLOOKUP(D8,Ericsson!AG:AH,2,FALSE))</f>
        <v/>
      </c>
      <c r="F8" s="122" t="str">
        <f t="shared" si="1"/>
        <v/>
      </c>
      <c r="G8" s="3"/>
      <c r="H8" s="116"/>
      <c r="I8" s="116"/>
      <c r="J8" s="124"/>
      <c r="K8" s="3" t="str">
        <f t="shared" si="0"/>
        <v/>
      </c>
      <c r="L8" s="115"/>
      <c r="M8" s="115"/>
      <c r="N8" s="115"/>
      <c r="S8" s="139"/>
      <c r="T8" s="139"/>
      <c r="U8" s="141"/>
    </row>
    <row r="9" spans="1:23" ht="15.75">
      <c r="A9" s="121" t="s">
        <v>4982</v>
      </c>
      <c r="B9" s="143"/>
      <c r="C9" s="144"/>
      <c r="D9" s="144"/>
      <c r="E9" s="116" t="str">
        <f>IF(ISNA(VLOOKUP(D9,Ericsson!AG:AH,2,FALSE)),"",VLOOKUP(D9,Ericsson!AG:AH,2,FALSE))</f>
        <v/>
      </c>
      <c r="F9" s="122" t="str">
        <f t="shared" si="1"/>
        <v/>
      </c>
      <c r="G9" s="3"/>
      <c r="H9" s="116"/>
      <c r="I9" s="116"/>
      <c r="J9" s="124"/>
      <c r="K9" s="3" t="str">
        <f t="shared" si="0"/>
        <v/>
      </c>
      <c r="L9" s="115"/>
      <c r="M9" s="115"/>
      <c r="N9" s="115"/>
      <c r="S9" s="143"/>
      <c r="T9" s="144"/>
      <c r="U9" s="144"/>
    </row>
    <row r="10" spans="1:23" ht="15.75">
      <c r="A10" s="121" t="s">
        <v>4983</v>
      </c>
      <c r="B10" s="144"/>
      <c r="C10" s="138"/>
      <c r="D10" s="75"/>
      <c r="E10" s="116" t="str">
        <f>IF(ISNA(VLOOKUP(D10,Ericsson!AG:AH,2,FALSE)),"",VLOOKUP(D10,Ericsson!AG:AH,2,FALSE))</f>
        <v/>
      </c>
      <c r="F10" s="122" t="str">
        <f t="shared" si="1"/>
        <v/>
      </c>
      <c r="G10" s="3"/>
      <c r="H10" s="116"/>
      <c r="I10" s="116"/>
      <c r="J10" s="124"/>
      <c r="K10" s="3" t="str">
        <f t="shared" si="0"/>
        <v/>
      </c>
      <c r="L10" s="115"/>
      <c r="M10" s="115"/>
      <c r="N10" s="115"/>
      <c r="S10" s="144"/>
      <c r="T10" s="138"/>
      <c r="U10" s="75"/>
    </row>
    <row r="11" spans="1:23" ht="15.75">
      <c r="A11" s="121" t="s">
        <v>4984</v>
      </c>
      <c r="B11" s="149"/>
      <c r="C11" s="144"/>
      <c r="D11" s="144"/>
      <c r="E11" s="116" t="str">
        <f>IF(ISNA(VLOOKUP(D11,Ericsson!AG:AH,2,FALSE)),"",VLOOKUP(D11,Ericsson!AG:AH,2,FALSE))</f>
        <v/>
      </c>
      <c r="F11" s="122" t="str">
        <f t="shared" si="1"/>
        <v/>
      </c>
      <c r="G11" s="3"/>
      <c r="H11" s="116"/>
      <c r="I11" s="116"/>
      <c r="J11" s="124"/>
      <c r="K11" s="3" t="str">
        <f t="shared" si="0"/>
        <v/>
      </c>
      <c r="L11" s="6"/>
      <c r="M11" s="6"/>
      <c r="N11" s="6"/>
      <c r="S11" s="149"/>
      <c r="T11" s="144"/>
      <c r="U11" s="144"/>
    </row>
    <row r="12" spans="1:23" ht="15.75">
      <c r="A12" s="121" t="s">
        <v>4985</v>
      </c>
      <c r="B12" s="5"/>
      <c r="D12" s="1"/>
      <c r="E12" s="116" t="str">
        <f>IF(ISNA(VLOOKUP(D12,Ericsson!AG:AH,2,FALSE)),"",VLOOKUP(D12,Ericsson!AG:AH,2,FALSE))</f>
        <v/>
      </c>
      <c r="F12" s="122" t="str">
        <f t="shared" si="1"/>
        <v/>
      </c>
      <c r="G12" s="3"/>
      <c r="H12" s="116"/>
      <c r="I12" s="116"/>
      <c r="J12" s="124"/>
      <c r="K12" s="3" t="str">
        <f t="shared" si="0"/>
        <v/>
      </c>
      <c r="L12" s="6"/>
      <c r="M12" s="6"/>
      <c r="N12" s="6"/>
      <c r="S12" s="5"/>
      <c r="U12" s="1"/>
    </row>
    <row r="13" spans="1:23" ht="15.75">
      <c r="A13" s="121" t="s">
        <v>4986</v>
      </c>
      <c r="B13" s="5"/>
      <c r="D13" s="1"/>
      <c r="E13" s="116" t="str">
        <f>IF(ISNA(VLOOKUP(D13,Ericsson!AG:AH,2,FALSE)),"",VLOOKUP(D13,Ericsson!AG:AH,2,FALSE))</f>
        <v/>
      </c>
      <c r="F13" s="122" t="str">
        <f t="shared" si="1"/>
        <v/>
      </c>
      <c r="G13" s="3"/>
      <c r="H13" s="116"/>
      <c r="I13" s="116"/>
      <c r="J13" s="122"/>
      <c r="K13" s="3" t="str">
        <f t="shared" si="0"/>
        <v/>
      </c>
      <c r="L13" s="6"/>
      <c r="M13" s="6"/>
      <c r="N13" s="6"/>
      <c r="S13" s="5"/>
      <c r="U13" s="1"/>
    </row>
    <row r="14" spans="1:23" ht="15.75">
      <c r="A14" s="121" t="s">
        <v>4987</v>
      </c>
      <c r="B14" s="5"/>
      <c r="D14" s="1"/>
      <c r="E14" s="116" t="str">
        <f>IF(ISNA(VLOOKUP(D14,Ericsson!AG:AH,2,FALSE)),"",VLOOKUP(D14,Ericsson!AG:AH,2,FALSE))</f>
        <v/>
      </c>
      <c r="F14" s="122" t="str">
        <f t="shared" si="1"/>
        <v/>
      </c>
      <c r="G14" s="3"/>
      <c r="H14" s="116"/>
      <c r="I14" s="116"/>
      <c r="J14" s="122"/>
      <c r="K14" s="3" t="str">
        <f t="shared" si="0"/>
        <v/>
      </c>
      <c r="L14" s="6"/>
      <c r="M14" s="6"/>
      <c r="N14" s="6"/>
      <c r="S14" s="5"/>
      <c r="U14" s="1"/>
    </row>
    <row r="15" spans="1:23" ht="15.75">
      <c r="A15" s="121" t="s">
        <v>4988</v>
      </c>
      <c r="B15" s="5"/>
      <c r="D15" s="1"/>
      <c r="E15" s="116" t="str">
        <f>IF(ISNA(VLOOKUP(D15,Ericsson!AG:AH,2,FALSE)),"",VLOOKUP(D15,Ericsson!AG:AH,2,FALSE))</f>
        <v/>
      </c>
      <c r="F15" s="122" t="str">
        <f t="shared" si="1"/>
        <v/>
      </c>
      <c r="G15" s="3"/>
      <c r="H15" s="116"/>
      <c r="I15" s="116"/>
      <c r="J15" s="122"/>
      <c r="K15" s="3" t="str">
        <f t="shared" si="0"/>
        <v/>
      </c>
      <c r="S15" s="5"/>
      <c r="U15" s="1"/>
    </row>
    <row r="16" spans="1:23" ht="15.75">
      <c r="A16" s="121" t="s">
        <v>4989</v>
      </c>
      <c r="B16" s="5"/>
      <c r="D16" s="1"/>
      <c r="E16" s="116" t="str">
        <f>IF(ISNA(VLOOKUP(D16,Ericsson!AG:AH,2,FALSE)),"",VLOOKUP(D16,Ericsson!AG:AH,2,FALSE))</f>
        <v/>
      </c>
      <c r="F16" s="122" t="str">
        <f t="shared" si="1"/>
        <v/>
      </c>
      <c r="G16" s="3"/>
      <c r="H16" s="116"/>
      <c r="I16" s="116"/>
      <c r="J16" s="122"/>
      <c r="K16" s="3" t="str">
        <f t="shared" si="0"/>
        <v/>
      </c>
      <c r="S16" s="5"/>
      <c r="U16" s="1"/>
    </row>
    <row r="17" spans="1:21" ht="15.75">
      <c r="A17" s="121" t="s">
        <v>4990</v>
      </c>
      <c r="B17" s="5"/>
      <c r="D17" s="1"/>
      <c r="E17" s="116" t="str">
        <f>IF(ISNA(VLOOKUP(D17,Ericsson!AG:AH,2,FALSE)),"",VLOOKUP(D17,Ericsson!AG:AH,2,FALSE))</f>
        <v/>
      </c>
      <c r="F17" s="122" t="str">
        <f t="shared" si="1"/>
        <v/>
      </c>
      <c r="G17" s="3"/>
      <c r="H17" s="127"/>
      <c r="I17" s="128"/>
      <c r="J17" s="124"/>
      <c r="K17" s="3" t="str">
        <f t="shared" si="0"/>
        <v/>
      </c>
      <c r="S17" s="5"/>
      <c r="U17" s="1"/>
    </row>
    <row r="18" spans="1:21" ht="15.75">
      <c r="A18" s="121" t="s">
        <v>4991</v>
      </c>
      <c r="B18" s="5"/>
      <c r="D18" s="1"/>
      <c r="E18" s="116" t="str">
        <f>IF(ISNA(VLOOKUP(D18,Ericsson!AG:AH,2,FALSE)),"",VLOOKUP(D18,Ericsson!AG:AH,2,FALSE))</f>
        <v/>
      </c>
      <c r="F18" s="122" t="str">
        <f t="shared" si="1"/>
        <v/>
      </c>
      <c r="G18" s="3"/>
      <c r="H18" s="127"/>
      <c r="I18" s="128"/>
      <c r="J18" s="124"/>
      <c r="K18" s="3" t="str">
        <f t="shared" si="0"/>
        <v/>
      </c>
      <c r="S18" s="5"/>
      <c r="U18" s="1"/>
    </row>
    <row r="19" spans="1:21" ht="15.75">
      <c r="A19" s="121" t="s">
        <v>4992</v>
      </c>
      <c r="B19" s="5"/>
      <c r="D19" s="1"/>
      <c r="E19" s="116" t="str">
        <f>IF(ISNA(VLOOKUP(D19,Ericsson!AG:AH,2,FALSE)),"",VLOOKUP(D19,Ericsson!AG:AH,2,FALSE))</f>
        <v/>
      </c>
      <c r="F19" s="122" t="str">
        <f t="shared" si="1"/>
        <v/>
      </c>
      <c r="G19" s="3"/>
      <c r="H19" s="127"/>
      <c r="I19" s="128"/>
      <c r="J19" s="124"/>
      <c r="K19" s="3" t="str">
        <f t="shared" si="0"/>
        <v/>
      </c>
      <c r="S19" s="5"/>
      <c r="U19" s="1"/>
    </row>
    <row r="20" spans="1:21" ht="15.75">
      <c r="A20" s="121" t="s">
        <v>4993</v>
      </c>
      <c r="B20" s="110"/>
      <c r="C20" s="99"/>
      <c r="D20" s="111"/>
      <c r="E20" s="116" t="str">
        <f>IF(ISNA(VLOOKUP(D20,Ericsson!AG:AH,2,FALSE)),"",VLOOKUP(D20,Ericsson!AG:AH,2,FALSE))</f>
        <v/>
      </c>
      <c r="F20" s="122" t="str">
        <f t="shared" si="1"/>
        <v/>
      </c>
      <c r="G20" s="3"/>
      <c r="H20" s="116"/>
      <c r="I20" s="116"/>
      <c r="J20" s="122"/>
      <c r="K20" s="3" t="str">
        <f t="shared" si="0"/>
        <v/>
      </c>
      <c r="S20" s="110"/>
      <c r="T20" s="99"/>
      <c r="U20" s="111"/>
    </row>
    <row r="21" spans="1:21" ht="15.75">
      <c r="A21" s="121" t="s">
        <v>4994</v>
      </c>
      <c r="B21" s="110"/>
      <c r="C21" s="99"/>
      <c r="D21" s="111"/>
      <c r="E21" s="116" t="str">
        <f>IF(ISNA(VLOOKUP(D21,Ericsson!AG:AH,2,FALSE)),"",VLOOKUP(D21,Ericsson!AG:AH,2,FALSE))</f>
        <v/>
      </c>
      <c r="F21" s="122" t="str">
        <f t="shared" si="1"/>
        <v/>
      </c>
      <c r="G21" s="3"/>
      <c r="H21" s="125"/>
      <c r="I21" s="124"/>
      <c r="J21" s="126"/>
      <c r="K21" s="3" t="str">
        <f t="shared" si="0"/>
        <v/>
      </c>
      <c r="S21" s="110"/>
      <c r="T21" s="99"/>
      <c r="U21" s="111"/>
    </row>
    <row r="22" spans="1:21" ht="15.75">
      <c r="A22" s="121" t="s">
        <v>4995</v>
      </c>
      <c r="B22" s="110"/>
      <c r="C22" s="99"/>
      <c r="D22" s="111"/>
      <c r="E22" s="116" t="str">
        <f>IF(ISNA(VLOOKUP(D22,Ericsson!AG:AH,2,FALSE)),"",VLOOKUP(D22,Ericsson!AG:AH,2,FALSE))</f>
        <v/>
      </c>
      <c r="F22" s="122" t="str">
        <f t="shared" si="1"/>
        <v/>
      </c>
      <c r="G22" s="3"/>
      <c r="H22" s="127"/>
      <c r="I22" s="128"/>
      <c r="J22" s="124"/>
      <c r="K22" s="3" t="str">
        <f t="shared" si="0"/>
        <v/>
      </c>
      <c r="S22" s="110"/>
      <c r="T22" s="99"/>
      <c r="U22" s="111"/>
    </row>
    <row r="23" spans="1:21" ht="15.75">
      <c r="A23" s="121" t="s">
        <v>4996</v>
      </c>
      <c r="B23" s="110"/>
      <c r="C23" s="99"/>
      <c r="D23" s="111"/>
      <c r="E23" s="116" t="str">
        <f>IF(ISNA(VLOOKUP(D23,Ericsson!AG:AH,2,FALSE)),"",VLOOKUP(D23,Ericsson!AG:AH,2,FALSE))</f>
        <v/>
      </c>
      <c r="F23" s="122" t="str">
        <f t="shared" si="1"/>
        <v/>
      </c>
      <c r="G23" s="3"/>
      <c r="H23" s="116"/>
      <c r="I23" s="116"/>
      <c r="J23" s="124"/>
      <c r="K23" s="3" t="str">
        <f t="shared" si="0"/>
        <v/>
      </c>
      <c r="S23" s="110"/>
      <c r="T23" s="99"/>
      <c r="U23" s="111"/>
    </row>
    <row r="24" spans="1:21" ht="15.75">
      <c r="A24" s="121" t="s">
        <v>4997</v>
      </c>
      <c r="B24" s="5"/>
      <c r="D24" s="1"/>
      <c r="E24" s="116" t="str">
        <f>IF(ISNA(VLOOKUP(D24,Ericsson!AG:AH,2,FALSE)),"",VLOOKUP(D24,Ericsson!AG:AH,2,FALSE))</f>
        <v/>
      </c>
      <c r="F24" s="122" t="str">
        <f t="shared" si="1"/>
        <v/>
      </c>
      <c r="G24" s="3"/>
      <c r="H24" s="116"/>
      <c r="I24" s="116"/>
      <c r="J24" s="124"/>
      <c r="K24" s="3" t="str">
        <f t="shared" si="0"/>
        <v/>
      </c>
      <c r="S24" s="5"/>
      <c r="U24" s="1"/>
    </row>
    <row r="25" spans="1:21" ht="15.75">
      <c r="A25" s="121" t="s">
        <v>4998</v>
      </c>
      <c r="E25" s="116" t="str">
        <f>IF(ISNA(VLOOKUP(D25,Ericsson!AG:AH,2,FALSE)),"",VLOOKUP(D25,Ericsson!AG:AH,2,FALSE))</f>
        <v/>
      </c>
      <c r="F25" s="122" t="str">
        <f t="shared" si="1"/>
        <v/>
      </c>
      <c r="G25" s="3"/>
      <c r="H25" s="116"/>
      <c r="I25" s="116"/>
      <c r="J25" s="124"/>
      <c r="K25" s="3" t="str">
        <f t="shared" si="0"/>
        <v/>
      </c>
    </row>
    <row r="26" spans="1:21" ht="15.75">
      <c r="A26" s="121" t="s">
        <v>4999</v>
      </c>
      <c r="E26" s="116" t="str">
        <f>IF(ISNA(VLOOKUP(D26,Ericsson!AG:AH,2,FALSE)),"",VLOOKUP(D26,Ericsson!AG:AH,2,FALSE))</f>
        <v/>
      </c>
      <c r="F26" s="122" t="str">
        <f t="shared" si="1"/>
        <v/>
      </c>
      <c r="G26" s="3"/>
      <c r="H26" s="116"/>
      <c r="I26" s="116"/>
      <c r="J26" s="124"/>
      <c r="K26" s="3" t="str">
        <f t="shared" si="0"/>
        <v/>
      </c>
    </row>
    <row r="27" spans="1:21" ht="15.75">
      <c r="A27" s="121" t="s">
        <v>5000</v>
      </c>
      <c r="E27" s="116" t="str">
        <f>IF(ISNA(VLOOKUP(D27,Ericsson!AG:AH,2,FALSE)),"",VLOOKUP(D27,Ericsson!AG:AH,2,FALSE))</f>
        <v/>
      </c>
      <c r="F27" s="122" t="str">
        <f t="shared" si="1"/>
        <v/>
      </c>
      <c r="G27" s="3"/>
      <c r="H27" s="116"/>
      <c r="I27" s="116"/>
      <c r="J27" s="124"/>
      <c r="K27" s="3" t="str">
        <f t="shared" si="0"/>
        <v/>
      </c>
    </row>
    <row r="28" spans="1:21" ht="15.75">
      <c r="A28" s="121" t="s">
        <v>5001</v>
      </c>
      <c r="E28" s="116" t="str">
        <f>IF(ISNA(VLOOKUP(D28,Ericsson!AG:AH,2,FALSE)),"",VLOOKUP(D28,Ericsson!AG:AH,2,FALSE))</f>
        <v/>
      </c>
      <c r="F28" s="122" t="str">
        <f t="shared" si="1"/>
        <v/>
      </c>
      <c r="G28" s="3"/>
      <c r="H28" s="116"/>
      <c r="I28" s="116"/>
      <c r="J28" s="122"/>
      <c r="K28" s="3" t="str">
        <f t="shared" si="0"/>
        <v/>
      </c>
    </row>
    <row r="29" spans="1:21" ht="15.75">
      <c r="A29" s="121" t="s">
        <v>5002</v>
      </c>
      <c r="E29" s="116" t="str">
        <f>IF(ISNA(VLOOKUP(D29,Ericsson!AG:AH,2,FALSE)),"",VLOOKUP(D29,Ericsson!AG:AH,2,FALSE))</f>
        <v/>
      </c>
      <c r="F29" s="122" t="str">
        <f t="shared" si="1"/>
        <v/>
      </c>
      <c r="G29" s="3"/>
      <c r="H29" s="116"/>
      <c r="I29" s="116"/>
      <c r="J29" s="122"/>
      <c r="K29" s="3" t="str">
        <f t="shared" si="0"/>
        <v/>
      </c>
    </row>
    <row r="30" spans="1:21" ht="15.75">
      <c r="A30" s="121" t="s">
        <v>5003</v>
      </c>
      <c r="E30" s="116" t="str">
        <f>IF(ISNA(VLOOKUP(D30,Ericsson!AG:AH,2,FALSE)),"",VLOOKUP(D30,Ericsson!AG:AH,2,FALSE))</f>
        <v/>
      </c>
      <c r="F30" s="122" t="str">
        <f t="shared" si="1"/>
        <v/>
      </c>
      <c r="G30" s="3"/>
      <c r="H30" s="116"/>
      <c r="I30" s="116"/>
      <c r="J30" s="122"/>
      <c r="K30" s="3" t="str">
        <f t="shared" si="0"/>
        <v/>
      </c>
    </row>
    <row r="31" spans="1:21" ht="15.75">
      <c r="A31" s="121" t="s">
        <v>5004</v>
      </c>
      <c r="E31" s="116" t="str">
        <f>IF(ISNA(VLOOKUP(D31,Ericsson!AG:AH,2,FALSE)),"",VLOOKUP(D31,Ericsson!AG:AH,2,FALSE))</f>
        <v/>
      </c>
      <c r="F31" s="122" t="str">
        <f t="shared" si="1"/>
        <v/>
      </c>
      <c r="G31" s="3"/>
      <c r="H31" s="23"/>
      <c r="I31" s="11"/>
      <c r="J31" s="100"/>
      <c r="K31" s="3" t="str">
        <f t="shared" si="0"/>
        <v/>
      </c>
    </row>
    <row r="32" spans="1:21" ht="15.75">
      <c r="A32" s="121" t="s">
        <v>5005</v>
      </c>
      <c r="E32" s="116" t="str">
        <f>IF(ISNA(VLOOKUP(D32,Ericsson!AG:AH,2,FALSE)),"",VLOOKUP(D32,Ericsson!AG:AH,2,FALSE))</f>
        <v/>
      </c>
      <c r="F32" s="122" t="str">
        <f t="shared" si="1"/>
        <v/>
      </c>
      <c r="G32" s="3"/>
      <c r="H32" s="5"/>
      <c r="J32" s="1"/>
      <c r="K32" s="3" t="str">
        <f t="shared" si="0"/>
        <v/>
      </c>
    </row>
    <row r="33" spans="1:11" ht="15.75">
      <c r="A33" s="121" t="s">
        <v>5006</v>
      </c>
      <c r="E33" s="116" t="str">
        <f>IF(ISNA(VLOOKUP(D33,Ericsson!AG:AH,2,FALSE)),"",VLOOKUP(D33,Ericsson!AG:AH,2,FALSE))</f>
        <v/>
      </c>
      <c r="F33" s="122" t="str">
        <f t="shared" si="1"/>
        <v/>
      </c>
      <c r="G33" s="3"/>
      <c r="H33" s="116"/>
      <c r="I33" s="116"/>
      <c r="J33" s="122"/>
      <c r="K33" s="3" t="str">
        <f t="shared" si="0"/>
        <v/>
      </c>
    </row>
    <row r="34" spans="1:11" ht="15.75">
      <c r="A34" s="121" t="s">
        <v>5007</v>
      </c>
      <c r="E34" s="116" t="str">
        <f>IF(ISNA(VLOOKUP(D34,Ericsson!AG:AH,2,FALSE)),"",VLOOKUP(D34,Ericsson!AG:AH,2,FALSE))</f>
        <v/>
      </c>
      <c r="F34" s="122" t="str">
        <f t="shared" si="1"/>
        <v/>
      </c>
      <c r="G34" s="3"/>
      <c r="H34" s="125"/>
      <c r="I34" s="124"/>
      <c r="J34" s="126"/>
      <c r="K34" s="3" t="str">
        <f t="shared" si="0"/>
        <v/>
      </c>
    </row>
    <row r="35" spans="1:11" ht="15.75">
      <c r="A35" s="121" t="s">
        <v>5008</v>
      </c>
      <c r="E35" s="116" t="str">
        <f>IF(ISNA(VLOOKUP(D35,Ericsson!AG:AH,2,FALSE)),"",VLOOKUP(D35,Ericsson!AG:AH,2,FALSE))</f>
        <v/>
      </c>
      <c r="F35" s="122" t="str">
        <f t="shared" si="1"/>
        <v/>
      </c>
      <c r="G35" s="3"/>
      <c r="H35" s="127"/>
      <c r="I35" s="128"/>
      <c r="J35" s="124"/>
      <c r="K35" s="3" t="str">
        <f t="shared" si="0"/>
        <v/>
      </c>
    </row>
    <row r="36" spans="1:11" ht="15.75">
      <c r="A36" s="121" t="s">
        <v>5009</v>
      </c>
      <c r="E36" s="116" t="str">
        <f>IF(ISNA(VLOOKUP(D36,Ericsson!AG:AH,2,FALSE)),"",VLOOKUP(D36,Ericsson!AG:AH,2,FALSE))</f>
        <v/>
      </c>
      <c r="F36" s="122" t="str">
        <f t="shared" si="1"/>
        <v/>
      </c>
      <c r="G36" s="3"/>
      <c r="H36" s="116"/>
      <c r="I36" s="116"/>
      <c r="J36" s="124"/>
      <c r="K36" s="3" t="str">
        <f t="shared" si="0"/>
        <v/>
      </c>
    </row>
    <row r="37" spans="1:11" ht="15.75">
      <c r="A37" s="121" t="s">
        <v>5010</v>
      </c>
      <c r="E37" s="116" t="str">
        <f>IF(ISNA(VLOOKUP(D37,Ericsson!AG:AH,2,FALSE)),"",VLOOKUP(D37,Ericsson!AG:AH,2,FALSE))</f>
        <v/>
      </c>
      <c r="F37" s="122" t="str">
        <f t="shared" si="1"/>
        <v/>
      </c>
      <c r="G37" s="3"/>
      <c r="H37" s="116"/>
      <c r="I37" s="116"/>
      <c r="J37" s="124"/>
      <c r="K37" s="3" t="str">
        <f t="shared" si="0"/>
        <v/>
      </c>
    </row>
    <row r="38" spans="1:11" ht="15.75">
      <c r="A38" s="121" t="s">
        <v>5011</v>
      </c>
      <c r="E38" s="116" t="str">
        <f>IF(ISNA(VLOOKUP(D38,Ericsson!AG:AH,2,FALSE)),"",VLOOKUP(D38,Ericsson!AG:AH,2,FALSE))</f>
        <v/>
      </c>
      <c r="F38" s="122" t="str">
        <f t="shared" si="1"/>
        <v/>
      </c>
      <c r="G38" s="3"/>
      <c r="H38" s="116"/>
      <c r="I38" s="116"/>
      <c r="J38" s="124"/>
      <c r="K38" s="3" t="str">
        <f t="shared" si="0"/>
        <v/>
      </c>
    </row>
    <row r="39" spans="1:11" ht="15.75">
      <c r="A39" s="121" t="s">
        <v>5012</v>
      </c>
      <c r="E39" s="116" t="str">
        <f>IF(ISNA(VLOOKUP(D39,Ericsson!AG:AH,2,FALSE)),"",VLOOKUP(D39,Ericsson!AG:AH,2,FALSE))</f>
        <v/>
      </c>
      <c r="F39" s="122" t="str">
        <f t="shared" si="1"/>
        <v/>
      </c>
      <c r="G39" s="3"/>
      <c r="H39" s="116"/>
      <c r="I39" s="116"/>
      <c r="J39" s="124"/>
      <c r="K39" s="3" t="str">
        <f t="shared" si="0"/>
        <v/>
      </c>
    </row>
    <row r="40" spans="1:11" ht="15.75">
      <c r="A40" s="121" t="s">
        <v>5013</v>
      </c>
      <c r="E40" s="116" t="str">
        <f>IF(ISNA(VLOOKUP(D40,Ericsson!AG:AH,2,FALSE)),"",VLOOKUP(D40,Ericsson!AG:AH,2,FALSE))</f>
        <v/>
      </c>
      <c r="F40" s="122" t="str">
        <f t="shared" si="1"/>
        <v/>
      </c>
      <c r="G40" s="3"/>
      <c r="H40" s="116"/>
      <c r="I40" s="116"/>
      <c r="J40" s="124"/>
      <c r="K40" s="3" t="str">
        <f t="shared" si="0"/>
        <v/>
      </c>
    </row>
    <row r="41" spans="1:11" ht="15.75">
      <c r="A41" s="121" t="s">
        <v>5014</v>
      </c>
      <c r="E41" s="116" t="str">
        <f>IF(ISNA(VLOOKUP(D41,Ericsson!AG:AH,2,FALSE)),"",VLOOKUP(D41,Ericsson!AG:AH,2,FALSE))</f>
        <v/>
      </c>
      <c r="F41" s="122" t="str">
        <f t="shared" si="1"/>
        <v/>
      </c>
      <c r="G41" s="3"/>
      <c r="H41" s="116"/>
      <c r="I41" s="116"/>
      <c r="J41" s="122"/>
      <c r="K41" s="3" t="str">
        <f t="shared" si="0"/>
        <v/>
      </c>
    </row>
    <row r="42" spans="1:11" ht="15.75">
      <c r="A42" s="121" t="s">
        <v>5015</v>
      </c>
      <c r="E42" s="116" t="str">
        <f>IF(ISNA(VLOOKUP(D42,Ericsson!AG:AH,2,FALSE)),"",VLOOKUP(D42,Ericsson!AG:AH,2,FALSE))</f>
        <v/>
      </c>
      <c r="F42" s="122" t="str">
        <f t="shared" si="1"/>
        <v/>
      </c>
      <c r="G42" s="3"/>
      <c r="H42" s="116"/>
      <c r="I42" s="116"/>
      <c r="J42" s="122"/>
      <c r="K42" s="3" t="str">
        <f t="shared" si="0"/>
        <v/>
      </c>
    </row>
    <row r="43" spans="1:11" ht="15.75">
      <c r="A43" s="121" t="s">
        <v>5016</v>
      </c>
      <c r="E43" s="116" t="str">
        <f>IF(ISNA(VLOOKUP(D43,Ericsson!AG:AH,2,FALSE)),"",VLOOKUP(D43,Ericsson!AG:AH,2,FALSE))</f>
        <v/>
      </c>
      <c r="F43" s="122" t="str">
        <f t="shared" si="1"/>
        <v/>
      </c>
      <c r="G43" s="3"/>
      <c r="H43" s="116"/>
      <c r="I43" s="116"/>
      <c r="J43" s="122"/>
      <c r="K43" s="3" t="str">
        <f t="shared" si="0"/>
        <v/>
      </c>
    </row>
    <row r="44" spans="1:11" ht="15.75">
      <c r="A44" s="121" t="s">
        <v>5017</v>
      </c>
      <c r="E44" s="116" t="str">
        <f>IF(ISNA(VLOOKUP(D44,Ericsson!AG:AH,2,FALSE)),"",VLOOKUP(D44,Ericsson!AG:AH,2,FALSE))</f>
        <v/>
      </c>
      <c r="F44" s="122" t="str">
        <f t="shared" si="1"/>
        <v/>
      </c>
      <c r="G44" s="3"/>
      <c r="H44" s="116"/>
      <c r="I44" s="116"/>
      <c r="J44" s="122"/>
      <c r="K44" s="3" t="str">
        <f t="shared" si="0"/>
        <v/>
      </c>
    </row>
    <row r="45" spans="1:11" ht="15.75">
      <c r="A45" s="121" t="s">
        <v>5018</v>
      </c>
      <c r="E45" s="116" t="str">
        <f>IF(ISNA(VLOOKUP(D45,Ericsson!AG:AH,2,FALSE)),"",VLOOKUP(D45,Ericsson!AG:AH,2,FALSE))</f>
        <v/>
      </c>
      <c r="F45" s="122" t="str">
        <f t="shared" si="1"/>
        <v/>
      </c>
      <c r="G45" s="3"/>
      <c r="H45" s="127"/>
      <c r="I45" s="128"/>
      <c r="J45" s="124"/>
      <c r="K45" s="3" t="str">
        <f t="shared" si="0"/>
        <v/>
      </c>
    </row>
    <row r="46" spans="1:11" ht="15.75">
      <c r="A46" s="121" t="s">
        <v>5019</v>
      </c>
      <c r="E46" s="116" t="str">
        <f>IF(ISNA(VLOOKUP(D46,Ericsson!AG:AH,2,FALSE)),"",VLOOKUP(D46,Ericsson!AG:AH,2,FALSE))</f>
        <v/>
      </c>
      <c r="F46" s="122" t="str">
        <f t="shared" si="1"/>
        <v/>
      </c>
      <c r="G46" s="3"/>
      <c r="H46" s="127"/>
      <c r="I46" s="128"/>
      <c r="J46" s="124"/>
      <c r="K46" s="3" t="str">
        <f t="shared" si="0"/>
        <v/>
      </c>
    </row>
    <row r="47" spans="1:11" ht="15.75">
      <c r="A47" s="121" t="s">
        <v>5020</v>
      </c>
      <c r="E47" s="116" t="str">
        <f>IF(ISNA(VLOOKUP(D47,Ericsson!AG:AH,2,FALSE)),"",VLOOKUP(D47,Ericsson!AG:AH,2,FALSE))</f>
        <v/>
      </c>
      <c r="F47" s="122" t="str">
        <f t="shared" si="1"/>
        <v/>
      </c>
      <c r="G47" s="3"/>
      <c r="H47" s="127"/>
      <c r="I47" s="128"/>
      <c r="J47" s="124"/>
      <c r="K47" s="3" t="str">
        <f t="shared" si="0"/>
        <v/>
      </c>
    </row>
    <row r="48" spans="1:11" ht="15.75">
      <c r="A48" s="121" t="s">
        <v>5021</v>
      </c>
      <c r="E48" s="116" t="str">
        <f>IF(ISNA(VLOOKUP(D48,Ericsson!AG:AH,2,FALSE)),"",VLOOKUP(D48,Ericsson!AG:AH,2,FALSE))</f>
        <v/>
      </c>
      <c r="F48" s="122" t="str">
        <f t="shared" si="1"/>
        <v/>
      </c>
      <c r="G48" s="3"/>
      <c r="H48" s="116"/>
      <c r="I48" s="116"/>
      <c r="J48" s="122"/>
      <c r="K48" s="3" t="str">
        <f t="shared" si="0"/>
        <v/>
      </c>
    </row>
    <row r="49" spans="1:11" ht="15.75">
      <c r="A49" s="121" t="s">
        <v>5022</v>
      </c>
      <c r="E49" s="116" t="str">
        <f>IF(ISNA(VLOOKUP(D49,Ericsson!AG:AH,2,FALSE)),"",VLOOKUP(D49,Ericsson!AG:AH,2,FALSE))</f>
        <v/>
      </c>
      <c r="F49" s="122" t="str">
        <f t="shared" si="1"/>
        <v/>
      </c>
      <c r="G49" s="3"/>
      <c r="H49" s="125"/>
      <c r="I49" s="124"/>
      <c r="J49" s="126"/>
      <c r="K49" s="3" t="str">
        <f t="shared" si="0"/>
        <v/>
      </c>
    </row>
    <row r="50" spans="1:11" ht="15.75">
      <c r="A50" s="121" t="s">
        <v>5023</v>
      </c>
      <c r="E50" s="116" t="str">
        <f>IF(ISNA(VLOOKUP(D50,Ericsson!AG:AH,2,FALSE)),"",VLOOKUP(D50,Ericsson!AG:AH,2,FALSE))</f>
        <v/>
      </c>
      <c r="F50" s="122" t="str">
        <f t="shared" si="1"/>
        <v/>
      </c>
      <c r="G50" s="3"/>
      <c r="H50" s="127"/>
      <c r="I50" s="128"/>
      <c r="J50" s="124"/>
      <c r="K50" s="3" t="str">
        <f t="shared" si="0"/>
        <v/>
      </c>
    </row>
    <row r="51" spans="1:11" ht="15.75">
      <c r="A51" s="121" t="s">
        <v>5024</v>
      </c>
      <c r="E51" s="116" t="str">
        <f>IF(ISNA(VLOOKUP(D51,Ericsson!AG:AH,2,FALSE)),"",VLOOKUP(D51,Ericsson!AG:AH,2,FALSE))</f>
        <v/>
      </c>
      <c r="F51" s="122" t="str">
        <f t="shared" si="1"/>
        <v/>
      </c>
      <c r="G51" s="3"/>
      <c r="H51" s="116"/>
      <c r="I51" s="116"/>
      <c r="J51" s="124"/>
      <c r="K51" s="3" t="str">
        <f t="shared" si="0"/>
        <v/>
      </c>
    </row>
    <row r="52" spans="1:11" ht="15.75">
      <c r="A52" s="121" t="s">
        <v>5025</v>
      </c>
      <c r="E52" s="116" t="str">
        <f>IF(ISNA(VLOOKUP(D52,Ericsson!AG:AH,2,FALSE)),"",VLOOKUP(D52,Ericsson!AG:AH,2,FALSE))</f>
        <v/>
      </c>
      <c r="F52" s="122" t="str">
        <f t="shared" si="1"/>
        <v/>
      </c>
      <c r="G52" s="3"/>
      <c r="H52" s="116"/>
      <c r="I52" s="116"/>
      <c r="J52" s="124"/>
      <c r="K52" s="3" t="str">
        <f t="shared" si="0"/>
        <v/>
      </c>
    </row>
    <row r="53" spans="1:11" ht="15.75">
      <c r="A53" s="121" t="s">
        <v>5026</v>
      </c>
      <c r="E53" s="116" t="str">
        <f>IF(ISNA(VLOOKUP(D53,Ericsson!AG:AH,2,FALSE)),"",VLOOKUP(D53,Ericsson!AG:AH,2,FALSE))</f>
        <v/>
      </c>
      <c r="F53" s="122" t="str">
        <f t="shared" si="1"/>
        <v/>
      </c>
      <c r="G53" s="3"/>
      <c r="H53" s="116"/>
      <c r="I53" s="116"/>
      <c r="J53" s="124"/>
      <c r="K53" s="3" t="str">
        <f t="shared" si="0"/>
        <v/>
      </c>
    </row>
    <row r="54" spans="1:11" ht="15.75">
      <c r="A54" s="121" t="s">
        <v>5027</v>
      </c>
      <c r="E54" s="116" t="str">
        <f>IF(ISNA(VLOOKUP(D54,Ericsson!AG:AH,2,FALSE)),"",VLOOKUP(D54,Ericsson!AG:AH,2,FALSE))</f>
        <v/>
      </c>
      <c r="F54" s="122" t="str">
        <f t="shared" si="1"/>
        <v/>
      </c>
      <c r="G54" s="3"/>
      <c r="H54" s="116"/>
      <c r="I54" s="116"/>
      <c r="J54" s="124"/>
      <c r="K54" s="3" t="str">
        <f t="shared" si="0"/>
        <v/>
      </c>
    </row>
    <row r="55" spans="1:11" ht="15.75">
      <c r="A55" s="121" t="s">
        <v>5028</v>
      </c>
      <c r="E55" s="116" t="str">
        <f>IF(ISNA(VLOOKUP(D55,Ericsson!AG:AH,2,FALSE)),"",VLOOKUP(D55,Ericsson!AG:AH,2,FALSE))</f>
        <v/>
      </c>
      <c r="F55" s="122" t="str">
        <f t="shared" si="1"/>
        <v/>
      </c>
      <c r="G55" s="3"/>
      <c r="H55" s="116"/>
      <c r="I55" s="116"/>
      <c r="J55" s="124"/>
      <c r="K55" s="3" t="str">
        <f t="shared" si="0"/>
        <v/>
      </c>
    </row>
    <row r="56" spans="1:11" ht="15.75">
      <c r="A56" s="121" t="s">
        <v>5029</v>
      </c>
      <c r="H56" s="116"/>
      <c r="I56" s="116"/>
      <c r="J56" s="122"/>
    </row>
    <row r="57" spans="1:11" ht="15.75">
      <c r="A57" s="121" t="s">
        <v>5030</v>
      </c>
      <c r="H57" s="116"/>
      <c r="I57" s="116"/>
      <c r="J57" s="122"/>
    </row>
    <row r="58" spans="1:11" ht="15.75">
      <c r="A58" s="121" t="s">
        <v>5031</v>
      </c>
      <c r="H58" s="116"/>
      <c r="I58" s="116"/>
      <c r="J58" s="122"/>
    </row>
  </sheetData>
  <sortState ref="B5:D60">
    <sortCondition ref="B5:B6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52"/>
  <sheetViews>
    <sheetView topLeftCell="A17" workbookViewId="0">
      <selection activeCell="A32" sqref="A32"/>
    </sheetView>
  </sheetViews>
  <sheetFormatPr defaultRowHeight="12.75"/>
  <cols>
    <col min="1" max="1" width="11.140625" style="6" customWidth="1"/>
    <col min="2" max="2" width="9.140625" style="6"/>
    <col min="3" max="3" width="44.140625" style="6" customWidth="1"/>
    <col min="4" max="4" width="13.140625" style="1" bestFit="1" customWidth="1"/>
    <col min="5" max="5" width="15" style="6" bestFit="1" customWidth="1"/>
    <col min="6" max="6" width="13.140625" style="1" bestFit="1" customWidth="1"/>
    <col min="7" max="7" width="13.140625" style="6" bestFit="1" customWidth="1"/>
    <col min="8" max="8" width="16.7109375" style="1" customWidth="1"/>
    <col min="9" max="9" width="18.28515625" style="6" bestFit="1" customWidth="1"/>
    <col min="10" max="10" width="13.140625" style="1" bestFit="1" customWidth="1"/>
    <col min="11" max="11" width="14.5703125" style="6" bestFit="1" customWidth="1"/>
    <col min="12" max="12" width="13.140625" style="1" hidden="1" customWidth="1"/>
    <col min="13" max="13" width="17" style="6" hidden="1" customWidth="1"/>
    <col min="14" max="14" width="13.140625" style="1" bestFit="1" customWidth="1"/>
    <col min="15" max="17" width="9.140625" style="6"/>
    <col min="18" max="18" width="12.42578125" style="6" bestFit="1" customWidth="1"/>
    <col min="19" max="46" width="3.7109375" style="6" customWidth="1"/>
    <col min="47" max="16384" width="9.140625" style="6"/>
  </cols>
  <sheetData>
    <row r="1" spans="1:16" ht="13.5" thickBot="1">
      <c r="A1" s="265" t="s">
        <v>6602</v>
      </c>
      <c r="B1" s="266"/>
      <c r="C1" s="266"/>
      <c r="D1" s="182"/>
      <c r="E1" s="183"/>
      <c r="F1" s="184"/>
      <c r="G1" s="183"/>
      <c r="H1" s="184"/>
      <c r="I1" s="183"/>
      <c r="J1" s="184"/>
      <c r="K1" s="183"/>
      <c r="L1" s="184"/>
      <c r="M1" s="184"/>
      <c r="N1" s="183"/>
      <c r="O1" s="184"/>
      <c r="P1" s="184"/>
    </row>
    <row r="2" spans="1:16" ht="16.5" thickBot="1">
      <c r="A2" s="265" t="s">
        <v>6603</v>
      </c>
      <c r="B2" s="266"/>
      <c r="C2" s="266"/>
      <c r="D2" s="185"/>
      <c r="E2" s="186"/>
      <c r="F2" s="187"/>
      <c r="G2" s="186"/>
      <c r="H2" s="264"/>
      <c r="I2" s="264"/>
      <c r="J2" s="187"/>
      <c r="K2" s="186"/>
      <c r="L2" s="187"/>
      <c r="M2" s="187"/>
      <c r="N2" s="186"/>
      <c r="O2" s="184"/>
      <c r="P2" s="184"/>
    </row>
    <row r="3" spans="1:16" ht="15">
      <c r="A3" s="175" t="s">
        <v>6599</v>
      </c>
      <c r="B3" s="176" t="s">
        <v>6600</v>
      </c>
      <c r="C3" s="179" t="s">
        <v>6601</v>
      </c>
      <c r="D3" s="184"/>
      <c r="E3" s="188"/>
      <c r="F3" s="187"/>
      <c r="G3" s="188"/>
      <c r="H3" s="187"/>
      <c r="I3" s="188"/>
      <c r="J3" s="187"/>
      <c r="K3" s="188"/>
      <c r="L3" s="187"/>
      <c r="M3" s="187"/>
      <c r="N3" s="188"/>
      <c r="O3" s="184"/>
      <c r="P3" s="184"/>
    </row>
    <row r="4" spans="1:16" ht="15">
      <c r="A4" s="217"/>
      <c r="B4" s="178" t="s">
        <v>6605</v>
      </c>
      <c r="C4" s="180" t="s">
        <v>6604</v>
      </c>
      <c r="D4" s="184"/>
      <c r="E4" s="183"/>
      <c r="F4" s="187"/>
      <c r="G4" s="188"/>
      <c r="H4" s="187"/>
      <c r="I4" s="188"/>
      <c r="J4" s="184"/>
      <c r="K4" s="183"/>
      <c r="L4" s="184"/>
      <c r="M4" s="184"/>
      <c r="N4" s="183"/>
      <c r="O4" s="184"/>
      <c r="P4" s="184"/>
    </row>
    <row r="5" spans="1:16" ht="15">
      <c r="A5" s="218"/>
      <c r="B5" s="178" t="s">
        <v>6606</v>
      </c>
      <c r="C5" s="180" t="s">
        <v>6607</v>
      </c>
      <c r="D5" s="184"/>
      <c r="E5" s="183"/>
      <c r="F5" s="187"/>
      <c r="G5" s="188"/>
      <c r="H5" s="187"/>
      <c r="I5" s="188"/>
      <c r="J5" s="184"/>
      <c r="K5" s="183"/>
      <c r="L5" s="184"/>
      <c r="M5" s="184"/>
      <c r="N5" s="183"/>
      <c r="O5" s="184"/>
      <c r="P5" s="184"/>
    </row>
    <row r="6" spans="1:16" ht="15">
      <c r="A6" s="218">
        <v>42618</v>
      </c>
      <c r="B6" s="178" t="s">
        <v>6608</v>
      </c>
      <c r="C6" s="180" t="s">
        <v>6609</v>
      </c>
      <c r="D6" s="184"/>
      <c r="E6" s="183"/>
      <c r="F6" s="187"/>
      <c r="G6" s="188"/>
      <c r="H6" s="187"/>
      <c r="I6" s="188"/>
      <c r="J6" s="184"/>
      <c r="K6" s="183"/>
      <c r="L6" s="184"/>
      <c r="M6" s="184"/>
      <c r="N6" s="183"/>
      <c r="O6" s="184"/>
      <c r="P6" s="184"/>
    </row>
    <row r="7" spans="1:16" ht="15">
      <c r="A7" s="217">
        <v>42705</v>
      </c>
      <c r="B7" s="177" t="s">
        <v>6611</v>
      </c>
      <c r="C7" s="181" t="s">
        <v>6612</v>
      </c>
      <c r="D7" s="184"/>
      <c r="E7" s="183"/>
      <c r="F7" s="184"/>
      <c r="G7" s="183"/>
      <c r="H7" s="184"/>
      <c r="I7" s="188"/>
      <c r="J7" s="184"/>
      <c r="K7" s="183"/>
      <c r="L7" s="184"/>
      <c r="M7" s="184"/>
      <c r="N7" s="183"/>
      <c r="O7" s="184"/>
      <c r="P7" s="184"/>
    </row>
    <row r="8" spans="1:16">
      <c r="A8" s="217">
        <v>42710</v>
      </c>
      <c r="B8" s="177" t="s">
        <v>6613</v>
      </c>
      <c r="C8" s="181" t="s">
        <v>6614</v>
      </c>
      <c r="D8" s="184"/>
      <c r="E8" s="183"/>
      <c r="F8" s="184"/>
      <c r="G8" s="183"/>
      <c r="H8" s="184"/>
      <c r="I8" s="183"/>
      <c r="J8" s="184"/>
      <c r="K8" s="183"/>
      <c r="L8" s="184"/>
      <c r="M8" s="184"/>
      <c r="N8" s="183"/>
      <c r="O8" s="184"/>
      <c r="P8" s="184"/>
    </row>
    <row r="9" spans="1:16" ht="15.75">
      <c r="A9" s="217">
        <v>42721</v>
      </c>
      <c r="B9" s="178" t="s">
        <v>6615</v>
      </c>
      <c r="C9" s="181" t="s">
        <v>6616</v>
      </c>
      <c r="D9" s="185"/>
      <c r="E9" s="186"/>
      <c r="F9" s="187"/>
      <c r="G9" s="186"/>
      <c r="H9" s="264"/>
      <c r="I9" s="264"/>
      <c r="J9" s="187"/>
      <c r="K9" s="186"/>
      <c r="L9" s="187"/>
      <c r="M9" s="187"/>
      <c r="N9" s="186"/>
      <c r="O9" s="184"/>
      <c r="P9" s="184"/>
    </row>
    <row r="10" spans="1:16" ht="15">
      <c r="A10" s="217">
        <v>42722</v>
      </c>
      <c r="B10" s="178" t="s">
        <v>6617</v>
      </c>
      <c r="C10" s="180" t="s">
        <v>6618</v>
      </c>
      <c r="D10" s="184"/>
      <c r="E10" s="188"/>
      <c r="F10" s="187"/>
      <c r="G10" s="188"/>
      <c r="H10" s="187"/>
      <c r="I10" s="188"/>
      <c r="J10" s="187"/>
      <c r="K10" s="188"/>
      <c r="L10" s="187"/>
      <c r="M10" s="187"/>
      <c r="N10" s="188"/>
      <c r="O10" s="184"/>
      <c r="P10" s="184"/>
    </row>
    <row r="11" spans="1:16" ht="15">
      <c r="A11" s="217">
        <v>42725</v>
      </c>
      <c r="B11" s="178" t="s">
        <v>6628</v>
      </c>
      <c r="C11" s="181" t="s">
        <v>6627</v>
      </c>
      <c r="D11" s="184"/>
      <c r="E11" s="188"/>
      <c r="F11" s="187"/>
      <c r="G11" s="188"/>
      <c r="H11" s="187"/>
      <c r="I11" s="188"/>
      <c r="J11" s="184"/>
      <c r="K11" s="183"/>
      <c r="L11" s="184"/>
      <c r="M11" s="184"/>
      <c r="N11" s="183"/>
      <c r="O11" s="184"/>
      <c r="P11" s="184"/>
    </row>
    <row r="12" spans="1:16" ht="15">
      <c r="A12" s="217">
        <v>42728</v>
      </c>
      <c r="B12" s="178" t="s">
        <v>6629</v>
      </c>
      <c r="C12" s="181" t="s">
        <v>6630</v>
      </c>
      <c r="D12" s="184"/>
      <c r="E12" s="183"/>
      <c r="F12" s="184"/>
      <c r="G12" s="183"/>
      <c r="H12" s="187"/>
      <c r="I12" s="188"/>
      <c r="J12" s="184"/>
      <c r="K12" s="183"/>
      <c r="L12" s="184"/>
      <c r="M12" s="184"/>
      <c r="N12" s="183"/>
      <c r="O12" s="184"/>
      <c r="P12" s="184"/>
    </row>
    <row r="13" spans="1:16" ht="15">
      <c r="A13" s="239">
        <v>42739</v>
      </c>
      <c r="B13" s="177" t="s">
        <v>6631</v>
      </c>
      <c r="C13" s="181" t="s">
        <v>7958</v>
      </c>
      <c r="D13" s="184"/>
      <c r="E13" s="183"/>
      <c r="F13" s="184"/>
      <c r="G13" s="183"/>
      <c r="H13" s="187"/>
      <c r="I13" s="188"/>
      <c r="J13" s="184"/>
      <c r="K13" s="183"/>
      <c r="L13" s="184"/>
      <c r="M13" s="184"/>
      <c r="N13" s="183"/>
      <c r="O13" s="184"/>
      <c r="P13" s="184"/>
    </row>
    <row r="14" spans="1:16" ht="15">
      <c r="A14" s="240">
        <v>42748</v>
      </c>
      <c r="B14" s="178" t="s">
        <v>7949</v>
      </c>
      <c r="C14" s="180" t="s">
        <v>7950</v>
      </c>
      <c r="D14" s="184"/>
      <c r="E14" s="183"/>
      <c r="F14" s="184"/>
      <c r="G14" s="183"/>
      <c r="H14" s="187"/>
      <c r="I14" s="188"/>
      <c r="J14" s="184"/>
      <c r="K14" s="183"/>
      <c r="L14" s="184"/>
      <c r="M14" s="184"/>
      <c r="N14" s="183"/>
      <c r="O14" s="184"/>
      <c r="P14" s="184"/>
    </row>
    <row r="15" spans="1:16">
      <c r="A15" s="240">
        <v>42755</v>
      </c>
      <c r="B15" s="178" t="s">
        <v>7947</v>
      </c>
      <c r="C15" s="219" t="s">
        <v>7952</v>
      </c>
      <c r="D15" s="184"/>
      <c r="E15" s="183"/>
      <c r="F15" s="184"/>
      <c r="G15" s="183"/>
      <c r="H15" s="184"/>
      <c r="I15" s="183"/>
      <c r="J15" s="184"/>
      <c r="K15" s="183"/>
      <c r="L15" s="184"/>
      <c r="M15" s="184"/>
      <c r="N15" s="183"/>
      <c r="O15" s="184"/>
      <c r="P15" s="184"/>
    </row>
    <row r="16" spans="1:16" ht="15.75">
      <c r="A16" s="240">
        <v>42759</v>
      </c>
      <c r="B16" s="178" t="s">
        <v>7951</v>
      </c>
      <c r="C16" s="219" t="s">
        <v>7948</v>
      </c>
      <c r="D16" s="185"/>
      <c r="E16" s="186"/>
      <c r="F16" s="187"/>
      <c r="G16" s="186"/>
      <c r="H16" s="264"/>
      <c r="I16" s="264"/>
      <c r="J16" s="187"/>
      <c r="K16" s="186"/>
      <c r="L16" s="187"/>
      <c r="M16" s="187"/>
      <c r="N16" s="186"/>
      <c r="O16" s="184"/>
      <c r="P16" s="184"/>
    </row>
    <row r="17" spans="1:16" ht="15">
      <c r="A17" s="240">
        <v>42760</v>
      </c>
      <c r="B17" s="178" t="s">
        <v>7954</v>
      </c>
      <c r="C17" s="219" t="s">
        <v>7955</v>
      </c>
      <c r="D17" s="184"/>
      <c r="E17" s="188"/>
      <c r="F17" s="187"/>
      <c r="G17" s="188"/>
      <c r="H17" s="187"/>
      <c r="I17" s="188"/>
      <c r="J17" s="187"/>
      <c r="K17" s="188"/>
      <c r="L17" s="187"/>
      <c r="M17" s="187"/>
      <c r="N17" s="188"/>
      <c r="O17" s="184"/>
      <c r="P17" s="184"/>
    </row>
    <row r="18" spans="1:16" ht="15">
      <c r="A18" s="240">
        <v>42760</v>
      </c>
      <c r="B18" s="178" t="s">
        <v>7957</v>
      </c>
      <c r="C18" s="219" t="s">
        <v>7959</v>
      </c>
      <c r="D18" s="184"/>
      <c r="E18" s="183"/>
      <c r="F18" s="187"/>
      <c r="G18" s="188"/>
      <c r="H18" s="187"/>
      <c r="I18" s="188"/>
      <c r="J18" s="184"/>
      <c r="K18" s="183"/>
      <c r="L18" s="184"/>
      <c r="M18" s="184"/>
      <c r="N18" s="183"/>
      <c r="O18" s="184"/>
      <c r="P18" s="184"/>
    </row>
    <row r="19" spans="1:16">
      <c r="A19" s="240">
        <v>42767</v>
      </c>
      <c r="B19" s="178" t="s">
        <v>7960</v>
      </c>
      <c r="C19" s="220" t="s">
        <v>7961</v>
      </c>
      <c r="D19" s="184"/>
      <c r="E19" s="183"/>
      <c r="F19" s="184"/>
      <c r="G19" s="183"/>
      <c r="H19" s="184"/>
      <c r="I19" s="183"/>
      <c r="J19" s="184"/>
      <c r="K19" s="183"/>
      <c r="L19" s="184"/>
      <c r="M19" s="184"/>
      <c r="N19" s="183"/>
      <c r="O19" s="184"/>
      <c r="P19" s="184"/>
    </row>
    <row r="20" spans="1:16">
      <c r="A20" s="240">
        <v>42774</v>
      </c>
      <c r="B20" s="178" t="s">
        <v>8172</v>
      </c>
      <c r="C20" s="220" t="s">
        <v>8173</v>
      </c>
      <c r="D20" s="184"/>
      <c r="E20" s="183"/>
      <c r="F20" s="184"/>
      <c r="G20" s="183"/>
      <c r="H20" s="184"/>
      <c r="I20" s="183"/>
      <c r="J20" s="184"/>
      <c r="K20" s="183"/>
      <c r="L20" s="184"/>
      <c r="M20" s="184"/>
      <c r="N20" s="183"/>
      <c r="O20" s="184"/>
      <c r="P20" s="184"/>
    </row>
    <row r="21" spans="1:16" ht="13.5" thickBot="1">
      <c r="A21" s="239"/>
      <c r="B21" s="140"/>
      <c r="C21" s="242"/>
      <c r="D21" s="184"/>
      <c r="E21" s="183"/>
      <c r="F21" s="184"/>
      <c r="G21" s="183"/>
      <c r="H21" s="184"/>
      <c r="I21" s="183"/>
      <c r="J21" s="184"/>
      <c r="K21" s="183"/>
      <c r="L21" s="184"/>
      <c r="M21" s="184"/>
      <c r="N21" s="183"/>
      <c r="O21" s="184"/>
      <c r="P21" s="184"/>
    </row>
    <row r="22" spans="1:16" ht="16.5" thickBot="1">
      <c r="A22" s="240">
        <v>42795</v>
      </c>
      <c r="B22" s="241" t="s">
        <v>8286</v>
      </c>
      <c r="C22" s="244" t="s">
        <v>8285</v>
      </c>
      <c r="D22" s="185"/>
      <c r="E22" s="186"/>
      <c r="F22" s="187"/>
      <c r="G22" s="186"/>
      <c r="H22" s="264"/>
      <c r="I22" s="264"/>
      <c r="J22" s="187"/>
      <c r="K22" s="186"/>
      <c r="L22" s="187"/>
      <c r="M22" s="187"/>
      <c r="N22" s="186"/>
      <c r="O22" s="184"/>
      <c r="P22" s="184"/>
    </row>
    <row r="23" spans="1:16" ht="15.75" thickBot="1">
      <c r="A23" s="240">
        <v>42798</v>
      </c>
      <c r="B23" s="241" t="s">
        <v>8625</v>
      </c>
      <c r="C23" s="245" t="s">
        <v>8626</v>
      </c>
      <c r="D23" s="184"/>
      <c r="E23" s="188"/>
      <c r="F23" s="187"/>
      <c r="G23" s="188"/>
      <c r="H23" s="187"/>
      <c r="I23" s="188"/>
      <c r="J23" s="187"/>
      <c r="K23" s="188"/>
      <c r="L23" s="187"/>
      <c r="M23" s="187"/>
      <c r="N23" s="188"/>
      <c r="O23" s="184"/>
      <c r="P23" s="184"/>
    </row>
    <row r="24" spans="1:16" ht="15.75" thickBot="1">
      <c r="A24" s="240">
        <v>42809</v>
      </c>
      <c r="B24" s="241" t="s">
        <v>8655</v>
      </c>
      <c r="C24" s="246" t="s">
        <v>8656</v>
      </c>
      <c r="D24" s="184"/>
      <c r="E24" s="183"/>
      <c r="F24" s="187"/>
      <c r="G24" s="188"/>
      <c r="H24" s="187"/>
      <c r="I24" s="188"/>
      <c r="J24" s="184"/>
      <c r="K24" s="183"/>
      <c r="L24" s="184"/>
      <c r="M24" s="184"/>
      <c r="N24" s="183"/>
      <c r="O24" s="184"/>
      <c r="P24" s="184"/>
    </row>
    <row r="25" spans="1:16" ht="15.75" thickBot="1">
      <c r="A25" s="240">
        <v>42810</v>
      </c>
      <c r="B25" s="241" t="s">
        <v>8657</v>
      </c>
      <c r="C25" s="243" t="s">
        <v>8658</v>
      </c>
      <c r="D25" s="184"/>
      <c r="E25" s="183"/>
      <c r="F25" s="187"/>
      <c r="G25" s="188"/>
      <c r="H25" s="187"/>
      <c r="I25" s="188"/>
      <c r="J25" s="184"/>
      <c r="K25" s="183"/>
      <c r="L25" s="184"/>
      <c r="M25" s="184"/>
      <c r="N25" s="183"/>
      <c r="O25" s="184"/>
      <c r="P25" s="184"/>
    </row>
    <row r="26" spans="1:16" ht="15">
      <c r="A26" s="240">
        <v>42810</v>
      </c>
      <c r="B26" s="178" t="s">
        <v>8660</v>
      </c>
      <c r="C26" s="247" t="s">
        <v>8659</v>
      </c>
      <c r="D26" s="184"/>
      <c r="E26" s="183"/>
      <c r="F26" s="187"/>
      <c r="G26" s="188"/>
      <c r="H26" s="184"/>
      <c r="I26" s="183"/>
      <c r="J26" s="184"/>
      <c r="K26" s="183"/>
      <c r="L26" s="184"/>
      <c r="M26" s="184"/>
      <c r="N26" s="183"/>
      <c r="O26" s="184"/>
      <c r="P26" s="184"/>
    </row>
    <row r="27" spans="1:16">
      <c r="A27" s="240">
        <v>42826</v>
      </c>
      <c r="B27" s="178" t="s">
        <v>8664</v>
      </c>
      <c r="C27" s="247" t="s">
        <v>8661</v>
      </c>
      <c r="D27" s="184"/>
      <c r="E27" s="183"/>
      <c r="F27" s="184"/>
      <c r="G27" s="183"/>
      <c r="H27" s="184"/>
      <c r="I27" s="183"/>
      <c r="J27" s="184"/>
      <c r="K27" s="183"/>
      <c r="L27" s="184"/>
      <c r="M27" s="184"/>
      <c r="N27" s="183"/>
      <c r="O27" s="184"/>
      <c r="P27" s="184"/>
    </row>
    <row r="28" spans="1:16">
      <c r="A28" s="248" t="s">
        <v>8662</v>
      </c>
      <c r="B28" s="178" t="s">
        <v>8662</v>
      </c>
      <c r="C28" s="247" t="s">
        <v>8663</v>
      </c>
      <c r="D28" s="184"/>
      <c r="E28" s="183"/>
      <c r="F28" s="184"/>
      <c r="G28" s="183"/>
      <c r="H28" s="184"/>
      <c r="I28" s="183"/>
      <c r="J28" s="184"/>
      <c r="K28" s="183"/>
      <c r="L28" s="184"/>
      <c r="M28" s="184"/>
      <c r="N28" s="183"/>
      <c r="O28" s="184"/>
      <c r="P28" s="184"/>
    </row>
    <row r="29" spans="1:16" ht="15">
      <c r="A29" s="240">
        <v>42857</v>
      </c>
      <c r="B29" s="178" t="s">
        <v>8680</v>
      </c>
      <c r="C29" s="249" t="s">
        <v>8681</v>
      </c>
      <c r="D29" s="184"/>
      <c r="E29" s="183"/>
      <c r="F29" s="184"/>
      <c r="G29" s="183"/>
      <c r="H29" s="187"/>
      <c r="I29" s="186"/>
      <c r="J29" s="187"/>
      <c r="K29" s="186"/>
      <c r="L29" s="187"/>
      <c r="M29" s="184"/>
      <c r="N29" s="183"/>
      <c r="O29" s="184"/>
      <c r="P29" s="184"/>
    </row>
    <row r="30" spans="1:16" ht="15">
      <c r="A30" s="240">
        <v>42864</v>
      </c>
      <c r="B30" s="178" t="s">
        <v>8682</v>
      </c>
      <c r="C30" s="249" t="s">
        <v>8681</v>
      </c>
      <c r="D30" s="184"/>
      <c r="E30" s="183"/>
      <c r="F30" s="184"/>
      <c r="G30" s="183"/>
      <c r="H30" s="189"/>
      <c r="I30" s="186"/>
      <c r="J30" s="187"/>
      <c r="K30" s="186"/>
      <c r="L30" s="187"/>
      <c r="M30" s="184"/>
      <c r="N30" s="183"/>
      <c r="O30" s="184"/>
      <c r="P30" s="184"/>
    </row>
    <row r="31" spans="1:16" ht="15">
      <c r="A31" s="240">
        <v>42936</v>
      </c>
      <c r="B31" s="178" t="s">
        <v>8682</v>
      </c>
      <c r="C31" s="249" t="s">
        <v>8683</v>
      </c>
      <c r="D31" s="184"/>
      <c r="E31" s="183"/>
      <c r="F31" s="184"/>
      <c r="G31" s="183"/>
      <c r="H31" s="187"/>
      <c r="I31" s="186"/>
      <c r="J31" s="187"/>
      <c r="K31" s="186"/>
      <c r="L31" s="187"/>
      <c r="M31" s="184"/>
      <c r="N31" s="183"/>
      <c r="O31" s="184"/>
      <c r="P31" s="184"/>
    </row>
    <row r="32" spans="1:16" ht="15">
      <c r="D32" s="184"/>
      <c r="E32" s="183"/>
      <c r="F32" s="184"/>
      <c r="G32" s="183"/>
      <c r="H32" s="187"/>
      <c r="I32" s="186"/>
      <c r="J32" s="187"/>
      <c r="K32" s="186"/>
      <c r="L32" s="187"/>
      <c r="M32" s="184"/>
      <c r="N32" s="183"/>
      <c r="O32" s="184"/>
      <c r="P32" s="184"/>
    </row>
    <row r="33" spans="4:16" ht="15">
      <c r="D33" s="184"/>
      <c r="E33" s="183"/>
      <c r="F33" s="184"/>
      <c r="G33" s="183"/>
      <c r="H33" s="189"/>
      <c r="I33" s="186"/>
      <c r="J33" s="187"/>
      <c r="K33" s="186"/>
      <c r="L33" s="187"/>
      <c r="M33" s="184"/>
      <c r="N33" s="183"/>
      <c r="O33" s="184"/>
      <c r="P33" s="184"/>
    </row>
    <row r="34" spans="4:16" ht="15">
      <c r="D34" s="184"/>
      <c r="E34" s="183"/>
      <c r="F34" s="184"/>
      <c r="G34" s="183"/>
      <c r="H34" s="189"/>
      <c r="I34" s="186"/>
      <c r="J34" s="187"/>
      <c r="K34" s="186"/>
      <c r="L34" s="187"/>
      <c r="M34" s="184"/>
      <c r="N34" s="183"/>
      <c r="O34" s="184"/>
      <c r="P34" s="184"/>
    </row>
    <row r="35" spans="4:16" ht="15">
      <c r="D35" s="184"/>
      <c r="E35" s="183"/>
      <c r="F35" s="184"/>
      <c r="G35" s="183"/>
      <c r="H35" s="187"/>
      <c r="I35" s="186"/>
      <c r="J35" s="187"/>
      <c r="K35" s="186"/>
      <c r="L35" s="187"/>
      <c r="M35" s="184"/>
      <c r="N35" s="183"/>
      <c r="O35" s="184"/>
      <c r="P35" s="184"/>
    </row>
    <row r="36" spans="4:16" ht="15">
      <c r="D36" s="184"/>
      <c r="E36" s="183"/>
      <c r="F36" s="184"/>
      <c r="G36" s="183"/>
      <c r="H36" s="187"/>
      <c r="I36" s="186"/>
      <c r="J36" s="187"/>
      <c r="K36" s="186"/>
      <c r="L36" s="187"/>
      <c r="M36" s="184"/>
      <c r="N36" s="183"/>
      <c r="O36" s="184"/>
      <c r="P36" s="184"/>
    </row>
    <row r="37" spans="4:16" ht="15">
      <c r="D37" s="184"/>
      <c r="E37" s="183"/>
      <c r="F37" s="184"/>
      <c r="G37" s="183"/>
      <c r="H37" s="187"/>
      <c r="I37" s="186"/>
      <c r="J37" s="187"/>
      <c r="K37" s="186"/>
      <c r="L37" s="187"/>
      <c r="M37" s="184"/>
      <c r="N37" s="183"/>
      <c r="O37" s="184"/>
      <c r="P37" s="184"/>
    </row>
    <row r="38" spans="4:16" ht="15">
      <c r="D38" s="184"/>
      <c r="E38" s="183"/>
      <c r="F38" s="184"/>
      <c r="G38" s="183"/>
      <c r="H38" s="187"/>
      <c r="I38" s="186"/>
      <c r="J38" s="187"/>
      <c r="K38" s="186"/>
      <c r="L38" s="187"/>
      <c r="M38" s="184"/>
      <c r="N38" s="183"/>
      <c r="O38" s="184"/>
      <c r="P38" s="184"/>
    </row>
    <row r="39" spans="4:16" ht="23.25">
      <c r="D39" s="184"/>
      <c r="E39" s="183"/>
      <c r="F39" s="184"/>
      <c r="G39" s="183"/>
      <c r="H39" s="190"/>
      <c r="I39" s="190"/>
      <c r="J39" s="190"/>
      <c r="K39" s="190"/>
      <c r="L39" s="191"/>
      <c r="M39" s="184"/>
      <c r="N39" s="183"/>
      <c r="O39" s="184"/>
      <c r="P39" s="184"/>
    </row>
    <row r="40" spans="4:16" ht="15">
      <c r="D40" s="184"/>
      <c r="E40" s="183"/>
      <c r="F40" s="184"/>
      <c r="G40" s="183"/>
      <c r="H40" s="189"/>
      <c r="I40" s="192"/>
      <c r="J40" s="189"/>
      <c r="K40" s="192"/>
      <c r="L40" s="191"/>
      <c r="M40" s="184"/>
      <c r="N40" s="183"/>
      <c r="O40" s="184"/>
      <c r="P40" s="184"/>
    </row>
    <row r="41" spans="4:16" ht="15">
      <c r="D41" s="184"/>
      <c r="E41" s="183"/>
      <c r="F41" s="184"/>
      <c r="G41" s="183"/>
      <c r="H41" s="187"/>
      <c r="I41" s="186"/>
      <c r="J41" s="187"/>
      <c r="K41" s="186"/>
      <c r="L41" s="187"/>
      <c r="M41" s="184"/>
      <c r="N41" s="183"/>
      <c r="O41" s="184"/>
      <c r="P41" s="184"/>
    </row>
    <row r="42" spans="4:16" ht="15">
      <c r="D42" s="184"/>
      <c r="E42" s="183"/>
      <c r="F42" s="184"/>
      <c r="G42" s="183"/>
      <c r="H42" s="187"/>
      <c r="I42" s="186"/>
      <c r="J42" s="187"/>
      <c r="K42" s="186"/>
      <c r="L42" s="187"/>
      <c r="M42" s="184"/>
      <c r="N42" s="183"/>
      <c r="O42" s="184"/>
      <c r="P42" s="184"/>
    </row>
    <row r="43" spans="4:16" ht="15">
      <c r="D43" s="184"/>
      <c r="E43" s="183"/>
      <c r="F43" s="184"/>
      <c r="G43" s="183"/>
      <c r="H43" s="187"/>
      <c r="I43" s="186"/>
      <c r="J43" s="187"/>
      <c r="K43" s="186"/>
      <c r="L43" s="187"/>
      <c r="M43" s="184"/>
      <c r="N43" s="183"/>
      <c r="O43" s="184"/>
      <c r="P43" s="184"/>
    </row>
    <row r="44" spans="4:16" ht="15">
      <c r="D44" s="184"/>
      <c r="E44" s="183"/>
      <c r="F44" s="184"/>
      <c r="G44" s="183"/>
      <c r="H44" s="187"/>
      <c r="I44" s="186"/>
      <c r="J44" s="187"/>
      <c r="K44" s="186"/>
      <c r="L44" s="187"/>
      <c r="M44" s="184"/>
      <c r="N44" s="183"/>
      <c r="O44" s="184"/>
      <c r="P44" s="184"/>
    </row>
    <row r="45" spans="4:16" ht="15">
      <c r="D45" s="184"/>
      <c r="E45" s="183"/>
      <c r="F45" s="184"/>
      <c r="G45" s="183"/>
      <c r="H45" s="187"/>
      <c r="I45" s="186"/>
      <c r="J45" s="187"/>
      <c r="K45" s="186"/>
      <c r="L45" s="187"/>
      <c r="M45" s="184"/>
      <c r="N45" s="183"/>
      <c r="O45" s="184"/>
      <c r="P45" s="184"/>
    </row>
    <row r="46" spans="4:16" ht="15">
      <c r="D46" s="184"/>
      <c r="E46" s="183"/>
      <c r="F46" s="184"/>
      <c r="G46" s="183"/>
      <c r="H46" s="187"/>
      <c r="I46" s="186"/>
      <c r="J46" s="187"/>
      <c r="K46" s="186"/>
      <c r="L46" s="187"/>
      <c r="M46" s="184"/>
      <c r="N46" s="183"/>
      <c r="O46" s="184"/>
      <c r="P46" s="184"/>
    </row>
    <row r="47" spans="4:16">
      <c r="D47" s="183"/>
      <c r="E47" s="184"/>
      <c r="F47" s="183"/>
      <c r="G47" s="184"/>
      <c r="H47" s="183"/>
      <c r="I47" s="184"/>
      <c r="J47" s="183"/>
      <c r="K47" s="184"/>
      <c r="L47" s="183"/>
      <c r="M47" s="184"/>
      <c r="N47" s="183"/>
      <c r="O47" s="184"/>
      <c r="P47" s="184"/>
    </row>
    <row r="48" spans="4:16">
      <c r="D48" s="183"/>
      <c r="E48" s="184"/>
      <c r="F48" s="183"/>
      <c r="G48" s="184"/>
      <c r="H48" s="183"/>
      <c r="I48" s="184"/>
      <c r="J48" s="183"/>
      <c r="K48" s="184"/>
      <c r="L48" s="183"/>
      <c r="M48" s="184"/>
      <c r="N48" s="183"/>
      <c r="O48" s="184"/>
      <c r="P48" s="184"/>
    </row>
    <row r="49" spans="4:16">
      <c r="D49" s="183"/>
      <c r="E49" s="184"/>
      <c r="F49" s="183"/>
      <c r="G49" s="184"/>
      <c r="H49" s="183"/>
      <c r="I49" s="184"/>
      <c r="J49" s="183"/>
      <c r="K49" s="184"/>
      <c r="L49" s="183"/>
      <c r="M49" s="184"/>
      <c r="N49" s="183"/>
      <c r="O49" s="184"/>
      <c r="P49" s="184"/>
    </row>
    <row r="50" spans="4:16">
      <c r="D50" s="183"/>
      <c r="E50" s="184"/>
      <c r="F50" s="183"/>
      <c r="G50" s="184"/>
      <c r="H50" s="183"/>
      <c r="I50" s="184"/>
      <c r="J50" s="183"/>
      <c r="K50" s="184"/>
      <c r="L50" s="183"/>
      <c r="M50" s="184"/>
      <c r="N50" s="183"/>
      <c r="O50" s="184"/>
      <c r="P50" s="184"/>
    </row>
    <row r="51" spans="4:16">
      <c r="D51" s="183"/>
      <c r="E51" s="184"/>
      <c r="F51" s="183"/>
      <c r="G51" s="184"/>
      <c r="H51" s="183"/>
      <c r="I51" s="184"/>
      <c r="J51" s="183"/>
      <c r="K51" s="184"/>
      <c r="L51" s="183"/>
      <c r="M51" s="184"/>
      <c r="N51" s="183"/>
      <c r="O51" s="184"/>
      <c r="P51" s="184"/>
    </row>
    <row r="52" spans="4:16">
      <c r="D52" s="183"/>
      <c r="E52" s="184"/>
      <c r="F52" s="183"/>
      <c r="G52" s="184"/>
      <c r="H52" s="183"/>
      <c r="I52" s="184"/>
      <c r="J52" s="183"/>
      <c r="K52" s="184"/>
      <c r="L52" s="183"/>
      <c r="M52" s="184"/>
      <c r="N52" s="183"/>
      <c r="O52" s="184"/>
      <c r="P52" s="184"/>
    </row>
  </sheetData>
  <mergeCells count="6">
    <mergeCell ref="H22:I22"/>
    <mergeCell ref="A1:C1"/>
    <mergeCell ref="A2:C2"/>
    <mergeCell ref="H2:I2"/>
    <mergeCell ref="H9:I9"/>
    <mergeCell ref="H16:I16"/>
  </mergeCells>
  <hyperlinks>
    <hyperlink ref="C8" r:id="rId1"/>
    <hyperlink ref="C9" r:id="rId2"/>
    <hyperlink ref="C11" r:id="rId3"/>
    <hyperlink ref="C12" r:id="rId4" display="Ansar.abbasi@huawei.com included in North region. "/>
    <hyperlink ref="C16" r:id="rId5" display="saddiquelail40@gmail.com;rashraf.khl@gmail.com;Muhammad.afzal@gmail.com;Raheem.mobilink@gmail.com;Maqsood4396@gmail.com;Abbas.h@khl.com.pk;Sehrish.h@khl.com.pk;Faiz.mian@guest.mobilink.net"/>
    <hyperlink ref="C19" r:id="rId6"/>
    <hyperlink ref="C20" r:id="rId7"/>
    <hyperlink ref="C25" r:id="rId8"/>
  </hyperlinks>
  <pageMargins left="0.7" right="0.7" top="0.75" bottom="0.75" header="0.3" footer="0.3"/>
  <pageSetup orientation="portrait"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Ericsson</vt:lpstr>
      <vt:lpstr>Sheet7</vt:lpstr>
      <vt:lpstr>&gt;3hrs</vt:lpstr>
      <vt:lpstr>Escalation</vt:lpstr>
    </vt:vector>
  </TitlesOfParts>
  <Company>Warid Telecom (Pvt.)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husnainas</dc:creator>
  <cp:lastModifiedBy>Khubaib</cp:lastModifiedBy>
  <cp:lastPrinted>2010-08-02T11:15:25Z</cp:lastPrinted>
  <dcterms:created xsi:type="dcterms:W3CDTF">2008-04-27T11:31:20Z</dcterms:created>
  <dcterms:modified xsi:type="dcterms:W3CDTF">2017-07-25T09:26:00Z</dcterms:modified>
</cp:coreProperties>
</file>